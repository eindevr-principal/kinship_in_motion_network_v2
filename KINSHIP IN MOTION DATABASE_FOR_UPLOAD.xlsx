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Jon Baynes\Documents\New Horizons\LifexCode\Kinship In Motion\"/>
    </mc:Choice>
  </mc:AlternateContent>
  <xr:revisionPtr revIDLastSave="0" documentId="13_ncr:20001_{7BD8B3FE-708F-442D-8DF1-DB8185AD3B11}" xr6:coauthVersionLast="47" xr6:coauthVersionMax="47" xr10:uidLastSave="{00000000-0000-0000-0000-000000000000}"/>
  <bookViews>
    <workbookView xWindow="-120" yWindow="-120" windowWidth="29040" windowHeight="15720" xr2:uid="{00000000-000D-0000-FFFF-FFFF00000000}"/>
  </bookViews>
  <sheets>
    <sheet name="GLOSSARY" sheetId="1" r:id="rId1"/>
    <sheet name="EVENTS" sheetId="2" r:id="rId2"/>
    <sheet name="RELATIONSHIPS" sheetId="3" r:id="rId3"/>
    <sheet name="Sheet5" sheetId="4" state="hidden" r:id="rId4"/>
    <sheet name="JON RELATIONSHIPS" sheetId="5" r:id="rId5"/>
    <sheet name="LookUp" sheetId="6" r:id="rId6"/>
    <sheet name="JON EVENTS" sheetId="7" state="hidden" r:id="rId7"/>
  </sheets>
  <definedNames>
    <definedName name="NamedRange1" localSheetId="6">'JON EVENTS'!$C:$C</definedName>
    <definedName name="NamedRange1">EVENTS!$C:$C</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4" i="5" l="1"/>
  <c r="F33" i="5"/>
  <c r="F32" i="5"/>
  <c r="F31" i="5"/>
  <c r="F30" i="5"/>
  <c r="F29" i="5"/>
  <c r="F28" i="5"/>
  <c r="F27" i="5"/>
  <c r="F25" i="5"/>
  <c r="F24" i="5"/>
  <c r="F23" i="5"/>
  <c r="F22" i="5"/>
  <c r="F21" i="5"/>
  <c r="F20" i="5"/>
  <c r="F19" i="5"/>
  <c r="F18" i="5"/>
  <c r="F17" i="5"/>
  <c r="F16" i="5"/>
  <c r="F15" i="5"/>
  <c r="F14" i="5"/>
  <c r="F13" i="5"/>
  <c r="F12" i="5"/>
  <c r="F11" i="5"/>
  <c r="F9" i="5"/>
  <c r="F6" i="5"/>
  <c r="F5" i="5"/>
  <c r="F4" i="5"/>
  <c r="F3" i="5"/>
  <c r="F2" i="5"/>
  <c r="M9" i="4"/>
  <c r="H9" i="4"/>
  <c r="M8" i="4"/>
  <c r="H8" i="4"/>
  <c r="H7" i="4"/>
  <c r="M6" i="4"/>
  <c r="H6" i="4"/>
  <c r="M5" i="4"/>
  <c r="H5" i="4"/>
  <c r="M4" i="4"/>
  <c r="H4" i="4"/>
  <c r="M3" i="4"/>
  <c r="H3" i="4"/>
  <c r="M2" i="4"/>
  <c r="H2" i="4"/>
  <c r="G312" i="3"/>
  <c r="G311" i="3"/>
  <c r="G310" i="3"/>
  <c r="G309" i="3"/>
  <c r="G308" i="3"/>
  <c r="G307" i="3"/>
  <c r="G306" i="3"/>
  <c r="G305" i="3"/>
  <c r="G304" i="3"/>
  <c r="G303" i="3"/>
  <c r="G302" i="3"/>
  <c r="G294" i="3"/>
  <c r="G293" i="3"/>
  <c r="G292" i="3"/>
  <c r="G291" i="3"/>
  <c r="G289" i="3"/>
  <c r="G288" i="3"/>
  <c r="G287" i="3"/>
  <c r="G286" i="3"/>
  <c r="G285" i="3"/>
  <c r="G284" i="3"/>
  <c r="G283" i="3"/>
  <c r="G282" i="3"/>
  <c r="G281" i="3"/>
  <c r="G274" i="3"/>
  <c r="G273" i="3"/>
  <c r="G272" i="3"/>
  <c r="G262" i="3"/>
  <c r="G261" i="3"/>
  <c r="G260" i="3"/>
  <c r="G259" i="3"/>
  <c r="G258" i="3"/>
  <c r="G250" i="3"/>
  <c r="G249" i="3"/>
  <c r="G242" i="3"/>
  <c r="G241" i="3"/>
  <c r="G240" i="3"/>
  <c r="G239" i="3"/>
  <c r="G232" i="3"/>
  <c r="G231" i="3"/>
  <c r="G230" i="3"/>
  <c r="G229" i="3"/>
  <c r="G222" i="3"/>
  <c r="G221" i="3"/>
  <c r="G220" i="3"/>
  <c r="G219" i="3"/>
  <c r="G218" i="3"/>
  <c r="G217" i="3"/>
  <c r="G216" i="3"/>
  <c r="G215" i="3"/>
  <c r="G214" i="3"/>
  <c r="G213" i="3"/>
  <c r="G212" i="3"/>
  <c r="G211" i="3"/>
  <c r="G210" i="3"/>
  <c r="G209" i="3"/>
  <c r="G207" i="3"/>
  <c r="G206" i="3"/>
  <c r="G205" i="3"/>
  <c r="G204" i="3"/>
  <c r="G203" i="3"/>
  <c r="G202" i="3"/>
  <c r="G201" i="3"/>
  <c r="G200" i="3"/>
  <c r="G199" i="3"/>
  <c r="G198" i="3"/>
  <c r="G197" i="3"/>
  <c r="G196" i="3"/>
  <c r="G195" i="3"/>
  <c r="G194" i="3"/>
  <c r="G193" i="3"/>
  <c r="G192" i="3"/>
  <c r="G191" i="3"/>
  <c r="G190" i="3"/>
  <c r="G189" i="3"/>
  <c r="G188" i="3"/>
  <c r="G187" i="3"/>
  <c r="G186" i="3"/>
  <c r="G185" i="3"/>
  <c r="G184" i="3"/>
  <c r="G183" i="3"/>
  <c r="G182" i="3"/>
  <c r="G181" i="3"/>
  <c r="G180" i="3"/>
  <c r="G179" i="3"/>
  <c r="G178" i="3"/>
  <c r="G177" i="3"/>
  <c r="G176" i="3"/>
  <c r="G175" i="3"/>
  <c r="G174" i="3"/>
  <c r="G173" i="3"/>
  <c r="G172" i="3"/>
  <c r="G171" i="3"/>
  <c r="G170" i="3"/>
  <c r="G169" i="3"/>
  <c r="G168" i="3"/>
  <c r="G167" i="3"/>
  <c r="G166" i="3"/>
  <c r="G165" i="3"/>
  <c r="G164" i="3"/>
  <c r="G163" i="3"/>
  <c r="G162" i="3"/>
  <c r="G161" i="3"/>
  <c r="G160" i="3"/>
  <c r="G159" i="3"/>
  <c r="G158" i="3"/>
  <c r="G157" i="3"/>
  <c r="G156" i="3"/>
  <c r="G155" i="3"/>
  <c r="G154" i="3"/>
  <c r="G153" i="3"/>
  <c r="G152" i="3"/>
  <c r="G151" i="3"/>
  <c r="G150" i="3"/>
  <c r="G149" i="3"/>
  <c r="G148" i="3"/>
  <c r="G147" i="3"/>
  <c r="G146" i="3"/>
  <c r="G145" i="3"/>
  <c r="G144" i="3"/>
  <c r="G143" i="3"/>
  <c r="G142" i="3"/>
  <c r="G141" i="3"/>
  <c r="G140" i="3"/>
  <c r="G139" i="3"/>
  <c r="G138" i="3"/>
  <c r="G137" i="3"/>
  <c r="G136" i="3"/>
  <c r="G135" i="3"/>
  <c r="G134" i="3"/>
  <c r="G133" i="3"/>
  <c r="G132" i="3"/>
  <c r="G131" i="3"/>
  <c r="G130" i="3"/>
  <c r="G129" i="3"/>
  <c r="G128" i="3"/>
  <c r="G127" i="3"/>
  <c r="G126" i="3"/>
  <c r="G125" i="3"/>
  <c r="G124" i="3"/>
  <c r="G123" i="3"/>
  <c r="G122" i="3"/>
  <c r="G121" i="3"/>
  <c r="G120" i="3"/>
  <c r="G119" i="3"/>
  <c r="G118" i="3"/>
  <c r="G117" i="3"/>
  <c r="G116" i="3"/>
  <c r="G115" i="3"/>
  <c r="G114" i="3"/>
  <c r="G113" i="3"/>
  <c r="G112" i="3"/>
  <c r="G111" i="3"/>
  <c r="G110" i="3"/>
  <c r="G109" i="3"/>
  <c r="G108" i="3"/>
  <c r="G107" i="3"/>
  <c r="G106" i="3"/>
  <c r="G105" i="3"/>
  <c r="G104" i="3"/>
  <c r="G103" i="3"/>
  <c r="G102" i="3"/>
  <c r="G101" i="3"/>
  <c r="G100" i="3"/>
  <c r="G99" i="3"/>
  <c r="G98" i="3"/>
  <c r="G97" i="3"/>
  <c r="G96" i="3"/>
  <c r="G95" i="3"/>
  <c r="G94" i="3"/>
  <c r="G93" i="3"/>
  <c r="G92" i="3"/>
  <c r="G91" i="3"/>
  <c r="G89" i="3"/>
  <c r="G88" i="3"/>
  <c r="G87" i="3"/>
  <c r="G86" i="3"/>
  <c r="G85" i="3"/>
  <c r="G84" i="3"/>
  <c r="G83" i="3"/>
  <c r="G82" i="3"/>
  <c r="G81" i="3"/>
  <c r="G80" i="3"/>
  <c r="G79" i="3"/>
  <c r="G78" i="3"/>
  <c r="G77" i="3"/>
  <c r="G76" i="3"/>
  <c r="G75" i="3"/>
  <c r="G74" i="3"/>
  <c r="G73" i="3"/>
  <c r="G72" i="3"/>
  <c r="G71" i="3"/>
  <c r="G70" i="3"/>
  <c r="G69" i="3"/>
  <c r="G68" i="3"/>
  <c r="G67" i="3"/>
  <c r="G66" i="3"/>
  <c r="G65" i="3"/>
  <c r="G64" i="3"/>
  <c r="G63" i="3"/>
  <c r="G62" i="3"/>
  <c r="G61" i="3"/>
  <c r="G60" i="3"/>
  <c r="G59" i="3"/>
  <c r="G58" i="3"/>
  <c r="G57" i="3"/>
  <c r="G56" i="3"/>
  <c r="G55" i="3"/>
  <c r="G54" i="3"/>
  <c r="G53" i="3"/>
  <c r="G52" i="3"/>
  <c r="G51" i="3"/>
  <c r="G50" i="3"/>
  <c r="G49" i="3"/>
  <c r="G48" i="3"/>
  <c r="G47" i="3"/>
  <c r="G46" i="3"/>
  <c r="G45" i="3"/>
  <c r="G43" i="3"/>
  <c r="G42" i="3"/>
  <c r="G41" i="3"/>
  <c r="G38" i="3"/>
  <c r="G37" i="3"/>
  <c r="G36" i="3"/>
  <c r="G28" i="3"/>
  <c r="G27" i="3"/>
  <c r="G26" i="3"/>
  <c r="G25" i="3"/>
  <c r="G23" i="3"/>
  <c r="G22" i="3"/>
  <c r="G21" i="3"/>
  <c r="G20" i="3"/>
  <c r="G19" i="3"/>
  <c r="G18" i="3"/>
  <c r="G17" i="3"/>
  <c r="G16" i="3"/>
  <c r="G15" i="3"/>
  <c r="G14" i="3"/>
  <c r="G13" i="3"/>
  <c r="G12" i="3"/>
  <c r="G10" i="3"/>
  <c r="G8" i="3"/>
  <c r="G7" i="3"/>
  <c r="G6" i="3"/>
  <c r="G5" i="3"/>
  <c r="G4" i="3"/>
  <c r="G3" i="3"/>
  <c r="G2" i="3"/>
  <c r="M1765" i="2"/>
  <c r="M1764" i="2"/>
  <c r="M1763" i="2"/>
  <c r="H1763" i="2"/>
  <c r="M1762" i="2"/>
  <c r="H1762" i="2"/>
  <c r="M1761" i="2"/>
  <c r="H1761" i="2"/>
  <c r="M1760" i="2"/>
  <c r="H1760" i="2"/>
  <c r="M1759" i="2"/>
  <c r="H1759" i="2"/>
  <c r="M1758" i="2"/>
  <c r="H1758" i="2"/>
  <c r="M1757" i="2"/>
  <c r="H1757" i="2"/>
  <c r="M1756" i="2"/>
  <c r="H1756" i="2"/>
  <c r="M1755" i="2"/>
  <c r="H1755" i="2"/>
  <c r="M1754" i="2"/>
  <c r="H1754" i="2"/>
  <c r="M1753" i="2"/>
  <c r="H1753" i="2"/>
  <c r="M1752" i="2"/>
  <c r="H1752" i="2"/>
  <c r="M1751" i="2"/>
  <c r="H1751" i="2"/>
  <c r="M1750" i="2"/>
  <c r="H1750" i="2"/>
  <c r="M1749" i="2"/>
  <c r="H1749" i="2"/>
  <c r="M1748" i="2"/>
  <c r="H1748" i="2"/>
  <c r="M1747" i="2"/>
  <c r="H1747" i="2"/>
  <c r="M1746" i="2"/>
  <c r="H1746" i="2"/>
  <c r="M1745" i="2"/>
  <c r="H1745" i="2"/>
  <c r="M1744" i="2"/>
  <c r="H1744" i="2"/>
  <c r="M1743" i="2"/>
  <c r="H1743" i="2"/>
  <c r="M1742" i="2"/>
  <c r="H1742" i="2"/>
  <c r="M1741" i="2"/>
  <c r="H1741" i="2"/>
  <c r="M1740" i="2"/>
  <c r="H1740" i="2"/>
  <c r="M1739" i="2"/>
  <c r="H1739" i="2"/>
  <c r="M1738" i="2"/>
  <c r="H1738" i="2"/>
  <c r="M1737" i="2"/>
  <c r="H1737" i="2"/>
  <c r="M1736" i="2"/>
  <c r="H1736" i="2"/>
  <c r="M1735" i="2"/>
  <c r="H1735" i="2"/>
  <c r="M1734" i="2"/>
  <c r="H1734" i="2"/>
  <c r="M1733" i="2"/>
  <c r="H1733" i="2"/>
  <c r="M1732" i="2"/>
  <c r="H1732" i="2"/>
  <c r="M1731" i="2"/>
  <c r="H1731" i="2"/>
  <c r="M1730" i="2"/>
  <c r="H1730" i="2"/>
  <c r="M1729" i="2"/>
  <c r="H1729" i="2"/>
  <c r="M1728" i="2"/>
  <c r="H1728" i="2"/>
  <c r="M1727" i="2"/>
  <c r="H1727" i="2"/>
  <c r="M1726" i="2"/>
  <c r="H1726" i="2"/>
  <c r="M1725" i="2"/>
  <c r="H1725" i="2"/>
  <c r="M1724" i="2"/>
  <c r="H1724" i="2"/>
  <c r="M1723" i="2"/>
  <c r="H1723" i="2"/>
  <c r="M1722" i="2"/>
  <c r="H1722" i="2"/>
  <c r="M1721" i="2"/>
  <c r="H1721" i="2"/>
  <c r="M1720" i="2"/>
  <c r="H1720" i="2"/>
  <c r="M1719" i="2"/>
  <c r="H1719" i="2"/>
  <c r="M1718" i="2"/>
  <c r="H1718" i="2"/>
  <c r="M1717" i="2"/>
  <c r="H1717" i="2"/>
  <c r="M1716" i="2"/>
  <c r="H1716" i="2"/>
  <c r="M1715" i="2"/>
  <c r="H1715" i="2"/>
  <c r="M1714" i="2"/>
  <c r="H1714" i="2"/>
  <c r="M1713" i="2"/>
  <c r="H1713" i="2"/>
  <c r="M1712" i="2"/>
  <c r="H1712" i="2"/>
  <c r="M1711" i="2"/>
  <c r="H1711" i="2"/>
  <c r="M1710" i="2"/>
  <c r="H1710" i="2"/>
  <c r="M1709" i="2"/>
  <c r="H1709" i="2"/>
  <c r="M1708" i="2"/>
  <c r="H1708" i="2"/>
  <c r="M1707" i="2"/>
  <c r="H1707" i="2"/>
  <c r="H1706" i="2"/>
  <c r="M1705" i="2"/>
  <c r="H1705" i="2"/>
  <c r="M1704" i="2"/>
  <c r="H1704" i="2"/>
  <c r="H1703" i="2"/>
  <c r="M1702" i="2"/>
  <c r="H1702" i="2"/>
  <c r="M1701" i="2"/>
  <c r="H1701" i="2"/>
  <c r="M1700" i="2"/>
  <c r="H1700" i="2"/>
  <c r="M1699" i="2"/>
  <c r="H1699" i="2"/>
  <c r="M1698" i="2"/>
  <c r="H1698" i="2"/>
  <c r="M1697" i="2"/>
  <c r="H1697" i="2"/>
  <c r="M1696" i="2"/>
  <c r="H1696" i="2"/>
  <c r="M1695" i="2"/>
  <c r="H1695" i="2"/>
  <c r="M1694" i="2"/>
  <c r="H1694" i="2"/>
  <c r="M1693" i="2"/>
  <c r="H1693" i="2"/>
  <c r="M1692" i="2"/>
  <c r="H1692" i="2"/>
  <c r="M1691" i="2"/>
  <c r="H1691" i="2"/>
  <c r="M1690" i="2"/>
  <c r="H1690" i="2"/>
  <c r="M1689" i="2"/>
  <c r="H1689" i="2"/>
  <c r="M1688" i="2"/>
  <c r="H1688" i="2"/>
  <c r="M1687" i="2"/>
  <c r="H1687" i="2"/>
  <c r="M1686" i="2"/>
  <c r="H1686" i="2"/>
  <c r="M1685" i="2"/>
  <c r="H1685" i="2"/>
  <c r="M1684" i="2"/>
  <c r="H1684" i="2"/>
  <c r="M1683" i="2"/>
  <c r="H1683" i="2"/>
  <c r="M1682" i="2"/>
  <c r="H1682" i="2"/>
  <c r="M1681" i="2"/>
  <c r="H1681" i="2"/>
  <c r="M1680" i="2"/>
  <c r="H1680" i="2"/>
  <c r="M1679" i="2"/>
  <c r="H1679" i="2"/>
  <c r="M1678" i="2"/>
  <c r="H1678" i="2"/>
  <c r="M1677" i="2"/>
  <c r="H1677" i="2"/>
  <c r="M1676" i="2"/>
  <c r="H1676" i="2"/>
  <c r="M1675" i="2"/>
  <c r="H1675" i="2"/>
  <c r="M1674" i="2"/>
  <c r="H1674" i="2"/>
  <c r="M1673" i="2"/>
  <c r="H1673" i="2"/>
  <c r="M1672" i="2"/>
  <c r="H1672" i="2"/>
  <c r="M1671" i="2"/>
  <c r="H1671" i="2"/>
  <c r="M1670" i="2"/>
  <c r="H1670" i="2"/>
  <c r="M1669" i="2"/>
  <c r="H1669" i="2"/>
  <c r="M1668" i="2"/>
  <c r="H1668" i="2"/>
  <c r="H1667" i="2"/>
  <c r="M1666" i="2"/>
  <c r="H1666" i="2"/>
  <c r="M1665" i="2"/>
  <c r="H1665" i="2"/>
  <c r="M1664" i="2"/>
  <c r="H1664" i="2"/>
  <c r="H1663" i="2"/>
  <c r="M1662" i="2"/>
  <c r="H1662" i="2"/>
  <c r="M1661" i="2"/>
  <c r="H1661" i="2"/>
  <c r="M1660" i="2"/>
  <c r="H1660" i="2"/>
  <c r="M1659" i="2"/>
  <c r="H1659" i="2"/>
  <c r="M1658" i="2"/>
  <c r="H1658" i="2"/>
  <c r="M1657" i="2"/>
  <c r="H1657" i="2"/>
  <c r="M1656" i="2"/>
  <c r="H1656" i="2"/>
  <c r="M1655" i="2"/>
  <c r="H1655" i="2"/>
  <c r="M1654" i="2"/>
  <c r="H1654" i="2"/>
  <c r="M1653" i="2"/>
  <c r="H1653" i="2"/>
  <c r="M1652" i="2"/>
  <c r="H1652" i="2"/>
  <c r="M1651" i="2"/>
  <c r="H1651" i="2"/>
  <c r="M1650" i="2"/>
  <c r="H1650" i="2"/>
  <c r="M1649" i="2"/>
  <c r="H1649" i="2"/>
  <c r="M1648" i="2"/>
  <c r="H1648" i="2"/>
  <c r="M1647" i="2"/>
  <c r="H1647" i="2"/>
  <c r="M1646" i="2"/>
  <c r="H1646" i="2"/>
  <c r="M1645" i="2"/>
  <c r="H1645" i="2"/>
  <c r="M1644" i="2"/>
  <c r="H1644" i="2"/>
  <c r="M1643" i="2"/>
  <c r="H1643" i="2"/>
  <c r="M1642" i="2"/>
  <c r="H1642" i="2"/>
  <c r="M1641" i="2"/>
  <c r="H1641" i="2"/>
  <c r="M1640" i="2"/>
  <c r="H1640" i="2"/>
  <c r="M1639" i="2"/>
  <c r="H1639" i="2"/>
  <c r="M1638" i="2"/>
  <c r="H1638" i="2"/>
  <c r="M1637" i="2"/>
  <c r="H1637" i="2"/>
  <c r="M1636" i="2"/>
  <c r="H1636" i="2"/>
  <c r="M1635" i="2"/>
  <c r="H1635" i="2"/>
  <c r="M1634" i="2"/>
  <c r="H1634" i="2"/>
  <c r="M1633" i="2"/>
  <c r="H1633" i="2"/>
  <c r="M1632" i="2"/>
  <c r="H1632" i="2"/>
  <c r="M1631" i="2"/>
  <c r="H1631" i="2"/>
  <c r="M1630" i="2"/>
  <c r="H1630" i="2"/>
  <c r="M1629" i="2"/>
  <c r="H1629" i="2"/>
  <c r="M1628" i="2"/>
  <c r="H1628" i="2"/>
  <c r="M1627" i="2"/>
  <c r="H1627" i="2"/>
  <c r="M1626" i="2"/>
  <c r="H1626" i="2"/>
  <c r="M1625" i="2"/>
  <c r="H1625" i="2"/>
  <c r="M1624" i="2"/>
  <c r="H1624" i="2"/>
  <c r="M1623" i="2"/>
  <c r="H1623" i="2"/>
  <c r="M1622" i="2"/>
  <c r="H1622" i="2"/>
  <c r="H1621" i="2"/>
  <c r="M1620" i="2"/>
  <c r="H1620" i="2"/>
  <c r="M1619" i="2"/>
  <c r="H1619" i="2"/>
  <c r="M1618" i="2"/>
  <c r="H1618" i="2"/>
  <c r="M1617" i="2"/>
  <c r="H1617" i="2"/>
  <c r="M1616" i="2"/>
  <c r="H1616" i="2"/>
  <c r="M1615" i="2"/>
  <c r="H1615" i="2"/>
  <c r="M1614" i="2"/>
  <c r="H1614" i="2"/>
  <c r="M1613" i="2"/>
  <c r="H1613" i="2"/>
  <c r="M1612" i="2"/>
  <c r="H1612" i="2"/>
  <c r="M1611" i="2"/>
  <c r="H1611" i="2"/>
  <c r="M1610" i="2"/>
  <c r="H1610" i="2"/>
  <c r="M1609" i="2"/>
  <c r="H1609" i="2"/>
  <c r="M1608" i="2"/>
  <c r="H1608" i="2"/>
  <c r="M1607" i="2"/>
  <c r="H1607" i="2"/>
  <c r="M1606" i="2"/>
  <c r="H1606" i="2"/>
  <c r="M1605" i="2"/>
  <c r="H1605" i="2"/>
  <c r="M1604" i="2"/>
  <c r="H1604" i="2"/>
  <c r="M1603" i="2"/>
  <c r="H1603" i="2"/>
  <c r="M1602" i="2"/>
  <c r="H1602" i="2"/>
  <c r="M1601" i="2"/>
  <c r="H1601" i="2"/>
  <c r="M1600" i="2"/>
  <c r="H1600" i="2"/>
  <c r="M1599" i="2"/>
  <c r="H1599" i="2"/>
  <c r="M1598" i="2"/>
  <c r="H1598" i="2"/>
  <c r="M1597" i="2"/>
  <c r="H1597" i="2"/>
  <c r="M1596" i="2"/>
  <c r="H1596" i="2"/>
  <c r="M1595" i="2"/>
  <c r="H1595" i="2"/>
  <c r="M1594" i="2"/>
  <c r="H1594" i="2"/>
  <c r="M1593" i="2"/>
  <c r="H1593" i="2"/>
  <c r="M1592" i="2"/>
  <c r="H1592" i="2"/>
  <c r="H1591" i="2"/>
  <c r="M1590" i="2"/>
  <c r="H1590" i="2"/>
  <c r="M1589" i="2"/>
  <c r="H1589" i="2"/>
  <c r="M1588" i="2"/>
  <c r="H1588" i="2"/>
  <c r="M1587" i="2"/>
  <c r="H1587" i="2"/>
  <c r="M1586" i="2"/>
  <c r="H1586" i="2"/>
  <c r="M1585" i="2"/>
  <c r="H1585" i="2"/>
  <c r="M1584" i="2"/>
  <c r="H1584" i="2"/>
  <c r="M1583" i="2"/>
  <c r="H1583" i="2"/>
  <c r="M1582" i="2"/>
  <c r="H1582" i="2"/>
  <c r="M1581" i="2"/>
  <c r="H1581" i="2"/>
  <c r="M1580" i="2"/>
  <c r="H1580" i="2"/>
  <c r="M1579" i="2"/>
  <c r="H1579" i="2"/>
  <c r="M1578" i="2"/>
  <c r="H1578" i="2"/>
  <c r="M1577" i="2"/>
  <c r="H1577" i="2"/>
  <c r="M1576" i="2"/>
  <c r="H1576" i="2"/>
  <c r="M1575" i="2"/>
  <c r="H1575" i="2"/>
  <c r="H1574" i="2"/>
  <c r="M1573" i="2"/>
  <c r="H1573" i="2"/>
  <c r="M1572" i="2"/>
  <c r="H1572" i="2"/>
  <c r="M1571" i="2"/>
  <c r="H1571" i="2"/>
  <c r="M1570" i="2"/>
  <c r="H1570" i="2"/>
  <c r="M1569" i="2"/>
  <c r="H1569" i="2"/>
  <c r="M1568" i="2"/>
  <c r="H1568" i="2"/>
  <c r="M1567" i="2"/>
  <c r="H1567" i="2"/>
  <c r="M1566" i="2"/>
  <c r="H1566" i="2"/>
  <c r="M1565" i="2"/>
  <c r="H1565" i="2"/>
  <c r="M1564" i="2"/>
  <c r="H1564" i="2"/>
  <c r="M1563" i="2"/>
  <c r="H1563" i="2"/>
  <c r="M1562" i="2"/>
  <c r="H1562" i="2"/>
  <c r="M1561" i="2"/>
  <c r="H1561" i="2"/>
  <c r="M1560" i="2"/>
  <c r="H1560" i="2"/>
  <c r="M1559" i="2"/>
  <c r="H1559" i="2"/>
  <c r="M1558" i="2"/>
  <c r="H1558" i="2"/>
  <c r="M1557" i="2"/>
  <c r="H1557" i="2"/>
  <c r="M1556" i="2"/>
  <c r="H1556" i="2"/>
  <c r="M1555" i="2"/>
  <c r="H1555" i="2"/>
  <c r="M1554" i="2"/>
  <c r="H1554" i="2"/>
  <c r="M1553" i="2"/>
  <c r="H1553" i="2"/>
  <c r="M1552" i="2"/>
  <c r="H1552" i="2"/>
  <c r="M1551" i="2"/>
  <c r="H1551" i="2"/>
  <c r="M1550" i="2"/>
  <c r="H1550" i="2"/>
  <c r="H1549" i="2"/>
  <c r="M1548" i="2"/>
  <c r="H1548" i="2"/>
  <c r="M1547" i="2"/>
  <c r="H1547" i="2"/>
  <c r="M1546" i="2"/>
  <c r="H1546" i="2"/>
  <c r="M1545" i="2"/>
  <c r="H1545" i="2"/>
  <c r="M1544" i="2"/>
  <c r="H1544" i="2"/>
  <c r="M1543" i="2"/>
  <c r="H1543" i="2"/>
  <c r="M1542" i="2"/>
  <c r="H1542" i="2"/>
  <c r="M1541" i="2"/>
  <c r="H1541" i="2"/>
  <c r="M1540" i="2"/>
  <c r="H1540" i="2"/>
  <c r="M1539" i="2"/>
  <c r="H1539" i="2"/>
  <c r="M1538" i="2"/>
  <c r="H1538" i="2"/>
  <c r="M1537" i="2"/>
  <c r="H1537" i="2"/>
  <c r="M1536" i="2"/>
  <c r="H1536" i="2"/>
  <c r="M1535" i="2"/>
  <c r="H1535" i="2"/>
  <c r="M1534" i="2"/>
  <c r="H1534" i="2"/>
  <c r="M1533" i="2"/>
  <c r="H1533" i="2"/>
  <c r="M1532" i="2"/>
  <c r="H1532" i="2"/>
  <c r="M1531" i="2"/>
  <c r="H1531" i="2"/>
  <c r="M1530" i="2"/>
  <c r="H1530" i="2"/>
  <c r="M1529" i="2"/>
  <c r="H1529" i="2"/>
  <c r="M1528" i="2"/>
  <c r="H1528" i="2"/>
  <c r="M1527" i="2"/>
  <c r="H1527" i="2"/>
  <c r="M1526" i="2"/>
  <c r="H1526" i="2"/>
  <c r="M1525" i="2"/>
  <c r="H1525" i="2"/>
  <c r="M1524" i="2"/>
  <c r="H1524" i="2"/>
  <c r="M1523" i="2"/>
  <c r="H1523" i="2"/>
  <c r="M1522" i="2"/>
  <c r="H1522" i="2"/>
  <c r="H1521" i="2"/>
  <c r="M1520" i="2"/>
  <c r="H1520" i="2"/>
  <c r="M1519" i="2"/>
  <c r="H1519" i="2"/>
  <c r="M1518" i="2"/>
  <c r="H1518" i="2"/>
  <c r="M1517" i="2"/>
  <c r="H1517" i="2"/>
  <c r="M1516" i="2"/>
  <c r="H1516" i="2"/>
  <c r="M1515" i="2"/>
  <c r="H1515" i="2"/>
  <c r="M1514" i="2"/>
  <c r="H1514" i="2"/>
  <c r="M1513" i="2"/>
  <c r="H1513" i="2"/>
  <c r="M1512" i="2"/>
  <c r="H1512" i="2"/>
  <c r="M1511" i="2"/>
  <c r="H1511" i="2"/>
  <c r="M1510" i="2"/>
  <c r="H1510" i="2"/>
  <c r="M1509" i="2"/>
  <c r="H1509" i="2"/>
  <c r="M1508" i="2"/>
  <c r="H1508" i="2"/>
  <c r="M1507" i="2"/>
  <c r="H1507" i="2"/>
  <c r="M1506" i="2"/>
  <c r="H1506" i="2"/>
  <c r="M1505" i="2"/>
  <c r="H1505" i="2"/>
  <c r="M1504" i="2"/>
  <c r="H1504" i="2"/>
  <c r="M1503" i="2"/>
  <c r="H1503" i="2"/>
  <c r="M1502" i="2"/>
  <c r="H1502" i="2"/>
  <c r="M1501" i="2"/>
  <c r="H1501" i="2"/>
  <c r="M1500" i="2"/>
  <c r="H1500" i="2"/>
  <c r="M1499" i="2"/>
  <c r="M1498" i="2"/>
  <c r="H1498" i="2"/>
  <c r="M1497" i="2"/>
  <c r="H1497" i="2"/>
  <c r="M1496" i="2"/>
  <c r="H1496" i="2"/>
  <c r="M1495" i="2"/>
  <c r="H1495" i="2"/>
  <c r="M1494" i="2"/>
  <c r="H1494" i="2"/>
  <c r="M1493" i="2"/>
  <c r="H1493" i="2"/>
  <c r="M1492" i="2"/>
  <c r="H1492" i="2"/>
  <c r="M1491" i="2"/>
  <c r="H1491" i="2"/>
  <c r="M1490" i="2"/>
  <c r="H1490" i="2"/>
  <c r="M1489" i="2"/>
  <c r="H1489" i="2"/>
  <c r="M1488" i="2"/>
  <c r="H1488" i="2"/>
  <c r="M1487" i="2"/>
  <c r="H1487" i="2"/>
  <c r="M1486" i="2"/>
  <c r="H1486" i="2"/>
  <c r="M1485" i="2"/>
  <c r="H1485" i="2"/>
  <c r="M1484" i="2"/>
  <c r="H1484" i="2"/>
  <c r="M1483" i="2"/>
  <c r="H1483" i="2"/>
  <c r="M1482" i="2"/>
  <c r="H1482" i="2"/>
  <c r="M1481" i="2"/>
  <c r="H1481" i="2"/>
  <c r="M1480" i="2"/>
  <c r="H1480" i="2"/>
  <c r="M1479" i="2"/>
  <c r="H1479" i="2"/>
  <c r="M1478" i="2"/>
  <c r="H1478" i="2"/>
  <c r="M1477" i="2"/>
  <c r="H1477" i="2"/>
  <c r="M1476" i="2"/>
  <c r="H1476" i="2"/>
  <c r="M1475" i="2"/>
  <c r="H1475" i="2"/>
  <c r="M1474" i="2"/>
  <c r="H1474" i="2"/>
  <c r="M1473" i="2"/>
  <c r="H1473" i="2"/>
  <c r="M1472" i="2"/>
  <c r="H1472" i="2"/>
  <c r="M1471" i="2"/>
  <c r="H1471" i="2"/>
  <c r="M1470" i="2"/>
  <c r="H1470" i="2"/>
  <c r="M1469" i="2"/>
  <c r="H1469" i="2"/>
  <c r="M1468" i="2"/>
  <c r="H1468" i="2"/>
  <c r="M1467" i="2"/>
  <c r="H1467" i="2"/>
  <c r="M1466" i="2"/>
  <c r="H1466" i="2"/>
  <c r="M1465" i="2"/>
  <c r="H1465" i="2"/>
  <c r="M1464" i="2"/>
  <c r="H1464" i="2"/>
  <c r="M1463" i="2"/>
  <c r="H1463" i="2"/>
  <c r="M1462" i="2"/>
  <c r="H1462" i="2"/>
  <c r="M1461" i="2"/>
  <c r="H1461" i="2"/>
  <c r="M1460" i="2"/>
  <c r="H1460" i="2"/>
  <c r="M1459" i="2"/>
  <c r="H1459" i="2"/>
  <c r="M1458" i="2"/>
  <c r="H1458" i="2"/>
  <c r="M1457" i="2"/>
  <c r="H1457" i="2"/>
  <c r="M1456" i="2"/>
  <c r="H1456" i="2"/>
  <c r="M1455" i="2"/>
  <c r="H1455" i="2"/>
  <c r="M1454" i="2"/>
  <c r="H1454" i="2"/>
  <c r="M1453" i="2"/>
  <c r="H1453" i="2"/>
  <c r="M1452" i="2"/>
  <c r="H1452" i="2"/>
  <c r="M1451" i="2"/>
  <c r="H1451" i="2"/>
  <c r="M1450" i="2"/>
  <c r="H1449" i="2"/>
  <c r="M1448" i="2"/>
  <c r="H1448" i="2"/>
  <c r="M1447" i="2"/>
  <c r="H1447" i="2"/>
  <c r="M1446" i="2"/>
  <c r="H1446" i="2"/>
  <c r="M1445" i="2"/>
  <c r="H1445" i="2"/>
  <c r="M1444" i="2"/>
  <c r="H1444" i="2"/>
  <c r="M1443" i="2"/>
  <c r="H1443" i="2"/>
  <c r="M1442" i="2"/>
  <c r="H1442" i="2"/>
  <c r="M1441" i="2"/>
  <c r="H1441" i="2"/>
  <c r="M1440" i="2"/>
  <c r="H1440" i="2"/>
  <c r="M1439" i="2"/>
  <c r="H1439" i="2"/>
  <c r="M1438" i="2"/>
  <c r="H1438" i="2"/>
  <c r="M1437" i="2"/>
  <c r="H1437" i="2"/>
  <c r="M1436" i="2"/>
  <c r="H1436" i="2"/>
  <c r="M1435" i="2"/>
  <c r="H1435" i="2"/>
  <c r="M1434" i="2"/>
  <c r="H1434" i="2"/>
  <c r="M1433" i="2"/>
  <c r="H1433" i="2"/>
  <c r="M1432" i="2"/>
  <c r="H1432" i="2"/>
  <c r="M1431" i="2"/>
  <c r="H1431" i="2"/>
  <c r="H1430" i="2"/>
  <c r="M1429" i="2"/>
  <c r="H1429" i="2"/>
  <c r="M1428" i="2"/>
  <c r="H1428" i="2"/>
  <c r="M1427" i="2"/>
  <c r="H1427" i="2"/>
  <c r="M1426" i="2"/>
  <c r="H1426" i="2"/>
  <c r="M1425" i="2"/>
  <c r="H1425" i="2"/>
  <c r="M1424" i="2"/>
  <c r="H1424" i="2"/>
  <c r="H1423" i="2"/>
  <c r="M1422" i="2"/>
  <c r="H1422" i="2"/>
  <c r="H1421" i="2"/>
  <c r="M1420" i="2"/>
  <c r="H1420" i="2"/>
  <c r="M1419" i="2"/>
  <c r="H1419" i="2"/>
  <c r="M1418" i="2"/>
  <c r="H1418" i="2"/>
  <c r="M1417" i="2"/>
  <c r="H1417" i="2"/>
  <c r="M1416" i="2"/>
  <c r="H1416" i="2"/>
  <c r="M1415" i="2"/>
  <c r="H1415" i="2"/>
  <c r="M1414" i="2"/>
  <c r="H1414" i="2"/>
  <c r="M1413" i="2"/>
  <c r="H1413" i="2"/>
  <c r="M1412" i="2"/>
  <c r="H1412" i="2"/>
  <c r="M1411" i="2"/>
  <c r="H1411" i="2"/>
  <c r="M1410" i="2"/>
  <c r="H1410" i="2"/>
  <c r="M1409" i="2"/>
  <c r="H1409" i="2"/>
  <c r="M1408" i="2"/>
  <c r="H1408" i="2"/>
  <c r="M1407" i="2"/>
  <c r="H1407" i="2"/>
  <c r="M1406" i="2"/>
  <c r="H1406" i="2"/>
  <c r="M1405" i="2"/>
  <c r="H1405" i="2"/>
  <c r="M1404" i="2"/>
  <c r="H1404" i="2"/>
  <c r="M1403" i="2"/>
  <c r="H1403" i="2"/>
  <c r="M1402" i="2"/>
  <c r="H1402" i="2"/>
  <c r="M1401" i="2"/>
  <c r="H1401" i="2"/>
  <c r="M1400" i="2"/>
  <c r="H1400" i="2"/>
  <c r="M1399" i="2"/>
  <c r="H1399" i="2"/>
  <c r="M1398" i="2"/>
  <c r="H1398" i="2"/>
  <c r="H1397" i="2"/>
  <c r="M1396" i="2"/>
  <c r="H1396" i="2"/>
  <c r="M1395" i="2"/>
  <c r="H1395" i="2"/>
  <c r="M1394" i="2"/>
  <c r="H1394" i="2"/>
  <c r="M1393" i="2"/>
  <c r="H1393" i="2"/>
  <c r="M1392" i="2"/>
  <c r="H1392" i="2"/>
  <c r="M1391" i="2"/>
  <c r="H1391" i="2"/>
  <c r="M1390" i="2"/>
  <c r="H1390" i="2"/>
  <c r="M1389" i="2"/>
  <c r="H1389" i="2"/>
  <c r="M1388" i="2"/>
  <c r="H1388" i="2"/>
  <c r="M1387" i="2"/>
  <c r="H1387" i="2"/>
  <c r="M1386" i="2"/>
  <c r="H1386" i="2"/>
  <c r="M1385" i="2"/>
  <c r="H1385" i="2"/>
  <c r="M1384" i="2"/>
  <c r="H1384" i="2"/>
  <c r="M1383" i="2"/>
  <c r="H1383" i="2"/>
  <c r="M1382" i="2"/>
  <c r="H1382" i="2"/>
  <c r="M1381" i="2"/>
  <c r="H1381" i="2"/>
  <c r="M1380" i="2"/>
  <c r="H1380" i="2"/>
  <c r="M1379" i="2"/>
  <c r="H1379" i="2"/>
  <c r="M1378" i="2"/>
  <c r="H1378" i="2"/>
  <c r="M1377" i="2"/>
  <c r="H1377" i="2"/>
  <c r="M1376" i="2"/>
  <c r="H1376" i="2"/>
  <c r="M1375" i="2"/>
  <c r="H1375" i="2"/>
  <c r="M1374" i="2"/>
  <c r="H1374" i="2"/>
  <c r="M1373" i="2"/>
  <c r="H1373" i="2"/>
  <c r="M1372" i="2"/>
  <c r="H1372" i="2"/>
  <c r="M1371" i="2"/>
  <c r="H1371" i="2"/>
  <c r="M1370" i="2"/>
  <c r="H1370" i="2"/>
  <c r="M1369" i="2"/>
  <c r="H1369" i="2"/>
  <c r="M1368" i="2"/>
  <c r="H1368" i="2"/>
  <c r="M1367" i="2"/>
  <c r="H1367" i="2"/>
  <c r="M1366" i="2"/>
  <c r="H1366" i="2"/>
  <c r="M1365" i="2"/>
  <c r="H1365" i="2"/>
  <c r="M1364" i="2"/>
  <c r="H1364" i="2"/>
  <c r="M1363" i="2"/>
  <c r="H1363" i="2"/>
  <c r="M1362" i="2"/>
  <c r="H1362" i="2"/>
  <c r="M1361" i="2"/>
  <c r="H1361" i="2"/>
  <c r="M1360" i="2"/>
  <c r="H1360" i="2"/>
  <c r="M1359" i="2"/>
  <c r="H1359" i="2"/>
  <c r="M1358" i="2"/>
  <c r="H1358" i="2"/>
  <c r="M1357" i="2"/>
  <c r="H1357" i="2"/>
  <c r="M1356" i="2"/>
  <c r="H1356" i="2"/>
  <c r="M1355" i="2"/>
  <c r="H1355" i="2"/>
  <c r="M1354" i="2"/>
  <c r="H1354" i="2"/>
  <c r="M1353" i="2"/>
  <c r="H1353" i="2"/>
  <c r="M1352" i="2"/>
  <c r="H1352" i="2"/>
  <c r="M1351" i="2"/>
  <c r="H1351" i="2"/>
  <c r="M1350" i="2"/>
  <c r="H1350" i="2"/>
  <c r="M1349" i="2"/>
  <c r="H1349" i="2"/>
  <c r="M1348" i="2"/>
  <c r="H1348" i="2"/>
  <c r="M1347" i="2"/>
  <c r="H1347" i="2"/>
  <c r="M1346" i="2"/>
  <c r="H1346" i="2"/>
  <c r="M1345" i="2"/>
  <c r="H1345" i="2"/>
  <c r="M1344" i="2"/>
  <c r="H1344" i="2"/>
  <c r="M1343" i="2"/>
  <c r="H1343" i="2"/>
  <c r="M1342" i="2"/>
  <c r="H1342" i="2"/>
  <c r="M1341" i="2"/>
  <c r="H1341" i="2"/>
  <c r="M1340" i="2"/>
  <c r="H1340" i="2"/>
  <c r="M1339" i="2"/>
  <c r="H1339" i="2"/>
  <c r="M1338" i="2"/>
  <c r="H1338" i="2"/>
  <c r="M1337" i="2"/>
  <c r="H1337" i="2"/>
  <c r="M1336" i="2"/>
  <c r="H1336" i="2"/>
  <c r="M1335" i="2"/>
  <c r="H1335" i="2"/>
  <c r="M1334" i="2"/>
  <c r="H1334" i="2"/>
  <c r="M1333" i="2"/>
  <c r="H1333" i="2"/>
  <c r="M1332" i="2"/>
  <c r="H1332" i="2"/>
  <c r="M1331" i="2"/>
  <c r="H1331" i="2"/>
  <c r="M1330" i="2"/>
  <c r="H1330" i="2"/>
  <c r="M1329" i="2"/>
  <c r="H1329" i="2"/>
  <c r="M1328" i="2"/>
  <c r="H1328" i="2"/>
  <c r="M1327" i="2"/>
  <c r="H1327" i="2"/>
  <c r="M1326" i="2"/>
  <c r="H1326" i="2"/>
  <c r="H1325" i="2"/>
  <c r="H1324" i="2"/>
  <c r="H1323" i="2"/>
  <c r="M1322" i="2"/>
  <c r="H1322" i="2"/>
  <c r="H1321" i="2"/>
  <c r="M1320" i="2"/>
  <c r="H1320" i="2"/>
  <c r="M1319" i="2"/>
  <c r="H1319" i="2"/>
  <c r="M1318" i="2"/>
  <c r="H1318" i="2"/>
  <c r="M1317" i="2"/>
  <c r="H1317" i="2"/>
  <c r="M1316" i="2"/>
  <c r="H1316" i="2"/>
  <c r="M1315" i="2"/>
  <c r="H1315" i="2"/>
  <c r="M1314" i="2"/>
  <c r="H1314" i="2"/>
  <c r="M1313" i="2"/>
  <c r="H1313" i="2"/>
  <c r="M1312" i="2"/>
  <c r="H1312" i="2"/>
  <c r="M1311" i="2"/>
  <c r="H1311" i="2"/>
  <c r="M1310" i="2"/>
  <c r="H1310" i="2"/>
  <c r="M1309" i="2"/>
  <c r="H1309" i="2"/>
  <c r="M1308" i="2"/>
  <c r="H1308" i="2"/>
  <c r="M1307" i="2"/>
  <c r="H1307" i="2"/>
  <c r="M1306" i="2"/>
  <c r="H1306" i="2"/>
  <c r="M1305" i="2"/>
  <c r="H1305" i="2"/>
  <c r="M1304" i="2"/>
  <c r="H1304" i="2"/>
  <c r="M1303" i="2"/>
  <c r="H1303" i="2"/>
  <c r="M1302" i="2"/>
  <c r="H1302" i="2"/>
  <c r="M1301" i="2"/>
  <c r="H1301" i="2"/>
  <c r="M1300" i="2"/>
  <c r="H1300" i="2"/>
  <c r="M1299" i="2"/>
  <c r="H1299" i="2"/>
  <c r="M1298" i="2"/>
  <c r="H1298" i="2"/>
  <c r="M1297" i="2"/>
  <c r="H1297" i="2"/>
  <c r="M1296" i="2"/>
  <c r="H1296" i="2"/>
  <c r="M1295" i="2"/>
  <c r="H1295" i="2"/>
  <c r="M1294" i="2"/>
  <c r="H1294" i="2"/>
  <c r="M1293" i="2"/>
  <c r="H1293" i="2"/>
  <c r="H1292" i="2"/>
  <c r="M1291" i="2"/>
  <c r="H1291" i="2"/>
  <c r="M1290" i="2"/>
  <c r="H1290" i="2"/>
  <c r="M1289" i="2"/>
  <c r="H1289" i="2"/>
  <c r="H1288" i="2"/>
  <c r="M1287" i="2"/>
  <c r="H1287" i="2"/>
  <c r="M1286" i="2"/>
  <c r="H1286" i="2"/>
  <c r="M1285" i="2"/>
  <c r="H1285" i="2"/>
  <c r="M1284" i="2"/>
  <c r="H1284" i="2"/>
  <c r="M1283" i="2"/>
  <c r="H1283" i="2"/>
  <c r="M1282" i="2"/>
  <c r="H1282" i="2"/>
  <c r="H1281" i="2"/>
  <c r="M1280" i="2"/>
  <c r="H1280" i="2"/>
  <c r="M1279" i="2"/>
  <c r="H1279" i="2"/>
  <c r="M1278" i="2"/>
  <c r="H1278" i="2"/>
  <c r="H1277" i="2"/>
  <c r="H1276" i="2"/>
  <c r="M1275" i="2"/>
  <c r="H1275" i="2"/>
  <c r="M1274" i="2"/>
  <c r="H1274" i="2"/>
  <c r="M1273" i="2"/>
  <c r="H1273" i="2"/>
  <c r="H1272" i="2"/>
  <c r="H1271" i="2"/>
  <c r="M1270" i="2"/>
  <c r="H1270" i="2"/>
  <c r="M1269" i="2"/>
  <c r="H1269" i="2"/>
  <c r="M1268" i="2"/>
  <c r="H1268" i="2"/>
  <c r="M1267" i="2"/>
  <c r="H1267" i="2"/>
  <c r="M1266" i="2"/>
  <c r="H1266" i="2"/>
  <c r="M1265" i="2"/>
  <c r="H1265" i="2"/>
  <c r="M1264" i="2"/>
  <c r="H1264" i="2"/>
  <c r="M1263" i="2"/>
  <c r="H1263" i="2"/>
  <c r="M1262" i="2"/>
  <c r="H1262" i="2"/>
  <c r="M1261" i="2"/>
  <c r="H1261" i="2"/>
  <c r="M1260" i="2"/>
  <c r="H1260" i="2"/>
  <c r="M1259" i="2"/>
  <c r="H1259" i="2"/>
  <c r="M1258" i="2"/>
  <c r="H1258" i="2"/>
  <c r="M1257" i="2"/>
  <c r="H1257" i="2"/>
  <c r="H1256" i="2"/>
  <c r="M1255" i="2"/>
  <c r="H1255" i="2"/>
  <c r="M1254" i="2"/>
  <c r="H1254" i="2"/>
  <c r="M1253" i="2"/>
  <c r="H1253" i="2"/>
  <c r="M1252" i="2"/>
  <c r="H1252" i="2"/>
  <c r="M1251" i="2"/>
  <c r="H1251" i="2"/>
  <c r="M1250" i="2"/>
  <c r="H1250" i="2"/>
  <c r="H1249" i="2"/>
  <c r="M1248" i="2"/>
  <c r="H1248" i="2"/>
  <c r="M1247" i="2"/>
  <c r="H1247" i="2"/>
  <c r="M1246" i="2"/>
  <c r="H1246" i="2"/>
  <c r="M1245" i="2"/>
  <c r="H1245" i="2"/>
  <c r="M1244" i="2"/>
  <c r="H1244" i="2"/>
  <c r="M1243" i="2"/>
  <c r="H1243" i="2"/>
  <c r="M1242" i="2"/>
  <c r="H1242" i="2"/>
  <c r="M1241" i="2"/>
  <c r="H1241" i="2"/>
  <c r="M1240" i="2"/>
  <c r="H1240" i="2"/>
  <c r="M1239" i="2"/>
  <c r="H1239" i="2"/>
  <c r="M1238" i="2"/>
  <c r="H1238" i="2"/>
  <c r="M1237" i="2"/>
  <c r="H1237" i="2"/>
  <c r="M1236" i="2"/>
  <c r="H1236" i="2"/>
  <c r="M1235" i="2"/>
  <c r="H1235" i="2"/>
  <c r="M1234" i="2"/>
  <c r="H1234" i="2"/>
  <c r="M1233" i="2"/>
  <c r="H1233" i="2"/>
  <c r="M1232" i="2"/>
  <c r="H1232" i="2"/>
  <c r="M1231" i="2"/>
  <c r="H1231" i="2"/>
  <c r="M1230" i="2"/>
  <c r="H1230" i="2"/>
  <c r="M1229" i="2"/>
  <c r="H1229" i="2"/>
  <c r="M1228" i="2"/>
  <c r="H1228" i="2"/>
  <c r="M1227" i="2"/>
  <c r="H1227" i="2"/>
  <c r="M1226" i="2"/>
  <c r="H1226" i="2"/>
  <c r="M1225" i="2"/>
  <c r="H1225" i="2"/>
  <c r="M1224" i="2"/>
  <c r="H1224" i="2"/>
  <c r="M1223" i="2"/>
  <c r="H1223" i="2"/>
  <c r="M1222" i="2"/>
  <c r="H1222" i="2"/>
  <c r="M1221" i="2"/>
  <c r="H1221" i="2"/>
  <c r="M1220" i="2"/>
  <c r="H1220" i="2"/>
  <c r="M1219" i="2"/>
  <c r="H1219" i="2"/>
  <c r="M1218" i="2"/>
  <c r="H1218" i="2"/>
  <c r="M1217" i="2"/>
  <c r="H1217" i="2"/>
  <c r="M1216" i="2"/>
  <c r="H1216" i="2"/>
  <c r="M1215" i="2"/>
  <c r="H1215" i="2"/>
  <c r="M1214" i="2"/>
  <c r="H1214" i="2"/>
  <c r="M1213" i="2"/>
  <c r="H1213" i="2"/>
  <c r="M1212" i="2"/>
  <c r="H1212" i="2"/>
  <c r="M1211" i="2"/>
  <c r="H1211" i="2"/>
  <c r="M1210" i="2"/>
  <c r="H1210" i="2"/>
  <c r="M1209" i="2"/>
  <c r="H1209" i="2"/>
  <c r="M1208" i="2"/>
  <c r="H1208" i="2"/>
  <c r="M1207" i="2"/>
  <c r="H1207" i="2"/>
  <c r="M1206" i="2"/>
  <c r="H1206" i="2"/>
  <c r="M1205" i="2"/>
  <c r="H1205" i="2"/>
  <c r="M1204" i="2"/>
  <c r="H1204" i="2"/>
  <c r="M1203" i="2"/>
  <c r="H1203" i="2"/>
  <c r="M1202" i="2"/>
  <c r="H1202" i="2"/>
  <c r="M1201" i="2"/>
  <c r="H1201" i="2"/>
  <c r="M1200" i="2"/>
  <c r="H1200" i="2"/>
  <c r="M1199" i="2"/>
  <c r="H1199" i="2"/>
  <c r="M1198" i="2"/>
  <c r="H1198" i="2"/>
  <c r="M1197" i="2"/>
  <c r="H1197" i="2"/>
  <c r="M1196" i="2"/>
  <c r="H1196" i="2"/>
  <c r="M1195" i="2"/>
  <c r="H1195" i="2"/>
  <c r="H1194" i="2"/>
  <c r="M1193" i="2"/>
  <c r="H1193" i="2"/>
  <c r="M1192" i="2"/>
  <c r="H1192" i="2"/>
  <c r="M1191" i="2"/>
  <c r="H1191" i="2"/>
  <c r="M1190" i="2"/>
  <c r="H1190" i="2"/>
  <c r="M1189" i="2"/>
  <c r="H1189" i="2"/>
  <c r="M1188" i="2"/>
  <c r="H1188" i="2"/>
  <c r="M1187" i="2"/>
  <c r="H1187" i="2"/>
  <c r="M1186" i="2"/>
  <c r="H1186" i="2"/>
  <c r="M1185" i="2"/>
  <c r="H1185" i="2"/>
  <c r="M1184" i="2"/>
  <c r="H1184" i="2"/>
  <c r="M1183" i="2"/>
  <c r="H1183" i="2"/>
  <c r="M1182" i="2"/>
  <c r="H1182" i="2"/>
  <c r="M1181" i="2"/>
  <c r="H1181" i="2"/>
  <c r="M1180" i="2"/>
  <c r="H1180" i="2"/>
  <c r="M1179" i="2"/>
  <c r="H1179" i="2"/>
  <c r="M1178" i="2"/>
  <c r="H1178" i="2"/>
  <c r="M1177" i="2"/>
  <c r="H1177" i="2"/>
  <c r="M1176" i="2"/>
  <c r="H1176" i="2"/>
  <c r="M1175" i="2"/>
  <c r="H1175" i="2"/>
  <c r="M1174" i="2"/>
  <c r="H1174" i="2"/>
  <c r="M1173" i="2"/>
  <c r="H1173" i="2"/>
  <c r="M1172" i="2"/>
  <c r="H1172" i="2"/>
  <c r="M1171" i="2"/>
  <c r="H1171" i="2"/>
  <c r="M1170" i="2"/>
  <c r="H1170" i="2"/>
  <c r="H1169" i="2"/>
  <c r="M1168" i="2"/>
  <c r="H1168" i="2"/>
  <c r="M1167" i="2"/>
  <c r="H1167" i="2"/>
  <c r="M1166" i="2"/>
  <c r="H1166" i="2"/>
  <c r="M1165" i="2"/>
  <c r="H1165" i="2"/>
  <c r="M1164" i="2"/>
  <c r="H1164" i="2"/>
  <c r="M1163" i="2"/>
  <c r="H1163" i="2"/>
  <c r="M1162" i="2"/>
  <c r="H1162" i="2"/>
  <c r="M1161" i="2"/>
  <c r="H1161" i="2"/>
  <c r="M1160" i="2"/>
  <c r="H1160" i="2"/>
  <c r="M1159" i="2"/>
  <c r="H1159" i="2"/>
  <c r="M1158" i="2"/>
  <c r="H1158" i="2"/>
  <c r="M1157" i="2"/>
  <c r="H1157" i="2"/>
  <c r="M1156" i="2"/>
  <c r="H1156" i="2"/>
  <c r="M1155" i="2"/>
  <c r="H1155" i="2"/>
  <c r="M1154" i="2"/>
  <c r="H1154" i="2"/>
  <c r="M1153" i="2"/>
  <c r="H1153" i="2"/>
  <c r="M1152" i="2"/>
  <c r="H1152" i="2"/>
  <c r="M1151" i="2"/>
  <c r="H1151" i="2"/>
  <c r="M1150" i="2"/>
  <c r="H1150" i="2"/>
  <c r="M1149" i="2"/>
  <c r="H1149" i="2"/>
  <c r="M1148" i="2"/>
  <c r="H1148" i="2"/>
  <c r="M1147" i="2"/>
  <c r="H1147" i="2"/>
  <c r="M1146" i="2"/>
  <c r="H1146" i="2"/>
  <c r="M1145" i="2"/>
  <c r="H1145" i="2"/>
  <c r="M1144" i="2"/>
  <c r="H1144" i="2"/>
  <c r="M1143" i="2"/>
  <c r="H1143" i="2"/>
  <c r="M1142" i="2"/>
  <c r="H1142" i="2"/>
  <c r="M1141" i="2"/>
  <c r="H1141" i="2"/>
  <c r="M1140" i="2"/>
  <c r="H1140" i="2"/>
  <c r="M1139" i="2"/>
  <c r="H1139" i="2"/>
  <c r="M1138" i="2"/>
  <c r="H1138" i="2"/>
  <c r="M1137" i="2"/>
  <c r="H1137" i="2"/>
  <c r="M1136" i="2"/>
  <c r="H1136" i="2"/>
  <c r="M1135" i="2"/>
  <c r="H1135" i="2"/>
  <c r="M1134" i="2"/>
  <c r="H1134" i="2"/>
  <c r="M1133" i="2"/>
  <c r="H1133" i="2"/>
  <c r="M1132" i="2"/>
  <c r="H1132" i="2"/>
  <c r="M1131" i="2"/>
  <c r="H1131" i="2"/>
  <c r="H1130" i="2"/>
  <c r="M1129" i="2"/>
  <c r="H1129" i="2"/>
  <c r="M1128" i="2"/>
  <c r="H1128" i="2"/>
  <c r="M1127" i="2"/>
  <c r="H1127" i="2"/>
  <c r="H1126" i="2"/>
  <c r="M1125" i="2"/>
  <c r="H1125" i="2"/>
  <c r="H1124" i="2"/>
  <c r="M1123" i="2"/>
  <c r="H1123" i="2"/>
  <c r="M1122" i="2"/>
  <c r="H1122" i="2"/>
  <c r="M1121" i="2"/>
  <c r="H1121" i="2"/>
  <c r="M1120" i="2"/>
  <c r="H1120" i="2"/>
  <c r="M1119" i="2"/>
  <c r="H1119" i="2"/>
  <c r="M1118" i="2"/>
  <c r="H1118" i="2"/>
  <c r="M1117" i="2"/>
  <c r="H1117" i="2"/>
  <c r="M1116" i="2"/>
  <c r="H1116" i="2"/>
  <c r="M1115" i="2"/>
  <c r="H1115" i="2"/>
  <c r="M1114" i="2"/>
  <c r="H1114" i="2"/>
  <c r="M1113" i="2"/>
  <c r="H1113" i="2"/>
  <c r="M1112" i="2"/>
  <c r="H1112" i="2"/>
  <c r="M1111" i="2"/>
  <c r="H1111" i="2"/>
  <c r="M1110" i="2"/>
  <c r="H1110" i="2"/>
  <c r="M1109" i="2"/>
  <c r="H1109" i="2"/>
  <c r="M1108" i="2"/>
  <c r="H1108" i="2"/>
  <c r="H1107" i="2"/>
  <c r="M1106" i="2"/>
  <c r="H1106" i="2"/>
  <c r="M1105" i="2"/>
  <c r="H1105" i="2"/>
  <c r="M1104" i="2"/>
  <c r="H1104" i="2"/>
  <c r="M1103" i="2"/>
  <c r="H1103" i="2"/>
  <c r="H1102" i="2"/>
  <c r="M1101" i="2"/>
  <c r="H1101" i="2"/>
  <c r="M1100" i="2"/>
  <c r="H1100" i="2"/>
  <c r="M1099" i="2"/>
  <c r="H1099" i="2"/>
  <c r="M1098" i="2"/>
  <c r="H1098" i="2"/>
  <c r="M1097" i="2"/>
  <c r="H1097" i="2"/>
  <c r="M1096" i="2"/>
  <c r="H1096" i="2"/>
  <c r="M1095" i="2"/>
  <c r="H1095" i="2"/>
  <c r="M1094" i="2"/>
  <c r="H1094" i="2"/>
  <c r="M1093" i="2"/>
  <c r="H1093" i="2"/>
  <c r="M1092" i="2"/>
  <c r="H1092" i="2"/>
  <c r="M1091" i="2"/>
  <c r="H1091" i="2"/>
  <c r="H1090" i="2"/>
  <c r="M1089" i="2"/>
  <c r="H1089" i="2"/>
  <c r="H1088" i="2"/>
  <c r="M1087" i="2"/>
  <c r="H1087" i="2"/>
  <c r="H1086" i="2"/>
  <c r="M1085" i="2"/>
  <c r="H1085" i="2"/>
  <c r="M1084" i="2"/>
  <c r="H1084" i="2"/>
  <c r="H1083" i="2"/>
  <c r="M1082" i="2"/>
  <c r="H1082" i="2"/>
  <c r="M1081" i="2"/>
  <c r="H1081" i="2"/>
  <c r="H1080" i="2"/>
  <c r="M1079" i="2"/>
  <c r="H1079" i="2"/>
  <c r="H1078" i="2"/>
  <c r="H1077" i="2"/>
  <c r="M1076" i="2"/>
  <c r="H1076" i="2"/>
  <c r="H1075" i="2"/>
  <c r="M1074" i="2"/>
  <c r="H1074" i="2"/>
  <c r="H1073" i="2"/>
  <c r="M1072" i="2"/>
  <c r="H1072" i="2"/>
  <c r="M1071" i="2"/>
  <c r="H1071" i="2"/>
  <c r="H1070" i="2"/>
  <c r="M1069" i="2"/>
  <c r="H1069" i="2"/>
  <c r="H1068" i="2"/>
  <c r="H1067" i="2"/>
  <c r="M1066" i="2"/>
  <c r="H1066" i="2"/>
  <c r="H1065" i="2"/>
  <c r="H1064" i="2"/>
  <c r="H1063" i="2"/>
  <c r="M1062" i="2"/>
  <c r="H1062" i="2"/>
  <c r="M1061" i="2"/>
  <c r="H1061" i="2"/>
  <c r="M1060" i="2"/>
  <c r="H1060" i="2"/>
  <c r="M1059" i="2"/>
  <c r="H1059" i="2"/>
  <c r="H1058" i="2"/>
  <c r="M1057" i="2"/>
  <c r="M1056" i="2"/>
  <c r="H1056" i="2"/>
  <c r="H1055" i="2"/>
  <c r="M1054" i="2"/>
  <c r="H1054" i="2"/>
  <c r="M1053" i="2"/>
  <c r="H1053" i="2"/>
  <c r="M1052" i="2"/>
  <c r="H1052" i="2"/>
  <c r="M1051" i="2"/>
  <c r="H1051" i="2"/>
  <c r="M1050" i="2"/>
  <c r="H1050" i="2"/>
  <c r="H1049" i="2"/>
  <c r="M1048" i="2"/>
  <c r="H1048" i="2"/>
  <c r="M1047" i="2"/>
  <c r="H1047" i="2"/>
  <c r="M1046" i="2"/>
  <c r="H1046" i="2"/>
  <c r="H1045" i="2"/>
  <c r="M1044" i="2"/>
  <c r="H1044" i="2"/>
  <c r="M1043" i="2"/>
  <c r="H1043" i="2"/>
  <c r="M1042" i="2"/>
  <c r="H1042" i="2"/>
  <c r="M1041" i="2"/>
  <c r="H1041" i="2"/>
  <c r="M1040" i="2"/>
  <c r="H1040" i="2"/>
  <c r="M1039" i="2"/>
  <c r="H1039" i="2"/>
  <c r="M1038" i="2"/>
  <c r="H1038" i="2"/>
  <c r="H1037" i="2"/>
  <c r="M1036" i="2"/>
  <c r="H1036" i="2"/>
  <c r="H1035" i="2"/>
  <c r="M1034" i="2"/>
  <c r="H1034" i="2"/>
  <c r="M1033" i="2"/>
  <c r="H1033" i="2"/>
  <c r="H1032" i="2"/>
  <c r="H1031" i="2"/>
  <c r="M1030" i="2"/>
  <c r="H1030" i="2"/>
  <c r="M1029" i="2"/>
  <c r="H1029" i="2"/>
  <c r="M1028" i="2"/>
  <c r="H1028" i="2"/>
  <c r="M1027" i="2"/>
  <c r="H1027" i="2"/>
  <c r="M1026" i="2"/>
  <c r="H1026" i="2"/>
  <c r="M1025" i="2"/>
  <c r="H1025" i="2"/>
  <c r="M1024" i="2"/>
  <c r="H1024" i="2"/>
  <c r="M1023" i="2"/>
  <c r="H1023" i="2"/>
  <c r="H1022" i="2"/>
  <c r="M1021" i="2"/>
  <c r="H1021" i="2"/>
  <c r="M1020" i="2"/>
  <c r="H1020" i="2"/>
  <c r="M1019" i="2"/>
  <c r="H1019" i="2"/>
  <c r="M1018" i="2"/>
  <c r="H1018" i="2"/>
  <c r="M1017" i="2"/>
  <c r="H1017" i="2"/>
  <c r="H1016" i="2"/>
  <c r="H1015" i="2"/>
  <c r="M1014" i="2"/>
  <c r="H1014" i="2"/>
  <c r="M1013" i="2"/>
  <c r="H1013" i="2"/>
  <c r="M1012" i="2"/>
  <c r="H1012" i="2"/>
  <c r="M1011" i="2"/>
  <c r="H1011" i="2"/>
  <c r="H1010" i="2"/>
  <c r="M1009" i="2"/>
  <c r="H1009" i="2"/>
  <c r="M1008" i="2"/>
  <c r="H1008" i="2"/>
  <c r="M1007" i="2"/>
  <c r="H1007" i="2"/>
  <c r="M1006" i="2"/>
  <c r="H1006" i="2"/>
  <c r="M1005" i="2"/>
  <c r="H1005" i="2"/>
  <c r="H1004" i="2"/>
  <c r="H1003" i="2"/>
  <c r="M1002" i="2"/>
  <c r="H1002" i="2"/>
  <c r="M1001" i="2"/>
  <c r="H1001" i="2"/>
  <c r="H1000" i="2"/>
  <c r="M999" i="2"/>
  <c r="H999" i="2"/>
  <c r="M998" i="2"/>
  <c r="H998" i="2"/>
  <c r="M997" i="2"/>
  <c r="H997" i="2"/>
  <c r="H996" i="2"/>
  <c r="M995" i="2"/>
  <c r="H995" i="2"/>
  <c r="M994" i="2"/>
  <c r="H994" i="2"/>
  <c r="M993" i="2"/>
  <c r="H993" i="2"/>
  <c r="H992" i="2"/>
  <c r="M991" i="2"/>
  <c r="H991" i="2"/>
  <c r="M990" i="2"/>
  <c r="H990" i="2"/>
  <c r="M989" i="2"/>
  <c r="M988" i="2"/>
  <c r="H988" i="2"/>
  <c r="M987" i="2"/>
  <c r="M986" i="2"/>
  <c r="H986" i="2"/>
  <c r="M985" i="2"/>
  <c r="M984" i="2"/>
  <c r="M983" i="2"/>
  <c r="H982" i="2"/>
  <c r="M981" i="2"/>
  <c r="M980" i="2"/>
  <c r="M979" i="2"/>
  <c r="H979" i="2"/>
  <c r="M978" i="2"/>
  <c r="H978" i="2"/>
  <c r="M977" i="2"/>
  <c r="M976" i="2"/>
  <c r="M975" i="2"/>
  <c r="H975" i="2"/>
  <c r="M974" i="2"/>
  <c r="M973" i="2"/>
  <c r="M972" i="2"/>
  <c r="H972" i="2"/>
  <c r="M971" i="2"/>
  <c r="H971" i="2"/>
  <c r="H970" i="2"/>
  <c r="M969" i="2"/>
  <c r="H969" i="2"/>
  <c r="M968" i="2"/>
  <c r="H968" i="2"/>
  <c r="H967" i="2"/>
  <c r="M966" i="2"/>
  <c r="H966" i="2"/>
  <c r="H965" i="2"/>
  <c r="M964" i="2"/>
  <c r="H964" i="2"/>
  <c r="M963" i="2"/>
  <c r="H963" i="2"/>
  <c r="M962" i="2"/>
  <c r="H962" i="2"/>
  <c r="H961" i="2"/>
  <c r="M960" i="2"/>
  <c r="H960" i="2"/>
  <c r="M959" i="2"/>
  <c r="H959" i="2"/>
  <c r="M958" i="2"/>
  <c r="H958" i="2"/>
  <c r="M957" i="2"/>
  <c r="H957" i="2"/>
  <c r="M956" i="2"/>
  <c r="H956" i="2"/>
  <c r="M955" i="2"/>
  <c r="H955" i="2"/>
  <c r="M954" i="2"/>
  <c r="H954" i="2"/>
  <c r="M953" i="2"/>
  <c r="H953" i="2"/>
  <c r="H952" i="2"/>
  <c r="M951" i="2"/>
  <c r="H951" i="2"/>
  <c r="H950" i="2"/>
  <c r="M949" i="2"/>
  <c r="H949" i="2"/>
  <c r="H948" i="2"/>
  <c r="M947" i="2"/>
  <c r="H947" i="2"/>
  <c r="H946" i="2"/>
  <c r="M945" i="2"/>
  <c r="H945" i="2"/>
  <c r="M944" i="2"/>
  <c r="H944" i="2"/>
  <c r="H943" i="2"/>
  <c r="M942" i="2"/>
  <c r="H942" i="2"/>
  <c r="H941" i="2"/>
  <c r="H940" i="2"/>
  <c r="M939" i="2"/>
  <c r="H939" i="2"/>
  <c r="M938" i="2"/>
  <c r="H938" i="2"/>
  <c r="M937" i="2"/>
  <c r="H937" i="2"/>
  <c r="M936" i="2"/>
  <c r="H936" i="2"/>
  <c r="M935" i="2"/>
  <c r="H935" i="2"/>
  <c r="M934" i="2"/>
  <c r="H934" i="2"/>
  <c r="M933" i="2"/>
  <c r="H933" i="2"/>
  <c r="H932" i="2"/>
  <c r="M931" i="2"/>
  <c r="H931" i="2"/>
  <c r="M930" i="2"/>
  <c r="H930" i="2"/>
  <c r="M929" i="2"/>
  <c r="H929" i="2"/>
  <c r="M928" i="2"/>
  <c r="H928" i="2"/>
  <c r="M927" i="2"/>
  <c r="H927" i="2"/>
  <c r="M926" i="2"/>
  <c r="H926" i="2"/>
  <c r="M925" i="2"/>
  <c r="H925" i="2"/>
  <c r="M924" i="2"/>
  <c r="H924" i="2"/>
  <c r="M923" i="2"/>
  <c r="H923" i="2"/>
  <c r="M922" i="2"/>
  <c r="H922" i="2"/>
  <c r="M921" i="2"/>
  <c r="H921" i="2"/>
  <c r="M920" i="2"/>
  <c r="H920" i="2"/>
  <c r="M919" i="2"/>
  <c r="H919" i="2"/>
  <c r="M918" i="2"/>
  <c r="H918" i="2"/>
  <c r="M917" i="2"/>
  <c r="H917" i="2"/>
  <c r="M916" i="2"/>
  <c r="H916" i="2"/>
  <c r="H915" i="2"/>
  <c r="M914" i="2"/>
  <c r="H914" i="2"/>
  <c r="M913" i="2"/>
  <c r="H913" i="2"/>
  <c r="M912" i="2"/>
  <c r="H912" i="2"/>
  <c r="M911" i="2"/>
  <c r="H911" i="2"/>
  <c r="M910" i="2"/>
  <c r="H910" i="2"/>
  <c r="M909" i="2"/>
  <c r="H909" i="2"/>
  <c r="M908" i="2"/>
  <c r="H908" i="2"/>
  <c r="H907" i="2"/>
  <c r="M906" i="2"/>
  <c r="H906" i="2"/>
  <c r="M905" i="2"/>
  <c r="H905" i="2"/>
  <c r="M904" i="2"/>
  <c r="H904" i="2"/>
  <c r="M903" i="2"/>
  <c r="H903" i="2"/>
  <c r="M902" i="2"/>
  <c r="H902" i="2"/>
  <c r="H901" i="2"/>
  <c r="M900" i="2"/>
  <c r="H900" i="2"/>
  <c r="M899" i="2"/>
  <c r="H899" i="2"/>
  <c r="M898" i="2"/>
  <c r="H898" i="2"/>
  <c r="M897" i="2"/>
  <c r="H897" i="2"/>
  <c r="M896" i="2"/>
  <c r="H896" i="2"/>
  <c r="M895" i="2"/>
  <c r="H895" i="2"/>
  <c r="M894" i="2"/>
  <c r="H894" i="2"/>
  <c r="M893" i="2"/>
  <c r="H893" i="2"/>
  <c r="M892" i="2"/>
  <c r="H892" i="2"/>
  <c r="M891" i="2"/>
  <c r="H891" i="2"/>
  <c r="M890" i="2"/>
  <c r="H890" i="2"/>
  <c r="M889" i="2"/>
  <c r="H889" i="2"/>
  <c r="M888" i="2"/>
  <c r="H888" i="2"/>
  <c r="M887" i="2"/>
  <c r="H887" i="2"/>
  <c r="M886" i="2"/>
  <c r="H886" i="2"/>
  <c r="M885" i="2"/>
  <c r="H885" i="2"/>
  <c r="M884" i="2"/>
  <c r="H884" i="2"/>
  <c r="M883" i="2"/>
  <c r="H883" i="2"/>
  <c r="M882" i="2"/>
  <c r="H882" i="2"/>
  <c r="M881" i="2"/>
  <c r="H881" i="2"/>
  <c r="H880" i="2"/>
  <c r="M879" i="2"/>
  <c r="H879" i="2"/>
  <c r="M878" i="2"/>
  <c r="H878" i="2"/>
  <c r="M877" i="2"/>
  <c r="H877" i="2"/>
  <c r="M876" i="2"/>
  <c r="H876" i="2"/>
  <c r="M875" i="2"/>
  <c r="H875" i="2"/>
  <c r="M874" i="2"/>
  <c r="H874" i="2"/>
  <c r="M873" i="2"/>
  <c r="H873" i="2"/>
  <c r="H872" i="2"/>
  <c r="M871" i="2"/>
  <c r="H871" i="2"/>
  <c r="M870" i="2"/>
  <c r="H870" i="2"/>
  <c r="M869" i="2"/>
  <c r="H869" i="2"/>
  <c r="M868" i="2"/>
  <c r="H868" i="2"/>
  <c r="M867" i="2"/>
  <c r="H867" i="2"/>
  <c r="M866" i="2"/>
  <c r="H866" i="2"/>
  <c r="H865" i="2"/>
  <c r="H864" i="2"/>
  <c r="M863" i="2"/>
  <c r="H863" i="2"/>
  <c r="M862" i="2"/>
  <c r="H862" i="2"/>
  <c r="M861" i="2"/>
  <c r="H861" i="2"/>
  <c r="M860" i="2"/>
  <c r="H860" i="2"/>
  <c r="M859" i="2"/>
  <c r="H859" i="2"/>
  <c r="H858" i="2"/>
  <c r="M857" i="2"/>
  <c r="H857" i="2"/>
  <c r="M856" i="2"/>
  <c r="H856" i="2"/>
  <c r="M855" i="2"/>
  <c r="H855" i="2"/>
  <c r="M854" i="2"/>
  <c r="H854" i="2"/>
  <c r="M853" i="2"/>
  <c r="H853" i="2"/>
  <c r="M852" i="2"/>
  <c r="H852" i="2"/>
  <c r="M851" i="2"/>
  <c r="H851" i="2"/>
  <c r="H850" i="2"/>
  <c r="H849" i="2"/>
  <c r="M848" i="2"/>
  <c r="H848" i="2"/>
  <c r="M847" i="2"/>
  <c r="H847" i="2"/>
  <c r="M846" i="2"/>
  <c r="H846" i="2"/>
  <c r="M845" i="2"/>
  <c r="H845" i="2"/>
  <c r="H844" i="2"/>
  <c r="M843" i="2"/>
  <c r="H843" i="2"/>
  <c r="M842" i="2"/>
  <c r="H842" i="2"/>
  <c r="M841" i="2"/>
  <c r="H841" i="2"/>
  <c r="M840" i="2"/>
  <c r="H840" i="2"/>
  <c r="M839" i="2"/>
  <c r="H839" i="2"/>
  <c r="M838" i="2"/>
  <c r="H838" i="2"/>
  <c r="M837" i="2"/>
  <c r="H837" i="2"/>
  <c r="M836" i="2"/>
  <c r="H836" i="2"/>
  <c r="M835" i="2"/>
  <c r="H835" i="2"/>
  <c r="M834" i="2"/>
  <c r="H834" i="2"/>
  <c r="M833" i="2"/>
  <c r="H833" i="2"/>
  <c r="M832" i="2"/>
  <c r="H832" i="2"/>
  <c r="M831" i="2"/>
  <c r="H831" i="2"/>
  <c r="M830" i="2"/>
  <c r="H830" i="2"/>
  <c r="M829" i="2"/>
  <c r="H829" i="2"/>
  <c r="M828" i="2"/>
  <c r="H828" i="2"/>
  <c r="M827" i="2"/>
  <c r="H827" i="2"/>
  <c r="M826" i="2"/>
  <c r="H826" i="2"/>
  <c r="M825" i="2"/>
  <c r="H825" i="2"/>
  <c r="M824" i="2"/>
  <c r="H824" i="2"/>
  <c r="M823" i="2"/>
  <c r="H823" i="2"/>
  <c r="M822" i="2"/>
  <c r="H822" i="2"/>
  <c r="M821" i="2"/>
  <c r="H821" i="2"/>
  <c r="M820" i="2"/>
  <c r="H820" i="2"/>
  <c r="M819" i="2"/>
  <c r="H819" i="2"/>
  <c r="M818" i="2"/>
  <c r="H818" i="2"/>
  <c r="M817" i="2"/>
  <c r="H817" i="2"/>
  <c r="M816" i="2"/>
  <c r="H816" i="2"/>
  <c r="M815" i="2"/>
  <c r="H815" i="2"/>
  <c r="M814" i="2"/>
  <c r="H814" i="2"/>
  <c r="M813" i="2"/>
  <c r="H813" i="2"/>
  <c r="M812" i="2"/>
  <c r="H812" i="2"/>
  <c r="M811" i="2"/>
  <c r="H811" i="2"/>
  <c r="M810" i="2"/>
  <c r="H810" i="2"/>
  <c r="M809" i="2"/>
  <c r="H809" i="2"/>
  <c r="M808" i="2"/>
  <c r="H808" i="2"/>
  <c r="M807" i="2"/>
  <c r="H807" i="2"/>
  <c r="M806" i="2"/>
  <c r="H806" i="2"/>
  <c r="M805" i="2"/>
  <c r="H805" i="2"/>
  <c r="M804" i="2"/>
  <c r="H804" i="2"/>
  <c r="M803" i="2"/>
  <c r="H803" i="2"/>
  <c r="M802" i="2"/>
  <c r="H802" i="2"/>
  <c r="M801" i="2"/>
  <c r="H801" i="2"/>
  <c r="M800" i="2"/>
  <c r="H800" i="2"/>
  <c r="M799" i="2"/>
  <c r="H799" i="2"/>
  <c r="M798" i="2"/>
  <c r="H798" i="2"/>
  <c r="M797" i="2"/>
  <c r="H797" i="2"/>
  <c r="M796" i="2"/>
  <c r="H796" i="2"/>
  <c r="M795" i="2"/>
  <c r="H795" i="2"/>
  <c r="M794" i="2"/>
  <c r="H794" i="2"/>
  <c r="M793" i="2"/>
  <c r="H793" i="2"/>
  <c r="M792" i="2"/>
  <c r="H792" i="2"/>
  <c r="M791" i="2"/>
  <c r="H791" i="2"/>
  <c r="M790" i="2"/>
  <c r="H790" i="2"/>
  <c r="M789" i="2"/>
  <c r="H789" i="2"/>
  <c r="M788" i="2"/>
  <c r="H788" i="2"/>
  <c r="M787" i="2"/>
  <c r="H787" i="2"/>
  <c r="M786" i="2"/>
  <c r="H786" i="2"/>
  <c r="M785" i="2"/>
  <c r="H785" i="2"/>
  <c r="M784" i="2"/>
  <c r="H784" i="2"/>
  <c r="M783" i="2"/>
  <c r="H783" i="2"/>
  <c r="M782" i="2"/>
  <c r="H782" i="2"/>
  <c r="M781" i="2"/>
  <c r="H781" i="2"/>
  <c r="M780" i="2"/>
  <c r="H780" i="2"/>
  <c r="M779" i="2"/>
  <c r="H779" i="2"/>
  <c r="M778" i="2"/>
  <c r="H778" i="2"/>
  <c r="M777" i="2"/>
  <c r="H777" i="2"/>
  <c r="M776" i="2"/>
  <c r="H776" i="2"/>
  <c r="M775" i="2"/>
  <c r="H775" i="2"/>
  <c r="M774" i="2"/>
  <c r="H774" i="2"/>
  <c r="M773" i="2"/>
  <c r="H773" i="2"/>
  <c r="M772" i="2"/>
  <c r="H772" i="2"/>
  <c r="M771" i="2"/>
  <c r="H771" i="2"/>
  <c r="M770" i="2"/>
  <c r="H770" i="2"/>
  <c r="M769" i="2"/>
  <c r="H769" i="2"/>
  <c r="M768" i="2"/>
  <c r="H768" i="2"/>
  <c r="M767" i="2"/>
  <c r="H767" i="2"/>
  <c r="M766" i="2"/>
  <c r="H766" i="2"/>
  <c r="M765" i="2"/>
  <c r="H765" i="2"/>
  <c r="M764" i="2"/>
  <c r="H764" i="2"/>
  <c r="M763" i="2"/>
  <c r="H763" i="2"/>
  <c r="M762" i="2"/>
  <c r="H762" i="2"/>
  <c r="M761" i="2"/>
  <c r="H761" i="2"/>
  <c r="M760" i="2"/>
  <c r="H760" i="2"/>
  <c r="M759" i="2"/>
  <c r="H759" i="2"/>
  <c r="M758" i="2"/>
  <c r="H758" i="2"/>
  <c r="M757" i="2"/>
  <c r="H757" i="2"/>
  <c r="M756" i="2"/>
  <c r="H756" i="2"/>
  <c r="M755" i="2"/>
  <c r="H755" i="2"/>
  <c r="M754" i="2"/>
  <c r="H754" i="2"/>
  <c r="M753" i="2"/>
  <c r="H753" i="2"/>
  <c r="M752" i="2"/>
  <c r="H752" i="2"/>
  <c r="M751" i="2"/>
  <c r="H751" i="2"/>
  <c r="M750" i="2"/>
  <c r="H750" i="2"/>
  <c r="M749" i="2"/>
  <c r="H749" i="2"/>
  <c r="M748" i="2"/>
  <c r="H748" i="2"/>
  <c r="M747" i="2"/>
  <c r="H747" i="2"/>
  <c r="M746" i="2"/>
  <c r="H746" i="2"/>
  <c r="M745" i="2"/>
  <c r="H745" i="2"/>
  <c r="M744" i="2"/>
  <c r="H744" i="2"/>
  <c r="M743" i="2"/>
  <c r="H743" i="2"/>
  <c r="M742" i="2"/>
  <c r="H742" i="2"/>
  <c r="M741" i="2"/>
  <c r="H741" i="2"/>
  <c r="M740" i="2"/>
  <c r="H740" i="2"/>
  <c r="M739" i="2"/>
  <c r="H739" i="2"/>
  <c r="M738" i="2"/>
  <c r="H738" i="2"/>
  <c r="M737" i="2"/>
  <c r="H737" i="2"/>
  <c r="M736" i="2"/>
  <c r="H736" i="2"/>
  <c r="M735" i="2"/>
  <c r="H735" i="2"/>
  <c r="M734" i="2"/>
  <c r="H734" i="2"/>
  <c r="M733" i="2"/>
  <c r="H733" i="2"/>
  <c r="M732" i="2"/>
  <c r="H732" i="2"/>
  <c r="H731" i="2"/>
  <c r="M730" i="2"/>
  <c r="H730" i="2"/>
  <c r="M729" i="2"/>
  <c r="H729" i="2"/>
  <c r="M728" i="2"/>
  <c r="H728" i="2"/>
  <c r="M727" i="2"/>
  <c r="H727" i="2"/>
  <c r="M726" i="2"/>
  <c r="H726" i="2"/>
  <c r="M725" i="2"/>
  <c r="H725" i="2"/>
  <c r="M724" i="2"/>
  <c r="H724" i="2"/>
  <c r="H723" i="2"/>
  <c r="M722" i="2"/>
  <c r="H722" i="2"/>
  <c r="M721" i="2"/>
  <c r="H721" i="2"/>
  <c r="M720" i="2"/>
  <c r="H720" i="2"/>
  <c r="M719" i="2"/>
  <c r="H719" i="2"/>
  <c r="M718" i="2"/>
  <c r="H718" i="2"/>
  <c r="M717" i="2"/>
  <c r="H717" i="2"/>
  <c r="M716" i="2"/>
  <c r="H716" i="2"/>
  <c r="M715" i="2"/>
  <c r="H715" i="2"/>
  <c r="M714" i="2"/>
  <c r="H714" i="2"/>
  <c r="M713" i="2"/>
  <c r="H713" i="2"/>
  <c r="M712" i="2"/>
  <c r="H712" i="2"/>
  <c r="M711" i="2"/>
  <c r="H711" i="2"/>
  <c r="M710" i="2"/>
  <c r="H710" i="2"/>
  <c r="M709" i="2"/>
  <c r="H709" i="2"/>
  <c r="M708" i="2"/>
  <c r="H708" i="2"/>
  <c r="M707" i="2"/>
  <c r="M706" i="2"/>
  <c r="H706" i="2"/>
  <c r="M705" i="2"/>
  <c r="H705" i="2"/>
  <c r="M704" i="2"/>
  <c r="H704" i="2"/>
  <c r="H703" i="2"/>
  <c r="M702" i="2"/>
  <c r="H702" i="2"/>
  <c r="M701" i="2"/>
  <c r="H701" i="2"/>
  <c r="M700" i="2"/>
  <c r="H700" i="2"/>
  <c r="M699" i="2"/>
  <c r="H699" i="2"/>
  <c r="M698" i="2"/>
  <c r="H698" i="2"/>
  <c r="M697" i="2"/>
  <c r="H697" i="2"/>
  <c r="M696" i="2"/>
  <c r="H696" i="2"/>
  <c r="M695" i="2"/>
  <c r="H695" i="2"/>
  <c r="H694" i="2"/>
  <c r="M693" i="2"/>
  <c r="H693" i="2"/>
  <c r="M692" i="2"/>
  <c r="H692" i="2"/>
  <c r="M691" i="2"/>
  <c r="H691" i="2"/>
  <c r="M690" i="2"/>
  <c r="H690" i="2"/>
  <c r="M689" i="2"/>
  <c r="H689" i="2"/>
  <c r="M688" i="2"/>
  <c r="H688" i="2"/>
  <c r="M687" i="2"/>
  <c r="H687" i="2"/>
  <c r="H686" i="2"/>
  <c r="M685" i="2"/>
  <c r="H685" i="2"/>
  <c r="M684" i="2"/>
  <c r="H684" i="2"/>
  <c r="M683" i="2"/>
  <c r="H683" i="2"/>
  <c r="H682" i="2"/>
  <c r="H681" i="2"/>
  <c r="H680" i="2"/>
  <c r="M679" i="2"/>
  <c r="H679" i="2"/>
  <c r="M678" i="2"/>
  <c r="H678" i="2"/>
  <c r="M677" i="2"/>
  <c r="H677" i="2"/>
  <c r="M676" i="2"/>
  <c r="H676" i="2"/>
  <c r="M675" i="2"/>
  <c r="H675" i="2"/>
  <c r="M674" i="2"/>
  <c r="H674" i="2"/>
  <c r="M673" i="2"/>
  <c r="H673" i="2"/>
  <c r="M672" i="2"/>
  <c r="H672" i="2"/>
  <c r="M671" i="2"/>
  <c r="H671" i="2"/>
  <c r="M670" i="2"/>
  <c r="H670" i="2"/>
  <c r="M669" i="2"/>
  <c r="H669" i="2"/>
  <c r="M668" i="2"/>
  <c r="H668" i="2"/>
  <c r="M667" i="2"/>
  <c r="H667" i="2"/>
  <c r="M666" i="2"/>
  <c r="H666" i="2"/>
  <c r="M665" i="2"/>
  <c r="H665" i="2"/>
  <c r="M664" i="2"/>
  <c r="H664" i="2"/>
  <c r="M663" i="2"/>
  <c r="H663" i="2"/>
  <c r="M662" i="2"/>
  <c r="H662" i="2"/>
  <c r="M661" i="2"/>
  <c r="H661" i="2"/>
  <c r="M660" i="2"/>
  <c r="H660" i="2"/>
  <c r="M659" i="2"/>
  <c r="H659" i="2"/>
  <c r="M658" i="2"/>
  <c r="H658" i="2"/>
  <c r="M657" i="2"/>
  <c r="H657" i="2"/>
  <c r="M656" i="2"/>
  <c r="H656" i="2"/>
  <c r="M655" i="2"/>
  <c r="H655" i="2"/>
  <c r="M654" i="2"/>
  <c r="H654" i="2"/>
  <c r="M653" i="2"/>
  <c r="H653" i="2"/>
  <c r="M652" i="2"/>
  <c r="H652" i="2"/>
  <c r="M651" i="2"/>
  <c r="H651" i="2"/>
  <c r="M650" i="2"/>
  <c r="H650" i="2"/>
  <c r="M649" i="2"/>
  <c r="H649" i="2"/>
  <c r="M648" i="2"/>
  <c r="H648" i="2"/>
  <c r="M647" i="2"/>
  <c r="H647" i="2"/>
  <c r="M646" i="2"/>
  <c r="H646" i="2"/>
  <c r="M645" i="2"/>
  <c r="H645" i="2"/>
  <c r="M644" i="2"/>
  <c r="H644" i="2"/>
  <c r="M643" i="2"/>
  <c r="H643" i="2"/>
  <c r="M642" i="2"/>
  <c r="H642" i="2"/>
  <c r="M641" i="2"/>
  <c r="H641" i="2"/>
  <c r="M640" i="2"/>
  <c r="H640" i="2"/>
  <c r="M639" i="2"/>
  <c r="H639" i="2"/>
  <c r="M638" i="2"/>
  <c r="H638" i="2"/>
  <c r="M637" i="2"/>
  <c r="H637" i="2"/>
  <c r="M636" i="2"/>
  <c r="H636" i="2"/>
  <c r="M635" i="2"/>
  <c r="H635" i="2"/>
  <c r="M634" i="2"/>
  <c r="H634" i="2"/>
  <c r="M633" i="2"/>
  <c r="H633" i="2"/>
  <c r="M632" i="2"/>
  <c r="H632" i="2"/>
  <c r="M631" i="2"/>
  <c r="H631" i="2"/>
  <c r="M630" i="2"/>
  <c r="H630" i="2"/>
  <c r="M629" i="2"/>
  <c r="H629" i="2"/>
  <c r="M628" i="2"/>
  <c r="H628" i="2"/>
  <c r="M627" i="2"/>
  <c r="H627" i="2"/>
  <c r="M626" i="2"/>
  <c r="H626" i="2"/>
  <c r="M625" i="2"/>
  <c r="H625" i="2"/>
  <c r="M624" i="2"/>
  <c r="H624" i="2"/>
  <c r="M623" i="2"/>
  <c r="H623" i="2"/>
  <c r="M622" i="2"/>
  <c r="H622" i="2"/>
  <c r="M621" i="2"/>
  <c r="H621" i="2"/>
  <c r="M620" i="2"/>
  <c r="H620" i="2"/>
  <c r="H619" i="2"/>
  <c r="M618" i="2"/>
  <c r="H618" i="2"/>
  <c r="M617" i="2"/>
  <c r="H617" i="2"/>
  <c r="M616" i="2"/>
  <c r="H616" i="2"/>
  <c r="M615" i="2"/>
  <c r="H615" i="2"/>
  <c r="M614" i="2"/>
  <c r="H614" i="2"/>
  <c r="M613" i="2"/>
  <c r="H613" i="2"/>
  <c r="H612" i="2"/>
  <c r="M611" i="2"/>
  <c r="H611" i="2"/>
  <c r="M610" i="2"/>
  <c r="H610" i="2"/>
  <c r="M609" i="2"/>
  <c r="H609" i="2"/>
  <c r="M608" i="2"/>
  <c r="H608" i="2"/>
  <c r="M607" i="2"/>
  <c r="H607" i="2"/>
  <c r="H606" i="2"/>
  <c r="M605" i="2"/>
  <c r="H605" i="2"/>
  <c r="M604" i="2"/>
  <c r="H604" i="2"/>
  <c r="M603" i="2"/>
  <c r="H603" i="2"/>
  <c r="M602" i="2"/>
  <c r="H602" i="2"/>
  <c r="M601" i="2"/>
  <c r="H601" i="2"/>
  <c r="M600" i="2"/>
  <c r="H600" i="2"/>
  <c r="M599" i="2"/>
  <c r="H599" i="2"/>
  <c r="M598" i="2"/>
  <c r="H598" i="2"/>
  <c r="M597" i="2"/>
  <c r="H597" i="2"/>
  <c r="M596" i="2"/>
  <c r="H596" i="2"/>
  <c r="M595" i="2"/>
  <c r="H595" i="2"/>
  <c r="M594" i="2"/>
  <c r="H594" i="2"/>
  <c r="M593" i="2"/>
  <c r="H593" i="2"/>
  <c r="M592" i="2"/>
  <c r="H592" i="2"/>
  <c r="M591" i="2"/>
  <c r="M590" i="2"/>
  <c r="H590" i="2"/>
  <c r="M589" i="2"/>
  <c r="H589" i="2"/>
  <c r="M588" i="2"/>
  <c r="H588" i="2"/>
  <c r="M587" i="2"/>
  <c r="H587" i="2"/>
  <c r="M586" i="2"/>
  <c r="H586" i="2"/>
  <c r="M585" i="2"/>
  <c r="H585" i="2"/>
  <c r="M584" i="2"/>
  <c r="H584" i="2"/>
  <c r="M583" i="2"/>
  <c r="H583" i="2"/>
  <c r="M582" i="2"/>
  <c r="H582" i="2"/>
  <c r="M581" i="2"/>
  <c r="H581" i="2"/>
  <c r="M580" i="2"/>
  <c r="H580" i="2"/>
  <c r="M579" i="2"/>
  <c r="H579" i="2"/>
  <c r="M578" i="2"/>
  <c r="H578" i="2"/>
  <c r="M577" i="2"/>
  <c r="H577" i="2"/>
  <c r="M576" i="2"/>
  <c r="H576" i="2"/>
  <c r="M575" i="2"/>
  <c r="H575" i="2"/>
  <c r="M574" i="2"/>
  <c r="H574" i="2"/>
  <c r="M573" i="2"/>
  <c r="M572" i="2"/>
  <c r="H572" i="2"/>
  <c r="M571" i="2"/>
  <c r="H571" i="2"/>
  <c r="M570" i="2"/>
  <c r="H570" i="2"/>
  <c r="M569" i="2"/>
  <c r="H569" i="2"/>
  <c r="M568" i="2"/>
  <c r="H568" i="2"/>
  <c r="M567" i="2"/>
  <c r="H567" i="2"/>
  <c r="M566" i="2"/>
  <c r="H566" i="2"/>
  <c r="M565" i="2"/>
  <c r="H565" i="2"/>
  <c r="M564" i="2"/>
  <c r="H564" i="2"/>
  <c r="M563" i="2"/>
  <c r="H563" i="2"/>
  <c r="M562" i="2"/>
  <c r="H562" i="2"/>
  <c r="M561" i="2"/>
  <c r="H561" i="2"/>
  <c r="M560" i="2"/>
  <c r="H560" i="2"/>
  <c r="M559" i="2"/>
  <c r="M558" i="2"/>
  <c r="H558" i="2"/>
  <c r="M557" i="2"/>
  <c r="H557" i="2"/>
  <c r="M556" i="2"/>
  <c r="H556" i="2"/>
  <c r="M555" i="2"/>
  <c r="H555" i="2"/>
  <c r="M554" i="2"/>
  <c r="H554" i="2"/>
  <c r="M553" i="2"/>
  <c r="H553" i="2"/>
  <c r="M551" i="2"/>
  <c r="H551" i="2"/>
  <c r="M550" i="2"/>
  <c r="H550" i="2"/>
  <c r="M549" i="2"/>
  <c r="H549" i="2"/>
  <c r="M548" i="2"/>
  <c r="H548" i="2"/>
  <c r="M547" i="2"/>
  <c r="H547" i="2"/>
  <c r="M546" i="2"/>
  <c r="H546" i="2"/>
  <c r="M545" i="2"/>
  <c r="H545" i="2"/>
  <c r="M544" i="2"/>
  <c r="H544" i="2"/>
  <c r="M543" i="2"/>
  <c r="H543" i="2"/>
  <c r="M542" i="2"/>
  <c r="H542" i="2"/>
  <c r="M541" i="2"/>
  <c r="H541" i="2"/>
  <c r="M540" i="2"/>
  <c r="H540" i="2"/>
  <c r="M539" i="2"/>
  <c r="H539" i="2"/>
  <c r="M538" i="2"/>
  <c r="H538" i="2"/>
  <c r="M537" i="2"/>
  <c r="H537" i="2"/>
  <c r="M536" i="2"/>
  <c r="H536" i="2"/>
  <c r="M535" i="2"/>
  <c r="H535" i="2"/>
  <c r="M534" i="2"/>
  <c r="H534" i="2"/>
  <c r="M533" i="2"/>
  <c r="H533" i="2"/>
  <c r="M532" i="2"/>
  <c r="H532" i="2"/>
  <c r="M531" i="2"/>
  <c r="H531" i="2"/>
  <c r="M530" i="2"/>
  <c r="H530" i="2"/>
  <c r="M529" i="2"/>
  <c r="H529" i="2"/>
  <c r="M528" i="2"/>
  <c r="H528" i="2"/>
  <c r="M527" i="2"/>
  <c r="H527" i="2"/>
  <c r="M526" i="2"/>
  <c r="H526" i="2"/>
  <c r="M525" i="2"/>
  <c r="H525" i="2"/>
  <c r="M524" i="2"/>
  <c r="H524" i="2"/>
  <c r="M523" i="2"/>
  <c r="H523" i="2"/>
  <c r="M522" i="2"/>
  <c r="H522" i="2"/>
  <c r="M521" i="2"/>
  <c r="H521" i="2"/>
  <c r="M520" i="2"/>
  <c r="H520" i="2"/>
  <c r="M519" i="2"/>
  <c r="H519" i="2"/>
  <c r="M518" i="2"/>
  <c r="H518" i="2"/>
  <c r="M517" i="2"/>
  <c r="H517" i="2"/>
  <c r="H516" i="2"/>
  <c r="M515" i="2"/>
  <c r="H515" i="2"/>
  <c r="M514" i="2"/>
  <c r="H514" i="2"/>
  <c r="M513" i="2"/>
  <c r="H513" i="2"/>
  <c r="M512" i="2"/>
  <c r="H512" i="2"/>
  <c r="M511" i="2"/>
  <c r="H511" i="2"/>
  <c r="M510" i="2"/>
  <c r="H510" i="2"/>
  <c r="M509" i="2"/>
  <c r="H509" i="2"/>
  <c r="M508" i="2"/>
  <c r="H508" i="2"/>
  <c r="M507" i="2"/>
  <c r="H507" i="2"/>
  <c r="M506" i="2"/>
  <c r="H506" i="2"/>
  <c r="M505" i="2"/>
  <c r="H505" i="2"/>
  <c r="M504" i="2"/>
  <c r="H504" i="2"/>
  <c r="M503" i="2"/>
  <c r="H503" i="2"/>
  <c r="M502" i="2"/>
  <c r="H502" i="2"/>
  <c r="M501" i="2"/>
  <c r="H501" i="2"/>
  <c r="M500" i="2"/>
  <c r="H500" i="2"/>
  <c r="M499" i="2"/>
  <c r="H499" i="2"/>
  <c r="M498" i="2"/>
  <c r="H498" i="2"/>
  <c r="M497" i="2"/>
  <c r="H497" i="2"/>
  <c r="M496" i="2"/>
  <c r="H496" i="2"/>
  <c r="M495" i="2"/>
  <c r="H495" i="2"/>
  <c r="M494" i="2"/>
  <c r="H494" i="2"/>
  <c r="M493" i="2"/>
  <c r="H493" i="2"/>
  <c r="M492" i="2"/>
  <c r="H492" i="2"/>
  <c r="M491" i="2"/>
  <c r="H491" i="2"/>
  <c r="M490" i="2"/>
  <c r="H490" i="2"/>
  <c r="M489" i="2"/>
  <c r="H489" i="2"/>
  <c r="M488" i="2"/>
  <c r="H488" i="2"/>
  <c r="M487" i="2"/>
  <c r="H487" i="2"/>
  <c r="M486" i="2"/>
  <c r="H486" i="2"/>
  <c r="M485" i="2"/>
  <c r="H485" i="2"/>
  <c r="M484" i="2"/>
  <c r="H484" i="2"/>
  <c r="H483" i="2"/>
  <c r="M482" i="2"/>
  <c r="H482" i="2"/>
  <c r="M481" i="2"/>
  <c r="H481" i="2"/>
  <c r="M480" i="2"/>
  <c r="H480" i="2"/>
  <c r="M479" i="2"/>
  <c r="H479" i="2"/>
  <c r="M478" i="2"/>
  <c r="H478" i="2"/>
  <c r="M477" i="2"/>
  <c r="H477" i="2"/>
  <c r="M476" i="2"/>
  <c r="H476" i="2"/>
  <c r="M475" i="2"/>
  <c r="H475" i="2"/>
  <c r="M474" i="2"/>
  <c r="H474" i="2"/>
  <c r="M473" i="2"/>
  <c r="H473" i="2"/>
  <c r="M472" i="2"/>
  <c r="H472" i="2"/>
  <c r="M471" i="2"/>
  <c r="H471" i="2"/>
  <c r="M470" i="2"/>
  <c r="H470" i="2"/>
  <c r="M469" i="2"/>
  <c r="H469" i="2"/>
  <c r="M468" i="2"/>
  <c r="H468" i="2"/>
  <c r="M467" i="2"/>
  <c r="H467" i="2"/>
  <c r="M466" i="2"/>
  <c r="H466" i="2"/>
  <c r="M465" i="2"/>
  <c r="H465" i="2"/>
  <c r="M464" i="2"/>
  <c r="H464" i="2"/>
  <c r="M463" i="2"/>
  <c r="H463" i="2"/>
  <c r="M462" i="2"/>
  <c r="H462" i="2"/>
  <c r="M461" i="2"/>
  <c r="H461" i="2"/>
  <c r="M460" i="2"/>
  <c r="H460" i="2"/>
  <c r="M459" i="2"/>
  <c r="H459" i="2"/>
  <c r="M458" i="2"/>
  <c r="H458" i="2"/>
  <c r="M457" i="2"/>
  <c r="H457" i="2"/>
  <c r="M456" i="2"/>
  <c r="H456" i="2"/>
  <c r="M455" i="2"/>
  <c r="H455" i="2"/>
  <c r="M454" i="2"/>
  <c r="H454" i="2"/>
  <c r="M453" i="2"/>
  <c r="H453" i="2"/>
  <c r="M452" i="2"/>
  <c r="H452" i="2"/>
  <c r="M451" i="2"/>
  <c r="H451" i="2"/>
  <c r="M450" i="2"/>
  <c r="H450" i="2"/>
  <c r="M449" i="2"/>
  <c r="H449" i="2"/>
  <c r="M448" i="2"/>
  <c r="H448" i="2"/>
  <c r="M447" i="2"/>
  <c r="H447" i="2"/>
  <c r="M446" i="2"/>
  <c r="H446" i="2"/>
  <c r="M445" i="2"/>
  <c r="H445" i="2"/>
  <c r="M444" i="2"/>
  <c r="H444" i="2"/>
  <c r="M443" i="2"/>
  <c r="H443" i="2"/>
  <c r="M442" i="2"/>
  <c r="H442" i="2"/>
  <c r="M441" i="2"/>
  <c r="H441" i="2"/>
  <c r="M440" i="2"/>
  <c r="H440" i="2"/>
  <c r="M439" i="2"/>
  <c r="H439" i="2"/>
  <c r="M438" i="2"/>
  <c r="H438" i="2"/>
  <c r="M437" i="2"/>
  <c r="H437" i="2"/>
  <c r="M436" i="2"/>
  <c r="H436" i="2"/>
  <c r="M435" i="2"/>
  <c r="H435" i="2"/>
  <c r="M434" i="2"/>
  <c r="H434" i="2"/>
  <c r="M433" i="2"/>
  <c r="H433" i="2"/>
  <c r="M432" i="2"/>
  <c r="H432" i="2"/>
  <c r="M431" i="2"/>
  <c r="H431" i="2"/>
  <c r="M430" i="2"/>
  <c r="H430" i="2"/>
  <c r="H429" i="2"/>
  <c r="H428" i="2"/>
  <c r="M427" i="2"/>
  <c r="H427" i="2"/>
  <c r="M426" i="2"/>
  <c r="H426" i="2"/>
  <c r="M425" i="2"/>
  <c r="H425" i="2"/>
  <c r="M424" i="2"/>
  <c r="H424" i="2"/>
  <c r="M423" i="2"/>
  <c r="H423" i="2"/>
  <c r="M422" i="2"/>
  <c r="H422" i="2"/>
  <c r="H421" i="2"/>
  <c r="H420" i="2"/>
  <c r="M419" i="2"/>
  <c r="H419" i="2"/>
  <c r="H418" i="2"/>
  <c r="H417" i="2"/>
  <c r="M416" i="2"/>
  <c r="H416" i="2"/>
  <c r="H415" i="2"/>
  <c r="M414" i="2"/>
  <c r="H414" i="2"/>
  <c r="M413" i="2"/>
  <c r="H413" i="2"/>
  <c r="M412" i="2"/>
  <c r="H412" i="2"/>
  <c r="M411" i="2"/>
  <c r="H411" i="2"/>
  <c r="M410" i="2"/>
  <c r="H410" i="2"/>
  <c r="M409" i="2"/>
  <c r="H409" i="2"/>
  <c r="M408" i="2"/>
  <c r="H408" i="2"/>
  <c r="M407" i="2"/>
  <c r="H407" i="2"/>
  <c r="H406" i="2"/>
  <c r="H405" i="2"/>
  <c r="M404" i="2"/>
  <c r="H404" i="2"/>
  <c r="H403" i="2"/>
  <c r="M402" i="2"/>
  <c r="H402" i="2"/>
  <c r="H401" i="2"/>
  <c r="M400" i="2"/>
  <c r="H400" i="2"/>
  <c r="M399" i="2"/>
  <c r="H399" i="2"/>
  <c r="M398" i="2"/>
  <c r="H398" i="2"/>
  <c r="M397" i="2"/>
  <c r="H397" i="2"/>
  <c r="M396" i="2"/>
  <c r="H396" i="2"/>
  <c r="M395" i="2"/>
  <c r="H395" i="2"/>
  <c r="M394" i="2"/>
  <c r="H394" i="2"/>
  <c r="M393" i="2"/>
  <c r="H393" i="2"/>
  <c r="M392" i="2"/>
  <c r="H392" i="2"/>
  <c r="M391" i="2"/>
  <c r="H391" i="2"/>
  <c r="M390" i="2"/>
  <c r="H390" i="2"/>
  <c r="M389" i="2"/>
  <c r="H389" i="2"/>
  <c r="M388" i="2"/>
  <c r="H388" i="2"/>
  <c r="M387" i="2"/>
  <c r="H387" i="2"/>
  <c r="M386" i="2"/>
  <c r="H386" i="2"/>
  <c r="M385" i="2"/>
  <c r="H385" i="2"/>
  <c r="M384" i="2"/>
  <c r="H384" i="2"/>
  <c r="M383" i="2"/>
  <c r="H383" i="2"/>
  <c r="M382" i="2"/>
  <c r="H382" i="2"/>
  <c r="M381" i="2"/>
  <c r="H381" i="2"/>
  <c r="M380" i="2"/>
  <c r="H380" i="2"/>
  <c r="M379" i="2"/>
  <c r="H379" i="2"/>
  <c r="M378" i="2"/>
  <c r="H378" i="2"/>
  <c r="M377" i="2"/>
  <c r="H377" i="2"/>
  <c r="M376" i="2"/>
  <c r="H376" i="2"/>
  <c r="M375" i="2"/>
  <c r="H375" i="2"/>
  <c r="M374" i="2"/>
  <c r="H374" i="2"/>
  <c r="M373" i="2"/>
  <c r="H373" i="2"/>
  <c r="M372" i="2"/>
  <c r="H372" i="2"/>
  <c r="M371" i="2"/>
  <c r="H371" i="2"/>
  <c r="M370" i="2"/>
  <c r="H370" i="2"/>
  <c r="M369" i="2"/>
  <c r="H369" i="2"/>
  <c r="M368" i="2"/>
  <c r="H368" i="2"/>
  <c r="M367" i="2"/>
  <c r="H367" i="2"/>
  <c r="M366" i="2"/>
  <c r="H366" i="2"/>
  <c r="M365" i="2"/>
  <c r="H365" i="2"/>
  <c r="M364" i="2"/>
  <c r="H364" i="2"/>
  <c r="M363" i="2"/>
  <c r="H363" i="2"/>
  <c r="M362" i="2"/>
  <c r="H362" i="2"/>
  <c r="M361" i="2"/>
  <c r="H361" i="2"/>
  <c r="M360" i="2"/>
  <c r="H360" i="2"/>
  <c r="M359" i="2"/>
  <c r="H359" i="2"/>
  <c r="M358" i="2"/>
  <c r="H358" i="2"/>
  <c r="M357" i="2"/>
  <c r="H357" i="2"/>
  <c r="M356" i="2"/>
  <c r="H356" i="2"/>
  <c r="M355" i="2"/>
  <c r="H355" i="2"/>
  <c r="M354" i="2"/>
  <c r="H354" i="2"/>
  <c r="M353" i="2"/>
  <c r="H353" i="2"/>
  <c r="M352" i="2"/>
  <c r="H352" i="2"/>
  <c r="M351" i="2"/>
  <c r="H351" i="2"/>
  <c r="M350" i="2"/>
  <c r="H350" i="2"/>
  <c r="M349" i="2"/>
  <c r="H349" i="2"/>
  <c r="M348" i="2"/>
  <c r="H348" i="2"/>
  <c r="M347" i="2"/>
  <c r="H347" i="2"/>
  <c r="M346" i="2"/>
  <c r="H346" i="2"/>
  <c r="M345" i="2"/>
  <c r="H345" i="2"/>
  <c r="M344" i="2"/>
  <c r="H344" i="2"/>
  <c r="M343" i="2"/>
  <c r="H343" i="2"/>
  <c r="M342" i="2"/>
  <c r="H342" i="2"/>
  <c r="M341" i="2"/>
  <c r="H341" i="2"/>
  <c r="M340" i="2"/>
  <c r="H340" i="2"/>
  <c r="M339" i="2"/>
  <c r="H339" i="2"/>
  <c r="M338" i="2"/>
  <c r="H338" i="2"/>
  <c r="M337" i="2"/>
  <c r="H337" i="2"/>
  <c r="M336" i="2"/>
  <c r="H336" i="2"/>
  <c r="M335" i="2"/>
  <c r="H335" i="2"/>
  <c r="M334" i="2"/>
  <c r="H334" i="2"/>
  <c r="M333" i="2"/>
  <c r="H333" i="2"/>
  <c r="M332" i="2"/>
  <c r="H332" i="2"/>
  <c r="M331" i="2"/>
  <c r="H331" i="2"/>
  <c r="M330" i="2"/>
  <c r="H330" i="2"/>
  <c r="M329" i="2"/>
  <c r="H329" i="2"/>
  <c r="M328" i="2"/>
  <c r="H328" i="2"/>
  <c r="M327" i="2"/>
  <c r="H327" i="2"/>
  <c r="M326" i="2"/>
  <c r="H326" i="2"/>
  <c r="M325" i="2"/>
  <c r="H325" i="2"/>
  <c r="M324" i="2"/>
  <c r="H324" i="2"/>
  <c r="M323" i="2"/>
  <c r="H323" i="2"/>
  <c r="M322" i="2"/>
  <c r="H322" i="2"/>
  <c r="M321" i="2"/>
  <c r="H321" i="2"/>
  <c r="M320" i="2"/>
  <c r="H320" i="2"/>
  <c r="M319" i="2"/>
  <c r="H319" i="2"/>
  <c r="M318" i="2"/>
  <c r="H318" i="2"/>
  <c r="M317" i="2"/>
  <c r="H317" i="2"/>
  <c r="M316" i="2"/>
  <c r="H316" i="2"/>
  <c r="M315" i="2"/>
  <c r="H315" i="2"/>
  <c r="M314" i="2"/>
  <c r="H314" i="2"/>
  <c r="M313" i="2"/>
  <c r="H313" i="2"/>
  <c r="M312" i="2"/>
  <c r="H312" i="2"/>
  <c r="H311" i="2"/>
  <c r="M310" i="2"/>
  <c r="H310" i="2"/>
  <c r="M309" i="2"/>
  <c r="H309" i="2"/>
  <c r="M308" i="2"/>
  <c r="H308" i="2"/>
  <c r="M307" i="2"/>
  <c r="H307" i="2"/>
  <c r="M306" i="2"/>
  <c r="H306" i="2"/>
  <c r="M305" i="2"/>
  <c r="H305" i="2"/>
  <c r="M304" i="2"/>
  <c r="H304" i="2"/>
  <c r="M303" i="2"/>
  <c r="H303" i="2"/>
  <c r="M302" i="2"/>
  <c r="H302" i="2"/>
  <c r="M301" i="2"/>
  <c r="H301" i="2"/>
  <c r="M300" i="2"/>
  <c r="H300" i="2"/>
  <c r="M299" i="2"/>
  <c r="H299" i="2"/>
  <c r="M298" i="2"/>
  <c r="H298" i="2"/>
  <c r="M297" i="2"/>
  <c r="H297" i="2"/>
  <c r="M296" i="2"/>
  <c r="H296" i="2"/>
  <c r="M295" i="2"/>
  <c r="H295" i="2"/>
  <c r="M294" i="2"/>
  <c r="H294" i="2"/>
  <c r="M293" i="2"/>
  <c r="H293" i="2"/>
  <c r="M292" i="2"/>
  <c r="H292" i="2"/>
  <c r="M291" i="2"/>
  <c r="H291" i="2"/>
  <c r="M290" i="2"/>
  <c r="H290" i="2"/>
  <c r="M289" i="2"/>
  <c r="H289" i="2"/>
  <c r="M288" i="2"/>
  <c r="H288" i="2"/>
  <c r="M287" i="2"/>
  <c r="H287" i="2"/>
  <c r="M286" i="2"/>
  <c r="H286" i="2"/>
  <c r="M285" i="2"/>
  <c r="M284" i="2"/>
  <c r="H284" i="2"/>
  <c r="M283" i="2"/>
  <c r="M282" i="2"/>
  <c r="M281" i="2"/>
  <c r="M280" i="2"/>
  <c r="H280" i="2"/>
  <c r="M279" i="2"/>
  <c r="H279" i="2"/>
  <c r="M278" i="2"/>
  <c r="H278" i="2"/>
  <c r="M277" i="2"/>
  <c r="H277" i="2"/>
  <c r="M276" i="2"/>
  <c r="H276" i="2"/>
  <c r="M275" i="2"/>
  <c r="H275" i="2"/>
  <c r="M274" i="2"/>
  <c r="H274" i="2"/>
  <c r="M273" i="2"/>
  <c r="H273" i="2"/>
  <c r="M272" i="2"/>
  <c r="H272" i="2"/>
  <c r="M271" i="2"/>
  <c r="H271" i="2"/>
  <c r="M270" i="2"/>
  <c r="M269" i="2"/>
  <c r="H269" i="2"/>
  <c r="M268" i="2"/>
  <c r="H268" i="2"/>
  <c r="M267" i="2"/>
  <c r="H267" i="2"/>
  <c r="M266" i="2"/>
  <c r="H266" i="2"/>
  <c r="M265" i="2"/>
  <c r="H265" i="2"/>
  <c r="M264" i="2"/>
  <c r="H264" i="2"/>
  <c r="M263" i="2"/>
  <c r="H263" i="2"/>
  <c r="M262" i="2"/>
  <c r="H262" i="2"/>
  <c r="M261" i="2"/>
  <c r="H261" i="2"/>
  <c r="M260" i="2"/>
  <c r="H260" i="2"/>
  <c r="M259" i="2"/>
  <c r="H259" i="2"/>
  <c r="M258" i="2"/>
  <c r="M257" i="2"/>
  <c r="H257" i="2"/>
  <c r="M256" i="2"/>
  <c r="M255" i="2"/>
  <c r="H255" i="2"/>
  <c r="M254" i="2"/>
  <c r="M253" i="2"/>
  <c r="M252" i="2"/>
  <c r="M251" i="2"/>
  <c r="H251" i="2"/>
  <c r="M250" i="2"/>
  <c r="H250" i="2"/>
  <c r="M249" i="2"/>
  <c r="M248" i="2"/>
  <c r="H248" i="2"/>
  <c r="M247" i="2"/>
  <c r="H247" i="2"/>
  <c r="M246" i="2"/>
  <c r="H246" i="2"/>
  <c r="M245" i="2"/>
  <c r="M244" i="2"/>
  <c r="M243" i="2"/>
  <c r="H243" i="2"/>
  <c r="M242" i="2"/>
  <c r="M241" i="2"/>
  <c r="M240" i="2"/>
  <c r="M239" i="2"/>
  <c r="H239" i="2"/>
  <c r="M238" i="2"/>
  <c r="M237" i="2"/>
  <c r="M236" i="2"/>
  <c r="M235" i="2"/>
  <c r="M234" i="2"/>
  <c r="M233" i="2"/>
  <c r="M232" i="2"/>
  <c r="H232" i="2"/>
  <c r="M231" i="2"/>
  <c r="M230" i="2"/>
  <c r="H230" i="2"/>
  <c r="M229" i="2"/>
  <c r="H229" i="2"/>
  <c r="M228" i="2"/>
  <c r="H228" i="2"/>
  <c r="M227" i="2"/>
  <c r="H227" i="2"/>
  <c r="M226" i="2"/>
  <c r="H226" i="2"/>
  <c r="M225" i="2"/>
  <c r="H225" i="2"/>
  <c r="M224" i="2"/>
  <c r="H224" i="2"/>
  <c r="M223" i="2"/>
  <c r="H223" i="2"/>
  <c r="M222" i="2"/>
  <c r="H222" i="2"/>
  <c r="M221" i="2"/>
  <c r="H221" i="2"/>
  <c r="M220" i="2"/>
  <c r="H220" i="2"/>
  <c r="M219" i="2"/>
  <c r="M218" i="2"/>
  <c r="H218" i="2"/>
  <c r="M217" i="2"/>
  <c r="H217" i="2"/>
  <c r="M216" i="2"/>
  <c r="H216" i="2"/>
  <c r="M215" i="2"/>
  <c r="H215" i="2"/>
  <c r="M214" i="2"/>
  <c r="H214" i="2"/>
  <c r="M213" i="2"/>
  <c r="H213" i="2"/>
  <c r="M212" i="2"/>
  <c r="H212" i="2"/>
  <c r="M211" i="2"/>
  <c r="H211" i="2"/>
  <c r="M210" i="2"/>
  <c r="H210" i="2"/>
  <c r="M209" i="2"/>
  <c r="H209" i="2"/>
  <c r="M208" i="2"/>
  <c r="H208" i="2"/>
  <c r="M207" i="2"/>
  <c r="H207" i="2"/>
  <c r="H206" i="2"/>
  <c r="M205" i="2"/>
  <c r="M204" i="2"/>
  <c r="H204" i="2"/>
  <c r="M203" i="2"/>
  <c r="H203" i="2"/>
  <c r="M202" i="2"/>
  <c r="H202" i="2"/>
  <c r="M201" i="2"/>
  <c r="H201" i="2"/>
  <c r="M200" i="2"/>
  <c r="H200" i="2"/>
  <c r="M199" i="2"/>
  <c r="M198" i="2"/>
  <c r="M197" i="2"/>
  <c r="H197" i="2"/>
  <c r="M196" i="2"/>
  <c r="M195" i="2"/>
  <c r="H195" i="2"/>
  <c r="M194" i="2"/>
  <c r="H194" i="2"/>
  <c r="M193" i="2"/>
  <c r="H193" i="2"/>
  <c r="M192" i="2"/>
  <c r="H192" i="2"/>
  <c r="M191" i="2"/>
  <c r="H191" i="2"/>
  <c r="M190" i="2"/>
  <c r="H190" i="2"/>
  <c r="M189" i="2"/>
  <c r="H189" i="2"/>
  <c r="M188" i="2"/>
  <c r="H188" i="2"/>
  <c r="H187" i="2"/>
  <c r="M186" i="2"/>
  <c r="H186" i="2"/>
  <c r="M185" i="2"/>
  <c r="H185" i="2"/>
  <c r="M184" i="2"/>
  <c r="H184" i="2"/>
  <c r="M183" i="2"/>
  <c r="H183" i="2"/>
  <c r="M182" i="2"/>
  <c r="H182" i="2"/>
  <c r="M181" i="2"/>
  <c r="H181" i="2"/>
  <c r="M180" i="2"/>
  <c r="H180" i="2"/>
  <c r="M179" i="2"/>
  <c r="H179" i="2"/>
  <c r="M178" i="2"/>
  <c r="H178" i="2"/>
  <c r="M177" i="2"/>
  <c r="H177" i="2"/>
  <c r="M176" i="2"/>
  <c r="H176" i="2"/>
  <c r="M175" i="2"/>
  <c r="H175" i="2"/>
  <c r="M174" i="2"/>
  <c r="H174" i="2"/>
  <c r="M173" i="2"/>
  <c r="H173" i="2"/>
  <c r="M172" i="2"/>
  <c r="H172" i="2"/>
  <c r="M171" i="2"/>
  <c r="H171" i="2"/>
  <c r="M170" i="2"/>
  <c r="H170" i="2"/>
  <c r="M169" i="2"/>
  <c r="H169" i="2"/>
  <c r="M168" i="2"/>
  <c r="H168" i="2"/>
  <c r="M167" i="2"/>
  <c r="H167" i="2"/>
  <c r="M166" i="2"/>
  <c r="H166" i="2"/>
  <c r="M165" i="2"/>
  <c r="H165" i="2"/>
  <c r="M164" i="2"/>
  <c r="H164" i="2"/>
  <c r="M163" i="2"/>
  <c r="H163" i="2"/>
  <c r="M162" i="2"/>
  <c r="M161" i="2"/>
  <c r="H161" i="2"/>
  <c r="M160" i="2"/>
  <c r="H160" i="2"/>
  <c r="M159" i="2"/>
  <c r="H159" i="2"/>
  <c r="M158" i="2"/>
  <c r="H158" i="2"/>
  <c r="M157" i="2"/>
  <c r="M156" i="2"/>
  <c r="H156" i="2"/>
  <c r="M155" i="2"/>
  <c r="H155" i="2"/>
  <c r="M154" i="2"/>
  <c r="H154" i="2"/>
  <c r="M153" i="2"/>
  <c r="H153" i="2"/>
  <c r="M152" i="2"/>
  <c r="H152" i="2"/>
  <c r="M151" i="2"/>
  <c r="H151" i="2"/>
  <c r="M150" i="2"/>
  <c r="H150" i="2"/>
  <c r="M149" i="2"/>
  <c r="H149" i="2"/>
  <c r="M148" i="2"/>
  <c r="H148" i="2"/>
  <c r="M147" i="2"/>
  <c r="H147" i="2"/>
  <c r="M146" i="2"/>
  <c r="H146" i="2"/>
  <c r="M145" i="2"/>
  <c r="H145" i="2"/>
  <c r="M144" i="2"/>
  <c r="H144" i="2"/>
  <c r="M143" i="2"/>
  <c r="H143" i="2"/>
  <c r="M142" i="2"/>
  <c r="H142" i="2"/>
  <c r="M141" i="2"/>
  <c r="H141" i="2"/>
  <c r="M140" i="2"/>
  <c r="H140" i="2"/>
  <c r="M139" i="2"/>
  <c r="H139" i="2"/>
  <c r="M138" i="2"/>
  <c r="H138" i="2"/>
  <c r="M137" i="2"/>
  <c r="H137" i="2"/>
  <c r="M136" i="2"/>
  <c r="H136" i="2"/>
  <c r="M135" i="2"/>
  <c r="H135" i="2"/>
  <c r="M134" i="2"/>
  <c r="H134" i="2"/>
  <c r="M133" i="2"/>
  <c r="H133" i="2"/>
  <c r="M132" i="2"/>
  <c r="H132" i="2"/>
  <c r="H131" i="2"/>
  <c r="M130" i="2"/>
  <c r="H130" i="2"/>
  <c r="M129" i="2"/>
  <c r="H129" i="2"/>
  <c r="M128" i="2"/>
  <c r="H128" i="2"/>
  <c r="M127" i="2"/>
  <c r="H127" i="2"/>
  <c r="M126" i="2"/>
  <c r="H126" i="2"/>
  <c r="M125" i="2"/>
  <c r="H125" i="2"/>
  <c r="M124" i="2"/>
  <c r="H124" i="2"/>
  <c r="M123" i="2"/>
  <c r="H123" i="2"/>
  <c r="M122" i="2"/>
  <c r="M121" i="2"/>
  <c r="H121" i="2"/>
  <c r="M120" i="2"/>
  <c r="H120" i="2"/>
  <c r="M119" i="2"/>
  <c r="H119" i="2"/>
  <c r="M118" i="2"/>
  <c r="H118" i="2"/>
  <c r="M117" i="2"/>
  <c r="H117" i="2"/>
  <c r="M116" i="2"/>
  <c r="H116" i="2"/>
  <c r="M115" i="2"/>
  <c r="H115" i="2"/>
  <c r="M114" i="2"/>
  <c r="H114" i="2"/>
  <c r="M113" i="2"/>
  <c r="H113" i="2"/>
  <c r="M112" i="2"/>
  <c r="H112" i="2"/>
  <c r="M111" i="2"/>
  <c r="H111" i="2"/>
  <c r="M110" i="2"/>
  <c r="H110" i="2"/>
  <c r="M109" i="2"/>
  <c r="H109" i="2"/>
  <c r="M108" i="2"/>
  <c r="H108" i="2"/>
  <c r="M107" i="2"/>
  <c r="H107" i="2"/>
  <c r="M106" i="2"/>
  <c r="H106" i="2"/>
  <c r="M105" i="2"/>
  <c r="H105" i="2"/>
  <c r="M104" i="2"/>
  <c r="H104" i="2"/>
  <c r="M103" i="2"/>
  <c r="H103" i="2"/>
  <c r="M102" i="2"/>
  <c r="H102" i="2"/>
  <c r="M101" i="2"/>
  <c r="H101" i="2"/>
  <c r="M100" i="2"/>
  <c r="H100" i="2"/>
  <c r="M99" i="2"/>
  <c r="H99" i="2"/>
  <c r="M98" i="2"/>
  <c r="H98" i="2"/>
  <c r="M97" i="2"/>
  <c r="H97" i="2"/>
  <c r="M96" i="2"/>
  <c r="H96" i="2"/>
  <c r="M95" i="2"/>
  <c r="H95" i="2"/>
  <c r="M94" i="2"/>
  <c r="H94" i="2"/>
  <c r="M93" i="2"/>
  <c r="H93" i="2"/>
  <c r="M92" i="2"/>
  <c r="H92" i="2"/>
  <c r="M91" i="2"/>
  <c r="H91" i="2"/>
  <c r="M90" i="2"/>
  <c r="H90" i="2"/>
  <c r="M89" i="2"/>
  <c r="H89" i="2"/>
  <c r="M88" i="2"/>
  <c r="H88" i="2"/>
  <c r="M87" i="2"/>
  <c r="H87" i="2"/>
  <c r="M86" i="2"/>
  <c r="H86" i="2"/>
  <c r="M85" i="2"/>
  <c r="M84" i="2"/>
  <c r="M83" i="2"/>
  <c r="M82" i="2"/>
  <c r="M81" i="2"/>
  <c r="H81" i="2"/>
  <c r="M80" i="2"/>
  <c r="M79" i="2"/>
  <c r="M78" i="2"/>
  <c r="M77" i="2"/>
  <c r="H77" i="2"/>
  <c r="M76" i="2"/>
  <c r="H76" i="2"/>
  <c r="M75" i="2"/>
  <c r="H75" i="2"/>
  <c r="M74" i="2"/>
  <c r="H74" i="2"/>
  <c r="M73" i="2"/>
  <c r="H73" i="2"/>
  <c r="M72" i="2"/>
  <c r="H72" i="2"/>
  <c r="M71" i="2"/>
  <c r="H71" i="2"/>
  <c r="M70" i="2"/>
  <c r="H70" i="2"/>
  <c r="M69" i="2"/>
  <c r="H69" i="2"/>
  <c r="M68" i="2"/>
  <c r="H68" i="2"/>
  <c r="M67" i="2"/>
  <c r="H67" i="2"/>
  <c r="M66" i="2"/>
  <c r="H66" i="2"/>
  <c r="M65" i="2"/>
  <c r="H65" i="2"/>
  <c r="M64" i="2"/>
  <c r="H64" i="2"/>
  <c r="M63" i="2"/>
  <c r="H63" i="2"/>
  <c r="M62" i="2"/>
  <c r="H62" i="2"/>
  <c r="M61" i="2"/>
  <c r="H61" i="2"/>
  <c r="M60" i="2"/>
  <c r="H60" i="2"/>
  <c r="H59" i="2"/>
  <c r="M58" i="2"/>
  <c r="H58" i="2"/>
  <c r="M57" i="2"/>
  <c r="H57" i="2"/>
  <c r="M56" i="2"/>
  <c r="H56" i="2"/>
  <c r="M55" i="2"/>
  <c r="H55" i="2"/>
  <c r="M54" i="2"/>
  <c r="H54" i="2"/>
  <c r="M53" i="2"/>
  <c r="H53" i="2"/>
  <c r="M52" i="2"/>
  <c r="H52" i="2"/>
  <c r="M51" i="2"/>
  <c r="H51" i="2"/>
  <c r="M50" i="2"/>
  <c r="H50" i="2"/>
  <c r="M49" i="2"/>
  <c r="H49" i="2"/>
  <c r="M48" i="2"/>
  <c r="H48" i="2"/>
  <c r="M47" i="2"/>
  <c r="H47" i="2"/>
  <c r="M46" i="2"/>
  <c r="H46" i="2"/>
  <c r="M45" i="2"/>
  <c r="H45" i="2"/>
  <c r="M44" i="2"/>
  <c r="H44" i="2"/>
  <c r="M43" i="2"/>
  <c r="H43" i="2"/>
  <c r="M42" i="2"/>
  <c r="H42" i="2"/>
  <c r="M41" i="2"/>
  <c r="H41" i="2"/>
  <c r="M40" i="2"/>
  <c r="H40" i="2"/>
  <c r="M39" i="2"/>
  <c r="H39" i="2"/>
  <c r="M38" i="2"/>
  <c r="H38" i="2"/>
  <c r="M37" i="2"/>
  <c r="H37" i="2"/>
  <c r="M36" i="2"/>
  <c r="H36" i="2"/>
  <c r="M35" i="2"/>
  <c r="H35" i="2"/>
  <c r="M34" i="2"/>
  <c r="H34" i="2"/>
  <c r="M33" i="2"/>
  <c r="H33" i="2"/>
  <c r="M32" i="2"/>
  <c r="H32" i="2"/>
  <c r="M31" i="2"/>
  <c r="H31" i="2"/>
  <c r="M30" i="2"/>
  <c r="H30" i="2"/>
  <c r="M29" i="2"/>
  <c r="H29" i="2"/>
  <c r="M28" i="2"/>
  <c r="H28" i="2"/>
  <c r="M27" i="2"/>
  <c r="H27" i="2"/>
  <c r="M26" i="2"/>
  <c r="H26" i="2"/>
  <c r="M25" i="2"/>
  <c r="H25" i="2"/>
  <c r="M24" i="2"/>
  <c r="H24" i="2"/>
  <c r="M23" i="2"/>
  <c r="H23" i="2"/>
  <c r="M22" i="2"/>
  <c r="H22" i="2"/>
  <c r="M21" i="2"/>
  <c r="H21" i="2"/>
  <c r="M20" i="2"/>
  <c r="H20" i="2"/>
  <c r="M19" i="2"/>
  <c r="H19" i="2"/>
  <c r="M18" i="2"/>
  <c r="H18" i="2"/>
  <c r="M17" i="2"/>
  <c r="H17" i="2"/>
  <c r="M16" i="2"/>
  <c r="H16" i="2"/>
  <c r="M15" i="2"/>
  <c r="H15" i="2"/>
  <c r="M14" i="2"/>
  <c r="H14" i="2"/>
  <c r="M13" i="2"/>
  <c r="H13" i="2"/>
  <c r="M12" i="2"/>
  <c r="H12" i="2"/>
  <c r="M11" i="2"/>
  <c r="H11" i="2"/>
  <c r="M10" i="2"/>
  <c r="H10" i="2"/>
  <c r="M9" i="2"/>
  <c r="H9" i="2"/>
  <c r="M8" i="2"/>
  <c r="H8" i="2"/>
  <c r="M7" i="2"/>
  <c r="H7" i="2"/>
  <c r="M6" i="2"/>
  <c r="H6" i="2"/>
  <c r="M5" i="2"/>
  <c r="H5" i="2"/>
  <c r="M4" i="2"/>
  <c r="H4" i="2"/>
  <c r="M3" i="2"/>
  <c r="H3" i="2"/>
  <c r="M2" i="2"/>
  <c r="H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tc={dd8436a4-4da4-4aff-8543-175e3ea90a10}</author>
    <author>tc={682348f1-3d4d-4dd1-ba7d-6411b66f8e7c}</author>
    <author>tc={b60a181b-f0eb-4dba-b9cb-257d2a011ae7}</author>
    <author>tc={7ee924e9-a9e1-498a-9759-5b7947ea3f13}</author>
    <author>tc={c8992a65-76cb-4a49-8a8d-2ce1218daf4d}</author>
    <author>tc={909c5fb0-699f-455b-87de-d7a299234bb7}</author>
    <author>tc={5aab70b8-9f80-4649-95bf-01bf057a856e}</author>
    <author>tc={43ea61b4-21d8-4af3-841f-467e0bae4ce9}</author>
    <author>tc={1c187fbf-c7c4-4fa5-938a-3f6d245b5ffd}</author>
    <author>tc={b9145069-bc6a-454a-9a89-aa343304dc92}</author>
    <author>tc={13a88dac-6f9d-4b5b-8905-280e5447bc5f}</author>
    <author>tc={f34c37b9-26e9-4f84-b39e-408eb189beed}</author>
    <author>tc={01711d57-e211-4507-85b6-20b522c4c1c3}</author>
    <author>tc={2cd6fb58-9a63-4d9d-bdf4-a93649073bfb}</author>
    <author>tc={f43d6c90-41d5-4eff-9a11-5aaf118ca5c1}</author>
    <author>tc={483b9ee7-a49d-470e-82a2-d45759c90dce}</author>
    <author>tc={f679db2c-6ddb-4e05-aa3b-680e8e9b5376}</author>
    <author>tc={357d2120-9437-4719-b016-8f2d7b99649f}</author>
    <author>tc={970b1745-e999-45d3-a3c1-3880548e33e2}</author>
    <author>tc={e2f3e63a-8cfb-432b-8ed4-1f9cc6c392a3}</author>
    <author>tc={f97888ea-d670-48bf-8411-c8a2e9a0b199}</author>
    <author>tc={9b358db2-938e-4813-8d61-6eb569578e9a}</author>
    <author>tc={f5f98dc7-4814-437e-bb29-2ef54d895c76}</author>
    <author>tc={debb8467-e332-4598-bc4d-0f990511ae05}</author>
    <author>tc={2e28ac36-c7ae-44f7-8d4d-6a82aa423a56}</author>
    <author>tc={5d63bcb2-db27-4e8d-8d59-31c33400e412}</author>
    <author>tc={fb7bf28f-0420-4c92-a831-282cc7f187e9}</author>
    <author>tc={1686d1d2-50a4-4079-88e1-30fbf31d014d}</author>
    <author>tc={7991f5ca-1773-4f26-a062-1fd91ca1b0ba}</author>
    <author>tc={65ce6337-815d-41e3-ba84-56abea3acad8}</author>
    <author>tc={d50a2ff6-5d58-47a0-96ed-52a900280056}</author>
    <author>tc={710f7439-cfe5-41d7-8bcb-762ec79c716e}</author>
    <author>tc={3265f852-fcc6-40de-aa14-379d4ad6892e}</author>
    <author>tc={c8a925e5-9568-4370-833e-820ea0f277fe}</author>
    <author>tc={753092a2-64d3-4dd1-bfb8-2d8bb19e544c}</author>
    <author>tc={9a3a3b30-08d7-4bc0-a579-0b9453b1819d}</author>
    <author>tc={67447ddd-3f62-493e-a841-f7e83aa653e0}</author>
    <author>tc={72fe9e06-5175-4619-97c6-1ef02c048c29}</author>
    <author>tc={39626bc7-394c-4df5-aeb5-588944e667a3}</author>
    <author>tc={fcf581b4-475f-4e75-a698-c04171f80892}</author>
    <author>tc={18a4914c-5b1c-4f23-afd3-cd903703a5f5}</author>
    <author>tc={f40e7589-c8da-41c6-ac7b-7faf2acaf6ea}</author>
    <author>tc={afc047a0-55de-48f8-a959-fa4f4f07ca5f}</author>
    <author>tc={8cc835cf-53e5-46ed-85ed-80287fb9a5c3}</author>
    <author>tc={4e2ab9ba-f60b-4f89-b625-4bd0c37cc7ee}</author>
    <author>tc={4b1effe2-b440-4bd5-ba95-664cb7843851}</author>
    <author>tc={9a921816-38d8-47ff-a76c-28e7381d891b}</author>
    <author>tc={a7106022-d9c4-4023-80c5-813143156fef}</author>
    <author>tc={45aa588f-3afb-4169-95be-d8bf9eb480c9}</author>
    <author>tc={e09ffeed-1107-455a-882e-e621dc283e63}</author>
    <author>tc={a1052e0e-9d98-4a5e-890c-f92fc2d3a819}</author>
    <author>tc={3e25dd2e-f09e-4c47-8461-b1fd84ed70cb}</author>
    <author>tc={51272558-edee-4bad-aab2-87ab058e364c}</author>
    <author>tc={f65db4c4-32d0-497a-a0ea-48bc853d4c89}</author>
    <author>tc={680d1f1d-df1b-46f9-99d6-9e44a7f0622e}</author>
    <author>tc={91292226-88ae-43f6-ac7f-0f505e82f86b}</author>
    <author>tc={96784b6c-fdc4-4595-b713-cc697a94dc49}</author>
    <author>tc={6894f221-55a5-455b-a65e-bdd66a756999}</author>
    <author>tc={de3df6ec-d34a-437a-b312-064135a26fda}</author>
    <author>tc={3c1fefbf-a2cf-4311-bd8c-20aebabcd9dd}</author>
    <author>tc={f546d8aa-aa0b-47c7-9b2f-5ed4791c7dcc}</author>
    <author>tc={128eedab-161b-4377-be2b-04d8c098de47}</author>
    <author>tc={cfc31e54-7615-4a15-9c2e-4e9de887de9f}</author>
    <author>tc={3fd1bf95-ddff-43ff-8581-ac1044db6459}</author>
    <author>tc={6a5222d9-af8b-47b6-9ac0-a1a270802c2c}</author>
    <author>tc={0285fb00-d771-4df4-8590-176cfa0eee55}</author>
    <author>tc={20e76b3e-0e1d-4d80-b0d1-8d2ee8559d19}</author>
    <author>tc={258ea82e-10f8-4e55-83f8-deaad08de8a6}</author>
    <author>tc={bb19474a-d1bb-4787-bdd6-4bc68b964ddc}</author>
    <author>tc={8a7bdfa3-fd8a-4010-8c06-3b772d79a9ed}</author>
    <author>tc={3243354f-44f4-4dd2-b138-961bd965585b}</author>
    <author>tc={dfe1de8b-a143-4f14-9449-e248503f9d04}</author>
    <author>tc={a9c3434b-e3c7-436e-9efd-7d8292d600c1}</author>
    <author>tc={0463f090-6606-4958-a651-49801a776483}</author>
    <author>tc={86beb9c9-9d43-44c8-aee0-bfb4dc318852}</author>
    <author>tc={2c421538-89b8-47ee-914e-c24180b563ec}</author>
    <author>tc={c60e908e-d3de-40f5-9de4-be67a3eaf63b}</author>
    <author>tc={382d2633-8e82-4e23-9e95-08d2911eab03}</author>
    <author>tc={3d39dcce-a7a8-49e7-931f-e684af80be21}</author>
    <author>tc={c43cabd5-fbe6-4962-b6b0-440f19249ac2}</author>
    <author>tc={116c5b71-c5a8-467a-88a4-a3c6b264e8de}</author>
    <author>tc={44bb159c-96d1-46c4-a8f8-bcb43b280c5a}</author>
    <author>tc={bc302d34-b24d-44da-a9d1-385e8d62b8ec}</author>
    <author>tc={f65321d0-8e15-4d8b-b453-68b4a3d80bd1}</author>
    <author>tc={f740cb99-3b7f-463a-b2ff-da92515bab6c}</author>
    <author>tc={a84a7351-f15e-41f6-9ccd-b20b54cb259a}</author>
  </authors>
  <commentList>
    <comment ref="D72" authorId="0" shapeId="0" xr:uid="{DD8436A4-4DA4-4AFF-8543-175E3EA90A10}">
      <text>
        <t>[Threaded comment]
Your version of Excel allows you to read this threaded comment; however, any edits to it will get removed if the file is opened in a newer version of Excel. Learn more: https://go.microsoft.com/fwlink/?linkid=870924
Comment:
    Again the 30th.</t>
      </text>
    </comment>
    <comment ref="D119" authorId="1" shapeId="0" xr:uid="{682348F1-3D4D-4DD1-BA7D-6411B66F8E7C}">
      <text>
        <t>[Threaded comment]
Your version of Excel allows you to read this threaded comment; however, any edits to it will get removed if the file is opened in a newer version of Excel. Learn more: https://go.microsoft.com/fwlink/?linkid=870924
Comment:
    Paper is ripped, not able to see his name.</t>
      </text>
    </comment>
    <comment ref="C160" authorId="2" shapeId="0" xr:uid="{B60A181B-F0EB-4DBA-B9CB-257D2A011AE7}">
      <text>
        <t>[Threaded comment]
Your version of Excel allows you to read this threaded comment; however, any edits to it will get removed if the file is opened in a newer version of Excel. Learn more: https://go.microsoft.com/fwlink/?linkid=870924
Comment:
    Also on the 11, 12, 17, 18, 20, 24th.</t>
      </text>
    </comment>
    <comment ref="D209" authorId="3" shapeId="0" xr:uid="{7EE924E9-A9E1-498A-9759-5B7947EA3F13}">
      <text>
        <t>[Threaded comment]
Your version of Excel allows you to read this threaded comment; however, any edits to it will get removed if the file is opened in a newer version of Excel. Learn more: https://go.microsoft.com/fwlink/?linkid=870924
Comment:
    Also the 20th and the 22nd.</t>
      </text>
    </comment>
    <comment ref="D224" authorId="4" shapeId="0" xr:uid="{C8992A65-76CB-4A49-8A8D-2CE1218DAF4D}">
      <text>
        <t>[Threaded comment]
Your version of Excel allows you to read this threaded comment; however, any edits to it will get removed if the file is opened in a newer version of Excel. Learn more: https://go.microsoft.com/fwlink/?linkid=870924
Comment:
    continues taking drink 21, 22, 23 [worsened symptoms], 24, 25, 26, 27, 28, 29, 30, 31, April 1, 2, and 3]</t>
      </text>
    </comment>
    <comment ref="D272" authorId="5" shapeId="0" xr:uid="{909C5FB0-699F-455B-87DE-D7A299234BB7}">
      <text>
        <t>[Threaded comment]
Your version of Excel allows you to read this threaded comment; however, any edits to it will get removed if the file is opened in a newer version of Excel. Learn more: https://go.microsoft.com/fwlink/?linkid=870924
Comment:
    Also on 30th and 31st of August.</t>
      </text>
    </comment>
    <comment ref="D522" authorId="6" shapeId="0" xr:uid="{5AAB70B8-9F80-4649-95BF-01BF057A856E}">
      <text>
        <t>[Threaded comment]
Your version of Excel allows you to read this threaded comment; however, any edits to it will get removed if the file is opened in a newer version of Excel. Learn more: https://go.microsoft.com/fwlink/?linkid=870924
Comment:
    continues through November 8</t>
      </text>
    </comment>
    <comment ref="D564" authorId="7" shapeId="0" xr:uid="{43EA61B4-21D8-4AF3-841F-467E0BAE4CE9}">
      <text>
        <t>[Threaded comment]
Your version of Excel allows you to read this threaded comment; however, any edits to it will get removed if the file is opened in a newer version of Excel. Learn more: https://go.microsoft.com/fwlink/?linkid=870924
Comment:
    Also on 8-10, 13-14</t>
      </text>
    </comment>
    <comment ref="C566" authorId="8" shapeId="0" xr:uid="{1C187FBF-C7C4-4FA5-938A-3F6D245B5FFD}">
      <text>
        <t>[Threaded comment]
Your version of Excel allows you to read this threaded comment; however, any edits to it will get removed if the file is opened in a newer version of Excel. Learn more: https://go.microsoft.com/fwlink/?linkid=870924
Comment:
    7th-10th, 13th-18th, 20th and 23rd.</t>
      </text>
    </comment>
    <comment ref="C567" authorId="9" shapeId="0" xr:uid="{B9145069-BC6A-454A-9A89-AA343304DC92}">
      <text>
        <t>[Threaded comment]
Your version of Excel allows you to read this threaded comment; however, any edits to it will get removed if the file is opened in a newer version of Excel. Learn more: https://go.microsoft.com/fwlink/?linkid=870924
Comment:
    SAME ON THE 8TH AND 9TH</t>
      </text>
    </comment>
    <comment ref="C621" authorId="10" shapeId="0" xr:uid="{13A88DAC-6F9D-4B5B-8905-280E5447BC5F}">
      <text>
        <t>[Threaded comment]
Your version of Excel allows you to read this threaded comment; however, any edits to it will get removed if the file is opened in a newer version of Excel. Learn more: https://go.microsoft.com/fwlink/?linkid=870924
Comment:
    continues 10-13th</t>
      </text>
    </comment>
    <comment ref="C624" authorId="11" shapeId="0" xr:uid="{F34C37B9-26E9-4F84-B39E-408EB189BEED}">
      <text>
        <t>[Threaded comment]
Your version of Excel allows you to read this threaded comment; however, any edits to it will get removed if the file is opened in a newer version of Excel. Learn more: https://go.microsoft.com/fwlink/?linkid=870924
Comment:
    Sex with Phibbah once on the 13th.</t>
      </text>
    </comment>
    <comment ref="C625" authorId="12" shapeId="0" xr:uid="{01711D57-E211-4507-85B6-20B522C4C1C3}">
      <text>
        <t>[Threaded comment]
Your version of Excel allows you to read this threaded comment; however, any edits to it will get removed if the file is opened in a newer version of Excel. Learn more: https://go.microsoft.com/fwlink/?linkid=870924
Comment:
    Same on the 15th</t>
      </text>
    </comment>
    <comment ref="C628" authorId="13" shapeId="0" xr:uid="{2CD6FB58-9A63-4D9D-BDF4-A93649073BFB}">
      <text>
        <t>[Threaded comment]
Your version of Excel allows you to read this threaded comment; however, any edits to it will get removed if the file is opened in a newer version of Excel. Learn more: https://go.microsoft.com/fwlink/?linkid=870924
Comment:
    this is the in the thick of harvest season.</t>
      </text>
    </comment>
    <comment ref="C639" authorId="14" shapeId="0" xr:uid="{F43D6C90-41D5-4EFF-9A11-5AAF118CA5C1}">
      <text>
        <t>[Threaded comment]
Your version of Excel allows you to read this threaded comment; however, any edits to it will get removed if the file is opened in a newer version of Excel. Learn more: https://go.microsoft.com/fwlink/?linkid=870924
Comment:
    Still weak 24th-26th. He has sex with Phibbah on 25th , and on March 2, 5, 8, 11; but no one else.</t>
      </text>
    </comment>
    <comment ref="C646" authorId="15" shapeId="0" xr:uid="{483B9EE7-A49D-470E-82A2-D45759C90DCE}">
      <text>
        <t>[Threaded comment]
Your version of Excel allows you to read this threaded comment; however, any edits to it will get removed if the file is opened in a newer version of Excel. Learn more: https://go.microsoft.com/fwlink/?linkid=870924
Comment:
    Same on 2,3,4,5,6</t>
      </text>
    </comment>
    <comment ref="C654" authorId="16" shapeId="0" xr:uid="{F679DB2C-6DDB-4E05-AA3B-680E8E9B5376}">
      <text>
        <t>[Threaded comment]
Your version of Excel allows you to read this threaded comment; however, any edits to it will get removed if the file is opened in a newer version of Excel. Learn more: https://go.microsoft.com/fwlink/?linkid=870924
Comment:
    Same on 17th.</t>
      </text>
    </comment>
    <comment ref="C691" authorId="17" shapeId="0" xr:uid="{357D2120-9437-4719-B016-8F2D7B99649F}">
      <text>
        <t>[Threaded comment]
Your version of Excel allows you to read this threaded comment; however, any edits to it will get removed if the file is opened in a newer version of Excel. Learn more: https://go.microsoft.com/fwlink/?linkid=870924
Comment:
    Same on 2-4, 8-11, 13-17, and 20th.</t>
      </text>
    </comment>
    <comment ref="D725" authorId="18" shapeId="0" xr:uid="{970B1745-E999-45D3-A3C1-3880548E33E2}">
      <text>
        <t>[Threaded comment]
Your version of Excel allows you to read this threaded comment; however, any edits to it will get removed if the file is opened in a newer version of Excel. Learn more: https://go.microsoft.com/fwlink/?linkid=870924
Comment:
    First mention of Abba in diary.</t>
      </text>
    </comment>
    <comment ref="C803" authorId="19" shapeId="0" xr:uid="{E2F3E63A-8CFB-432B-8ED4-1F9CC6C392A3}">
      <text>
        <t>[Threaded comment]
Your version of Excel allows you to read this threaded comment; however, any edits to it will get removed if the file is opened in a newer version of Excel. Learn more: https://go.microsoft.com/fwlink/?linkid=870924
Comment:
    Same on the 4th, 5th, and 6th</t>
      </text>
    </comment>
    <comment ref="C814" authorId="20" shapeId="0" xr:uid="{F97888EA-D670-48BF-8411-C8A2E9A0B199}">
      <text>
        <t>[Threaded comment]
Your version of Excel allows you to read this threaded comment; however, any edits to it will get removed if the file is opened in a newer version of Excel. Learn more: https://go.microsoft.com/fwlink/?linkid=870924
Comment:
    Same on 18th, 19th, 20th, and 23rd</t>
      </text>
    </comment>
    <comment ref="D833" authorId="21" shapeId="0" xr:uid="{9B358DB2-938E-4813-8D61-6EB569578E9A}">
      <text>
        <t>[Threaded comment]
Your version of Excel allows you to read this threaded comment; however, any edits to it will get removed if the file is opened in a newer version of Excel. Learn more: https://go.microsoft.com/fwlink/?linkid=870924
Comment:
    Again on the 7th</t>
      </text>
    </comment>
    <comment ref="D839" authorId="22" shapeId="0" xr:uid="{F5F98DC7-4814-437E-BB29-2EF54D895C76}">
      <text>
        <t>[Threaded comment]
Your version of Excel allows you to read this threaded comment; however, any edits to it will get removed if the file is opened in a newer version of Excel. Learn more: https://go.microsoft.com/fwlink/?linkid=870924
Comment:
    Regular cane cutting commences days later.</t>
      </text>
    </comment>
    <comment ref="C878" authorId="23" shapeId="0" xr:uid="{DEBB8467-E332-4598-BC4D-0F990511AE05}">
      <text>
        <t>[Threaded comment]
Your version of Excel allows you to read this threaded comment; however, any edits to it will get removed if the file is opened in a newer version of Excel. Learn more: https://go.microsoft.com/fwlink/?linkid=870924
Comment:
    Continues on the 19th and 20th</t>
      </text>
    </comment>
    <comment ref="C879" authorId="24" shapeId="0" xr:uid="{2E28AC36-C7AE-44F7-8D4D-6A82AA423A56}">
      <text>
        <t>[Threaded comment]
Your version of Excel allows you to read this threaded comment; however, any edits to it will get removed if the file is opened in a newer version of Excel. Learn more: https://go.microsoft.com/fwlink/?linkid=870924
Comment:
    Continues on the 23, 24th, and 25th</t>
      </text>
    </comment>
    <comment ref="C880" authorId="25" shapeId="0" xr:uid="{5D63BCB2-DB27-4E8D-8D59-31C33400E412}">
      <text>
        <t>[Threaded comment]
Your version of Excel allows you to read this threaded comment; however, any edits to it will get removed if the file is opened in a newer version of Excel. Learn more: https://go.microsoft.com/fwlink/?linkid=870924
Comment:
    27th and 28th same work.</t>
      </text>
    </comment>
    <comment ref="C898" authorId="26" shapeId="0" xr:uid="{FB7BF28F-0420-4C92-A831-282CC7F187E9}">
      <text>
        <t>[Threaded comment]
Your version of Excel allows you to read this threaded comment; however, any edits to it will get removed if the file is opened in a newer version of Excel. Learn more: https://go.microsoft.com/fwlink/?linkid=870924
Comment:
    Continued on 16th, finished on 17th.</t>
      </text>
    </comment>
    <comment ref="C923" authorId="27" shapeId="0" xr:uid="{1686D1D2-50A4-4079-88E1-30FBF31D014D}">
      <text>
        <t>[Threaded comment]
Your version of Excel allows you to read this threaded comment; however, any edits to it will get removed if the file is opened in a newer version of Excel. Learn more: https://go.microsoft.com/fwlink/?linkid=870924
Comment:
    Continues 3rd, 4th, 5th, 6th, 9th, 10th, 11th, 12th</t>
      </text>
    </comment>
    <comment ref="C927" authorId="28" shapeId="0" xr:uid="{7991F5CA-1773-4F26-A062-1FD91CA1B0BA}">
      <text>
        <t>[Threaded comment]
Your version of Excel allows you to read this threaded comment; however, any edits to it will get removed if the file is opened in a newer version of Excel. Learn more: https://go.microsoft.com/fwlink/?linkid=870924
Comment:
    Continues on the 13th</t>
      </text>
    </comment>
    <comment ref="C930" authorId="29" shapeId="0" xr:uid="{65CE6337-815D-41E3-BA84-56ABEA3ACAD8}">
      <text>
        <t>[Threaded comment]
Your version of Excel allows you to read this threaded comment; however, any edits to it will get removed if the file is opened in a newer version of Excel. Learn more: https://go.microsoft.com/fwlink/?linkid=870924
Comment:
    Continues the 18th, 19th, 20th, 22nd, 24th, 25th, 26th.</t>
      </text>
    </comment>
    <comment ref="D932" authorId="30" shapeId="0" xr:uid="{D50A2FF6-5D58-47A0-96ED-52A900280056}">
      <text>
        <t>[Threaded comment]
Your version of Excel allows you to read this threaded comment; however, any edits to it will get removed if the file is opened in a newer version of Excel. Learn more: https://go.microsoft.com/fwlink/?linkid=870924
Comment:
    Full citation:
Belgrove, William. Drax, Henry A treatise upon husbandry or planting. By William Belgrove. A regular bred, and long experienc'd planter, of the island of Barbados. ; And may be of great use to the planters of all the West-India Islands. Instructions for the management of Drax-Hall.
Boston: New-England,: Printed by D. Fowle in Ann-Street, near the town-dock., 1755.</t>
      </text>
    </comment>
    <comment ref="C935" authorId="31" shapeId="0" xr:uid="{710F7439-CFE5-41D7-8BCB-762EC79C716E}">
      <text>
        <t>[Threaded comment]
Your version of Excel allows you to read this threaded comment; however, any edits to it will get removed if the file is opened in a newer version of Excel. Learn more: https://go.microsoft.com/fwlink/?linkid=870924
Comment:
    August 31 same work.</t>
      </text>
    </comment>
    <comment ref="D937" authorId="32" shapeId="0" xr:uid="{3265F852-FCC6-40DE-AA14-379D4AD6892E}">
      <text>
        <t>[Threaded comment]
Your version of Excel allows you to read this threaded comment; however, any edits to it will get removed if the file is opened in a newer version of Excel. Learn more: https://go.microsoft.com/fwlink/?linkid=870924
Comment:
    Did the same thing for the next 2 days.</t>
      </text>
    </comment>
    <comment ref="C943" authorId="33" shapeId="0" xr:uid="{C8A925E5-9568-4370-833E-820EA0F277FE}">
      <text>
        <t>[Threaded comment]
Your version of Excel allows you to read this threaded comment; however, any edits to it will get removed if the file is opened in a newer version of Excel. Learn more: https://go.microsoft.com/fwlink/?linkid=870924
Comment:
    Also the 11th.</t>
      </text>
    </comment>
    <comment ref="C970" authorId="34" shapeId="0" xr:uid="{753092A2-64D3-4DD1-BFB8-2D8BB19E544C}">
      <text>
        <t>[Threaded comment]
Your version of Excel allows you to read this threaded comment; however, any edits to it will get removed if the file is opened in a newer version of Excel. Learn more: https://go.microsoft.com/fwlink/?linkid=870924
Comment:
    Same work on the 5th, 6th, 7th, 8th, 9th, 10th, 11th.</t>
      </text>
    </comment>
    <comment ref="C992" authorId="35" shapeId="0" xr:uid="{9A3A3B30-08D7-4BC0-A579-0B9453B1819D}">
      <text>
        <t>[Threaded comment]
Your version of Excel allows you to read this threaded comment; however, any edits to it will get removed if the file is opened in a newer version of Excel. Learn more: https://go.microsoft.com/fwlink/?linkid=870924
Comment:
    Same work on 20th, 21st, and 22nd</t>
      </text>
    </comment>
    <comment ref="D993" authorId="36" shapeId="0" xr:uid="{67447DDD-3F62-493E-A841-F7E83AA653E0}">
      <text>
        <t>[Threaded comment]
Your version of Excel allows you to read this threaded comment; however, any edits to it will get removed if the file is opened in a newer version of Excel. Learn more: https://go.microsoft.com/fwlink/?linkid=870924
Comment:
    Original text citation: Ephraim Chambers’ Cyclopædia:or, An Universal Dictionary of Arts and Sciences. London, UK: D. Midwinter, 1741</t>
      </text>
    </comment>
    <comment ref="C996" authorId="37" shapeId="0" xr:uid="{72FE9E06-5175-4619-97C6-1EF02C048C29}">
      <text>
        <t>[Threaded comment]
Your version of Excel allows you to read this threaded comment; however, any edits to it will get removed if the file is opened in a newer version of Excel. Learn more: https://go.microsoft.com/fwlink/?linkid=870924
Comment:
    Same work on the 25th, 26th, 27th</t>
      </text>
    </comment>
    <comment ref="C1010" authorId="38" shapeId="0" xr:uid="{39626BC7-394C-4DF5-AEB5-588944E667A3}">
      <text>
        <t>[Threaded comment]
Your version of Excel allows you to read this threaded comment; however, any edits to it will get removed if the file is opened in a newer version of Excel. Learn more: https://go.microsoft.com/fwlink/?linkid=870924
Comment:
    Same work on the 6th.</t>
      </text>
    </comment>
    <comment ref="C1017" authorId="39" shapeId="0" xr:uid="{FCF581B4-475F-4E75-A698-C04171F80892}">
      <text>
        <t>[Threaded comment]
Your version of Excel allows you to read this threaded comment; however, any edits to it will get removed if the file is opened in a newer version of Excel. Learn more: https://go.microsoft.com/fwlink/?linkid=870924
Comment:
    Same work on the 12th.</t>
      </text>
    </comment>
    <comment ref="C1022" authorId="40" shapeId="0" xr:uid="{18A4914C-5B1C-4F23-AFD3-CD903703A5F5}">
      <text>
        <t>[Threaded comment]
Your version of Excel allows you to read this threaded comment; however, any edits to it will get removed if the file is opened in a newer version of Excel. Learn more: https://go.microsoft.com/fwlink/?linkid=870924
Comment:
    Same work on 16th, 17th, 18th and 19th.</t>
      </text>
    </comment>
    <comment ref="A1023" authorId="41" shapeId="0" xr:uid="{F40E7589-C8DA-41C6-AC7B-7FAF2ACAF6EA}">
      <text>
        <t>[Threaded comment]
Your version of Excel allows you to read this threaded comment; however, any edits to it will get removed if the file is opened in a newer version of Excel. Learn more: https://go.microsoft.com/fwlink/?linkid=870924
Comment:
    This is all labor Egypt Lucy performed while she was pregnant with Little Quashe.</t>
      </text>
    </comment>
    <comment ref="C1038" authorId="42" shapeId="0" xr:uid="{AFC047A0-55DE-48F8-A959-FA4F4F07CA5F}">
      <text>
        <t>[Threaded comment]
Your version of Excel allows you to read this threaded comment; however, any edits to it will get removed if the file is opened in a newer version of Excel. Learn more: https://go.microsoft.com/fwlink/?linkid=870924
Comment:
    Same work on 30th, 31st, Nov. 1st, 2nd, 3rd.</t>
      </text>
    </comment>
    <comment ref="C1045" authorId="43" shapeId="0" xr:uid="{8CC835CF-53E5-46ED-85ED-80287FB9A5C3}">
      <text>
        <t>[Threaded comment]
Your version of Excel allows you to read this threaded comment; however, any edits to it will get removed if the file is opened in a newer version of Excel. Learn more: https://go.microsoft.com/fwlink/?linkid=870924
Comment:
    Same work on the 6th, 7th, and 8th.</t>
      </text>
    </comment>
    <comment ref="C1049" authorId="44" shapeId="0" xr:uid="{4E2AB9BA-F60B-4F89-B625-4BD0C37CC7EE}">
      <text>
        <t>[Threaded comment]
Your version of Excel allows you to read this threaded comment; however, any edits to it will get removed if the file is opened in a newer version of Excel. Learn more: https://go.microsoft.com/fwlink/?linkid=870924
Comment:
    Same work on 13th, 14th, 15th, and 16th.</t>
      </text>
    </comment>
    <comment ref="D1058" authorId="45" shapeId="0" xr:uid="{4B1EFFE2-B440-4BD5-BA95-664CB7843851}">
      <text>
        <t>[Threaded comment]
Your version of Excel allows you to read this threaded comment; however, any edits to it will get removed if the file is opened in a newer version of Excel. Learn more: https://go.microsoft.com/fwlink/?linkid=870924
Comment:
    Same work on 21st, 22nd, and 23rd.</t>
      </text>
    </comment>
    <comment ref="D1104" authorId="46" shapeId="0" xr:uid="{9A921816-38D8-47FF-A76C-28E7381D891B}">
      <text>
        <t>[Threaded comment]
Your version of Excel allows you to read this threaded comment; however, any edits to it will get removed if the file is opened in a newer version of Excel. Learn more: https://go.microsoft.com/fwlink/?linkid=870924
Comment:
    Also on 6, 10, 12, 14, 15, 17, 18, 19, 20-25th</t>
      </text>
    </comment>
    <comment ref="D1112" authorId="47" shapeId="0" xr:uid="{A7106022-D9C4-4023-80C5-813143156FEF}">
      <text>
        <t>[Threaded comment]
Your version of Excel allows you to read this threaded comment; however, any edits to it will get removed if the file is opened in a newer version of Excel. Learn more: https://go.microsoft.com/fwlink/?linkid=870924
Comment:
    Little Quashe's swaddling cloth</t>
      </text>
    </comment>
    <comment ref="D1202" authorId="48" shapeId="0" xr:uid="{45AA588F-3AFB-4169-95BE-D8BF9EB480C9}">
      <text>
        <t>[Threaded comment]
Your version of Excel allows you to read this threaded comment; however, any edits to it will get removed if the file is opened in a newer version of Excel. Learn more: https://go.microsoft.com/fwlink/?linkid=870924
Comment:
    Twice as much as everyone else on 4/3 of this same year.</t>
      </text>
    </comment>
    <comment ref="D1209" authorId="49" shapeId="0" xr:uid="{E09FFEED-1107-455A-882E-E621DC283E63}">
      <text>
        <t>[Threaded comment]
Your version of Excel allows you to read this threaded comment; however, any edits to it will get removed if the file is opened in a newer version of Excel. Learn more: https://go.microsoft.com/fwlink/?linkid=870924
Comment:
    So June 15, 1762</t>
      </text>
    </comment>
    <comment ref="D1213" authorId="50" shapeId="0" xr:uid="{A1052E0E-9D98-4A5E-890C-F92FC2D3A819}">
      <text>
        <t>[Threaded comment]
Your version of Excel allows you to read this threaded comment; however, any edits to it will get removed if the file is opened in a newer version of Excel. Learn more: https://go.microsoft.com/fwlink/?linkid=870924
Comment:
    She's being sent on a mule and with a male escort; she can also buy things.)</t>
      </text>
    </comment>
    <comment ref="D1218" authorId="51" shapeId="0" xr:uid="{3E25DD2E-F09E-4C47-8461-B1FD84ED70CB}">
      <text>
        <t>[Threaded comment]
Your version of Excel allows you to read this threaded comment; however, any edits to it will get removed if the file is opened in a newer version of Excel. Learn more: https://go.microsoft.com/fwlink/?linkid=870924
Comment:
    She was supposed to be pregnant/giving birth...</t>
      </text>
    </comment>
    <comment ref="D1306" authorId="52" shapeId="0" xr:uid="{51272558-EDEE-4BAD-AAB2-87AB058E364C}">
      <text>
        <t>[Threaded comment]
Your version of Excel allows you to read this threaded comment; however, any edits to it will get removed if the file is opened in a newer version of Excel. Learn more: https://go.microsoft.com/fwlink/?linkid=870924
Comment:
    Repeats routine for 2/23-2/27, and 3/14</t>
      </text>
    </comment>
    <comment ref="D1310" authorId="53" shapeId="0" xr:uid="{F65DB4C4-32D0-497A-A0EA-48BC853D4C89}">
      <text>
        <t>[Threaded comment]
Your version of Excel allows you to read this threaded comment; however, any edits to it will get removed if the file is opened in a newer version of Excel. Learn more: https://go.microsoft.com/fwlink/?linkid=870924
Comment:
    Day after Silvia's death and/or burial</t>
      </text>
    </comment>
    <comment ref="D1311" authorId="54" shapeId="0" xr:uid="{680D1F1D-DF1B-46F9-99D6-9E44A7F0622E}">
      <text>
        <t>[Threaded comment]
Your version of Excel allows you to read this threaded comment; however, any edits to it will get removed if the file is opened in a newer version of Excel. Learn more: https://go.microsoft.com/fwlink/?linkid=870924
Comment:
    4 Days after Silvia's death and/or burial</t>
      </text>
    </comment>
    <comment ref="D1352" authorId="55" shapeId="0" xr:uid="{91292226-88AE-43F6-AC7F-0F505E82F86B}">
      <text>
        <t>[Threaded comment]
Your version of Excel allows you to read this threaded comment; however, any edits to it will get removed if the file is opened in a newer version of Excel. Learn more: https://go.microsoft.com/fwlink/?linkid=870924
Comment:
    Coobah can read and write.</t>
      </text>
    </comment>
    <comment ref="D1365" authorId="56" shapeId="0" xr:uid="{96784B6C-FDC4-4595-B713-CC697A94DC49}">
      <text>
        <t>[Threaded comment]
Your version of Excel allows you to read this threaded comment; however, any edits to it will get removed if the file is opened in a newer version of Excel. Learn more: https://go.microsoft.com/fwlink/?linkid=870924
Comment:
    He's off by about three months.</t>
      </text>
    </comment>
    <comment ref="C1382" authorId="57" shapeId="0" xr:uid="{6894F221-55A5-455B-A65E-BDD66A756999}">
      <text>
        <t>[Threaded comment]
Your version of Excel allows you to read this threaded comment; however, any edits to it will get removed if the file is opened in a newer version of Excel. Learn more: https://go.microsoft.com/fwlink/?linkid=870924
Comment:
    Same on the 26th.</t>
      </text>
    </comment>
    <comment ref="D1395" authorId="58" shapeId="0" xr:uid="{DE3DF6EC-D34A-437A-B312-064135A26FDA}">
      <text>
        <t>[Threaded comment]
Your version of Excel allows you to read this threaded comment; however, any edits to it will get removed if the file is opened in a newer version of Excel. Learn more: https://go.microsoft.com/fwlink/?linkid=870924
Comment:
    Escape #1</t>
      </text>
    </comment>
    <comment ref="D1477" authorId="59" shapeId="0" xr:uid="{3C1FEFBF-A2CF-4311-BD8C-20AEBABCD9DD}">
      <text>
        <t>[Threaded comment]
Your version of Excel allows you to read this threaded comment; however, any edits to it will get removed if the file is opened in a newer version of Excel. Learn more: https://go.microsoft.com/fwlink/?linkid=870924
Comment:
    Escape #2</t>
      </text>
    </comment>
    <comment ref="D1480" authorId="60" shapeId="0" xr:uid="{F546D8AA-AA0B-47C7-9B2F-5ED4791C7DCC}">
      <text>
        <t>[Threaded comment]
Your version of Excel allows you to read this threaded comment; however, any edits to it will get removed if the file is opened in a newer version of Excel. Learn more: https://go.microsoft.com/fwlink/?linkid=870924
Comment:
    Escape #3</t>
      </text>
    </comment>
    <comment ref="D1484" authorId="61" shapeId="0" xr:uid="{128EEDAB-161B-4377-BE2B-04D8C098DE47}">
      <text>
        <t>[Threaded comment]
Your version of Excel allows you to read this threaded comment; however, any edits to it will get removed if the file is opened in a newer version of Excel. Learn more: https://go.microsoft.com/fwlink/?linkid=870924
Comment:
    Escape #3</t>
      </text>
    </comment>
    <comment ref="D1488" authorId="62" shapeId="0" xr:uid="{CFC31E54-7615-4A15-9C2E-4E9DE887DE9F}">
      <text>
        <t>[Threaded comment]
Your version of Excel allows you to read this threaded comment; however, any edits to it will get removed if the file is opened in a newer version of Excel. Learn more: https://go.microsoft.com/fwlink/?linkid=870924
Comment:
    Escape #4</t>
      </text>
    </comment>
    <comment ref="D1490" authorId="63" shapeId="0" xr:uid="{3FD1BF95-DDFF-43FF-8581-AC1044DB6459}">
      <text>
        <t>[Threaded comment]
Your version of Excel allows you to read this threaded comment; however, any edits to it will get removed if the file is opened in a newer version of Excel. Learn more: https://go.microsoft.com/fwlink/?linkid=870924
Comment:
    Same on 1, 6, 18, 19, 20, 23, 31 of August.</t>
      </text>
    </comment>
    <comment ref="D1494" authorId="64" shapeId="0" xr:uid="{6A5222D9-AF8B-47B6-9AC0-A1A270802C2C}">
      <text>
        <t>[Threaded comment]
Your version of Excel allows you to read this threaded comment; however, any edits to it will get removed if the file is opened in a newer version of Excel. Learn more: https://go.microsoft.com/fwlink/?linkid=870924
Comment:
    Escape #5</t>
      </text>
    </comment>
    <comment ref="D1495" authorId="65" shapeId="0" xr:uid="{0285FB00-D771-4DF4-8590-176CFA0EEE55}">
      <text>
        <t>[Threaded comment]
Your version of Excel allows you to read this threaded comment; however, any edits to it will get removed if the file is opened in a newer version of Excel. Learn more: https://go.microsoft.com/fwlink/?linkid=870924
Comment:
    Escape #6</t>
      </text>
    </comment>
    <comment ref="D1508" authorId="66" shapeId="0" xr:uid="{20E76B3E-0E1D-4D80-B0D1-8D2EE8559D19}">
      <text>
        <t>[Threaded comment]
Your version of Excel allows you to read this threaded comment; however, any edits to it will get removed if the file is opened in a newer version of Excel. Learn more: https://go.microsoft.com/fwlink/?linkid=870924
Comment:
    Escape #7</t>
      </text>
    </comment>
    <comment ref="D1517" authorId="67" shapeId="0" xr:uid="{258EA82E-10F8-4E55-83F8-DEAAD08DE8A6}">
      <text>
        <t>[Threaded comment]
Your version of Excel allows you to read this threaded comment; however, any edits to it will get removed if the file is opened in a newer version of Excel. Learn more: https://go.microsoft.com/fwlink/?linkid=870924
Comment:
    Escape #8</t>
      </text>
    </comment>
    <comment ref="D1527" authorId="68" shapeId="0" xr:uid="{BB19474A-D1BB-4787-BDD6-4BC68B964DDC}">
      <text>
        <t>[Threaded comment]
Your version of Excel allows you to read this threaded comment; however, any edits to it will get removed if the file is opened in a newer version of Excel. Learn more: https://go.microsoft.com/fwlink/?linkid=870924
Comment:
    Escape #9</t>
      </text>
    </comment>
    <comment ref="D1531" authorId="69" shapeId="0" xr:uid="{8A7BDFA3-FD8A-4010-8C06-3B772D79A9ED}">
      <text>
        <t>[Threaded comment]
Your version of Excel allows you to read this threaded comment; however, any edits to it will get removed if the file is opened in a newer version of Excel. Learn more: https://go.microsoft.com/fwlink/?linkid=870924
Comment:
    Escape #10</t>
      </text>
    </comment>
    <comment ref="D1540" authorId="70" shapeId="0" xr:uid="{3243354F-44F4-4DD2-B138-961BD965585B}">
      <text>
        <t>[Threaded comment]
Your version of Excel allows you to read this threaded comment; however, any edits to it will get removed if the file is opened in a newer version of Excel. Learn more: https://go.microsoft.com/fwlink/?linkid=870924
Comment:
    Escape #11</t>
      </text>
    </comment>
    <comment ref="D1548" authorId="71" shapeId="0" xr:uid="{DFE1DE8B-A143-4F14-9449-E248503F9D04}">
      <text>
        <t>[Threaded comment]
Your version of Excel allows you to read this threaded comment; however, any edits to it will get removed if the file is opened in a newer version of Excel. Learn more: https://go.microsoft.com/fwlink/?linkid=870924
Comment:
    Intestinal parasites</t>
      </text>
    </comment>
    <comment ref="D1561" authorId="72" shapeId="0" xr:uid="{A9C3434B-E3C7-436E-9EFD-7D8292D600C1}">
      <text>
        <t>[Threaded comment]
Your version of Excel allows you to read this threaded comment; however, any edits to it will get removed if the file is opened in a newer version of Excel. Learn more: https://go.microsoft.com/fwlink/?linkid=870924
Comment:
    Escape #12</t>
      </text>
    </comment>
    <comment ref="D1566" authorId="73" shapeId="0" xr:uid="{0463F090-6606-4958-A651-49801A776483}">
      <text>
        <t>[Threaded comment]
Your version of Excel allows you to read this threaded comment; however, any edits to it will get removed if the file is opened in a newer version of Excel. Learn more: https://go.microsoft.com/fwlink/?linkid=870924
Comment:
    Escape #13</t>
      </text>
    </comment>
    <comment ref="C1595" authorId="74" shapeId="0" xr:uid="{86BEB9C9-9D43-44C8-AEE0-BFB4DC318852}">
      <text>
        <t>[Threaded comment]
Your version of Excel allows you to read this threaded comment; however, any edits to it will get removed if the file is opened in a newer version of Excel. Learn more: https://go.microsoft.com/fwlink/?linkid=870924
Comment:
    Same routine for March 31, April 1-4, 6-10, 14-18, 20-30, May 7-8, 11-15</t>
      </text>
    </comment>
    <comment ref="C1618" authorId="75" shapeId="0" xr:uid="{2C421538-89B8-47EE-914E-C24180B563EC}">
      <text>
        <t>[Threaded comment]
Your version of Excel allows you to read this threaded comment; however, any edits to it will get removed if the file is opened in a newer version of Excel. Learn more: https://go.microsoft.com/fwlink/?linkid=870924
Comment:
    Same routine for May 5-7</t>
      </text>
    </comment>
    <comment ref="D1632" authorId="76" shapeId="0" xr:uid="{C60E908E-D3DE-40F5-9DE4-BE67A3EAF63B}">
      <text>
        <t>[Threaded comment]
Your version of Excel allows you to read this threaded comment; however, any edits to it will get removed if the file is opened in a newer version of Excel. Learn more: https://go.microsoft.com/fwlink/?linkid=870924
Comment:
    Nanny d^0 7th-10th</t>
      </text>
    </comment>
    <comment ref="D1637" authorId="77" shapeId="0" xr:uid="{382D2633-8E82-4E23-9E95-08D2911EAB03}">
      <text>
        <t>[Threaded comment]
Your version of Excel allows you to read this threaded comment; however, any edits to it will get removed if the file is opened in a newer version of Excel. Learn more: https://go.microsoft.com/fwlink/?linkid=870924
Comment:
    Phoebe d^0 15th-18th, 20--24, 28-29)</t>
      </text>
    </comment>
    <comment ref="D1638" authorId="78" shapeId="0" xr:uid="{3D39DCCE-A7A8-49E7-931F-E684AF80BE21}">
      <text>
        <t>[Threaded comment]
Your version of Excel allows you to read this threaded comment; however, any edits to it will get removed if the file is opened in a newer version of Excel. Learn more: https://go.microsoft.com/fwlink/?linkid=870924
Comment:
    Zenaida Dove
Grenada Dove</t>
      </text>
    </comment>
    <comment ref="D1658" authorId="79" shapeId="0" xr:uid="{C43CABD5-FBE6-4962-B6B0-440F19249AC2}">
      <text>
        <t>[Threaded comment]
Your version of Excel allows you to read this threaded comment; however, any edits to it will get removed if the file is opened in a newer version of Excel. Learn more: https://go.microsoft.com/fwlink/?linkid=870924
Comment:
    Same routine for 16th, 18th--26, 28-30th."</t>
      </text>
    </comment>
    <comment ref="D1673" authorId="80" shapeId="0" xr:uid="{116C5B71-C5A8-467A-88A4-A3C6B264E8DE}">
      <text>
        <t>[Threaded comment]
Your version of Excel allows you to read this threaded comment; however, any edits to it will get removed if the file is opened in a newer version of Excel. Learn more: https://go.microsoft.com/fwlink/?linkid=870924
Comment:
    ESCAPE #14</t>
      </text>
    </comment>
    <comment ref="D1710" authorId="81" shapeId="0" xr:uid="{44BB159C-96D1-46C4-A8F8-BCB43B280C5A}">
      <text>
        <t>[Threaded comment]
Your version of Excel allows you to read this threaded comment; however, any edits to it will get removed if the file is opened in a newer version of Excel. Learn more: https://go.microsoft.com/fwlink/?linkid=870924
Comment:
    Also provides an illustration</t>
      </text>
    </comment>
    <comment ref="C1755" authorId="82" shapeId="0" xr:uid="{BC302D34-B24D-44DA-A9D1-385E8D62B8EC}">
      <text>
        <t>[Threaded comment]
Your version of Excel allows you to read this threaded comment; however, any edits to it will get removed if the file is opened in a newer version of Excel. Learn more: https://go.microsoft.com/fwlink/?linkid=870924
Comment:
    Pages are damaged/out of order in archive.</t>
      </text>
    </comment>
    <comment ref="C1756" authorId="83" shapeId="0" xr:uid="{F65321D0-8E15-4D8B-B453-68B4A3D80BD1}">
      <text>
        <t>[Threaded comment]
Your version of Excel allows you to read this threaded comment; however, any edits to it will get removed if the file is opened in a newer version of Excel. Learn more: https://go.microsoft.com/fwlink/?linkid=870924
Comment:
    Pages are damaged/out of order in archive.</t>
      </text>
    </comment>
    <comment ref="C1757" authorId="84" shapeId="0" xr:uid="{F740CB99-3B7F-463A-B2FF-DA92515BAB6C}">
      <text>
        <t>[Threaded comment]
Your version of Excel allows you to read this threaded comment; however, any edits to it will get removed if the file is opened in a newer version of Excel. Learn more: https://go.microsoft.com/fwlink/?linkid=870924
Comment:
    Pages are damaged/out of order in archive.</t>
      </text>
    </comment>
    <comment ref="D1763" authorId="85" shapeId="0" xr:uid="{A84A7351-F15E-41F6-9CCD-B20B54CB259A}">
      <text>
        <t>[Threaded comment]
Your version of Excel allows you to read this threaded comment; however, any edits to it will get removed if the file is opened in a newer version of Excel. Learn more: https://go.microsoft.com/fwlink/?linkid=870924
Comment:
    Albinos?</t>
      </text>
    </comment>
  </commentList>
</comments>
</file>

<file path=xl/sharedStrings.xml><?xml version="1.0" encoding="utf-8"?>
<sst xmlns="http://schemas.openxmlformats.org/spreadsheetml/2006/main" count="20005" uniqueCount="8376">
  <si>
    <t>PERSON ID</t>
  </si>
  <si>
    <t>EVENT ID</t>
  </si>
  <si>
    <t>ARCHIVE ID(S)</t>
  </si>
  <si>
    <t>NAME</t>
  </si>
  <si>
    <t>DATE(S)</t>
  </si>
  <si>
    <t>RELATION 'A' NAME</t>
  </si>
  <si>
    <t>EVENT DESCRIPTION</t>
  </si>
  <si>
    <t>OTHER NAMES</t>
  </si>
  <si>
    <t>PERSON IDS</t>
  </si>
  <si>
    <t>ETHNICITY/NATIONALITY</t>
  </si>
  <si>
    <t>NAMES</t>
  </si>
  <si>
    <t>PHYSICAL DESCRIPTORS</t>
  </si>
  <si>
    <t>ALT. NAMES</t>
  </si>
  <si>
    <t>LOCATION(S)</t>
  </si>
  <si>
    <t>NAMES/PERSON IDS</t>
  </si>
  <si>
    <t>LOCATION IDS</t>
  </si>
  <si>
    <t>BIOGRAPHICAL INFORMATION</t>
  </si>
  <si>
    <t>RELATIONSHIP</t>
  </si>
  <si>
    <t>EVENT TYPE</t>
  </si>
  <si>
    <t>ALTERNATE NAMES</t>
  </si>
  <si>
    <t>RELATION IDS</t>
  </si>
  <si>
    <t>RELATION 'B' NAME</t>
  </si>
  <si>
    <t>LOCATION</t>
  </si>
  <si>
    <t>LOCATION ID</t>
  </si>
  <si>
    <t>VLOOKUP</t>
  </si>
  <si>
    <t>TIME OF DAY (AM/PM)</t>
  </si>
  <si>
    <t>WEATHER</t>
  </si>
  <si>
    <t>SPECIAL SKILL</t>
  </si>
  <si>
    <t>P1</t>
  </si>
  <si>
    <t>MOLIA</t>
  </si>
  <si>
    <t>COOBAH
CUBBAH</t>
  </si>
  <si>
    <t>EBO</t>
  </si>
  <si>
    <t>4'6 INCHES HIGH (1761)
'TT' IN DOWNWARD TRIANGLE BRAND ON HER RIGHT SHOULDER (1761)
BRAND ON HER FOREHEAD (1770)
CHAIN/COLLAR MARKS AND SCARS ON HER NECK/SHOULDERS
SCARS FROM REPEATED FLOGGINGS</t>
  </si>
  <si>
    <t>EGYPT ESTATE (1761-1767)
BREADNUT ISLAND PEN (1767-1774)</t>
  </si>
  <si>
    <t>L1; L3</t>
  </si>
  <si>
    <t>COOBAH</t>
  </si>
  <si>
    <t>Molia first appeared in the diary in December of 1761. Thistlewood purchased her in a group sale of five other Africans from a trader for 50 pounds. Upon her arrival to Egypt estate, he paired her with an enslaved fieldwoman named Wonga (also known as Princess) to be 'seasoned'. One week after her purchase, he put her to work in Egypt's fields.
 Four years following her purchase, Molia gave birth to a mixed race baby girl named Silvia. When Silvia was fifteen months old, Thistlewood hired Molia to labor on Masemure, a neighboring sugar plantation. He forced her to leave Silvia behind and in the care of Nanny, another enslaved mother of a little girl named Little Phibbah who was the same age as Silvia. Shortly after their separation, Silvia fell sick and died. 
Molia was never the same following Silvia's death. She never had any more children, and and she also refused to stay in place. Over the course of the next six years, she would run away no less than fourteen times. The seventh of these escapes was to a place called Bluefields Bay, to see a person Molia herself identified as a "Shipmate," a person who had survived the Middle Passage voyage with her to Jamaica. The fourteenth of these escapes (and the last that she would make in Jamaica) was to an estate called Paradise; it was the same estate where Molia had been sent to give birth to Silvia. 
Following this fourteenth recapture, Thistlewood sold Molia to another slave owner, who transported her away from Jamaica, and to the British colony of Savannah. Georgia.</t>
  </si>
  <si>
    <t>MOTHER OF</t>
  </si>
  <si>
    <t>SILVIA</t>
  </si>
  <si>
    <t>E34</t>
  </si>
  <si>
    <t>P2</t>
  </si>
  <si>
    <t>IMG 150, P.294-295</t>
  </si>
  <si>
    <t>May 2, 1750</t>
  </si>
  <si>
    <t>HALF EBO
MOST LIKELY MIXED RACE</t>
  </si>
  <si>
    <t>"I think Port Royal has somewhat a grander look in the streets than Kingston"</t>
  </si>
  <si>
    <t>FAIRSKINNED;'MULATTO' (1766)</t>
  </si>
  <si>
    <t>THE OVERSEER (P43)</t>
  </si>
  <si>
    <t>EGYPT ESTATE (1766)
BREADNUT ISLAND PEN (1767-1768)</t>
  </si>
  <si>
    <t>THE OVERSEER</t>
  </si>
  <si>
    <t>Silvia was born on November 12, 1766. Her mother was Molia, an "Ebo" woman presumed to have been 15 at the time of her capture into the slave trade, and 20 at the time of her birth. Silvia's father was never identified, although he was presumed by Thistlewood to have been a white man. Her mother was assisted in the delivery by an enslaved grannie named Paradise Quasheba. For the first fifteen months of her life Silvia lived with her mother, and another enslaved young African woman named Peggy. 
In the winter of 1768, Thistlewood contracted Molia out to labor on a neighboring sugar estate named Masemure. He forced Molia to leave Silvia behind and in the care of another enslaved woman named Nanny, who also had a 1 year old daughter named Little Phibbah. Several months after her mother's departure, Silvia became sick of an unknown illness, and died at just fifteen months old.</t>
  </si>
  <si>
    <t>P43</t>
  </si>
  <si>
    <t>P3</t>
  </si>
  <si>
    <t>EGYPT LUCY</t>
  </si>
  <si>
    <t>?</t>
  </si>
  <si>
    <t>EGYPT ESTATE (1750-1772)</t>
  </si>
  <si>
    <t>L1</t>
  </si>
  <si>
    <t>HOUSEMATE OF</t>
  </si>
  <si>
    <t>PEGGY</t>
  </si>
  <si>
    <t>P19</t>
  </si>
  <si>
    <t>Egypt Lucy was an Afro-Creole woman who labored on Egypt Estate's First gang for much of her life.
She had two primary domestic partners: Daniel, a skilled enslaved laborer who lived on Egypt, and Mason Quashe a skilled enslaved laborer who belonged to Elizabeth Anderson--the quadroon mistress of William Dorrill, Thistlewood's first employer-- and who was a regular visitor at Egypt to perform various tasks of carpentry, masonry, and even supervision of the First Gang. 
Between 1750 and her death in 1772, Egypt Lucy had three confirmed pregnancies: one in October 1754 to her daughter Julina with Daniel, the second in August of 1758 to an unnamed son (presumably also with Daniel) who died at just 5 days old, and the third in November of 1759 to a son who was named Little Quashe (presumably after his father, Mason Quashe).
In May 1760, Egypt became the wet nurse to John, the son of Egypt's housekeeper and Thistlewood. This seemed to mark the beginining of a strong and lasting friendship between not only Egypt Lucy and Phibbah, but between Egypt Lucy and Phibbah's broader social network of enslaved domestic workers. This circle included Phibbah's sister, Nancy,her daughter Accubah, an enslaved healer woman named Vine, and another enslaved domestic worker called House Franke. Together, the six women formed an agricutural co-op of sorts, pooling the money and resources they earned through the selling of goods they raised from their provison grounds, their raising of livestock, and from sewing work they were contracted to perform for whites. They intended the funds to be used to purchase at least one of each other's freedom.
Egypt Lucy was relatively prosperous as a enslaved business woman; such that in 1769, she along with Phibbah, and House Franke gave Thistlewood a 27 pound loan to help him in his transition from Egypt's overseer to an independeny penkeeper of a property called Breadnut Island Pen. EGypt Lucy would als give Thistlewood a second personal loan of 10 pounds; he would go on to repay both loans within about a year. 
Following her stint as John's wetnurse, Egypt Lucy continued to act as a care provider and parental influence for both Phibbah's children. When Phibbah and Thistlewood moved away from Egypt and left John behind, they entrusted EGypt Lucy to escort him to their newhome on Breadnut Islabd Pen for visits. Egypt Lucy also kept abreast of the day-to-day and night-to-night activities of Phibbah's daughter Accubah--including her covert fasincination and involvement in the secret Myal society.
On multiple occasions throughout the years, Egypt Lucy was chosen by her white masters to be a 'seasoner,' a role designed for mostly Afro-Creole enslaved men and women who had either been born or resided in Jamaica for extended periods of time to acclimate/'season' newly arrived Africans to their new realities. In December of 1761, after purchasing 6 new Africans from a slave trader named John Hutt, Thistlewood tasked Egpyt Lucy with being the seasoner of a young African girl included in this sale named Ogo (he would rename her Maria). In November of 1766, Ogo would give birth to her first child: a daughter named Lucy.
In July 1770, shortly following Molia's fourth escape from and return to Breadnut Island Pen, Egypt Lucy paid a visit to the pen, where she interrupted Thistlewood's attempt to punish Molia by confining her to a set of bilboes, convincing him not to.
As a field laborer, Egypt Lucy was frequently in poor health. In June of 1772, she died. Phibbah and a 12 year old John attended her funeral and burial.</t>
  </si>
  <si>
    <t>GEOGRAPHY/TERRAIN</t>
  </si>
  <si>
    <t>THOMAS THISTLEWOOD</t>
  </si>
  <si>
    <t>PORT ROYAL</t>
  </si>
  <si>
    <t>L25</t>
  </si>
  <si>
    <t>P4</t>
  </si>
  <si>
    <t>JULINA</t>
  </si>
  <si>
    <t>EGYPT ESTATE (1750--?)</t>
  </si>
  <si>
    <t xml:space="preserve">Julina was born in October of 1754 on Egypt Estate. Her mother was Egypt Lucy, an enslaved and Afro-Creole member Egypt estate's first gang. Her father was Daniel, an enslaved skilled laborer who also lived on Egypt. 
In August of 1758, Julina's mother Egypt Lucy gave birth to an unnamed baby boy, Julina's brother, who died at 5 days old. The following year, in November of 1759, Egypt Lucy was sent away from Egypt to a neighboring estate called Paradise, where she gave birth to another son, Julina's second brother, who was named Little Quashe. Julina fell sick while her mother was away, but soon recovered. Little Quashe and Egypt Lucy returned to Egypt in January of 1760, where they would continue as one nuclear household.
In October of 1766, Julina would, for reasons unspecified by Thistlewood, accompany Molia to Paradise for her lying in period before she gave birth to Silvia in November of that same year.
In December of 1770, Julina became the mistress/concubine of a white man named Robert Parker, a friend of Thistlewood's. </t>
  </si>
  <si>
    <t>AM</t>
  </si>
  <si>
    <t>E1</t>
  </si>
  <si>
    <t>IMG 178, P.172</t>
  </si>
  <si>
    <t>SHIPMATE OF</t>
  </si>
  <si>
    <t>SHIPMATE</t>
  </si>
  <si>
    <t>P23</t>
  </si>
  <si>
    <t>P5</t>
  </si>
  <si>
    <t>LITTLE QUASHE</t>
  </si>
  <si>
    <t>July 7, 1766</t>
  </si>
  <si>
    <t>EGYPT ESTATE (1759--?)</t>
  </si>
  <si>
    <t>E35</t>
  </si>
  <si>
    <t>Little Quashe was born in November of 1759, the son of Egypt Lucy, a field laborer of Egypt Estate and Mason Quashe, a skilled enslaved laborer who belonged to Elizabeth Anderson--the quadroon mistress of William Dorrill, Thistlewood's first employer-- and who was a regular visitor at Egypt to perform various tasks of carpentry, masonry, and even supervision of the First Gang. He was half-brother to Julina, Egypt Lucy's first daughter. 
Like many children of his time and place, Little Quashe was frequently ill. He was cared for by his mother, as well as by his mother's close friends, Phibbah (the housekeeper of Egypt Estate), and Vine, an enslaved woman, healer and storyteller from a neighboring estate.</t>
  </si>
  <si>
    <t>"As my Nanny begins to be big, sent her to Paradise to lye in, as Mrs. Cope is so good as to promise to take care of any I send."</t>
  </si>
  <si>
    <t>IMG 152, P.298-299</t>
  </si>
  <si>
    <t>NANNY 
THE PLANTER'S WIFE</t>
  </si>
  <si>
    <t>May 11, 1750</t>
  </si>
  <si>
    <t>P15
P45</t>
  </si>
  <si>
    <t>"Mr. Dorrill's house is pleasantly situated about 1/4 off [sic] a mile from the sea and about 2 1/2 or 3 mile from Savanna la Mar, to the east, paved with wood, backed with stone or more properly lined has port holes for deffence [sic]. Wood columns on East side near Salt River."</t>
  </si>
  <si>
    <t xml:space="preserve">IGBO </t>
  </si>
  <si>
    <t>OGO</t>
  </si>
  <si>
    <t>P13</t>
  </si>
  <si>
    <t>P6</t>
  </si>
  <si>
    <t>ABBA</t>
  </si>
  <si>
    <t>AFRICAN</t>
  </si>
  <si>
    <t>SALT RIVER ESTATE</t>
  </si>
  <si>
    <t>L4</t>
  </si>
  <si>
    <t>EGYPT ESTATE (1758--1767)
BREADNUT ISLAND PEN (1767-1786)</t>
  </si>
  <si>
    <t>Abba was an enslaved African young woman, first appearing in the diary in Februaryof 1758 when she was purchased by Thistlewood from a slave trader named John Parkinson for 46 pounds. Thistlewood intended for her to be a domestic worker, setting her to train in the cookroom with Egypt's housekeeper Phibbah, then hiring her out to other white neighbors throughout the parish.
Abba would have several domestic/sexual partners over the course of the twenty eight years she appears in the diaries. The first of these was Hazat, a driver who belonged to William Mould, an owner of a neighboring plantation. Another was Cudjoe, an enslaved fieldhand who belonged to John Rickett, one of Thistlewood's friends. A third was Neptune, an enslaved man who belonged to a Savanna la Mar tavern owner and another of Thistlewood's friends, Thomas Emotson. A fourth was Lincoln, the very first enslaved person Thistlewood ever purcahsed.
Abba was unique among the many enslaved women who appear in the diairies in the sense that was extremely fertile, having a total of thirteen pregnancies over the span of twenty eight years. Ten of these resulted in live births, one in a stillbirth. Of these ten children, six (Including Johnie, Neptune, Jenny, Mary)survived their first year of life  and four survived until at least 1786, the year of Thistlewood's death and the last year of the diary records.
Abba and her children's living arrangements fluctuated usually depending upon who her current sexual/domestic partner was, but for a period of time in 1767, she and Mary, Johnie and Neptune lived with Sally, a Congo woman who Thistlewood had first purchased as a 8 or 9 year old child in 1762.
Abba was known to tell the Anansi spider stories that she had learned from her homeland alongside Vine, an enslaved domestic woman and healer from a neighboring plantation called Cabaritta Estate.
Abba would be one of the enslaved people on Breadnut Island Pen who would go on to outlive Thistlewood following his death in 1786. In a 1787 appraisal of his human property, her age was described as "unknown", and she was valued at 40 pounds.</t>
  </si>
  <si>
    <t>PREGNANCY/BIRTH</t>
  </si>
  <si>
    <t>MOLLY COPE</t>
  </si>
  <si>
    <t>CAREGIVER OF/FOR</t>
  </si>
  <si>
    <t>L2</t>
  </si>
  <si>
    <t>P7</t>
  </si>
  <si>
    <t>PHIBBAH</t>
  </si>
  <si>
    <t>PHIB; PHIBBAH</t>
  </si>
  <si>
    <t>EGYPT ESTATE (?--1767)
PARADISE ESTATE
SALT RIVER ESTATE
BREADNUT ISLAND PEN (1767-1786)</t>
  </si>
  <si>
    <t>L1; L2; L3; L4</t>
  </si>
  <si>
    <t>E36</t>
  </si>
  <si>
    <t>May 15, 1750</t>
  </si>
  <si>
    <t>Phibbah was the Afro-Creole housekeeper of Egypt Estate. She was owned by Molly Cope, the wife of John Cope, Thistlewood's employer. A prominent and influential figure among the broader enslaved communit, Phibbah often leveraged that influence to gain relative material and social benefits for herself, her children and her other loved ones.
Phibbah was very close with a sister named Nancy who lived on a neighboring plantation and very frequently visited her.
Phibbah had an unnamed enslaved husband, but this relationship was soon displaced by the sexual/domestic relationship she would strike up with Thistlewood that would last for over three decades, ending only in his death in 1786. Although he was never monogamous, Thistlewood referred to Phibbah as his "wife".
The diaries depict Phibbah as having three confirmed pregnancies/children. The first was a daughter named Accubah [unknown date of birth and father; also called Coobah and later Jenny Young], a stillborn boy [with John Cope, born ] and John [her son with Thistlewood who lived to the age of 20].
Phibbah had a tight knit circle of friends, most of whom were enslaved women domestic laborers. These included her sister Nancy, her daughter Accubah, domestic laborer and healer Vine, and domestic laborer House Franke. Following the birth of her son John in 1760, she also became very close friends with an enslaved field woman of Egypt estate called Egypt Lucy who served as John's wetnurse. Phibbah often visited with Egypt Lucy, cared for her son Little Quashe when he was will. She also brought Egypt Lucy into the agricultural co-op network that she had formed with her sister, daughter and other friends. Together, the six women pooled the money and resources they earned through the selling of goods they raised from their provison grounds, their raising of livestock, and from sewing work they were contracted to perform for whites. They intended the funds to be used to purchase at least one of each other's freedom.
Phibbah was a very prosperous businesswoman and in 1769, she along with Egypt Lucy, and House Franke gave Thistlewood a 27 pound loan to help him in his transition from Egypt's overseer to an independent penkeeper of a property called Breadnut Island Pen-- a loan that he would return about a year or so later. It was one of several loans she would give to them him throughout their relationship.
Phibbah outlived Thistlewood, and was granted her freedom following his death in 1786.</t>
  </si>
  <si>
    <t>"Many runaway Negroes took up, Mr. Dorrill had his own whipp'd severely and rubb'd with pepper, salt, and lime juice."</t>
  </si>
  <si>
    <t>WILLIAM DORRILL (P75)</t>
  </si>
  <si>
    <t>WILLIAM DORRILL</t>
  </si>
  <si>
    <t>P75</t>
  </si>
  <si>
    <t>PUNISHMENT/VIOLENCE</t>
  </si>
  <si>
    <t>P8</t>
  </si>
  <si>
    <t>NANCY</t>
  </si>
  <si>
    <t>GARDENER</t>
  </si>
  <si>
    <t>PARADISE ESTATE (1750-1786)</t>
  </si>
  <si>
    <t xml:space="preserve">Nancy was an Afro-Creole domestic laborer who lived on/moved between Egypt estate, as well as Paradise estate (another plantation owned by John Cope. She was the sister of Phibbah, Egypt's housekeeper, and aunt to Phibbah's two children, Accubah [also known as Coobah and later Jenny Young] and John.
The diaries confirm Nancy as having two pregnancies; one in  to a boy named Davie who fell sick snd died in 1756, and another in 1757 to a girl who was born dead.
Like Phibbah, Nancy held relative measures of material and social privilege. She held multiple 'balls' that her sister and other domestic enslaved labrers and whites attended. She was able to 'rent' out the labor of an enslaved Egypt fieldwoman named Rose to assist her in caring for Davie when he was ill. In the aftermath of Davie's death, Nancy held a "play" (funeral) for Davie that lasted for two days/nights.
Nancy was close friends with her sister Phibbah, as well as a broader circle of friends that included ncluded her sister Phibbah, her niece Accubah, domestic laborer and healer Vine, domestic laborer House Franke, and fieldwoman Egypt Lucy. Together, the six women pooled the money and resources they earned through the selling of goods they raised from their provison grounds, their raising of livestock, and from sewing work they were contracted to perform for whites. They intended the funds to be used to purchase at least one of each other's freedom (notably, Nancy's).
</t>
  </si>
  <si>
    <t>P9</t>
  </si>
  <si>
    <t>JOHN</t>
  </si>
  <si>
    <t>MULATTO JOHN
PHIBBAH'S JOHN</t>
  </si>
  <si>
    <t>MIXED RACE</t>
  </si>
  <si>
    <t>IMG 263, P.266</t>
  </si>
  <si>
    <t>FAIR SKINNED; 'MULATTO'</t>
  </si>
  <si>
    <t>EGYPT ESTATE (1760)
MRS BENNETT'S</t>
  </si>
  <si>
    <t>L1; L18</t>
  </si>
  <si>
    <t>October 27, 1766</t>
  </si>
  <si>
    <t>"Sent my Coobah to Paradise along with Julina, as she begins to be very big."</t>
  </si>
  <si>
    <t>E37</t>
  </si>
  <si>
    <t xml:space="preserve">John was the mixed race son of Phibbah, the housekeeper of Egypt Estate, and Thomas Thistlewood, Egypt's overseer and the later owner of Breadnut Island Pen. Although he assumed paternal and financial support for him, Thistlewood never directly acknowledged paternity of John in the diaries, either referring to him as "Phibbah's child" or "Mulatto John".
John was born in April of 1760 in a difficult birth, assisted by a midwife from Salt River estate called Old Daphne and House Franke, his mother's close friend and business partner. In the days following his birth, John was nursed by an Egypt fieldwoman named Egypt Lucy, who would go on to become one of his mother's closest friends, business partners, and a caregiver for John when his parents moved away from him.
Phibbah secured a promise from Thistlewood in October of 1761 that John would be granted his freedom and in May of 1762, he fulfilled that promise. During the majority of his childhood, the freed John was sent to live in a boarding school for mixed race children where he learned how to read and write, was eventually apprenticed to become a carpenter at the age of 15, and allowed to join in Jamaica's 'colored' militia. One of his childhood friends was James, the son of a mixed race domestic laborer named Little Mimber on a neighboring plantation.
John was not diligent in his apprenticeship, often absenting from work for days on end. He was frequently in debt, and involved in domestic disputes. 
John lived to the age of twenty, then died in September of 1780 of a sudden, putrid stomach infection that turned his fingernails black and shredded his intestines. Phibbah was beside herself with grief, later suspecting that he had been willfully poisoned as a result of a love triangle gone horribly wrong. The death struck a heavy blow to the broader enslaved community, many of whom came to his burial. John’s half-sister Accubah came to stay with their mother for several weeks afterwards. </t>
  </si>
  <si>
    <t>MOLIA(P1); 
JULINA (P4)</t>
  </si>
  <si>
    <t>MOLIA
JULINA</t>
  </si>
  <si>
    <t>P1
P4</t>
  </si>
  <si>
    <t>"20 acres planted with logwood seed, and well minded, in 20 years time or less, would be a pretty fortune for a man."</t>
  </si>
  <si>
    <t>SEASONEE OF</t>
  </si>
  <si>
    <t>P10</t>
  </si>
  <si>
    <t>BREADNUT ISLAND PEN; PARADISE ESTATE</t>
  </si>
  <si>
    <t>P27</t>
  </si>
  <si>
    <t>HOUSE FRANKE</t>
  </si>
  <si>
    <t>GARDENING/AGRICULTURE</t>
  </si>
  <si>
    <t>L3; L2</t>
  </si>
  <si>
    <t>PARADISE ESTATE</t>
  </si>
  <si>
    <t>House Franke was an enslaved domestic laborer who lived on Paradise estate. She was a very close friend of Phibbah [the housekeeper of Egypt estate], Phibbah's sister Nancy, Phibbah's daughter Accubah [also known as Coobah and later, Jenny Young], an enslaved domestic laborer and healer named Vine, and an enslaved Egypt fieldwoman named Egypt Lucy. Together, the six women pooled the money and resources they earned through the selling of goods they raised from their provison grounds, their raising of livestock, and from sewing work they were contracted to perform for whites. They intended the funds to be used to purchase at least one of each other's freedom.
House Franke had a husband named Paradise Jack who (presumably) lived with her at Paradise. 
House Franke was a very frequent visitor to Egypt, and to Breadnut Island Pen to visit with Phibbah. When Phibbah gave birth to John in 1760, House Franke came and stayed at Egypt for several days to assist at her bedside. When Phibbah herself fell ill, House Franke came and stayed with her again to nurse her back to health. Like Egypt Lucy, House Franke also mantained a significant presence in the lives of Phbbah's children (who did not live with her for the majority of the time).
House Franke was a relatively prosperous businessowman and in  1769, she along with Phibbah, and Egypt Lucy gave Thistlewood a 27 pound loan to help him in his transition from Egypt's overseer to an independeny penkeeper of a property called Breadnut Island Pen. He would repay the loan about a year later. House Franke made a second loan to Thistlewood in December of 1770; he repaid it in September of 1771.</t>
  </si>
  <si>
    <t>P11</t>
  </si>
  <si>
    <t>OLD DAPHNE</t>
  </si>
  <si>
    <t>Old Daphne was an enslaved 'grannie' midwife who resided on Salt River Estate. She was called to preside over at least fivw different childbirths over the course of about a decade, including Phibbah, the housekeeper of Egypt estate and three enslaved fieldwomen named Jenny, Anjaw, Mountain Lucy and Sarah.</t>
  </si>
  <si>
    <t>IMG 268, P.271</t>
  </si>
  <si>
    <t>E41</t>
  </si>
  <si>
    <t>November 1, 1766</t>
  </si>
  <si>
    <t>IMG 153, P.300-301</t>
  </si>
  <si>
    <t>P12</t>
  </si>
  <si>
    <t>VINE</t>
  </si>
  <si>
    <t>"This evening my Maria brought to bed of a girl at Paradise estate."</t>
  </si>
  <si>
    <t>May 18, 1750</t>
  </si>
  <si>
    <t>MOST LIKELY AT LEAST HALF AFRICAN</t>
  </si>
  <si>
    <t>"Yesterday a runaway Negroe being dead and buried while we were away. Mr. Dorrill caused him to be took up, his head stuck upon a pole and his body burnt."</t>
  </si>
  <si>
    <t>CABARITTA ESTATE</t>
  </si>
  <si>
    <t>OGO
LITTLE LUCY</t>
  </si>
  <si>
    <t>L8</t>
  </si>
  <si>
    <t>P13
P14</t>
  </si>
  <si>
    <t>Vine was a full blooded African or a first generation Afro-Creole domestic laborer who lived on a neighboring plantation called Cabaritta Estate owned by one of Thistlewood's friends, Samuel Say. She was the daughter of at least one enslaved African parent, a man named Old Pompey who belonged to another of Thistlewood's friends named Jeremiah Meyer and lived on his estate of Meylersfield. When Vine's mother died in 1764, the enslaved community held a "play" (a communal funeral) in her honor.
Vine was involved in various sexual/domestic partnerships over the course of several years, including one with a white man named MacArthur who was employed on the Roaring River estate, and another with a driver named Sam who lived on the property of a Mrs. Sarah Bennett (who would lster sell thistlewood Breadnut Island Pen).
The diary never describes Vine as having any children of her own. However, she was a regular presence in the lives of her friends' children, especially that of her friend Phibbah [the housekeeper of Egypt Estate) and Phibbah's children John and Accubah, and Egypt Lucy's child Little Quashe.
Vine was a very close friend of Phibbah, Phibbah's sister Nancy, an enslaved domestic woman from Paradise Estate named House Franke, and an enslaved field woman from Egypt Estate named Egypt Lucy. Vine, Phibbah and John were relatively privileged as domestic laborers, given leave by their masters to attend various social events througout the parish such as horse races. In a significant departure from most other enslaved people in Jamica who were forced to walk everywhere as their chief means of transportation, Vine owned her own horse named Powder Tail.
Vine was a skilled healer and regularly attended to the sickbeds of enslaved men, women and children when they were ill--especially when they were friends or her friends' children.
Vine was a skilled teller of Anansi spider stories, and frequently came to Egypt in the evenings to tell them to enslaved people and whites alike, sometimes alongside other enslaved Africans like Abba.</t>
  </si>
  <si>
    <t>DAUGHTER OF</t>
  </si>
  <si>
    <t>MARIA</t>
  </si>
  <si>
    <t xml:space="preserve">4'11 INCHES HIGH (1761)
'TT' IN DOWNWARD TRIANGLE BRAND ON HER RIGHT SHOULDER (1761)
</t>
  </si>
  <si>
    <t>EGYPT ESTATE (1761-1767)
BREADNUT ISLAND PEN (1767-1786)</t>
  </si>
  <si>
    <t>Silvia was born on November 12, 1766. Her mother was Molia, an "Ebo" woman presumed to have been 15 at the time of her capture into the slave trade, and 20 at the time of her birth. Silvia's father was never identified, although he was presumed by Thistlewood to have been a white man. For the first fifteen months of her life Silvia lived with her mother, and another enslaved young African woman named Peggy. 
In the winter of 1768, Thistlewood contracted Molia out to labor on a neighboring sugar estate named Masemure. He forced Molia to leave Silvia behind and in the care of another enslaved woman named Nanny, who also had a 1 year old daughter named Little Phibbah. Several months after her mother's departure, Silvia became sick, and died.</t>
  </si>
  <si>
    <t>Ogo first appeared in the diary in December of 1761. Thistlewood purchased her in a group sale of five other Africans from a trader for 50 pounds. Upon her arrival to Egypt estate, he paired her with an enslaved fieldwoman named Egypt Lucy to be 'seasoned'. After renaming her "Maria," a mere one week after her purchase, he put Ogo to work in Egypt's fields.
Five years after her arrival in Jamaica, Ogo gave birth to her first child: a daughter named Lucy. Her father was most likely Solon, an enslaved field laborer  and sometimes driver whom Thistlewood purchased a few months before Ogo. Over the next several years, Ogo would have several more sexual partners/spouses, including another enslaved man at the neighboring Retrieve estate, an enslaved man named Peter owned by another of Thistlewood's friends named Wilson, and an enslaved man from Egypt estate named Cubbena. Thistlewood forced himself upon her sexually several times.
 The diary also confirms Ogo as having two more children: a boy born in 1770 who died at seven days old of tetanus, and another daughter named Rachael  born in 1771 who would die in 1775 at four years old. Her eldest daughter, Lucy would fall sick of stomach pains and convulsions and die in 1777 at the age of ten.
In the years following her captivity, Ogo would act as a nurse/caregiver for Abasse (renamed Will) when he became seriously ill and died in 1767, who was one of the six that Thistlewood purchased in 1761 and was thus likely one of Ogo's shipmates.  
Ogo outlived Thistlewood by the time of his death in 1786. In a 1787 appraisal of his human property, she was estimated to be "about 40 years old) and valued at 50 pounds (the exact same price Thistlewood orginally paid for her in 1761).</t>
  </si>
  <si>
    <t>PM</t>
  </si>
  <si>
    <t>P14</t>
  </si>
  <si>
    <t>LUCY</t>
  </si>
  <si>
    <t>LITTLE LUCY</t>
  </si>
  <si>
    <t>AFRICAN/AT LEAST HALF EBO</t>
  </si>
  <si>
    <t>PARADISE ESTATE (1766)
EGYPT ESTATE (1766-1767)
BREADNUT ISLAND PEN (1767-1777)</t>
  </si>
  <si>
    <t>E44</t>
  </si>
  <si>
    <t>L2; L1; L3</t>
  </si>
  <si>
    <t xml:space="preserve">Little Lucy was born in November of 1766 to Ogo, an "Ebo" young woman and fieldhand and Solon, an African young man and fieldhand on Paradise Estate, both purcahsed by Thistlewood in 1761. Her mother was assisted in the delivery by an enslaved grannie named Paradise Quasheba.
Little Lucy would have two siblings: a brother born in 1770 who died at just seven days old of tetanus, and a younger sister, Rachael, born in 1771 and and who would die in 1775 at four years old.
Little Lucy was often sick, and subject to frequent injuries over her life, but she often was able to recover. In 1777, she became extremely ill of stomach and neck pains for several days before falling into convulsions and dying at the age of ten--a milestone in a time and place when most enslaved children died before reaching the age of two. Solon dug her grave. On the evening of her burial, a moon/lunar rainbow appeared in the sky. </t>
  </si>
  <si>
    <t>"surveyors ought to avoid pitching their forts near old trees, which frequently fall and make great havoc. Many deep and frightful cockpitts in the mountains."</t>
  </si>
  <si>
    <t>IMG 276, P. 279</t>
  </si>
  <si>
    <t>November 12, 1766</t>
  </si>
  <si>
    <t>"My Coobah brought to bed of a girl at Paradise Estate"</t>
  </si>
  <si>
    <t>MOLIA (P1); 
SILVIA (P2)</t>
  </si>
  <si>
    <t>P15</t>
  </si>
  <si>
    <t>MOLIA
SILVIA</t>
  </si>
  <si>
    <t>NANNY</t>
  </si>
  <si>
    <t xml:space="preserve">WILDERNESS </t>
  </si>
  <si>
    <t xml:space="preserve">JULINA </t>
  </si>
  <si>
    <t>L15</t>
  </si>
  <si>
    <t>P1
P2</t>
  </si>
  <si>
    <t>KINGSTON
EGYPT ESTATE
BREADNUT ISLAND PEN</t>
  </si>
  <si>
    <t>L19; L1; L3</t>
  </si>
  <si>
    <t xml:space="preserve">Nanny was an enslaved African young woman purchased by John Cope on Thistlewood's behalf in July of 1761 in Kingston, alongside two other African men: Solon and Caesar, who were also most likely her shipmates. She was presumed to be 21 years old.
Nanny had just one daughter, born in August of 1766 "in the height of bad weather" at a neighboring estate called Paradise. Nanny was assisted in the birth by an enslaved grannie named Paradise Quasheba. Her daughter was named Little Phibbah.
In the Spring of 1768, Nanny was entrusted with caring for Molia's (renaned Coobah) only child Silvia while Molia was hired out to labor on a neighboring plantation. Silvia fell sick while her mother was away and died at 15 months old.
Little Phibbah was often ill througnout her life, and in 1771 she died at age of five after a long and painful bout of stomach worms.
Nanny would be one of the enslaved people on Breadnut Island Pen who would go on to outlive Thistlewood following his death in 1786. In a 1787 appraisal of his human property she was estimated to be "about 47 years old" and valued at 60 pounds. 
</t>
  </si>
  <si>
    <t>P16</t>
  </si>
  <si>
    <t>ACCUBBAH; JENNY YOUNG; PHIBBAH'S COOBAH</t>
  </si>
  <si>
    <t>E40</t>
  </si>
  <si>
    <t>IMG 154, P.302-303</t>
  </si>
  <si>
    <t>May 24, 1750</t>
  </si>
  <si>
    <t>"All day running off lines  in the Black Morass to adjust hte bounds off Mr. Bernard Senior's lands, saw a very large yellow snake speckled upon the back! Several Black snakes and a very ugly large toad upon the back of a tree about 4 foot from the ground."</t>
  </si>
  <si>
    <t>Accubah, also known as 'Coobah' was an enslaved Afro-Creole girl born to Phibbah, the housekeeper of Egypt Estate and an unknown father sometime during the 1750s.
Throughout her childhood, she mostly lived apart from her mother on Paradise, a neighboring sugar estate that was also owned by their owners John and Mary (Molly) Copeand served as a domestic servant to Molly Cope. Accubah was later sent to a school for mixed race children at an early age to learn to read and write.
In addition to being frequently separated from her mother, Accubah was frequently the target of sexual predation from white men, including John Cope and a white laborer on Egypt named Sam Matthews who attempted to rape her in Egypt's boiling house in before being thwarted, ironically enough, by Thistlewood himself. She was one of the only enslaved girls/women in the diary who he never forced himself upon sexually.
Accubah had a number of sexual partners over the years who were mostly either free mixed race men of color, or white men. Three of the mixed race men were described as being her 'husband': Mulatto Davie in 1761, Nagua in 1766 (who also appeared to have grown up with Accubah on the estate), and Jimmy Stewart in 1776.
Accubah was an accomplished seamstress, who put her skills to good use in taking on paid sewing jobs for Thistlewood, and also sewing intricate messages into the dresses and bodices of her fellow enslaved women.
At some point during the late 1760's Accubah became involved in the cult society of Myalism; an Afro-Jamaican religion that according to what some scholars have argued was “the first religious organization of Africans in Jamaica” that “addressed itself to the entire slave society." Myal was organized around the premise that enslaved people could inure themselves to the many dangers and predations from white
Accubah was very close with her mother PhIbbah, and with her mother Phibbah's friends: Accubah's aunt Nancy, an enslaved domestic woman who also lived at Paradise named House Franke, an enslaved domestic woman and healer named Vine from Cabaritta estate and an enslaved field woman from Egypt named Egypt Lucy. Together, the six women pooled the money and resources they earned through the selling of goods they raised from their provison grounds, their raising of livestock, and from sewing work they were contracted to perform for whites. They intended the funds to be used to purchase at least one of each other's freedom.
Accubah was very fond of hearing Anansi spider tales told by her mother's close friend, an enslaved healer from Cabarittta Estate named Vine. She made regular trips to her mother's later residence of Breadnut Island Pen to hear them under the cover of night.
Accubah traveled abroad to England twice in her lifetime; once in 1767 and once in the spring of 1771, as a domestic to the Cope's two daughters. On her second trip, she was baptized into the Church of England and christened 'Jenny Young', a name she would go by for the rest of her life after returning to Jamaica.
Accubah had seversl children over the course of her life, but only one of whom would survive into childhood: Little Nancy (presumably named after her Aunt).
Like her mother, Accubah/Jenny Young would go onto outlive Thistlewood past his death in 1786, although it is unknown whether or not she would ever receive her freedom like her mother did.</t>
  </si>
  <si>
    <t>HUSBANDRY/LIVESTOCK/FISHING</t>
  </si>
  <si>
    <t>IMG 280</t>
  </si>
  <si>
    <t>November 17, 1766</t>
  </si>
  <si>
    <t>P17</t>
  </si>
  <si>
    <t>SALLY</t>
  </si>
  <si>
    <t>"Maria &amp; Coobah at Paradise lately brought to bed."</t>
  </si>
  <si>
    <t>CONGO</t>
  </si>
  <si>
    <t>4'1 INCHES HIGH (1762)</t>
  </si>
  <si>
    <t>MOLIA (P1); OGO (P13)</t>
  </si>
  <si>
    <t>BREADNUT ISLAND PEN</t>
  </si>
  <si>
    <t>MOLIA
OGO</t>
  </si>
  <si>
    <t>L3</t>
  </si>
  <si>
    <t>P1
P13</t>
  </si>
  <si>
    <t>FRIEND OF</t>
  </si>
  <si>
    <t>Sally first appears in the diary in April of 1762 in a purchase that Thistlewood made from one his white associates/friends Jeremiah Meyler. He described her as a "Congo girl" of no more than "9 or 10 years old" and standing at just 4'1 inches tall. He paid 42 pounds cash for her.
Sally was originally intended and trained to be a seamstress/domestic laborer, but for the next twenty two years, she would put up regular and varied shows of resistance to every job, assignment or position that Thistlewood tried to force upon her. Even after he eventually relegated her to his field gang, Sally regularly stole food and other possessions from both white and endlsved Black people throughout the neighborhood. Over the course of her twenty two years in Jamaica, she ran away at least twelve different times.
Sally was the victim of many acts of sexual assault and terrorism from various white men. (including Thistlewood) that mutilated her genitals, which probably attributed to the fact that she never had any children, nor was confirmed as ever being pregnant. Like many field laborers in Jamaica, she was often ill from yaws (which resulted in the amputation of one of her toes), and from venereal diseases. 
In November of 1784, Thistlewood sold Sally to anther trader, who transported her off the island altogether and to an unknown location.</t>
  </si>
  <si>
    <t>COOBAH, MARIA</t>
  </si>
  <si>
    <t>P18</t>
  </si>
  <si>
    <t>PARADISE QUASHEBA</t>
  </si>
  <si>
    <t>E32</t>
  </si>
  <si>
    <t>IMG 155, P.304-305</t>
  </si>
  <si>
    <t>May 30, 1750</t>
  </si>
  <si>
    <t>"Killed a large Black snake."</t>
  </si>
  <si>
    <t xml:space="preserve">Paradise Quasheba was an enslaved 'grannie' (midwife) who lived on Paradise Estate. She attended at least eleven different enslaved women's births between 1759-1766: Egypt Lucy, Nancy, Rosanna, Moll, Agnes, Jenny, Wonga, Molia, Ogo, Nanny and Eve--the majority of whose infants survived both a 9 day observing period and several years into their childhoods. </t>
  </si>
  <si>
    <t>VINEYARD PEN</t>
  </si>
  <si>
    <t>L20</t>
  </si>
  <si>
    <t>IMG 289, P.293</t>
  </si>
  <si>
    <t>5'1 INCHES HIGH
SCAR ON LEFT CHEEK
BACK AND BELLY FULL OF COUNTRY MARKS
HOLES THROUGH HER NOSE (1765)
'TT' BRAND ON HER RIGHT SHOULDER
SCARS FROM REPEATED FLOGGINGS</t>
  </si>
  <si>
    <t>November 30, 1766</t>
  </si>
  <si>
    <t>"My Maria come home from Paradise Estate."</t>
  </si>
  <si>
    <t xml:space="preserve">Peggy was an African young woman who first appeared in the diary in 1765 when Thistlewood attended a 'slave scramble' aboard a Guinea ship and purchased her alongside 9 other enslaved Africans (5 young men and 4 other young women in total). These 9 Africans were Peggy's shipmates: Syphox, Cudjoe, Chub, Bristol, Jmmy, Myrtilla, Phoebe, Franke and Damsel). Thistlewood presumed her to be "about 16 or 17 years old."
Peggy was assigned to field labor for the next twenty one years. She was often ill of yaws. Thistlewood also speculated that at times, she showed signs of being "disordered in her senses," although he doesn't specify why/how.
If Peggy ever had a husband/domestic partner, Thistlewood never knew or recorded it.  She never bore any children, nor was she ever described as ever being pregnant. For several years, she shared a household with her fellow field gang member Molia [Coobah] and Molia's daughter, Silvia. Follwing Silvia's death, Peggy continued to share a household with Molia until 1774 when Thistlewood, frustrated with her repeated escaps attempts, sold her to a trader who trafficked her to Georgia.
Peggy was caught engaging in geophagia (eating dirt) in 1774 and was flogged for it (notably for the first time). An accident involving a driver and a whip caused her right eye to be severely mutilated in June of 1780. She was one of the enslaved community who outlived Thistlewood following his death in 1786. In a 1787 appraisal, she was estimated to be about 39 years old, described as "distempered," "blind in one eye" and valued at 10 pounds. </t>
  </si>
  <si>
    <t>E33</t>
  </si>
  <si>
    <t>May 31, 1750</t>
  </si>
  <si>
    <t>L2
L1</t>
  </si>
  <si>
    <t>"Killed a very large Black snake."</t>
  </si>
  <si>
    <t>PARADISE ESTATE
EGYPT ESTATE</t>
  </si>
  <si>
    <t>P20</t>
  </si>
  <si>
    <t>ABBA'S JOHNIE</t>
  </si>
  <si>
    <t>AT LEAST HALF AFRICAN</t>
  </si>
  <si>
    <t>EGYPT ESTATE
BREADNUT ISLAND PEN</t>
  </si>
  <si>
    <t>Johnie was born in 1764 to Abba, an enslaved African domestic laborer that Thistlewood first purchased in 1758. His father may have been Neptune, an enslaved man belonging to a white man named Emotson, one of Thistlewood's friends who also owned a tavern in Savanna la Mar and was described as Abba's "husband" around the time of his birth. He had three surviving siblings who: an elder sister named Mary, a younger brother named Neptune and a younger sister named Jenny. 
Johnie lived to the age of seven (a milestone for a child in Jamaica at that time). In January of 1771, he became deathly ill, suffering from stmach cramps and falling into "faints"/"fits" (seizures). Vine, an enslaved domestic laborer and healer from the neighboring Cabaritta estate came to "bleed" and tend to Johnie. Three days later Thistlewood himself sent Abba with Johnie to the parish Bay to be seen and treated by a white physician, but Johnie died on the trip back home. Abba was inconsolable with grief. Johnie was buried that same evening near his mother's house. Numerous enslaved people from surrounding estates and pens, including Vine, attended his funeral, singing over him.
Several months later in July 1771, Abba was still in mourning  for Johnie, engaging in the practice of 'throwing water' and participating in communal songs and drumming in his honor.</t>
  </si>
  <si>
    <t>IMG 295, P.299</t>
  </si>
  <si>
    <t>December 8, 1766</t>
  </si>
  <si>
    <t>"My Cubbah [sic] come home from Paradise with her child
x, does not seem a Negro, but Mulatto."</t>
  </si>
  <si>
    <t>MOLIA (P1)
SILVIA (P2)</t>
  </si>
  <si>
    <t>P21</t>
  </si>
  <si>
    <t>ABBA'S MARY</t>
  </si>
  <si>
    <t>Mary was born in January 1762, the first daughter/child of Abba, an African young woman and Neptune, an enslaved man belonging to a white man named Emotson, one of Thistlewood's friends who also owned a tavern in Savanna la Mar. She had three surviving siblings: Johnie, Neptune, and Jenny.
In March/April of 1763, Mary contracted smallpox; though she ultimately recovered from the disease itself, she was permanently blinded. 
The diary describes Mary as having one husband/domestic partner on a neighboring sugar estate called Three Mile River named Quacoo with whom she had two children: one daughter born in 1784 who died at 1 week old, aand another daughter born in 1785 named Prue who was still alive by the time of Thistlewood's death inn 1786.
Like her mother, Mary outlived Thistlewood. Inan appraisal of the complete inventory of all his human property, her value was estimated to be just 1 pound.</t>
  </si>
  <si>
    <t>"Slept last night in a hamack [sick] in a hutt on Mr, Dorrill's plantation walk...Old Sharper (Mrs Elizabeth Anderson's Negroe) a clever old fellow looks after it."</t>
  </si>
  <si>
    <t>THE OVERSEER
OLD SHARPER</t>
  </si>
  <si>
    <t>BUSINESS PARTNER OF</t>
  </si>
  <si>
    <t>MISCELLANEOUS</t>
  </si>
  <si>
    <t>P22</t>
  </si>
  <si>
    <t>LITTLE PHIBBAH</t>
  </si>
  <si>
    <t>PARADISE ESTATE
EGYPT ESTATE
BREADNUT ISLAND PEN</t>
  </si>
  <si>
    <t>Little Phibbah was born in August 1766 at Paradise Estate in "the height of bad weather" to an enslaved African woman named Nanny and an unknown father. A midwife named Paradise Quasheba was in attendance at her birth.
Little Phibbah was frequently ill and cared for by her mother. When she was five years old, she became very badly afflicted with stomach worms. After being treated repeatedly by her mother, Thistlewood and white physicians over the course of several days, she died on September 9 1771. Two enslaved men named Lincoln and Abasse dug her grave and buried her the next evening.</t>
  </si>
  <si>
    <t>IMG 12</t>
  </si>
  <si>
    <t>BLUEFIELDS BAY</t>
  </si>
  <si>
    <t>L11</t>
  </si>
  <si>
    <t>E42</t>
  </si>
  <si>
    <t>In November of 1770, an enslaved "Ebo" woman named Molia made her seventh esacpe from Breadnut Island Pen. She stayed missing for eleven days before being caught at a place called Bluefields Bay and brought back to the Pen. At some point during this recovery Molia told someone that she had gone to Bluefields Bay for a specific purpose; this purpose was to see a person she desccribed as her "shipmate". 
This unnamed/unidentified person was Molia's shipmate with whom she had, presumably, survived hte Middle Passage voyage at least nearly a decade earlier and with whom she had maintained a close and intimate relationship. It is the first and on;y time that this Shipmate would ever be mentioned in the diary.</t>
  </si>
  <si>
    <t>January 3. 1767</t>
  </si>
  <si>
    <t>June 1, 1750</t>
  </si>
  <si>
    <t>"Between 8 and 9 miles from Dean's Valley, met Colonel Cudjew [sic], one of his wives, one of his sons, a Lieutenant, and other attendants. He shook me by the hand, and Begg'd a dram of us which we gave him. He had on a feathered hat, sword by his side, gun upon his shoulder &amp; barefoot and Bare legged. Somewhat a majestic look. He brought to my memory the picture of Robinson Crusoe."</t>
  </si>
  <si>
    <t>"Paradise Quasheba (the grannie) here to day. Gave her 3 cobbs for looking after Nanny, Maria and Coobah."</t>
  </si>
  <si>
    <t>COLONEL CUDJOE (P78)
THE OVERSEER (P43)</t>
  </si>
  <si>
    <t>PARADISE QUASHEBA
MOLIA
OGO
NANNY</t>
  </si>
  <si>
    <t>COLONEL CUDJOE
THE OVERSEER</t>
  </si>
  <si>
    <t>P78
P43</t>
  </si>
  <si>
    <t>P18
P1
 P13 
P15</t>
  </si>
  <si>
    <t>MAROONS/MARRONAGE</t>
  </si>
  <si>
    <t>P24</t>
  </si>
  <si>
    <t>LINCOLN</t>
  </si>
  <si>
    <t xml:space="preserve"> Lincoln first appears in the diary in Janury of 1756 as the very first enslaved person Thistlewood purchased for 43 pounds. Presumed to be an "Ebo", he was described as being 16 years of age, and 4 ft 9 inches tall.
 Throughout the course of those three decades, Thistlewood regularly appointed him to skilled positions such as a fisherman and a driver of the field gangs. He regularly entrusted him with the use and possession of a gun with which to hunt game and also regularly sent him out to search for and retrieve the most troublesome of runaways. Lincoln was the most frequent recipient of Thistlewood’s castoff clothes and worn possessions that he no longer wanted. The rations of food and rum he received were markedly higher than nearly everyone else’s. 
Lincoln had multiple domestic and sexual relationships, including one with an Egypt field woman named Violet, another named Egypt Susanah, and another African domestic laborer owned by Thistlewood named Abba. Lincoln and Abba would have two children together: a daughter named Jenny born in August of 1772, and a daughter named Phibbah born in April of 1776. Lincoln's longest core relationship however, was with Sukey, an African young woman who Thistlewood purchased in 1761 from a trader named John Hutt; they never had any children. Many of Lincoln's relationships with women were fraught with tension, even to the point of domestic violence.
Lincoln would be one of the enslaved population on Breadnut Island Pen who would go on to outlive Thistlewood past his death in 1786. Presumed to be 47 years old in a 2787 appraisal, his value was assessed at 50 pounds.</t>
  </si>
  <si>
    <t>E43</t>
  </si>
  <si>
    <t>P25</t>
  </si>
  <si>
    <t>MASON QUASHE</t>
  </si>
  <si>
    <t>"We got to Great River about 2 in the afternoon, which is a little above 11 1/4 miles from Dean's Valley. Great River is about 40 yards wide at the wath and 30 in other place. I bath'd in it.
Here are the largest, finest limes I ever saw."</t>
  </si>
  <si>
    <t xml:space="preserve">Mason Quashe was an enslaved man who belonged to Elizabeth Anderson, a "free coloured (mixed race) woman"who was the mistress of William Dorrill, Thistlewood's first empoyer and the initial owner of Egypt, Salt River and Paradise upon his arrival in Jamaica. She frequently hired Mason Quashe out to Egypt and other estates throughout the parish where he performed a wide array of skilled and very highly sought after labors such as masonry, carpentry, fishing, and driving of the field gangs. He was 'paid' for these labors in rum and castoff clothing from white men.  
Mason Quashe was a prominent figure in the enslaved community of Westmoreland, and held close relationships with other prominent figures in that community such as Phibbah, the housekeeper of Egypt, and the other women in her social circle such as House Franke and Egypt Lucy, who tended/cared for him in times of illness.  
Mason Quashe had a number of sexual/domestic relationships with several enslaved women throughout the neighborhood, including one with Egypt field woman Egypt Lucy, who left her previous husband Daniel for him--their union rrsulted in a son born in December of 1759: Little Quashe. He also had another child, a daughter named Franke who lived on a neighboring estate.
Mason Quashe's status as a skilled laborer seemed to give him a relative amount of privilege, particularly in his abilty to move around the parish, and beyond it. In 1767, he traveled abroad to British North America, where he would pass away from complications of gout and stomach maladies in 1767. </t>
  </si>
  <si>
    <t>P26</t>
  </si>
  <si>
    <t>SOLON</t>
  </si>
  <si>
    <t xml:space="preserve">Solon first appears in the diaries in July of 1761 when he was acquired by John Cope on Thistlewood's behalf from a slave market in Kingston alongside two others: an African woman named Nanny and an African young man named Caesar. Thistlewood paid 50 pounds for each one of them. He also described Solon as being "about 16". 
In later years, Solon would (like many others) be taken ill with various ailments and diseases such as stomach cramps, guinea worms, eye infections, and yaws.
Solon was a skilled fisherman and was often sent by Thistlewood to catch fish for him in nearby rivers and streaams. He was also frequently sent out to search for escaped runaways, particularly a young 'Ebo' woman named Molia who ran away from Thistlewood at least 14 times between 1769-1774.
Solon was the domestic partner/'husband' of Ogo (renamed 'Maria'), a presumed 'Ebo' African young woman purchased by Thistlewood from a slave trader named John Hutt in December of 1761. They had at least one child together: a daughter named Lucy, b0rn in November of 1766, who lived to the age of ten before dying in 1777 from stomach ailments.
</t>
  </si>
  <si>
    <t>WETNURSE OF</t>
  </si>
  <si>
    <t>WANGA</t>
  </si>
  <si>
    <t>PRINCESS</t>
  </si>
  <si>
    <t>"Din'd at Barracks, catt leapt up to catch swallows, saw many unknown trees, forests, etc...Reached the plantane walk before night, where are lay again, eat some clocking in Broth and pepper pott with Old Sharper, who is a sensible NEgroe and also some Tumtum of plantanes and fish beat together."</t>
  </si>
  <si>
    <t>THE OVERSEER (P43)
OLD SHARPER (P74)</t>
  </si>
  <si>
    <t>EGYPT ESTATE</t>
  </si>
  <si>
    <t>P43 P74</t>
  </si>
  <si>
    <t>Wanga was an African woman who was purchased and brought to Egypt to work as field laborer in May of 1754 shortly after Thistlewood's arrival in the early 1750's. Upon her purchase, she was renamed "Princess," and paired with another enslaved woman named Quashe who served as her 'seasoner'.  
Wanga would have several confirmed sexual/domestic partners over the course of the sixteen years that Thistlewood served as overseer at Egypt. Among them were a driver named Hazat, and an Ebo man and skilled laborer named Cyrus, with whom she had a son in January of 1757 named Little Dick.
Although he survived his first two years of life, Little Dick was badly afflicted with yaws, a severe bacterial infection that resulted in skin lesions, joint inflammation and bone pain/deformities. In July of 1759, Little Dick passed away from the complications of yaws. Two months later his father, Cyrus, would go on to hold a "feast" (funeral ceremony) in his honor.
In 1761, Wanga was assigned to be the seasoner of an estimated 15 year old 'Ebo' young woman named Molia who had been purchased by Thistlewood and who he renamed 'Coobah'. 
Wanga ran away from the estate once in the spring of 1762. She was also pregnant at the time of her escape. Daniel, a skilled laborer was sent to search for and return her to the estate. She was later sent to Paradise estate to lie-in and give birth to a daughter named Charlotte, who survived at least until her second year.</t>
  </si>
  <si>
    <t>AM/PM</t>
  </si>
  <si>
    <t>P28</t>
  </si>
  <si>
    <t>OLD LEANDRA</t>
  </si>
  <si>
    <t>MRS. BENNETTS</t>
  </si>
  <si>
    <t>Old Leandra was an enslaved African woman and 'grannie' (midwife) who belonged to Sarah Bennett, a wealthy white proprietress who would later go on to sell Thistlewood Breadnut Island Pen in 1767. 
As a young(er) woman and captive upon a Middle Passage slave ship sailing from Guinea, Old Leandra was sexually coerced by the captain of the ship. She was alleged to have betrayed a plot of a shipboard rebellion to him in exchange for her freedom. Upon reaching Jamaica, the Captain temporarily left her in the keeping of a proprietor called Cunningham, supposedly as a "free person," until his return to reclaim her; he died while away. Neither Cunningham nor his son honored the agreement to give Old Leandra her freedom, and eventually sold her to Sarah Bennett, with whom she remained for many years. 
It would not be until 1772 when Old Leandra was an elderly woman and (presumably) of little to no further use to Sarah Bennett that Bennett abruptly announced to Old Leandra that she was at last  free "to go where she pleases." The diary does not give a clear indication of where she lived following this 'release', but Old Leandra would go on to serve as a nurse and birthing attendant for Abba and Molia, two other women enslaved by Thistlewood.
Old Leandra was a caregiver for enslaved children, most particularly for [Mulatto] John, the mixed race son of Thistlewood and Egypt's housekeeper Phibbah who lived with Sarah Bennett while attending a school for mixed race children.</t>
  </si>
  <si>
    <t>E39</t>
  </si>
  <si>
    <t>IMG 156, P.306-307</t>
  </si>
  <si>
    <t>June 2, 1750</t>
  </si>
  <si>
    <t>"At 4PM the smartest clap of thunder heard for many years, nor 2 pulsations after the lightning, I having at that time my finger upon my pulse.:"</t>
  </si>
  <si>
    <t>P29</t>
  </si>
  <si>
    <t>JOB</t>
  </si>
  <si>
    <t>SEASONER TO</t>
  </si>
  <si>
    <t>P30</t>
  </si>
  <si>
    <t>MOUNTAIN LUCY</t>
  </si>
  <si>
    <t>Mountain Lucy was an enslaved fieldwoman who lived and worked on Egypt estate from as early as 1754. 
Like many other fieldhands, Mountain Lucy lived in conditions of immense poverty and food scarcity. Throughout periods of particularly severe famine and droughts on the estate, she appeared to have engaged in a coercive sexual relationship with Thistlewood in exchange for food, "bitts" (money), and other presents. 
In 1755, when Egypt's domestic housekeeper Phibbah became pregnant, she  "brought" Mountain Lucy to Thistlewood to "keep" as a "sweetheart" (sexual partner) while she was in her latter trimester of pregnancy. Thistlewood initially resisted the arrangement, but eventually relented.
Mountain Lucy was the mother of at least four children. In 1756, she gave birth to a girl, Prue, who managed to survive at least until the age of 8 (an enormous milestone for enslaved chilren in Jamaica), and who Mountain Lucy claimed had been fathered by Thistlewood, presumably duringPhibbah';s lying in period (although he denied this). Between 1758 and 1759, she gave birth to two boys, once each year, who both died within days. Another girl, Flora would follow in 1761 and survive until at least the age of 3. 
Mountain Lucy ran away from the estate at least twice in 1756. She was found within days on both occasions and punished with brutal floggings and gaggings. She was also punished on multiple occasions for giving verbal protests to the drivers in the field</t>
  </si>
  <si>
    <t>E31</t>
  </si>
  <si>
    <t>IMG230, P.391-392</t>
  </si>
  <si>
    <t>October 2, 1750</t>
  </si>
  <si>
    <t>"Saw a Negroe fellow nam'd English belonging to Fellerswood tried, cast, and hang's upon the 1st tree immediately for drawing his knife upon a white man, his hand cutt off, Body left unbury'd."</t>
  </si>
  <si>
    <t>DOMESTIC PARTNER OF</t>
  </si>
  <si>
    <t>P31</t>
  </si>
  <si>
    <t>FANNY</t>
  </si>
  <si>
    <t>DANIEL</t>
  </si>
  <si>
    <t>P42</t>
  </si>
  <si>
    <t>P32</t>
  </si>
  <si>
    <t>MIRTILLA</t>
  </si>
  <si>
    <t>MYRTILLA</t>
  </si>
  <si>
    <t>SOCO</t>
  </si>
  <si>
    <t>TWO BLACK MARKS DESCENDING OBLIQUELY FROM HER EYES AND HER BELLY FULL OF COUNTRY MARKS</t>
  </si>
  <si>
    <t>E30</t>
  </si>
  <si>
    <t>IMG 238, P.401-402</t>
  </si>
  <si>
    <t>October 31, 1750</t>
  </si>
  <si>
    <t>P441</t>
  </si>
  <si>
    <t>"Wanicker says, in the ship she was brought over in it was agreed to rise, but they were discovered first. The pickaninnys brought the men that were confined knives, muskets &amp; other weapons."</t>
  </si>
  <si>
    <t>WANICKER (P73)</t>
  </si>
  <si>
    <t>P33</t>
  </si>
  <si>
    <t>WANICKER</t>
  </si>
  <si>
    <t>ELLIN</t>
  </si>
  <si>
    <t>P73</t>
  </si>
  <si>
    <t>REBELLION/UPRISING</t>
  </si>
  <si>
    <t>FIELD GANG [FIRST]</t>
  </si>
  <si>
    <t>P34</t>
  </si>
  <si>
    <t>DAMSEL</t>
  </si>
  <si>
    <t>P105</t>
  </si>
  <si>
    <t>CHAMBOY</t>
  </si>
  <si>
    <t>DIDO</t>
  </si>
  <si>
    <t>4'8 INCHES HIGH
ON HER FACE, 3 LONG STROKES DOWN EACH CHEEK,  2 SMALL OBLIQUE, ETC. 
HER BELLY FULL OF COUNTRY MARKS &amp; AN IN ARCH BETWEEN HER BREASTS. (1765)</t>
  </si>
  <si>
    <t>E46</t>
  </si>
  <si>
    <t>IMG 258, P.531-532</t>
  </si>
  <si>
    <t>December 25, 1750</t>
  </si>
  <si>
    <t>"At night had Creolian, Congo and Coromantian etc Musick &amp; dancing enough. Egg cordial plenty."</t>
  </si>
  <si>
    <t>P35</t>
  </si>
  <si>
    <t>P134</t>
  </si>
  <si>
    <t>BETTY</t>
  </si>
  <si>
    <t>PARADISE JACK</t>
  </si>
  <si>
    <t>RECREATION</t>
  </si>
  <si>
    <t>P36</t>
  </si>
  <si>
    <t>OLD POMPEY</t>
  </si>
  <si>
    <t>MOST LIKELY AFRICAN</t>
  </si>
  <si>
    <t>E375</t>
  </si>
  <si>
    <t>IMG 5, P.6-7</t>
  </si>
  <si>
    <t>January 8, 1751</t>
  </si>
  <si>
    <t>"Mr. Barton's story of a Barbadoes woman that was rap'd by three of them (at Kingston) in a short spruce, he the middle man yet she laid up bastard child to him and how he madde her explain himself."</t>
  </si>
  <si>
    <t>MR. BARTON
BARBADOS WOMAN</t>
  </si>
  <si>
    <t>P305
P306</t>
  </si>
  <si>
    <t>P37</t>
  </si>
  <si>
    <t>SUKEY</t>
  </si>
  <si>
    <t xml:space="preserve">4'8 HIGH (1761)
'TT' IN DOWNWARD TRIANGLE BRAND ON HER RIGHT SHOULDER (1761) </t>
  </si>
  <si>
    <t>EGYPT ESTATE 
BREADNUT ISLAND PEN</t>
  </si>
  <si>
    <t>P38</t>
  </si>
  <si>
    <t>SAWNO; DOWOTRONNY</t>
  </si>
  <si>
    <t>P106</t>
  </si>
  <si>
    <t>DICK</t>
  </si>
  <si>
    <t>SARAH</t>
  </si>
  <si>
    <t>5'7 HIGH (1761)
"TT" IN DOWNWARD TRIANGLE BRAND ON HIS RIGHT SHOULDER</t>
  </si>
  <si>
    <t>E376</t>
  </si>
  <si>
    <t>IMG 8, P.12-15</t>
  </si>
  <si>
    <t>January 21, 1751</t>
  </si>
  <si>
    <t>"Alligators in the night make a noise catchign mosquitos etc with their mouths, like clapping their hands pretty much."</t>
  </si>
  <si>
    <t>P39</t>
  </si>
  <si>
    <t>ABASSE</t>
  </si>
  <si>
    <t>WILL</t>
  </si>
  <si>
    <t>5'3 HIGH (1761)
"TT" IN DOWNWARD TRIANGLE BRAND ON HIS RIGHT SHOULDER</t>
  </si>
  <si>
    <t>P40</t>
  </si>
  <si>
    <t>OWORIA</t>
  </si>
  <si>
    <t>POMPEY</t>
  </si>
  <si>
    <t>COROMANTEE</t>
  </si>
  <si>
    <t>4'9 HIGH (1761)
'TT' IN DOWNWARD TRIANGLE BRAND ON HIS RIGHT SHOULDER (1761)</t>
  </si>
  <si>
    <t>E378</t>
  </si>
  <si>
    <t>IMG 10, P.16-17</t>
  </si>
  <si>
    <t>January 28, 1751</t>
  </si>
  <si>
    <t>"Negroes, etc believe if you hurt a carrion crow or her eggs...that you will never be well, thill they be well, spoil'd or dead.
Another piece of superstition amongst them, is that they imagine glass bottles and images they cutt in wood, etc, can tell them, who thieves anyting out of the ground where they are sett up, or stuck.
*some throw dry rotten wood upon water to drop shatt (?), some make the water thick with cow dung, others dtop into (?) but out upon the water is best. Barton's Dick
Negroes say, the powder of ratt stones dried and sprinkled upon anything and given to women you want, forces her to desire you."</t>
  </si>
  <si>
    <t>BARTON'S DICK</t>
  </si>
  <si>
    <t>P308</t>
  </si>
  <si>
    <t>P41</t>
  </si>
  <si>
    <t>BESS</t>
  </si>
  <si>
    <t>SUPERSTITION</t>
  </si>
  <si>
    <t>E377</t>
  </si>
  <si>
    <t xml:space="preserve">EGYPT ESTATE 
</t>
  </si>
  <si>
    <t>IMG 12, P.20-21</t>
  </si>
  <si>
    <t>February 4, 1751</t>
  </si>
  <si>
    <t>"Beneba gone to wash in the sea."</t>
  </si>
  <si>
    <t>BENEBA</t>
  </si>
  <si>
    <t>P307</t>
  </si>
  <si>
    <t>SISTER OF</t>
  </si>
  <si>
    <t>L53</t>
  </si>
  <si>
    <t>THOMAS THISTLEWOOD
NO FOR PLAY</t>
  </si>
  <si>
    <t>ENGLISH/BRITISH</t>
  </si>
  <si>
    <t>VINEYARD PEN
EGYPT ESTATE
BREADNUT ISLAND PEN</t>
  </si>
  <si>
    <t>L20; L1; L3</t>
  </si>
  <si>
    <t>P44</t>
  </si>
  <si>
    <t>THE PLANTER</t>
  </si>
  <si>
    <t>JOHN COPE</t>
  </si>
  <si>
    <t>E38</t>
  </si>
  <si>
    <t>IMG 35, P.60A-61A</t>
  </si>
  <si>
    <t>PARADISE ESTATE
EGYPT ESTATE</t>
  </si>
  <si>
    <t>L2; L1</t>
  </si>
  <si>
    <t>April 18, 1751</t>
  </si>
  <si>
    <t>"About 12 at night cum Cynthia alias Nacomma sup lect Matt in supio domo parlor. * She is a Bambarah Negroes call Crippah or Tinnedones, being brought into their country young."</t>
  </si>
  <si>
    <t>NACOMMA (P77)
THE OVERSEER (P43)</t>
  </si>
  <si>
    <t>NACOMMA
THE OVERSEER</t>
  </si>
  <si>
    <t>P77 
P43</t>
  </si>
  <si>
    <t>SEX</t>
  </si>
  <si>
    <t>P45</t>
  </si>
  <si>
    <t xml:space="preserve"> </t>
  </si>
  <si>
    <t>THE PLANTER'S WIFE</t>
  </si>
  <si>
    <t>MARY (MOLLY) COPE</t>
  </si>
  <si>
    <t>P46</t>
  </si>
  <si>
    <t>THE NEIGHBOR</t>
  </si>
  <si>
    <t>P69</t>
  </si>
  <si>
    <t>SAMUEL SAY</t>
  </si>
  <si>
    <t>MR. PARKER</t>
  </si>
  <si>
    <t>E379</t>
  </si>
  <si>
    <t>IMG 53, P.90-91</t>
  </si>
  <si>
    <t>June 1, 1751</t>
  </si>
  <si>
    <t>"Negroes won't sweep this house at night, however dirty, for say they, it will occasion them to have ill luck."</t>
  </si>
  <si>
    <t>P47</t>
  </si>
  <si>
    <t>THE CAPTAIN</t>
  </si>
  <si>
    <t>ARTHUR FOREST</t>
  </si>
  <si>
    <t>MASEMURE ESTATE</t>
  </si>
  <si>
    <t>L6</t>
  </si>
  <si>
    <t>P48</t>
  </si>
  <si>
    <t>DAVID KINLOCK</t>
  </si>
  <si>
    <t>SON OF</t>
  </si>
  <si>
    <t>E380</t>
  </si>
  <si>
    <t>IMG 54, P.92-93</t>
  </si>
  <si>
    <t>June 5, 1751</t>
  </si>
  <si>
    <t>"In the afternoon, Phibbah and Scipio go out wiht cloath, gave Phibbah a tickett that she may not be molested, thus:
Vineyard Penn June 5, 1751
The bearer herself (a Negroe man and woman nam'd Scipio and Phbbah) in company, belong to the The Vineyard Penn and the property of Florentius Vassall, Esq by whose orders they go out wiht cloath to sell which is certigied by me, Thomas Thistlewood."</t>
  </si>
  <si>
    <t>VINEYARD PHIBBAH
SCIPIO</t>
  </si>
  <si>
    <t>P309
P310</t>
  </si>
  <si>
    <t>P49</t>
  </si>
  <si>
    <t>GEORGE LESLEY</t>
  </si>
  <si>
    <t>HIGGLING/PROVISION</t>
  </si>
  <si>
    <t>L12</t>
  </si>
  <si>
    <t>P50</t>
  </si>
  <si>
    <t>THE PROPRIETRESS</t>
  </si>
  <si>
    <t>SARAH BENNETT</t>
  </si>
  <si>
    <t>SARAH BENNETT'S</t>
  </si>
  <si>
    <t>L18</t>
  </si>
  <si>
    <t>IMG 55, P.94-95</t>
  </si>
  <si>
    <t>June 7, 1751</t>
  </si>
  <si>
    <t>"Hugo sick, Phibbah and Scipio out with cloath."</t>
  </si>
  <si>
    <t>HUGO
VINEYARD PHIBBAH
SCIPIO</t>
  </si>
  <si>
    <t>P309
P310
P311</t>
  </si>
  <si>
    <t>P51</t>
  </si>
  <si>
    <t>THE SLAVE TRADER</t>
  </si>
  <si>
    <t>JOHN  HUTT</t>
  </si>
  <si>
    <t>BROTHER OF</t>
  </si>
  <si>
    <t>P52</t>
  </si>
  <si>
    <t>CUDJOE</t>
  </si>
  <si>
    <t>June 8, 1751</t>
  </si>
  <si>
    <t>"Dago sick, Betty at home as before. Rest. of Negroes employ'd as before. Phibbah and Scipio yet out with cloath</t>
  </si>
  <si>
    <t>DAGO
BETTY
VINEYARD PHIBBAH
SCIPIO</t>
  </si>
  <si>
    <t>P121
P134
P309
P310</t>
  </si>
  <si>
    <t>P53</t>
  </si>
  <si>
    <t>JAMES LYMBORNER</t>
  </si>
  <si>
    <t>P54</t>
  </si>
  <si>
    <t>JIMMY</t>
  </si>
  <si>
    <t>COROMANTEE OR SHANTE</t>
  </si>
  <si>
    <t>4'5 INCHES HIGH (1765)
'TT' IN DOWNWARD TRIANGLE BRAND ON HIS RIGHT SHOULDER</t>
  </si>
  <si>
    <t>E381</t>
  </si>
  <si>
    <t>June 9, 1751</t>
  </si>
  <si>
    <t>"When mud walls are sufficiently dry adn very much crack'd in this country, they mix water, soft cow dung, and wood ashes with a dmall quanity of fine mould till it be pretty thick so as sccace as to run out of the hand. With this, they rub the walls ince or twice over and it will fill and cover all the cracks, etc."</t>
  </si>
  <si>
    <t>JOHNIE</t>
  </si>
  <si>
    <t>l20</t>
  </si>
  <si>
    <t>P55</t>
  </si>
  <si>
    <t>THE OVERSEER'S NEPHEW</t>
  </si>
  <si>
    <t>JOHN THISTLEWOOD</t>
  </si>
  <si>
    <t>Abba was an enslaved African young woman, first appearing in the diary in Februaryof 1758 when she was purchased by Thistlewood from a slave trader named John Parkinson for 46 pounds. Thistlewood intended for her to be a domestic worker, setting her to train in the cookroom with Egypt's housekeeper Phibbah, then hiring her out to other white neighbors throughout the parish.
Abba would have several domestic/sexual partners over the course of the twenty eight years she appears in the diaries. The first of these was Hazat, a driver who belonged to William Mould, an owner of a neighboring plantation. Another was Cudjoe, an enslaved fieldhand who belonged to John Rickett, one of Thistlewood's friends. A third was Neptune, an enslaved man who belonged to a Savanna la Mar tavern owner and another of Thistlewood's friends, Thomas Emotson. A fourth was Lincoln, the very first enslaved person Thistlewood ever purcahsed.
Abba was unique among the many enslaved women who appear in the diairies in the sense that was extremely fertile, having a total of thirteen pregnancies over the span of twenty eight years. Ten of these resulted in live births, one in a stillbirth. Of these ten children, six (Including Johnie, Neptune, Jenny, Mary)survived their first year of life  and four survived until at least 1786, the year of Thistlewood's death and the last year of the diary records.
Abba and her children's living arrangements fluctuated usually depending upon who her current sexual/domestic partner was, but for a period of time in 1767, she and Mary, Johnie and Neptune lived with Sally, a Congo woman who Thistlewood had first purchased as a 8 or 9 year old child in 1762.
Abba was known to tell the Anansi spider stories that she had learned from her homeland alongside Vine, an enslaved domestic woman and healer from a neighboring plantation.</t>
  </si>
  <si>
    <t>am</t>
  </si>
  <si>
    <t>P56</t>
  </si>
  <si>
    <t>LITTLE NANCY</t>
  </si>
  <si>
    <t>IMG 56, P.96-97</t>
  </si>
  <si>
    <t>June 10, 1751</t>
  </si>
  <si>
    <t>MARY</t>
  </si>
  <si>
    <t>"Phibbah and Scipio yet out."</t>
  </si>
  <si>
    <t>P309
P310</t>
  </si>
  <si>
    <t>P57</t>
  </si>
  <si>
    <t>CHUB</t>
  </si>
  <si>
    <t>4'10 HIGH
3 PERPINDICULAR SCARS DOWN EACH CHEEK
'TT' IN DOWNWARD TRIANGLE BRAND ON HIS RIGHT SHOULDER
(1765)</t>
  </si>
  <si>
    <t>P442</t>
  </si>
  <si>
    <t>P58</t>
  </si>
  <si>
    <t>PHOEBE</t>
  </si>
  <si>
    <t>IMG 57, P.98-99</t>
  </si>
  <si>
    <t>June 11, 1751</t>
  </si>
  <si>
    <t>4'7 INCHES HIGH
VERY BLACK EYEBROWS 
'TT' IN DOWNWARD TRIANGLE BRAND ON HER RIGHT SHOULDER(1765)</t>
  </si>
  <si>
    <t>"Phibbah and Scipio returned from selling of cloath."</t>
  </si>
  <si>
    <t>P59</t>
  </si>
  <si>
    <t>FRANKE</t>
  </si>
  <si>
    <t>P443</t>
  </si>
  <si>
    <t>4'9 INCHES HIGH, HER FACE ALL OVER CHAMPHERRED 
'TT' IN DOWNWARD TRIANGLE BRAND ON HER RIGHT SHOULDER
(1765)</t>
  </si>
  <si>
    <t>E382</t>
  </si>
  <si>
    <t>img 71, p.124-125</t>
  </si>
  <si>
    <t>P60</t>
  </si>
  <si>
    <t>June 25, 1751</t>
  </si>
  <si>
    <t>"Sir Hans Sloane was nothing thought of in this country, accounted a mere old woman."</t>
  </si>
  <si>
    <t>HANS SLOANE</t>
  </si>
  <si>
    <t>5'6 INCHES HIGH
3 SPONTS ON HIS RIGHT CHEEK, 4 ON HIS LEFT 
'TT' IN DOWNWARD TRIANGLE BRAND ON HIS RIGHT SHOULDER
(1765)</t>
  </si>
  <si>
    <t>P312</t>
  </si>
  <si>
    <t>Molia</t>
  </si>
  <si>
    <t>Coobah</t>
  </si>
  <si>
    <t>MOTHER</t>
  </si>
  <si>
    <t>P61</t>
  </si>
  <si>
    <t>OLD CUDJOE</t>
  </si>
  <si>
    <t>P87</t>
  </si>
  <si>
    <t>E383</t>
  </si>
  <si>
    <t>IMG 74, P.130-131</t>
  </si>
  <si>
    <t>P62</t>
  </si>
  <si>
    <t>June 26, 1751</t>
  </si>
  <si>
    <t>SYPHOX</t>
  </si>
  <si>
    <t>"Dick's doggs names are the following: 'Gainst me, Fair to My Face, Help Myself, Creole Woman, Good Women's (?), Womens Want All, etc."</t>
  </si>
  <si>
    <t>TEMNE DONCO</t>
  </si>
  <si>
    <t>VINEYARD DICK</t>
  </si>
  <si>
    <t>5'5 INCHES HIGH
SEVERAL ROWS OF PUNCTURES ACROSS THE BELLY &amp; THUS ON FACE 
'TT' IN DOWNWARD TRIANGLE BRAND ON HIS RIGHT SHOULDER
(1765)</t>
  </si>
  <si>
    <t>P314</t>
  </si>
  <si>
    <t>HOUSEMATE</t>
  </si>
  <si>
    <t>P63</t>
  </si>
  <si>
    <t>BRISTOL</t>
  </si>
  <si>
    <t>5'1 INCHES HIGH
SEVERAL PERPINDICULAR SMALL &amp; ONE DIAGONAL SCAR ON EACH CHEEK
'TT' IN DOWNWARD TRIANGLE BRAND ON HER RIGHT SHOULDER
(1765)</t>
  </si>
  <si>
    <t>E384</t>
  </si>
  <si>
    <t>IMG 75, P.132-133</t>
  </si>
  <si>
    <t>June 27, 1751</t>
  </si>
  <si>
    <t>"Phibbah have the head ache violently had her head salt (as they call it) by Fulerwood Quasheba, a noted woman for such performance. Twas pretty much thus! They putt a bitt of stick amongst the hair over the forehead, almost as high as the crown of the head, and shrew it rout till the chin cracks or the hair roots for you hear it. Then fasten it well, chafing the forehead and head well with rum and fresh lime roots ground to power rubb'd over it also. If this be about Noon, the person must go to rest and by no means be disturb'd or spoke to till night. This (?) not to be loosed till morrow almost Noon. Phibbah says this was very painful, but when loos'd gave her ease for a day or two, btu after her pain return'd again."</t>
  </si>
  <si>
    <t>VINEYARD PHIBBAH
FULLERWOOD QUASHEBA</t>
  </si>
  <si>
    <t>P309
P314</t>
  </si>
  <si>
    <t>P444</t>
  </si>
  <si>
    <t>ILLNESS</t>
  </si>
  <si>
    <t>P64</t>
  </si>
  <si>
    <t>JOHN STONE</t>
  </si>
  <si>
    <t>BRITISH/ENGLISH</t>
  </si>
  <si>
    <t>P445</t>
  </si>
  <si>
    <t>P66</t>
  </si>
  <si>
    <t>IGBO</t>
  </si>
  <si>
    <t>DR. DRUMMOND</t>
  </si>
  <si>
    <t>E362</t>
  </si>
  <si>
    <t>IMG 77, P. 136-137</t>
  </si>
  <si>
    <t>July 1, 1751</t>
  </si>
  <si>
    <t>"Wanicker, who is a Papah Negroe of a country called....has seen and been in company with Man Eaters, she has seen them boil men's flesh to eat and yet they said it was more sweet than hogs flesh. They most adire the flesh of yellow and Red people, such as Hugo &amp; Sambo, for they say the flesh of Black people is bitter. Most admire the feet and hands, especially the hands thick of the hand, just by the wrist leading to the finger. That there are sveral such in the country, but privately, because not allowed, for if found out, they are banished the country, for the grandees think they would perhaps thief their children and eat them...That some will eat the flesh of those who die of diseases but the most part they privately thief sick children, or people as are in good order, or else, thief or buy on purpose."</t>
  </si>
  <si>
    <t>P67</t>
  </si>
  <si>
    <t>RICHARD CROTCHER</t>
  </si>
  <si>
    <t>CAREGIVER</t>
  </si>
  <si>
    <t>P68</t>
  </si>
  <si>
    <t>CHARLES GRAHAM</t>
  </si>
  <si>
    <t>E363</t>
  </si>
  <si>
    <t>IMG 81, P. 144-145</t>
  </si>
  <si>
    <t>July 6, 1751</t>
  </si>
  <si>
    <t>"At night gave Marina some sugar, 4 bottles of rum, some beef and pepper pott, with 10 pints of corn made into fungi to treat the Negroes and especially her shipmates...at her house warming. They were very merry at Night. Mr. Markman's Caesar sang and drummed, Guy and Charles, Phibbah and Wanicker danced Congo, etc. Marina herself got very drunk, as well as many others. I sat up good part of the night seeing their tricks. Charles ate fire--struck his naked arm many times with the edge of a bill, very hard, yet received no harm."</t>
  </si>
  <si>
    <t>ANANSI STORYTELLER TO</t>
  </si>
  <si>
    <t>MARINA
CAESAR
GUY
CHARLES
PHIBBAH
WANICKER</t>
  </si>
  <si>
    <t>P73
P7
P300
P301
P302
P303</t>
  </si>
  <si>
    <t>P70</t>
  </si>
  <si>
    <t>THE LAWYER</t>
  </si>
  <si>
    <t>MR. CHAMBERS</t>
  </si>
  <si>
    <t>E313</t>
  </si>
  <si>
    <t>IMG 92, P.166-167</t>
  </si>
  <si>
    <t>P71</t>
  </si>
  <si>
    <t>July 17, 1751</t>
  </si>
  <si>
    <t>STROP</t>
  </si>
  <si>
    <t>"Much fear of Negroes revolting in this island. Never such ___ allowed, so little prevention used before."</t>
  </si>
  <si>
    <t>Silvia</t>
  </si>
  <si>
    <t>PHIB; PHIBBA</t>
  </si>
  <si>
    <t>DAUGHTER</t>
  </si>
  <si>
    <t>P72</t>
  </si>
  <si>
    <t>MR. BEAN</t>
  </si>
  <si>
    <t>E459</t>
  </si>
  <si>
    <t>IMG 112, P.205-206</t>
  </si>
  <si>
    <t>September 11, 1751</t>
  </si>
  <si>
    <t>"Dark and cloudy, about 6 in the morning began to blow very fresh at NNE, continued with drizzling rain, about 11 blew harder at NE and at noon blew a storm. The hard gusts the sea waters up like a mist...From 3pm to sunset blew a hurricane, attended with rain from NE to EES. Blew the hngles off the stables and boiling house and all the thatch off the copperage and trash house, burst open the great house windows that were secured by strnog bars, blew the weather boards and ridge boards off the great house etc, every room full of water. The jasmine tree by the tombs blown down and many of the orange trees cut of the rows before the great house. All the pomegranates in the garden blown down and everything torn to pieces almost. Plantane trees all presently down.
About sunset, all the white people viz Mr. Dorrill, Ms. Anderson, Miss Molly Dorrill, Capt. Rivera de la Bruce, Mr. Peter Fookes, Mr. Samuel Mordener, &amp; myself all leave the great house &amp; shelter in the storehouse and hurricane house. About 11 pm return'd to the great house, went to bed, that is laid down. The wind rather abated by times in the night. By times in the night blew very hard as ever almost attended with hard rain and lightning but no thunder. Mr, Fookes so timorous that he sat up all night."</t>
  </si>
  <si>
    <t>THE OVERSEER
WILLIAM DORRILL
ELIZABETH ANDERSON
THE PLANTER'S WIFE
CAPTAIN RIVERA DE LA BRUCE
PETER FOOKES
SAMUEL MORDENDER</t>
  </si>
  <si>
    <t xml:space="preserve">P43
P45
P75
P76
P401
P402
P403
</t>
  </si>
  <si>
    <t>Egypt Lucy</t>
  </si>
  <si>
    <t>CALAMITY</t>
  </si>
  <si>
    <t>P74</t>
  </si>
  <si>
    <t>OLD SHARPER</t>
  </si>
  <si>
    <t>IMG 113, P.206-207</t>
  </si>
  <si>
    <t>September 12, 1751</t>
  </si>
  <si>
    <t>"Continue to blow hard with hard rain about 9...wind come to SEW but presently went back to about ES towards noon more moderate with fair weather by intervals.
About noon I walked down to the Barcadier...strange havoc there. Mordenner's House quite down, all the South wall (except about 11 feet) of hte New store house wash'd clean away and some of the East and West walls pretty much must thus! Two thirds of the lime wash'd quite away. All of the heavy timber float'd a long away up in a surprising manner. The Boards, staves and shingles blown about as if they wer efeathers. Most of the New Wharf wash'd away, vast wrecks of sea weed drove a long way upon the land. A heavy iron roller case carried a long way from where it lay and half buried in the sand.
Mr. Dorrill says the sea has raged with greater fury than either in the years 1722 or 1744."</t>
  </si>
  <si>
    <t>P76</t>
  </si>
  <si>
    <t>ELIZABETH ANDERSON</t>
  </si>
  <si>
    <t>THE OVERSEER
WILLIAM DORRILL</t>
  </si>
  <si>
    <t>AUNT OF</t>
  </si>
  <si>
    <t>MIXED RACE (OCTROON)</t>
  </si>
  <si>
    <t xml:space="preserve">P43
75
</t>
  </si>
  <si>
    <t>FAIR SKIN (MIXED RACE)</t>
  </si>
  <si>
    <t>P446</t>
  </si>
  <si>
    <t>L59</t>
  </si>
  <si>
    <t>FRIEND</t>
  </si>
  <si>
    <t>P77</t>
  </si>
  <si>
    <t>P447</t>
  </si>
  <si>
    <t>NACOMMA</t>
  </si>
  <si>
    <t>CYNTHIA</t>
  </si>
  <si>
    <t>BAMBARAH, CRIPPAH OR TINNEDONE</t>
  </si>
  <si>
    <t>September 13, 1751</t>
  </si>
  <si>
    <t>"Fresh breezes continue, thunder to the Southward. Walk'd a long way by the Sea each side of the Barcadier, no birds stirring. Shot 2 snipes. Many fish thrown up dead upon the shore. Broke my pocket knife cutting a mangrove. In the afternoon went in a canoe with Mordenner to Mr. Beckford's Barcadier. Strnage havoc there. The mangroves along the sea side twisted to pieces and few leaves left in them, all of woods and mountains look open and bare and very ragged, the woods appear like our woods in England in the fall of the leaf, when about half down. In the evening not much wnd and the sea much fallen."</t>
  </si>
  <si>
    <t>THE OVERSEER
SAMUEL MORDENNER</t>
  </si>
  <si>
    <t xml:space="preserve">P43
P402
</t>
  </si>
  <si>
    <t>P78</t>
  </si>
  <si>
    <t>COLONEL CUDJOE (MAROON)</t>
  </si>
  <si>
    <t>P436</t>
  </si>
  <si>
    <t>P79</t>
  </si>
  <si>
    <t>(SAM)UEL MATHEWS</t>
  </si>
  <si>
    <t>E538</t>
  </si>
  <si>
    <t>IMG 114, P.208-209</t>
  </si>
  <si>
    <t>September 16, 1751</t>
  </si>
  <si>
    <t>"A  little before dinner, walking in the Plantation [at Salt River] Mr. Dorrill offered me if I would accept to be overseer of Egypt Estate (he would give me 60 pounds per annum). I willingly accepted of it.
About 2 pm I set out for Egypt on the horse Billy, guided by Salt River Quaco, got there by 4 PM. Went into the field, found 42 negroes clearing teh ground at Top Hill of trash. Quacoo &amp; Morris mending the garden fence."</t>
  </si>
  <si>
    <t>P80</t>
  </si>
  <si>
    <t>THE OVERSEER
WILLIAM DORRILL
QUACOO
MORRIS</t>
  </si>
  <si>
    <t>LITTLE MIMBER</t>
  </si>
  <si>
    <t>P43
P75
P298
P226</t>
  </si>
  <si>
    <t>P81</t>
  </si>
  <si>
    <t>JOHN HARTNOLE</t>
  </si>
  <si>
    <t>P82</t>
  </si>
  <si>
    <t>HAGAR</t>
  </si>
  <si>
    <t>IMG 115, P.210-211</t>
  </si>
  <si>
    <t xml:space="preserve">"John Filton did not come home til 8 at night, gave him his discharge wrote thus:
Westmoreland 16 September: I have this day discharged Mr. John Filton from my service. Wm. Dorrill.
And an order thus!
Mr. John Filton, deliver up all the keys as also the estate and everything belonging to me to the bearer Thomas Thistlewood who I hope will take better care of the Estate than you have done. Yrs. Wm. Dorill, Salt River
16 September 1751
Rec'd the Boiling House, Curing house &amp; Corn house keys."
</t>
  </si>
  <si>
    <t>THE OVERSEER
JOHN FILTON</t>
  </si>
  <si>
    <t>P43
P430</t>
  </si>
  <si>
    <t>P83</t>
  </si>
  <si>
    <t>JOHN PARKINSON</t>
  </si>
  <si>
    <t>BUSINESS PARTNER</t>
  </si>
  <si>
    <t>P84</t>
  </si>
  <si>
    <t>JOHNIE [MALE DRIVER]</t>
  </si>
  <si>
    <t>E537</t>
  </si>
  <si>
    <t>IMG 117, P.214=215</t>
  </si>
  <si>
    <t>September 19, 1751</t>
  </si>
  <si>
    <t>"Employ'd as before, Sent out Belinda catching crabbs,"</t>
  </si>
  <si>
    <t>BELINDA</t>
  </si>
  <si>
    <t>P429</t>
  </si>
  <si>
    <t>P85</t>
  </si>
  <si>
    <t>SIMON</t>
  </si>
  <si>
    <t>P86</t>
  </si>
  <si>
    <t>CUFFEE</t>
  </si>
  <si>
    <t>E463</t>
  </si>
  <si>
    <t>IMG 123, P.224-225</t>
  </si>
  <si>
    <t>September 24, 1751</t>
  </si>
  <si>
    <t>"At night cum Dido (a Creolian) sup lect. Virgo. 111."</t>
  </si>
  <si>
    <t>THE OVERSEER
DIDO</t>
  </si>
  <si>
    <t>P43
P105</t>
  </si>
  <si>
    <t>HAZAT</t>
  </si>
  <si>
    <t>P88</t>
  </si>
  <si>
    <t>TOM</t>
  </si>
  <si>
    <t>E539</t>
  </si>
  <si>
    <t>September 26, 1751</t>
  </si>
  <si>
    <t>"Bella missing all day."</t>
  </si>
  <si>
    <t>P89</t>
  </si>
  <si>
    <t>BELLA</t>
  </si>
  <si>
    <t>BACCHUS</t>
  </si>
  <si>
    <t>P176</t>
  </si>
  <si>
    <t>NURSE OF/FOR</t>
  </si>
  <si>
    <t>ESCAPE/TRUANCY</t>
  </si>
  <si>
    <t>L0</t>
  </si>
  <si>
    <t>P90</t>
  </si>
  <si>
    <t>WETNURSE</t>
  </si>
  <si>
    <t>MR. MOULD'S NANCY</t>
  </si>
  <si>
    <t>P91</t>
  </si>
  <si>
    <t>FLORA</t>
  </si>
  <si>
    <t>E464</t>
  </si>
  <si>
    <t>September 27, 1751</t>
  </si>
  <si>
    <t>"This mornign had several Negoes whipp'd for various crimes, as running away, failing bringing grass, being accessory t the boiling house being broke open, etc."</t>
  </si>
  <si>
    <t>P92</t>
  </si>
  <si>
    <t>MR. EMOTSON</t>
  </si>
  <si>
    <t>EMOTSON'S TAVERN</t>
  </si>
  <si>
    <t>P93</t>
  </si>
  <si>
    <t>MRS. EMOTSON</t>
  </si>
  <si>
    <t>"Bella brought home by her husband Sam."</t>
  </si>
  <si>
    <t>BELLA
BELLA'S HUSBAND SAM</t>
  </si>
  <si>
    <t>P176
P431</t>
  </si>
  <si>
    <t>P94</t>
  </si>
  <si>
    <t>JACK COPE</t>
  </si>
  <si>
    <t>JAMAICAN CREOLE/ENGLISH</t>
  </si>
  <si>
    <t>P95</t>
  </si>
  <si>
    <t>DR. JAMES WEDDERBURN</t>
  </si>
  <si>
    <t>E606</t>
  </si>
  <si>
    <t>IMG 123, P. 224-225</t>
  </si>
  <si>
    <t>"This morning had several Negroes whipp'd for various crimes, as running away: failing bringing grass, beign accessory to the Boiling House being broke open."</t>
  </si>
  <si>
    <t>P96</t>
  </si>
  <si>
    <t>SEASONER</t>
  </si>
  <si>
    <t>OLD PHIBBAH</t>
  </si>
  <si>
    <t>P97</t>
  </si>
  <si>
    <t>EGYPT MIRTILLA</t>
  </si>
  <si>
    <t>IMG 124, P.226-227</t>
  </si>
  <si>
    <t>DOMESTIC PARTNER</t>
  </si>
  <si>
    <t>September 28, 1751</t>
  </si>
  <si>
    <t>P98</t>
  </si>
  <si>
    <t>"Gave Dido one bitt, last night cu, Illa Bis."</t>
  </si>
  <si>
    <t>L. POMPEY</t>
  </si>
  <si>
    <t>P99</t>
  </si>
  <si>
    <t>MR. HAYWARD'S SALLY</t>
  </si>
  <si>
    <t>September 29, 1751</t>
  </si>
  <si>
    <t>"Last night cum Dido, Bis."</t>
  </si>
  <si>
    <t>P100</t>
  </si>
  <si>
    <t>LITTLE FANNY</t>
  </si>
  <si>
    <t>Julina</t>
  </si>
  <si>
    <t>P101</t>
  </si>
  <si>
    <t>CLOE</t>
  </si>
  <si>
    <t>E607</t>
  </si>
  <si>
    <t>P102</t>
  </si>
  <si>
    <t>JACKIE</t>
  </si>
  <si>
    <t>"*Heard of a white man and the Negroes rising upon Capt. Leister. He afterwards told me the story himself."</t>
  </si>
  <si>
    <t>CAPTAIN LEISTER
THE OVERSEER
"THE NEGROES" ON CAPTAIN LEISTER'S ESTATE</t>
  </si>
  <si>
    <t>P472
P473
P43</t>
  </si>
  <si>
    <t>SISTER</t>
  </si>
  <si>
    <t>L64</t>
  </si>
  <si>
    <t>P103</t>
  </si>
  <si>
    <t>SARAH WHEATLE</t>
  </si>
  <si>
    <t>P104</t>
  </si>
  <si>
    <t>JENNY</t>
  </si>
  <si>
    <t>NAGO JENNY</t>
  </si>
  <si>
    <t>AFRICAN/BENIN/YORUBA</t>
  </si>
  <si>
    <t>IMG 124, P.226-228</t>
  </si>
  <si>
    <t>September 30, 1751</t>
  </si>
  <si>
    <t>"Last night Dido somn per me."</t>
  </si>
  <si>
    <t>IMG 125, P.228-229</t>
  </si>
  <si>
    <t>October 1, 1751</t>
  </si>
  <si>
    <t>"Last night cum Dido."</t>
  </si>
  <si>
    <t>P107</t>
  </si>
  <si>
    <t>NEPTUNE</t>
  </si>
  <si>
    <t>Little Quashe</t>
  </si>
  <si>
    <t>SON</t>
  </si>
  <si>
    <t>P108</t>
  </si>
  <si>
    <t>DR. GRAHAM</t>
  </si>
  <si>
    <t>E600</t>
  </si>
  <si>
    <t>IMG 127, P.232-233</t>
  </si>
  <si>
    <t>October 6, 1751</t>
  </si>
  <si>
    <t>"Mr. Stone here shooting again. Discharg'd him from coming here without leave."</t>
  </si>
  <si>
    <t>JOHN STONE
THE OVERSEER</t>
  </si>
  <si>
    <t>P64
P43</t>
  </si>
  <si>
    <t>BROTHER</t>
  </si>
  <si>
    <t>P109</t>
  </si>
  <si>
    <t>WILLIAM BARNES</t>
  </si>
  <si>
    <t>P110</t>
  </si>
  <si>
    <t>CUKOR</t>
  </si>
  <si>
    <t>IMG 239-240</t>
  </si>
  <si>
    <t>October 20, 1751</t>
  </si>
  <si>
    <t>"Mr. Dorrill says the storm was universal, reach'd Barbados, St. Kitts, etc."</t>
  </si>
  <si>
    <t>P111</t>
  </si>
  <si>
    <t>RICHARD HUNGERFORD</t>
  </si>
  <si>
    <t>P112</t>
  </si>
  <si>
    <t>DANIEL HUGHES</t>
  </si>
  <si>
    <t>Abba</t>
  </si>
  <si>
    <t>P20; P21</t>
  </si>
  <si>
    <t>E174</t>
  </si>
  <si>
    <t>IMG 134, P. 245-246</t>
  </si>
  <si>
    <t>November 1, 1751</t>
  </si>
  <si>
    <t>"Negroes upon Egypt Esate Belonging to William Dorrill, Esq."
Women: Lucy, Phibbah, Jenny, Myrtilla, Agnes, Hagar, Little Mimber, Chrishea, Violet, Betty
Girls: Ellin (Ebo), Dido( Creole)
Children: Nagua, Accubah, Dido, Franke, Jenny
On the estate 28 men, 6 boys, 26 women, 6 girls, 14 chiuldren = 80, 8 at Salt River, 1 Abigail runaway. 89 belongs the estate."</t>
  </si>
  <si>
    <t>P113</t>
  </si>
  <si>
    <t>BILLY LOWTHER</t>
  </si>
  <si>
    <t>MULATTO JOHN</t>
  </si>
  <si>
    <t>LUCY
PHIBBAH
JENNY
MYRTILLA
AGNES
CHRISHEA
VIOLET
NAGUA
ACCUBAH
DIDO
FRANKE
DIDO
ELLIN
BETTY</t>
  </si>
  <si>
    <t xml:space="preserve">P3
P7
P104
P97
P124
P126
P117
P207
P16
P105
P194
P105
P33
P134
</t>
  </si>
  <si>
    <t>ROARING RIVER ESTATE</t>
  </si>
  <si>
    <t>L21</t>
  </si>
  <si>
    <t>INVENTORY/RECORDS</t>
  </si>
  <si>
    <t>P114</t>
  </si>
  <si>
    <t xml:space="preserve">John was the mixed race son of Phibbah, the housekeeper of Egypt Estate, and Thomas Thistlewood, Egypt's overseer and the later owner of Breadnut Island Pen. Although he assumed paternal and financial support for him, Thistlewood never directly acknowledged paternity of John in the diaries, either referring to him as "Phibbah's child" or "Mulatto John".
John was born in April of 1760 in a difficult birth, assisted by a midwife from Salt River estate called Old Daphne and House Franke, his mother's close friend and business partner. In the days following his birth, John was nursed by an Egypt fieldwoman named Egypt Lucy, who would go on to become one of his mother's closest friends, business partners, and a caregiver for John when his parents moved away from him.
Phibbah secured a promise from Thistlewood in October of 1761 that John would be granted his freedom and in May of 1762, he fulfilled that promise. During the majority of his childhood, the freed John was sent to live in a boarding school for mixed race children where he learned how to read and write, was eventually apprenticed to become a carpenter at the age of 15, and allowed to join in Jamaica's 'colored' militia. One of his childhood friends was James, the son of a mixed race domestic laborer named Little Mimber on a neighboring plantation.
John was not diligent in his apprenticeship, often absenting from work for days on end. He was frequently in debt, and involved in domestic disputes. John lived to the age of twenty, then died in September of 1780 of a sudden, putrid stomach infection that turned his fingernails black and shredded his intestines. Phibbah was beside herself with grief, later suspecting that he had been poisoned as a result of a love triangle gone horribly wrong. The death struck a heavy blow to the broader enslaved community, many of whom came to his burial. John’s half-sister Accubah came to stay with their mother for several weeks afterwards. </t>
  </si>
  <si>
    <t>MR. MCARTHUR</t>
  </si>
  <si>
    <t>P115</t>
  </si>
  <si>
    <t>ROSANNA</t>
  </si>
  <si>
    <t>P116</t>
  </si>
  <si>
    <t>E129</t>
  </si>
  <si>
    <t>EGYPT MOLIA</t>
  </si>
  <si>
    <t>IMG 137, P.251-252</t>
  </si>
  <si>
    <t>November 11, 1751</t>
  </si>
  <si>
    <t>Old Sybil bitt [sic] bitt with a spider in coffee ground which makes her delirious singing her country, etc."</t>
  </si>
  <si>
    <t>OLD SYBIL</t>
  </si>
  <si>
    <t>P177</t>
  </si>
  <si>
    <t>P117</t>
  </si>
  <si>
    <t>P448</t>
  </si>
  <si>
    <t>VIOLET</t>
  </si>
  <si>
    <t>E461</t>
  </si>
  <si>
    <t>ANANSI STORYTELLER</t>
  </si>
  <si>
    <t>"Employed haughing cane: finish'd them in a very slight manner, not half as they should be."</t>
  </si>
  <si>
    <t>EGYPT FIELDHANDS</t>
  </si>
  <si>
    <t>P315</t>
  </si>
  <si>
    <t>P118</t>
  </si>
  <si>
    <t>ABIGAIL</t>
  </si>
  <si>
    <t>NEPHEW OF</t>
  </si>
  <si>
    <t>LABOR</t>
  </si>
  <si>
    <t>l1</t>
  </si>
  <si>
    <t>Phibbah</t>
  </si>
  <si>
    <t>Phib, Phibba</t>
  </si>
  <si>
    <t>P119</t>
  </si>
  <si>
    <t>MULATTO DAVIE</t>
  </si>
  <si>
    <t>E175</t>
  </si>
  <si>
    <t>IMG 137, P.251</t>
  </si>
  <si>
    <t>November 13, 1751</t>
  </si>
  <si>
    <t>"Gave following 24 hands new bills, night: AMbo, Plato, Adam, Cyrus, Jimmy, Port Royal, Humphrey, Sampson, Frank, George, Davie, Basheba, Yabba, Old Moll, Chrishea, Hannah, Lucy, Mirtilla, Marge, Bella, Jenny, Yara and Cynthia."</t>
  </si>
  <si>
    <t>AMBO
PLATO
ADAM
CYRUS
EGYPT JIMMY
PORT ROYAL
HUMPHREY
SAMPSON
FRANK
GEORGE
DAVIE
BASHEBA
YABBA
OLD MOLL
CHRISHEA
HANNAH
[EGYPT] LUCY
MIRTILLA
MARGE
BELLA
JENNY
YARA
CHRISHEA</t>
  </si>
  <si>
    <t>P170
P207
P208
P209
P210
P211
P212
P213
P214
P215
P216
P217
P218
P219
P220
P221
P222
P223
P224
P3
P126
P104
P97</t>
  </si>
  <si>
    <t>P120</t>
  </si>
  <si>
    <t>MR. MEYLER'S TOM</t>
  </si>
  <si>
    <t>AUNT</t>
  </si>
  <si>
    <t>P121</t>
  </si>
  <si>
    <t>E130</t>
  </si>
  <si>
    <t>DAGO</t>
  </si>
  <si>
    <t>IMG 139, P.255-256</t>
  </si>
  <si>
    <t>November 15, 1751</t>
  </si>
  <si>
    <t>"Sad murmuring amongst our Negroes perceove they have private encouragement at Salt River."</t>
  </si>
  <si>
    <t>L1
L4</t>
  </si>
  <si>
    <t>EGYPT ESTATE
SALT RIVER ESTATE</t>
  </si>
  <si>
    <t>P122</t>
  </si>
  <si>
    <t>EGYPT SILVIA [ADULT]</t>
  </si>
  <si>
    <t>IMG 143, P.263</t>
  </si>
  <si>
    <t>November 25, 1751</t>
  </si>
  <si>
    <t>"Last night Cum Dido sup me lect: remain Virgo. In the morning gave Dido a pair of glass ear dropps and a large glass bead becklace."</t>
  </si>
  <si>
    <t>NURSE</t>
  </si>
  <si>
    <t>P123</t>
  </si>
  <si>
    <t>MAZARINE</t>
  </si>
  <si>
    <t>P124</t>
  </si>
  <si>
    <t>AGNES</t>
  </si>
  <si>
    <t>Nancy</t>
  </si>
  <si>
    <t>E540</t>
  </si>
  <si>
    <t>IMG 142, P.261-262</t>
  </si>
  <si>
    <t>"Betty and Hagar wanting."</t>
  </si>
  <si>
    <t>BETTY
HAGAR</t>
  </si>
  <si>
    <t>P134
P82</t>
  </si>
  <si>
    <t>P125</t>
  </si>
  <si>
    <t>MOLL</t>
  </si>
  <si>
    <t>P126</t>
  </si>
  <si>
    <t>CHRISHEA</t>
  </si>
  <si>
    <t>IMG 143, P.263-264</t>
  </si>
  <si>
    <t>November 26, 1751</t>
  </si>
  <si>
    <t>"In the afternoon, I went to the hogstyes, found Old Tom there, brought him home; and Quacoo brought home Betty and Hagar."</t>
  </si>
  <si>
    <t>THE OVERSEER
OLD TOM
QUACOO
BETTY
HAGAR</t>
  </si>
  <si>
    <t>P43
P277
P298
P134
P82</t>
  </si>
  <si>
    <t>P127</t>
  </si>
  <si>
    <t>MR. MILLER</t>
  </si>
  <si>
    <t>IMG 144, P.265-266</t>
  </si>
  <si>
    <t>November 28, 1751</t>
  </si>
  <si>
    <t>"Last night Dido somn al me."</t>
  </si>
  <si>
    <t>P128</t>
  </si>
  <si>
    <t>The OVERSEER
DIDO</t>
  </si>
  <si>
    <t>EVE</t>
  </si>
  <si>
    <t>P129</t>
  </si>
  <si>
    <t>EGYPT CLARA</t>
  </si>
  <si>
    <t>IMG 144, P.265-267</t>
  </si>
  <si>
    <t>November 30, 1751</t>
  </si>
  <si>
    <t>"At night cum Dido."</t>
  </si>
  <si>
    <t>John</t>
  </si>
  <si>
    <t>Mulatto John</t>
  </si>
  <si>
    <t>P130</t>
  </si>
  <si>
    <t>CLORINDA</t>
  </si>
  <si>
    <t>December 1, 1751</t>
  </si>
  <si>
    <t>"Last night cum Dido. R Virgo."</t>
  </si>
  <si>
    <t>P131</t>
  </si>
  <si>
    <t>MR. JOHN THOMPSON</t>
  </si>
  <si>
    <t>IMG 145, P.267-268</t>
  </si>
  <si>
    <t>December 2, 1751</t>
  </si>
  <si>
    <t>"Last night Dido at Phibbah's house. In the morning gave her a trimming."</t>
  </si>
  <si>
    <t>DIDO
PHIBBAH
THE OVERSEER</t>
  </si>
  <si>
    <t>P105
P7
P43</t>
  </si>
  <si>
    <t>P132</t>
  </si>
  <si>
    <t>VISIT</t>
  </si>
  <si>
    <t>MR. JOHN THOMPSONS MULATTA DAUGHER</t>
  </si>
  <si>
    <t>L1-U</t>
  </si>
  <si>
    <t>House Franke</t>
  </si>
  <si>
    <t>P133</t>
  </si>
  <si>
    <t>MRS. BESSIE CALAMY</t>
  </si>
  <si>
    <t>E465</t>
  </si>
  <si>
    <t>IMG 146, P.269-270</t>
  </si>
  <si>
    <t>December 5, 1751</t>
  </si>
  <si>
    <t>"About half an hour before sunsett a large mock sun to the Southward of the sun."</t>
  </si>
  <si>
    <t>ASTRONOMY</t>
  </si>
  <si>
    <t>E541</t>
  </si>
  <si>
    <t>"About half an hour before sunsett, a large Mock sun to the southward of the sun."</t>
  </si>
  <si>
    <t>P135</t>
  </si>
  <si>
    <t>BESSIE</t>
  </si>
  <si>
    <t>E542</t>
  </si>
  <si>
    <t>IMG 149, P.275-276</t>
  </si>
  <si>
    <t>P136</t>
  </si>
  <si>
    <t>December 11, 1751</t>
  </si>
  <si>
    <t>MONDAY</t>
  </si>
  <si>
    <t>"Ambo and Cudjoe began to cutt the fences, began by Old Sarah's Hutt."</t>
  </si>
  <si>
    <t>AMBO
CUDJOE</t>
  </si>
  <si>
    <t>P170
P52</t>
  </si>
  <si>
    <t>MIDWIFE TO</t>
  </si>
  <si>
    <t>Old Daphne</t>
  </si>
  <si>
    <t>MIDWIFE</t>
  </si>
  <si>
    <t>P137</t>
  </si>
  <si>
    <t>ISAACS</t>
  </si>
  <si>
    <t>JEWISH</t>
  </si>
  <si>
    <t>IMG 149, P.275-277</t>
  </si>
  <si>
    <t>December 12, 1751</t>
  </si>
  <si>
    <t>"Ambo and Cudjoe cutting fences as before."</t>
  </si>
  <si>
    <t>P138</t>
  </si>
  <si>
    <t>MR. MURRAY</t>
  </si>
  <si>
    <t>E601</t>
  </si>
  <si>
    <t>IMG 150, P.277-278</t>
  </si>
  <si>
    <t>December 17, 1751</t>
  </si>
  <si>
    <t>"Jacob Ricketts and another gentleman call'd and told me he would prosecute me for whipping his NEgroes last Friday, as far as the law would allow."</t>
  </si>
  <si>
    <t>Vine</t>
  </si>
  <si>
    <t>JACOB RICKETTS
THE OVERSEER</t>
  </si>
  <si>
    <t>P464
P43</t>
  </si>
  <si>
    <t>P139</t>
  </si>
  <si>
    <t>DOVER</t>
  </si>
  <si>
    <t>P166</t>
  </si>
  <si>
    <t>IMG 151, P.279-280</t>
  </si>
  <si>
    <t>December 20, 1751</t>
  </si>
  <si>
    <t>"Ambo and Cudjoe cutting fences as they have been every working day since the first."</t>
  </si>
  <si>
    <t>P140</t>
  </si>
  <si>
    <t>SAM LEA</t>
  </si>
  <si>
    <t>P141</t>
  </si>
  <si>
    <t>DAVID LOPEZ</t>
  </si>
  <si>
    <t>E469</t>
  </si>
  <si>
    <t>IMG 153. P.283-284</t>
  </si>
  <si>
    <t>December 26, 1751</t>
  </si>
  <si>
    <t>"The Negroes drumming and dancing all night long."</t>
  </si>
  <si>
    <t>L1-B</t>
  </si>
  <si>
    <t>P142</t>
  </si>
  <si>
    <t>JN RICHIE</t>
  </si>
  <si>
    <t>E536</t>
  </si>
  <si>
    <t>IMG 155, P.287-288</t>
  </si>
  <si>
    <t>December 31, 1751</t>
  </si>
  <si>
    <t>"Ambo and Cudjoe finished cutting fences about the home pasture. Sent them next to that by Tony's watch hutt."</t>
  </si>
  <si>
    <t>Ogo</t>
  </si>
  <si>
    <t>Maria</t>
  </si>
  <si>
    <t>AMBO
CUDJOE
TONY</t>
  </si>
  <si>
    <t>P170
P52
P411</t>
  </si>
  <si>
    <t>P143</t>
  </si>
  <si>
    <t>MURDOCH MCLEOD</t>
  </si>
  <si>
    <t>E608</t>
  </si>
  <si>
    <t>IMG 44, P.42</t>
  </si>
  <si>
    <t>February 17, 1752</t>
  </si>
  <si>
    <t>"Old Tom and Ambo distilling low wines."</t>
  </si>
  <si>
    <t>P144</t>
  </si>
  <si>
    <t>OLD TOM
AMBO</t>
  </si>
  <si>
    <t>P277
P170</t>
  </si>
  <si>
    <t>WILLIAM GOLDING</t>
  </si>
  <si>
    <t>SPECIAL SKILL/TALENT</t>
  </si>
  <si>
    <t>P145</t>
  </si>
  <si>
    <t>JOHN HAWWKINS</t>
  </si>
  <si>
    <t>IMG 45, P.43</t>
  </si>
  <si>
    <t>February 18, 1752</t>
  </si>
  <si>
    <t>"Old Tom and Ambo distilling rum."</t>
  </si>
  <si>
    <t>Vine was a full blooded African or an Afro-Creole domestic laborer who lived on a neighboring plantation called Cabaritta Estate owned by one of Thistlewood's friends, Samuel Say. She was the daughter of at least one enslaved African parent, a man named Old Pompey who belonged to another of Thistlewood's friends named Jeremiah Meyer and lived on his estate of Meylersfield. When Vine's mother died in 1764, the enslaved community held a "play" (a communal funeral) in her honor.
Vine was involved in various sexual/domestic partnerships over the course of several years, including one with a white man named MacArthur who was employed on the Roaring River estate, and another with a driver named Sam who lived on the property of a Mrs. Sarah Bennett (who would lster sell thistlewood Breadnut Island Pen).
The diary never describes Vine as having any children of her own. However, she was a regular presence in the lives of her friends' children, especially that of her friend Phibbah [the housekeeper of Egypt Estate) and Phibbah's children John and Accubah, and Egypt Lucy's child Little Quashe.
Vine was a very close friend of Phibbah, Phibbah's sister Nancy, an enslaved domestic woman from Paradise Estate named House Franke, and an enslaved field woman from Egypt Estate named Egypt Lucy. Vine, Phibbah and John were relatively privileged as domestic laborers, given leave by their masters to attend various social events througout the parish such as horse races. In a significant departure from most other enslaved people in Jamica who were forced to walk everywhere as their chief means of transportation, Vine owned her own horse named Powder Tail.
Vine was a skilled healer and regularly attended to the sickbeds of enslaved men, women and children when they were ill--especially when they were friends or her friends' children.
Vine was a skilled teller of Anansi spider stories, and frequently came to Egypt in the evenings to tell them to enslaved people and whites alike, sometimes alongside other enslaved Africans like Abba.</t>
  </si>
  <si>
    <t>P146</t>
  </si>
  <si>
    <t>THOMAS TOWNSEND</t>
  </si>
  <si>
    <t>E360</t>
  </si>
  <si>
    <t>IMG 49, P.47</t>
  </si>
  <si>
    <t>February 22, 1752</t>
  </si>
  <si>
    <t>"Sent Lucy sick to Salt River."</t>
  </si>
  <si>
    <t>SEASONEE</t>
  </si>
  <si>
    <t>P147</t>
  </si>
  <si>
    <t>JAMES WHITTAKER</t>
  </si>
  <si>
    <t>E703</t>
  </si>
  <si>
    <t>IMG 51, P.49</t>
  </si>
  <si>
    <t>February 24, 1752</t>
  </si>
  <si>
    <t>"In the evening gave Jenny a new handkerchief."</t>
  </si>
  <si>
    <t>THE OVERSEER
JENNY</t>
  </si>
  <si>
    <t>P43
P104</t>
  </si>
  <si>
    <t>SUPPLY/LOAN/GIFT EXCHANGE</t>
  </si>
  <si>
    <t>P148</t>
  </si>
  <si>
    <t>MR. ARCHER</t>
  </si>
  <si>
    <t>IMG 71, P.69</t>
  </si>
  <si>
    <t>March 14, 1752</t>
  </si>
  <si>
    <t>"Jenny pretends to be young with child."</t>
  </si>
  <si>
    <t>P149</t>
  </si>
  <si>
    <t>THE PINKNEYS</t>
  </si>
  <si>
    <t>Lucy</t>
  </si>
  <si>
    <t>Little Lucy</t>
  </si>
  <si>
    <t>P150</t>
  </si>
  <si>
    <t>WILLIAM RICKETT'S CUFFEE</t>
  </si>
  <si>
    <t>IMG 73, P.71</t>
  </si>
  <si>
    <t>March 15, 1752</t>
  </si>
  <si>
    <t>"Note: Jenny's face and belly is very much mark'd, she says she was a Grande man's pickaninny: that he had a horsem, cattle, etc &amp; slaves of his own, that she was stole when he was not at home."</t>
  </si>
  <si>
    <t>P151</t>
  </si>
  <si>
    <t>MR. JEFF</t>
  </si>
  <si>
    <t>E682</t>
  </si>
  <si>
    <t>IMG 75, P.73</t>
  </si>
  <si>
    <t>March 17, 1752</t>
  </si>
  <si>
    <t>"Rec'd by Joe a letter of yesterday's date from Mr. Charles McIntosh with six vomitts and a phiall of liquid laudanum."</t>
  </si>
  <si>
    <t>JOE
CHARLES MCINTOSH
THE OVERSEER</t>
  </si>
  <si>
    <t>P299
P516
P43</t>
  </si>
  <si>
    <t>P152</t>
  </si>
  <si>
    <t>JOHN COLLON</t>
  </si>
  <si>
    <t>Nanny</t>
  </si>
  <si>
    <t>P153</t>
  </si>
  <si>
    <t>RICHARD DOBSON</t>
  </si>
  <si>
    <t>IMG 149, P.147</t>
  </si>
  <si>
    <t>June 7, 1752</t>
  </si>
  <si>
    <t>"For a knife which I gave Jenny, 1 bitt. For a yard of white osnaburg, 2 bitts."</t>
  </si>
  <si>
    <t>P154</t>
  </si>
  <si>
    <t>ANTHONY WATKINS TOMLINSON</t>
  </si>
  <si>
    <t>P181</t>
  </si>
  <si>
    <t>P155</t>
  </si>
  <si>
    <t>JOHN FRY</t>
  </si>
  <si>
    <t>IMG 159, P.157</t>
  </si>
  <si>
    <t>June 17, 1752</t>
  </si>
  <si>
    <t>"Gave Jenny a piece of osnaburg to make her a pocket."</t>
  </si>
  <si>
    <t>P156</t>
  </si>
  <si>
    <t>MR. ROBINSON</t>
  </si>
  <si>
    <t>Accubah; Jenny Young</t>
  </si>
  <si>
    <t>IMG 165, P.163</t>
  </si>
  <si>
    <t>June 22, 1752</t>
  </si>
  <si>
    <t>"Gave Jenny 20 mackerell over and above for herself."</t>
  </si>
  <si>
    <t>P157</t>
  </si>
  <si>
    <t>MR. NEIL</t>
  </si>
  <si>
    <t>P242</t>
  </si>
  <si>
    <t>IMG 166, P.164</t>
  </si>
  <si>
    <t>June 23, 1752</t>
  </si>
  <si>
    <t>"Cum Jenny sup book chest in my room about 11 am."</t>
  </si>
  <si>
    <t>the OVERSEER
JENNY</t>
  </si>
  <si>
    <t>P158</t>
  </si>
  <si>
    <t>QUASHE [OWNED BY GEORGE LESLEY]</t>
  </si>
  <si>
    <t>E610</t>
  </si>
  <si>
    <t>P159</t>
  </si>
  <si>
    <t>IMG 182, P.180</t>
  </si>
  <si>
    <t>JEREMIAH MEYLER</t>
  </si>
  <si>
    <t>July 23, 1752</t>
  </si>
  <si>
    <t>"Saw a Negroe girl there, stung with a scorpion in the arm. It fell from a trash absket upon her, she complain'd much. Another Negroe took the scorpion and rubb'd the place with it and she was soon easy."</t>
  </si>
  <si>
    <t>"A NEGROE GIRL"</t>
  </si>
  <si>
    <t>P474</t>
  </si>
  <si>
    <t>P160</t>
  </si>
  <si>
    <t>MRS. BLAKE'S DOLL</t>
  </si>
  <si>
    <t>MYAL PRACTITIONER</t>
  </si>
  <si>
    <t>E361</t>
  </si>
  <si>
    <t>IMG 204, P.202</t>
  </si>
  <si>
    <t xml:space="preserve">Ogo first appeared in the diary in December of 1761. Thistlewood purchased her in a group sale of five other Africans from a trader for 50 pounds. Upon her arrival to Egypt estate, he paired her with an enslaved fieldwoman named Egypt Lucy. After renaming her "Maria," one week after her purchase, he put Ogo to work in Egypt's fields.
Five years after her 
</t>
  </si>
  <si>
    <t>October 1, 1752</t>
  </si>
  <si>
    <t>"Sent Joe to Salt River for corn, sent by him 23 eggs and Accubbah, who going to learn to sew.</t>
  </si>
  <si>
    <t>JOE
ACCUBAH</t>
  </si>
  <si>
    <t>P299
P16</t>
  </si>
  <si>
    <t>P161</t>
  </si>
  <si>
    <t>MR. HAYWARD</t>
  </si>
  <si>
    <t>E550</t>
  </si>
  <si>
    <t>IMG 217, P.215</t>
  </si>
  <si>
    <t>October 27, 1752</t>
  </si>
  <si>
    <t>"In the evening, Phibbah beginning to complain, sent Joe to Salt River with a mule for a midwife, int he night he return'd with Old Daphne.
And Phibbah presently brought to bed of a girl."</t>
  </si>
  <si>
    <t>P162</t>
  </si>
  <si>
    <t>PHIBBAH
THE OVERSEER
JOE
OLD DAPHNE</t>
  </si>
  <si>
    <t>JENNY [ GEORGE LESLEY'S HOUSEKEEPER]</t>
  </si>
  <si>
    <t>P7
P43
P299
P11</t>
  </si>
  <si>
    <t>Sally</t>
  </si>
  <si>
    <t>P163</t>
  </si>
  <si>
    <t>P449</t>
  </si>
  <si>
    <t>THOMAS BRODIE</t>
  </si>
  <si>
    <t>October 30, 1752</t>
  </si>
  <si>
    <t>"Came a girl from Salt River nam'd Damsel to give Phibbah's child suck."</t>
  </si>
  <si>
    <t>DAMSEL
PHIBBAH'S DAUGHTER</t>
  </si>
  <si>
    <t>P34
P433</t>
  </si>
  <si>
    <t>CHILDCARE</t>
  </si>
  <si>
    <t>P164</t>
  </si>
  <si>
    <t>JOHN CUNNINGHAM</t>
  </si>
  <si>
    <t>P450</t>
  </si>
  <si>
    <t>IMG 218, P.216</t>
  </si>
  <si>
    <t>October 31, 1752</t>
  </si>
  <si>
    <t>"Damsel return'd home."</t>
  </si>
  <si>
    <t>P165</t>
  </si>
  <si>
    <t>PRINCE</t>
  </si>
  <si>
    <t>IMG 220, P.218</t>
  </si>
  <si>
    <t>November 3, 1752</t>
  </si>
  <si>
    <t>"Gave Phibbah another quart bottle of rum and some sugar, which is second time since she was brought to bed."</t>
  </si>
  <si>
    <t>THE OVERSEER
PHIBBAH</t>
  </si>
  <si>
    <t>P43
P7</t>
  </si>
  <si>
    <t>ANJAW</t>
  </si>
  <si>
    <t>Paradise Quasheba</t>
  </si>
  <si>
    <t>P167</t>
  </si>
  <si>
    <t>ANJAW'S SECOND CHILD/SON</t>
  </si>
  <si>
    <t>"Phibbah's child died."</t>
  </si>
  <si>
    <t>PHIBBAH'S DAUGHTER</t>
  </si>
  <si>
    <t>P433</t>
  </si>
  <si>
    <t>DEATH</t>
  </si>
  <si>
    <t>P168</t>
  </si>
  <si>
    <t>JOAN</t>
  </si>
  <si>
    <t>DIDO'S CHILD</t>
  </si>
  <si>
    <t>Peggy</t>
  </si>
  <si>
    <t>"Old Daphne return'd home to Salt River."</t>
  </si>
  <si>
    <t>P169</t>
  </si>
  <si>
    <t>LITTLE AGNES</t>
  </si>
  <si>
    <t>AMBO &amp; BETTY'S CHILD</t>
  </si>
  <si>
    <t>E314</t>
  </si>
  <si>
    <t>IMG 248, P.244</t>
  </si>
  <si>
    <t>December 22, 1752</t>
  </si>
  <si>
    <t>P170</t>
  </si>
  <si>
    <t>"Quashe extreme[ly] impudent and saucy, threatens my life, etc."</t>
  </si>
  <si>
    <t>AMBO</t>
  </si>
  <si>
    <t>THE OVERSEER
QUASHE</t>
  </si>
  <si>
    <t>P285
P43</t>
  </si>
  <si>
    <t>EGPYT LUCY</t>
  </si>
  <si>
    <t>P171</t>
  </si>
  <si>
    <t>LITTLE DICK</t>
  </si>
  <si>
    <t>PRINCESS' CHILD/SON</t>
  </si>
  <si>
    <t>E640</t>
  </si>
  <si>
    <t>IMG 251-254, P. 247-250</t>
  </si>
  <si>
    <t>December 27, 1752</t>
  </si>
  <si>
    <t>"In the evening, walked to Tony's gate etc, killed a black snake by the Styx Bridge. Thence walked towards Paradise cane pieces, but a little before I got to Cabaritta Bridge, just at the small causeway end in the little morass (about sunset). Met Congo Sam, who has been runaway since the 2nd. Instant attempting to take him, he immediately struck at me with a backed bill he had in his hand, and repeated his chops with all vehemence driving me back into the morass towards the river 25 or 30 yards from the road, but through the great mercy of God, his blows either fell short of me or were warded off with a pimento stick I had in in jmy hand with which I sometimes got a good strike at him. And although yet, as pleased God, I received no harm; the bill being new was not very sharp. But what the most showed his intention was when I kept him off with my stick saying 'You villagin runaway, away with you, etc,' he answered in the Negro manner, 'I will kill you, I will kill you,' etc. I called out 'Murder, and help for God's sake,' very loud, but no assistance came so that I had no prospect but to lose my life, till I threw myself at him and fortunately seized hold of the blade of the bill. (Since he made the first chip at me, to this time, might be 5 or 6 minutes). He kept fast hold of  the stock or handle. I endeavored to draw him into the road; he went readily, but would not go homewards. We went in this manner, over Cabaritta Bridge till we came against the watch hut then he would go no further. 
Bella &amp; abigail there but would not assist me. (He spoke to them in his language and I wa smuch afraid of them). We might stand against the hut 6 or 8 minutes, nobody came. At last, he suddenly quitted his hold and threw himself into the river. I being possessed of the bill, leaped in after him, made 3 or 4 chops at him and the bill flew out of my hand into the water. He endeavoring to get it, I enclosed him and a stake in my arms, resolving to keep my holf (up to the breeches, waistband in water). 5 Negro men and 3 women, strangers, went over the bridge and would by no means assist me neither for threat nor promises, one saying he was sick, the others that they were in a hurry. After we had stood in this manner maybe 8 or 10 minutes, London came and assisted me; tied his hands behind him with my handkerchief; but whilst I was seeking my stick in the morass, which I had quitted whne I seized hold of the blade of the bill, London, having a load of provisions on his head, Sam got away into the bushes, where he by some means had his hands loosed and lost my handkerchief.
Presently, London called out that Sam had seized his machete and would kill him. Two gentlemen being just rode by towards the bridge, I ran after them annd begged their assistance, being afraid to continues into the bush for it now began to be pretty dark. They went back on the road with me [London...] I secured his hands with my garters, took [him prisoner], I guarded him home, put him safe in irons 0and a] watch put over him."</t>
  </si>
  <si>
    <t>THE OVERSEER
CONGO SAM
LONDON
ABIGAIL
BELLA</t>
  </si>
  <si>
    <t>P43
P404
P249
P118
P176</t>
  </si>
  <si>
    <t>P172</t>
  </si>
  <si>
    <t>ELLIN'S CHILD</t>
  </si>
  <si>
    <t>IMG 255, P.251</t>
  </si>
  <si>
    <t>P173</t>
  </si>
  <si>
    <t>"Note: last Friday, in the field Quashe told me (before all the NEgroes) that I should not eat much more meat here! I asking him if he meant to poison or murder me, after a pause, he replied neither, but he intended to invent some great lie and go and tell his master, to get me turned away, etc. Am also of the opinion London had no good intent when in the bush with Sam if he had not heard company coming with me. Have also reason to beleive that many of the Negroes, as Quashe, Ambo, Phibbah etc knew that Sam had an intent to murder me when we should meet, by what I heard them speak one day in the cookroom when I was in the back piazza reading."</t>
  </si>
  <si>
    <t>MOUNTAIN LUCY'S CHILD</t>
  </si>
  <si>
    <t>QUASHE
THE OVERSEER
AMBO
PHIBBAH
CONGO SAM</t>
  </si>
  <si>
    <t>P359 OR P284
P43
P170
P7
P404</t>
  </si>
  <si>
    <t>P233</t>
  </si>
  <si>
    <t>P174</t>
  </si>
  <si>
    <t>SARAH'S CHILD/SON</t>
  </si>
  <si>
    <t>IMG 255-256, P.251-252</t>
  </si>
  <si>
    <t>December 28, 1752</t>
  </si>
  <si>
    <t>"In the morning had sam guarded by London to Salt River, related teh affair to Mr. Dorrill. Had him...handcuff'd and put in teh dungeon. Rode over to Mr., George Goode's and related the case to Colonel Rickett's and Mr. Lewis...is to start in the morning Eight o'clock at Mr. cook's Savanna la Mar and to have Sam there.
Rode home and had Abigail and Bella given 100 lashes each."</t>
  </si>
  <si>
    <t>THE OVERSEER
LONDON
CONGO SAM
WILLIAM DORRILL
GEORGE. GOODE
COLONEL RICKETT
MR. LEWIS
ABIGAIL
BELLA</t>
  </si>
  <si>
    <t>P43
P404
P249
P75
P511
P512
P513
P118
P176</t>
  </si>
  <si>
    <t>L67</t>
  </si>
  <si>
    <t>Johnie</t>
  </si>
  <si>
    <t>P355</t>
  </si>
  <si>
    <t>P175</t>
  </si>
  <si>
    <t>MOUNTAIN LUCY'S CHILD #2</t>
  </si>
  <si>
    <t>IMG 257, P.253</t>
  </si>
  <si>
    <t>December 29, 1752</t>
  </si>
  <si>
    <t>"Rode to Savanna la Mar, waited at Mr. William Cook's, for Mr. Lewis, about Noon he swore me and wrote Sam his mittimus and sent him to gaol. Congo Sharper brought him here."</t>
  </si>
  <si>
    <t>THE OVERSEER
MR. LEWIS
CONGO SAM
CONGO SHARPER</t>
  </si>
  <si>
    <t>P43
P513
P404
P514</t>
  </si>
  <si>
    <t>L10</t>
  </si>
  <si>
    <t>December 30, 1752</t>
  </si>
  <si>
    <t>"Bella &amp; Abigail wanting this morning. Sent out Plato to look for them."</t>
  </si>
  <si>
    <t>BELLA
ABIGAIL
PLATO</t>
  </si>
  <si>
    <t>P176
P118
P208</t>
  </si>
  <si>
    <t>Mary</t>
  </si>
  <si>
    <t>P178</t>
  </si>
  <si>
    <t>MR. NORTH'S GEORGE</t>
  </si>
  <si>
    <t>IMG 258, P.254</t>
  </si>
  <si>
    <t>"Bella and Abigail come home from Salt River about 1 pm, having been there to complain."</t>
  </si>
  <si>
    <t>BELLA
ABIGAIL</t>
  </si>
  <si>
    <t>P176
P118</t>
  </si>
  <si>
    <t>P179</t>
  </si>
  <si>
    <t>MR. STANFORD</t>
  </si>
  <si>
    <t xml:space="preserve">Nanny was an enslaved African young woman purchased by John Cope on Thistlewood's behalf in July of 1761 in Kingston, alongside two other African men: Solon and Caesar, who were also most likely her shipmates. She was presumed to be 21 years old.
Nanny had just one daughter, born in August of 1766 "in the height of bad weather" at a neighboring estate called Paradise. Nanny was assisted in the birth by an enslaved grannie named Paradise Quasheba. Her daughter was named Little Phibbah.
In the Spring of 1768, Nanny was entrusted with caring for Molia's (renaned Coobah) only child Silvia while Molia was hired out to labor on a neighboring plantation. Silvia fell sick while her mother was away and died at 15 months old.
Little Phibbah was often ill througnout her life, and in 1771 she died at age of five after a long and painful bout of stomach worms.
Nanny would be one of the enslaved people on Breadnut Island Pen who would go on to outlive Thistlewood following his death in 1786. In a 1787 appraisal of his human property she was estimated to be "about 47 years old" and valued at 60 pounds. </t>
  </si>
  <si>
    <t>IMG 8, P.4</t>
  </si>
  <si>
    <t>January 5, 1753</t>
  </si>
  <si>
    <t>"Mr. Stone gave me notice to be very early tomorrow morning at Savanna la Mar to try the Negroe.
At night London refuses to go with me to Sam's trial! Told me he would not go."</t>
  </si>
  <si>
    <t>MR. STONE
THE OVERSEER
LONDON
CONGO SAM</t>
  </si>
  <si>
    <t>P64
P43
P404
P249</t>
  </si>
  <si>
    <t>P180</t>
  </si>
  <si>
    <t>GEORGE MERCY</t>
  </si>
  <si>
    <t>Little Phibbah</t>
  </si>
  <si>
    <t>IMG 8. P.4</t>
  </si>
  <si>
    <t>January 6, 1753</t>
  </si>
  <si>
    <t>"Was down at Savanna la Mar,. Mr. Lewis, Cole, Barclay and Mr. Stone try Sam (old women)</t>
  </si>
  <si>
    <t>THE OVERSEER
MR. LEWIS
MR. COLE
COLONEL BARCLAY
MR. STONE</t>
  </si>
  <si>
    <t>P43
P513
P515
P369
P440</t>
  </si>
  <si>
    <t>SAM</t>
  </si>
  <si>
    <t>MRS. BENNETT'S DRIVER SAM</t>
  </si>
  <si>
    <t>P182</t>
  </si>
  <si>
    <t>IMG 11, P.7</t>
  </si>
  <si>
    <t>LEWIS</t>
  </si>
  <si>
    <t>January 10, 1753</t>
  </si>
  <si>
    <t>MR. MOULD'S LEWIS</t>
  </si>
  <si>
    <t>"Bella wanting all day.</t>
  </si>
  <si>
    <t>P183</t>
  </si>
  <si>
    <t>GRACE</t>
  </si>
  <si>
    <t>P451</t>
  </si>
  <si>
    <t>IMG 12, P.8</t>
  </si>
  <si>
    <t>Shipmate</t>
  </si>
  <si>
    <t>January 11, 1753</t>
  </si>
  <si>
    <t>"Abigail wanting all day."</t>
  </si>
  <si>
    <t>P184</t>
  </si>
  <si>
    <t>OLD KATY</t>
  </si>
  <si>
    <t>P185</t>
  </si>
  <si>
    <t>QUASHEBA [EGYPT]</t>
  </si>
  <si>
    <t>EGYPT GRANNIE QUASHEBA</t>
  </si>
  <si>
    <t>ACCUBAH; JENNY YOUNG</t>
  </si>
  <si>
    <t>IMG 15, P.11</t>
  </si>
  <si>
    <t>January 15, 1753</t>
  </si>
  <si>
    <t>"Plato out seeking Abigail, could not find her."</t>
  </si>
  <si>
    <t>PLATO
ABIGAIL</t>
  </si>
  <si>
    <t>P208
P118</t>
  </si>
  <si>
    <t>P186</t>
  </si>
  <si>
    <t>OGO'S CHILD [1770]</t>
  </si>
  <si>
    <t>Lincoln</t>
  </si>
  <si>
    <t>P187</t>
  </si>
  <si>
    <t>ROSE</t>
  </si>
  <si>
    <t>IMG 18, P.14</t>
  </si>
  <si>
    <t>January 20, 1753</t>
  </si>
  <si>
    <t>"Abigail come home again."</t>
  </si>
  <si>
    <t>P188</t>
  </si>
  <si>
    <t>DR. ROBINSON</t>
  </si>
  <si>
    <t>E681</t>
  </si>
  <si>
    <t>IMG 19, P.15</t>
  </si>
  <si>
    <t>January 22, 1753</t>
  </si>
  <si>
    <t>"Betty wanting."</t>
  </si>
  <si>
    <t>P189</t>
  </si>
  <si>
    <t>WILLIAM CROOKSHANKS</t>
  </si>
  <si>
    <t>P190</t>
  </si>
  <si>
    <t>EGYPT MIRTILLA/WILLIAM CROOKSHANKS DAUGHTER</t>
  </si>
  <si>
    <t>E696</t>
  </si>
  <si>
    <t>IMG 20, P.16</t>
  </si>
  <si>
    <t>January 23, 1753</t>
  </si>
  <si>
    <t>"Had not been above a quarter of an hour in Bed, before took with a violent vomitting and purging, extreme sick, tho' very well before. Suspect poison. Continue ill all day."</t>
  </si>
  <si>
    <t>P191</t>
  </si>
  <si>
    <t>MINOR</t>
  </si>
  <si>
    <t>P192</t>
  </si>
  <si>
    <t>ACHILLES</t>
  </si>
  <si>
    <t>IMG 21, P.14</t>
  </si>
  <si>
    <t>January 26, 1753</t>
  </si>
  <si>
    <t>"Last night had hte belly ache very much, and am vastly out of order all this day. Occasion'd by the Brackishness of teh water I think."</t>
  </si>
  <si>
    <t>P193</t>
  </si>
  <si>
    <t>VENUS</t>
  </si>
  <si>
    <t>MYAL PRACTITIONER WITH</t>
  </si>
  <si>
    <t>IMG 22, P.18</t>
  </si>
  <si>
    <t>January 28, 1753</t>
  </si>
  <si>
    <t>"Bella catch'd, had her whipp'd and gagged."</t>
  </si>
  <si>
    <t>P194</t>
  </si>
  <si>
    <t>EGYPT HOUSE FRANKE</t>
  </si>
  <si>
    <t>P195</t>
  </si>
  <si>
    <t>SANCHO</t>
  </si>
  <si>
    <t>E689</t>
  </si>
  <si>
    <t>IMG 41, P.[17]</t>
  </si>
  <si>
    <t>February 5, 1753</t>
  </si>
  <si>
    <t>"Abraham catch'd Betty last night &amp; brought her home."</t>
  </si>
  <si>
    <t>ABRAHAM
BETTY</t>
  </si>
  <si>
    <t>P360
P134</t>
  </si>
  <si>
    <t>P196</t>
  </si>
  <si>
    <t>JUBA</t>
  </si>
  <si>
    <t>P207</t>
  </si>
  <si>
    <t>E602</t>
  </si>
  <si>
    <t>IMG 91, P.67</t>
  </si>
  <si>
    <t>P197</t>
  </si>
  <si>
    <t>May 11, 1753</t>
  </si>
  <si>
    <t>LEWIE</t>
  </si>
  <si>
    <t>"After diner went to the Styx Bridge, Mr. Simms, &amp; Philip &amp; london &amp; Hazat with me, a multitude of Negroes there, most Colonel Barclay's took all the fishw e could from them. Seiz'd Adam and some of their Negroe women, brought them home and whip'd them, their Negroe men follow'd us most home, with threatening &amp; insolence. Colonel Barclay threatened me as he went home that he would whip me, when he left off me in the King's Road."</t>
  </si>
  <si>
    <t>THE OVERSEER
MR. SIMMS
PHILIP
LONDON
HAZAT
COLONEL BARCLAY'S NEGROES
COLONEL BARCLAY</t>
  </si>
  <si>
    <t>ABB</t>
  </si>
  <si>
    <t>P43
P369
P322
P249
P87
P381
P465</t>
  </si>
  <si>
    <t>P452</t>
  </si>
  <si>
    <t>P198</t>
  </si>
  <si>
    <t>THE GOVERNOR</t>
  </si>
  <si>
    <t>WILLIAM TRELAWNY, BARONET</t>
  </si>
  <si>
    <t>E485</t>
  </si>
  <si>
    <t>IMG 113, P.89</t>
  </si>
  <si>
    <t>August 1, 1753</t>
  </si>
  <si>
    <t>"Rode over the estate. At night Ambo impudent."</t>
  </si>
  <si>
    <t>THE OVERSEER
AMBO</t>
  </si>
  <si>
    <t>P43
P170</t>
  </si>
  <si>
    <t>P199</t>
  </si>
  <si>
    <t>THE GOVERNOR'S WIFE</t>
  </si>
  <si>
    <t>LAETITIA TRELAWNY</t>
  </si>
  <si>
    <t>E486</t>
  </si>
  <si>
    <t>P200</t>
  </si>
  <si>
    <t>IMG 116, P.92</t>
  </si>
  <si>
    <t>THE GOVERNOR'S SISTER</t>
  </si>
  <si>
    <t>August 18, 1753</t>
  </si>
  <si>
    <t>MISS TRELAWNY</t>
  </si>
  <si>
    <t>"About 2 PM as dark as I ever saw by clouds. About 10 at night a large mock moon to the Northward of the moon."</t>
  </si>
  <si>
    <t>P201</t>
  </si>
  <si>
    <t>MR. HAUGHTON</t>
  </si>
  <si>
    <t>E437</t>
  </si>
  <si>
    <t>IMG 119, P.95</t>
  </si>
  <si>
    <t>August 28, 1753</t>
  </si>
  <si>
    <t>"Gave Ambo a ticket and leave t go and see his pickaninny who is dangerously ill tomorrow morning."</t>
  </si>
  <si>
    <t>THE OVERSEER
AMBO</t>
  </si>
  <si>
    <t>P43
P170</t>
  </si>
  <si>
    <t>P202</t>
  </si>
  <si>
    <t>MR. WEECH</t>
  </si>
  <si>
    <t>IMG 122, P.98</t>
  </si>
  <si>
    <t>September 15, 1753</t>
  </si>
  <si>
    <t>"Tobbi, Ambo's pickanniny died at Johnny Edward's."</t>
  </si>
  <si>
    <t>AMBO'S CHILD</t>
  </si>
  <si>
    <t>P416</t>
  </si>
  <si>
    <t>P203</t>
  </si>
  <si>
    <t>MRS. BLAKE</t>
  </si>
  <si>
    <t>E483</t>
  </si>
  <si>
    <t>IMG 129-130, P.105-106</t>
  </si>
  <si>
    <t>October 12, 1753</t>
  </si>
  <si>
    <t>"Just at break of day in the morning took both Mulatto Sam &amp; Ambo in the canoe, went up the river with my gun as far as the fate but Goodwin's Old River is quite cover'd up with pond grass. Ambo took out one of his short fish potts. Set on in the pasture by the curing house trench side. A young alligator 24 inches long and seven girth about the belly, I tyed him with a pochthread and put him in the ___ by the still house side.
About 11 AM went down the River in the canoe with AMbo &amp; Mulatto Sam, angled and...drummed, snappers, etc."</t>
  </si>
  <si>
    <t>P204</t>
  </si>
  <si>
    <t>THE OVERSEER
MULATTO SAM
AMBO</t>
  </si>
  <si>
    <t>P43
P414
P170</t>
  </si>
  <si>
    <t>MR. SENIOR</t>
  </si>
  <si>
    <t>P205</t>
  </si>
  <si>
    <t>E487</t>
  </si>
  <si>
    <t>IMG 153, P.129</t>
  </si>
  <si>
    <t>MR. HARING</t>
  </si>
  <si>
    <t>December 9, 1753</t>
  </si>
  <si>
    <t>"Gave Ambo eleven fish hooks &amp; some fish limes."</t>
  </si>
  <si>
    <t>P206</t>
  </si>
  <si>
    <t>WILLIAM POMMELLS</t>
  </si>
  <si>
    <t>E186</t>
  </si>
  <si>
    <t>IMG 146, P.122</t>
  </si>
  <si>
    <t>December 26, 1753</t>
  </si>
  <si>
    <t>"____ a Negroe man belonging Dewsberry Esate gave me 2 yam, take him to be Phibbah's husband."</t>
  </si>
  <si>
    <t>PHIBBAH'S HUSBAND
THE OVERSEER</t>
  </si>
  <si>
    <t>P229
P43</t>
  </si>
  <si>
    <t>NAGUA</t>
  </si>
  <si>
    <t>E559</t>
  </si>
  <si>
    <t>P208</t>
  </si>
  <si>
    <t>PLATO</t>
  </si>
  <si>
    <t>"___ a Negroe man, belonging Dewberry Estate gave me 2 yams take him to be Phibbah's husband.</t>
  </si>
  <si>
    <t>PHIBBAH'S HUSBAND
THE OVERSEER</t>
  </si>
  <si>
    <t>P436
P43</t>
  </si>
  <si>
    <t>P209</t>
  </si>
  <si>
    <t>ADAM</t>
  </si>
  <si>
    <t>E187</t>
  </si>
  <si>
    <t>IMG 11, P. 5</t>
  </si>
  <si>
    <t>January 6, 1754</t>
  </si>
  <si>
    <t>"About 7 AM Cum Chrishea an Ebo Negroe, sup terr in the thatch. Tall cane piece, byt he road going to the Cnogo gold pond piece. Gave her a bitt."</t>
  </si>
  <si>
    <t>THE OVERSEER
CHRISHEA</t>
  </si>
  <si>
    <t>P43
P126</t>
  </si>
  <si>
    <t>P210</t>
  </si>
  <si>
    <t>CYRUS</t>
  </si>
  <si>
    <t>EBO/AFRICAN</t>
  </si>
  <si>
    <t xml:space="preserve">Cyrus was an enslaved man who lived/worked upon Egypt estate as a field hand. Presumed to be an 'Ebo' Cyrus was often tasked with performing a number of different skilled jobs around the estate, going out to search for and retrieve runaways, and even more frequently sent to fish in the nearby rivers and streams througout the parish.
Cyrus was confirmed as having two sons: a boy named Sawney with an undientified mother, and a boy named Little Dick with Wonga, an African fieldwoman who was born in 1757 and lived to the age of two before dying from complications of yaws disease. In the months following Little Dick's death, Cyrus mourned his loss by throwing a "feast" (a funeral celebration) in his son's honor. </t>
  </si>
  <si>
    <t>E291</t>
  </si>
  <si>
    <t>IMG 35, P.29</t>
  </si>
  <si>
    <t>February 5, 1754</t>
  </si>
  <si>
    <t>"Tonight Old Tom waws buried, the Negroe wenches sung over him a long time. I had a spell in the boiling house, and Jenny would not sleep in the great house, but Negro houses or cook room."</t>
  </si>
  <si>
    <t>P211</t>
  </si>
  <si>
    <t>OLD TOM
THE OVERSEER
JENNY</t>
  </si>
  <si>
    <t>EGYPT JIMMY</t>
  </si>
  <si>
    <t>P277
P43
P104</t>
  </si>
  <si>
    <t>\</t>
  </si>
  <si>
    <t>IMG 45, P.39</t>
  </si>
  <si>
    <t>February 16, 1754</t>
  </si>
  <si>
    <t>"Having staid still for want of cane many times today. Stopp'd the mill about sunset...have made this week 98 potts of sugar."</t>
  </si>
  <si>
    <t>P212</t>
  </si>
  <si>
    <t>P213</t>
  </si>
  <si>
    <t>HUMPHREY</t>
  </si>
  <si>
    <t>E211</t>
  </si>
  <si>
    <t>IMG 47, P.41</t>
  </si>
  <si>
    <t>February 19, 1754</t>
  </si>
  <si>
    <t>"Hagar, Betty, Lucy, Old Catalina and Old Sharper sick."</t>
  </si>
  <si>
    <t>HAGAR
BETTY
EGYPT LUCY
OLD CATALINA
OLD SHARPER</t>
  </si>
  <si>
    <t>P84
P134
P253
P3
P74</t>
  </si>
  <si>
    <t>P214</t>
  </si>
  <si>
    <t>SAMPSON</t>
  </si>
  <si>
    <t>IMG 48, P.42</t>
  </si>
  <si>
    <t>February 20, 1754</t>
  </si>
  <si>
    <t>"At night having but few canes left, stopp'd the Mill and cool'd the teatch with water, have made sine we put about 37 potts of sugar."</t>
  </si>
  <si>
    <t>P215</t>
  </si>
  <si>
    <t>FRANK</t>
  </si>
  <si>
    <t>IMG 49, P.43</t>
  </si>
  <si>
    <t>February 22, 1754</t>
  </si>
  <si>
    <t>"In the morning put about but stopp'd mill again by sunset and often forced to stop in the day. Have made since morning 18 potts of sugar.'</t>
  </si>
  <si>
    <t>P216</t>
  </si>
  <si>
    <t>GEORGE</t>
  </si>
  <si>
    <t>P217</t>
  </si>
  <si>
    <t>E330</t>
  </si>
  <si>
    <t>DAVIE</t>
  </si>
  <si>
    <t>IMG 50-51,. P.44-45</t>
  </si>
  <si>
    <t>February 23, 1754</t>
  </si>
  <si>
    <t>"Mr. Allen told me, this forenoon in King's Road, by side of the Breadnut Tree Cane Piece, that if I shot any of his N egroes, he would have me wait for me to be shott [sic], and would as soon shoot me himself as he would a mad dog. Sam Mathews, witness."</t>
  </si>
  <si>
    <t>MR. ALLEN
THE OVERSEER
SAM MATHEWS</t>
  </si>
  <si>
    <t>P293
P43
P79</t>
  </si>
  <si>
    <t>P218</t>
  </si>
  <si>
    <t>BASHEBA</t>
  </si>
  <si>
    <t>E315</t>
  </si>
  <si>
    <t>IMG 54, P.48</t>
  </si>
  <si>
    <t>February 26, 1754</t>
  </si>
  <si>
    <t>"Phibbah keeps away."</t>
  </si>
  <si>
    <t>P219</t>
  </si>
  <si>
    <t>YABBA</t>
  </si>
  <si>
    <t>IMG 56, P.50</t>
  </si>
  <si>
    <t>March 1, 1754</t>
  </si>
  <si>
    <t>"At breakfast time put in and in the evening stopp'd the mill &amp; cool'd the teatch with water, have made 9 potts of sugar."</t>
  </si>
  <si>
    <t>P220</t>
  </si>
  <si>
    <t>OLD MOLL</t>
  </si>
  <si>
    <t>P221</t>
  </si>
  <si>
    <t>E176</t>
  </si>
  <si>
    <t>HANNAH</t>
  </si>
  <si>
    <t>IMG 67, P.65</t>
  </si>
  <si>
    <t>March 11, 1754</t>
  </si>
  <si>
    <t>"Mirtilla and Lucy, cane carrier."</t>
  </si>
  <si>
    <t>EGYPT LUCY
EGYPT MIRTILLA</t>
  </si>
  <si>
    <t>P3
P97</t>
  </si>
  <si>
    <t>P222</t>
  </si>
  <si>
    <t>MARGE</t>
  </si>
  <si>
    <t>E212</t>
  </si>
  <si>
    <t>IMG 68, P.62</t>
  </si>
  <si>
    <t>March 16, 54</t>
  </si>
  <si>
    <t>"Wrote to Ms. Anderson &amp; sent over Lucy, ill of a pain in her side stomach."</t>
  </si>
  <si>
    <t>P223</t>
  </si>
  <si>
    <t>ELIZABETH ANDERSON
EGYPT LUCY
THE OVERSEER</t>
  </si>
  <si>
    <t>P76
P3
P43</t>
  </si>
  <si>
    <t>L1
L2</t>
  </si>
  <si>
    <t>EGYPT ESTATE
PARADISE ESTATE</t>
  </si>
  <si>
    <t>IMG 69, P.63</t>
  </si>
  <si>
    <t>March 16, 1754</t>
  </si>
  <si>
    <t>"Finish'd cutting our canes this year in 42 days wiht 971 hands, that is 23 5/42 hands, cutters each day, one with another.
Sugar Made as Follows
1st Week: 75 potts
2nd Week: 114 potts
3rd Week: 98 potts
4th Week: 92 Potts
5th Week: 70 Potts
6th Week: 60 potts
7th Week: 58 potts
567 Potts
Accounting 16 to a Tierce= 35 tierces and 7 potts over, or 23 hogsheads and 15 potts over beside Bottoms."</t>
  </si>
  <si>
    <t>P224</t>
  </si>
  <si>
    <t>YARA</t>
  </si>
  <si>
    <t>P225</t>
  </si>
  <si>
    <t>DOLL</t>
  </si>
  <si>
    <t>E460</t>
  </si>
  <si>
    <t>IMG 92, P86</t>
  </si>
  <si>
    <t>April 12, 1754</t>
  </si>
  <si>
    <t>"Today and for this onth past, also has been a great fire in the Salt Savanna Morass, it usually slacks in the ngiht bur rages more and more as hte sun gets up nd the Breezes rises. IT burns down large mangrves and approaches within a hundred yards of ur cane pieces in somuch that I am afraid we may receive damage by it.
Scarce was known so long a draught [sic], it is true on some parts of this estate we have large foggs mornign and evening ten or twelve yards and in some places more from the surface whilst in other parts of it (the higher) are more."</t>
  </si>
  <si>
    <t>l15</t>
  </si>
  <si>
    <t>IMG 94, P.88</t>
  </si>
  <si>
    <t>P226</t>
  </si>
  <si>
    <t>April 14, 1754</t>
  </si>
  <si>
    <t>MORRIS</t>
  </si>
  <si>
    <t>"A great fire in the morass tonight Betwene Tophill and the ____ cane piece."</t>
  </si>
  <si>
    <t>P227</t>
  </si>
  <si>
    <t>SAMUEL DUME</t>
  </si>
  <si>
    <t>April 15, 1754</t>
  </si>
  <si>
    <t>"In the evening had all hands, watchmen etc home to assist in killing a large fire in the Morass that approached in many places within  2 or 3 yards of Top Hill Cane pieces."</t>
  </si>
  <si>
    <t>P228</t>
  </si>
  <si>
    <t>DR. GORSE</t>
  </si>
  <si>
    <t>IMG 95, P.89</t>
  </si>
  <si>
    <t>April 16, 1754</t>
  </si>
  <si>
    <t>"Most of the day all hands about the fire, which burnt vehemently but with much adoe we got an interval clear'd in the Morass ad kpt h fire from the cane piees."</t>
  </si>
  <si>
    <t>P229</t>
  </si>
  <si>
    <t>PHIBBAH'S HUSBAND</t>
  </si>
  <si>
    <t>IMG 96, P.90</t>
  </si>
  <si>
    <t>April 17, 1754</t>
  </si>
  <si>
    <t>"All day long employ'd about the fire."</t>
  </si>
  <si>
    <t>P230</t>
  </si>
  <si>
    <t>MIXED RACE, "MULATTO"</t>
  </si>
  <si>
    <t>P231</t>
  </si>
  <si>
    <t>"Employ'd about the fire again, which burned with great violence all of the heat of the day: dangerous nigh it, the large mangroves fall so frequently."</t>
  </si>
  <si>
    <t>LITTLE CATALINA</t>
  </si>
  <si>
    <t>P232</t>
  </si>
  <si>
    <t>PARADISE QUACOO</t>
  </si>
  <si>
    <t>IMG 97, P.91</t>
  </si>
  <si>
    <t>April 18, 1754</t>
  </si>
  <si>
    <t>"Employ'd good part of the day about the Fire."</t>
  </si>
  <si>
    <t>OGO'S SWEETHEART</t>
  </si>
  <si>
    <t>April 19, 1754</t>
  </si>
  <si>
    <t>"The fire continues to rage in the Morass but not so dangerous for our cane pieces as before."</t>
  </si>
  <si>
    <t>P234</t>
  </si>
  <si>
    <t>IMG 98, P.92</t>
  </si>
  <si>
    <t>April 21, 1754</t>
  </si>
  <si>
    <t>"Hanvoer seems more burnt up (if anything) than Westmoreland and many of the mountains on fire, you shall hear the crash of great trees falling veyr frequently."</t>
  </si>
  <si>
    <t>P235</t>
  </si>
  <si>
    <t>MR. MOULD'S FRANKE</t>
  </si>
  <si>
    <t>E470</t>
  </si>
  <si>
    <t>IMG 99, P.93</t>
  </si>
  <si>
    <t>P236</t>
  </si>
  <si>
    <t>April 22, 1754</t>
  </si>
  <si>
    <t>LONGPONG RUNAWAY WOMAN</t>
  </si>
  <si>
    <t>"Am in good hopes of getting either into Mr. Philip Hawthorne or Major Chambers' employ, by Mr. Tur ___ or Mr. Blythe's interest, etc."</t>
  </si>
  <si>
    <t>THE OVERSEER
PHILKP HAWTHORNE
MAJOR CHAMBERS
MR. BLYTHE</t>
  </si>
  <si>
    <t>P43
P405
P406
P407</t>
  </si>
  <si>
    <t>P237</t>
  </si>
  <si>
    <t>CUBBENA</t>
  </si>
  <si>
    <t>IMG 100, P.94</t>
  </si>
  <si>
    <t>April 23, 1754</t>
  </si>
  <si>
    <t>"The hands employ'd about the fire as before."</t>
  </si>
  <si>
    <t>P238</t>
  </si>
  <si>
    <t>April 24, 1754</t>
  </si>
  <si>
    <t>"The fire continues very violent in the Morass.
Had water fetch'd a long way up the river, the pond being very salt and all the water nigh us."</t>
  </si>
  <si>
    <t>THE OVERSEER
EGYPT FIELDHANDS</t>
  </si>
  <si>
    <t>P43
P315</t>
  </si>
  <si>
    <t>P239</t>
  </si>
  <si>
    <t>QUANINA</t>
  </si>
  <si>
    <t>IMG 101, P.95</t>
  </si>
  <si>
    <t>April 25, 1754</t>
  </si>
  <si>
    <t>"Note! We are forced to water the Fruit trees in the garden daily."</t>
  </si>
  <si>
    <t>P240</t>
  </si>
  <si>
    <t>EGYPT QUASHEBA</t>
  </si>
  <si>
    <t>P241</t>
  </si>
  <si>
    <t>April 27, 1754</t>
  </si>
  <si>
    <t>"Employ'd all hands about the Fire in the Morass to keep it out of the stopiece cane piece."</t>
  </si>
  <si>
    <t>VINE'S MOTHER</t>
  </si>
  <si>
    <t>IMG 102, P.96</t>
  </si>
  <si>
    <t>April 29, 1754</t>
  </si>
  <si>
    <t>"The fire continues in the morass as violent as ever."</t>
  </si>
  <si>
    <t>P243</t>
  </si>
  <si>
    <t>STOMPE</t>
  </si>
  <si>
    <t>E629</t>
  </si>
  <si>
    <t>P. 98-99</t>
  </si>
  <si>
    <t>May 1, 1754</t>
  </si>
  <si>
    <t>"About Noon Samuel Matthews come with some hands to assist us in guarding against the fire. Also came the following Negroes to be upon the estate: Plato, London, Port Royal, Cyrus, Lucy, Agnes, Jenny, Hanah, Chrishea, Abigail."</t>
  </si>
  <si>
    <t>SAMUEL] MATHEWS
PLATO
LONDON
PORT ROYAL
CYRUS
EGYPT LUCY
AGNES
JENNY
HANAH
CHRISHEA
ABIGAIL</t>
  </si>
  <si>
    <t>P79
P208
P249
P25
P210
P3
P124
P104
P221
P126
P118</t>
  </si>
  <si>
    <t>P244</t>
  </si>
  <si>
    <t>POLLY</t>
  </si>
  <si>
    <t>DR. FRAZIER'S POLLY</t>
  </si>
  <si>
    <t>IMG 106, P.100</t>
  </si>
  <si>
    <t>May 2, 1754</t>
  </si>
  <si>
    <t>"At the forenoon employ'd about teh fire, an interval from the Old Grund, round up the Stoopoe piece."</t>
  </si>
  <si>
    <t>P245</t>
  </si>
  <si>
    <t>DR. FRAZIER</t>
  </si>
  <si>
    <t>pm</t>
  </si>
  <si>
    <t>E630</t>
  </si>
  <si>
    <t>P246</t>
  </si>
  <si>
    <t>P.99-100</t>
  </si>
  <si>
    <t>COOBAH'S FIRST DAUGHTER</t>
  </si>
  <si>
    <t>"Also come here the following Negroes more: Punch, Pero, Benjamin, Hannah, Lucy, Cynthia, Princess, Basheba, Lydia, Susanah, Mazarine, Beck =12.</t>
  </si>
  <si>
    <t xml:space="preserve">PUNCH
PERO
BENJAMIN
HANNAH
MOUNTAIN LUCY
CYNTHIA
WANGA
BASHEBA
LYDIA
MOUNTAIN SUSANAH
MAZARINE
BECK
</t>
  </si>
  <si>
    <t>P348
P336
P413
P221
P30
P77
P27
P218
P480
P254
P123
P361</t>
  </si>
  <si>
    <t>P247</t>
  </si>
  <si>
    <t>LITTLE DOLL</t>
  </si>
  <si>
    <t>P453</t>
  </si>
  <si>
    <t>May 3, 1754</t>
  </si>
  <si>
    <t>"The fire is extreme violent in the Morass this afternoon."</t>
  </si>
  <si>
    <t>P248</t>
  </si>
  <si>
    <t>P454</t>
  </si>
  <si>
    <t>DR. ALLWOOD</t>
  </si>
  <si>
    <t>E631</t>
  </si>
  <si>
    <t>P.100</t>
  </si>
  <si>
    <t>"Gave all the Mountain Negroes new bills except Punch, Pero, and Benjamin and all of them new houghs except Benjamin alone."</t>
  </si>
  <si>
    <t>"PUNCH
PERO
BENJAMIN
HANNAH
MOUNTAIN LUCY
CYNTHIA
WONGA
BASHEBA
LYDIA
MOUNTAIN SUSANAH
MAZARINE
BECK
THE OVERSEER</t>
  </si>
  <si>
    <t>P348
P336
P413
P221
P30
P77
P27
P218
P480
P254
P123
P361
P43</t>
  </si>
  <si>
    <t>P249</t>
  </si>
  <si>
    <t>LONDON</t>
  </si>
  <si>
    <t>IMG 107, P.101</t>
  </si>
  <si>
    <t>May 4, 1754</t>
  </si>
  <si>
    <t>"Had the fire watch'd by Plato, Port Royal &amp; London continues as violent as ever."</t>
  </si>
  <si>
    <t>PLATO
PORT ROYAL
LONDON</t>
  </si>
  <si>
    <t>P208
P212
P249</t>
  </si>
  <si>
    <t>P250</t>
  </si>
  <si>
    <t>DITTO</t>
  </si>
  <si>
    <t>JENNY [ABBA'S DAUGHTER]</t>
  </si>
  <si>
    <t>E632</t>
  </si>
  <si>
    <t>P.101</t>
  </si>
  <si>
    <t>May 5, 1754</t>
  </si>
  <si>
    <t>"Wrote to Mr. Dorrill and sent the Mountain Negroes to him for provisions."</t>
  </si>
  <si>
    <t>P251</t>
  </si>
  <si>
    <t>"PUNCH
PERO
BENJAMIN
HANNAH
MOUNTAIN LUCY
CYNTHIA
WONGA
BASHEBA
LYDIA
MOUNTAIN SUSANAH
MAZARINE
BECK
THE OVERSEER
WILLIAM DORRILL</t>
  </si>
  <si>
    <t>BILLY FOOT'S MIMBAH</t>
  </si>
  <si>
    <t>P348
P336
P413
P221
P30
P77
P27
P218
P480
P254
P123
P361
P43
P75</t>
  </si>
  <si>
    <t>P252</t>
  </si>
  <si>
    <t>MR. MOULD</t>
  </si>
  <si>
    <t>May 6, 1754</t>
  </si>
  <si>
    <t>"We are forc'd to have the fire watch'd all night."</t>
  </si>
  <si>
    <t>P253</t>
  </si>
  <si>
    <t>OLD CATALINA</t>
  </si>
  <si>
    <t>"About 10 AM the Mountain NEgroes return'd, all except Pero, who they say is gone quite to the crawls."</t>
  </si>
  <si>
    <t>"PUNCH
PERO
BENJAMIN
HANNAH
MOUNTAIN LUCY
CYNTHIA
WONGA
BASHEBA
LYDIA
MOUNTAIN SUSANAH
MAZARINE
BECK</t>
  </si>
  <si>
    <t>P254</t>
  </si>
  <si>
    <t>MOUNTAIN SUSANAH</t>
  </si>
  <si>
    <t>May 7, 1754</t>
  </si>
  <si>
    <t>"Had three hands watching the fire all day."</t>
  </si>
  <si>
    <t>P255</t>
  </si>
  <si>
    <t>LYDDE</t>
  </si>
  <si>
    <t>IMG 110, P.104</t>
  </si>
  <si>
    <t>May 8, 1754</t>
  </si>
  <si>
    <t>"Had the fire watchd Day and Night however they grow fiercer and fiercer.
A larg fire broke out by the side of the Breadnut Tree Cane Pieces and Dunbar ground. Had all hands at it well late at night and watch'd all night."</t>
  </si>
  <si>
    <t>P256</t>
  </si>
  <si>
    <t>NERO</t>
  </si>
  <si>
    <t>NEPTUNE [ABBA'S SON]</t>
  </si>
  <si>
    <t>IMG 111, P.105</t>
  </si>
  <si>
    <t>P257</t>
  </si>
  <si>
    <t>May 9, 1754</t>
  </si>
  <si>
    <t>BRISTOL [BESS' SON]</t>
  </si>
  <si>
    <t>"Employ'd making intervals about the Dunbar ground etc. The fire there burning very fierce as well as again coffee ground, etc."</t>
  </si>
  <si>
    <t>P316</t>
  </si>
  <si>
    <t>P258</t>
  </si>
  <si>
    <t>PHOEBE'S CHILD/SON</t>
  </si>
  <si>
    <t>IMG 112, P.106</t>
  </si>
  <si>
    <t>May 10, 1754</t>
  </si>
  <si>
    <t>"Employ'd clearing an interval in the Savanna past the corner piece, had the fire watch'd, etc."</t>
  </si>
  <si>
    <t>P259</t>
  </si>
  <si>
    <t>OLD CUNNINGHAM</t>
  </si>
  <si>
    <t>E472</t>
  </si>
  <si>
    <t>May 11, 1754</t>
  </si>
  <si>
    <t xml:space="preserve">"It is now impossible to keep anythings for ratts [sic] such abundance." </t>
  </si>
  <si>
    <t>P260</t>
  </si>
  <si>
    <t>DR. PANTON</t>
  </si>
  <si>
    <t>E481</t>
  </si>
  <si>
    <t>IMG 113, P.107</t>
  </si>
  <si>
    <t>"Cum Ellin, sugar ground by Morass side against the Breadnut Tree Cane Piece."</t>
  </si>
  <si>
    <t>THE OVERSEER
ELLIN</t>
  </si>
  <si>
    <t>P43
P33</t>
  </si>
  <si>
    <t>P261</t>
  </si>
  <si>
    <t>HERCULES</t>
  </si>
  <si>
    <t>L1-G</t>
  </si>
  <si>
    <t>E633</t>
  </si>
  <si>
    <t>P262</t>
  </si>
  <si>
    <t>EVE'S DAUGHTER</t>
  </si>
  <si>
    <t>"Gave the Mountain Negroes today."</t>
  </si>
  <si>
    <t>P263</t>
  </si>
  <si>
    <t>YOUNG MR. LESLEY</t>
  </si>
  <si>
    <t>May 13, 1754</t>
  </si>
  <si>
    <t>"Gave AMbo a bottle of rum. Ambo gave me eleven eggs."</t>
  </si>
  <si>
    <t>P264</t>
  </si>
  <si>
    <t>HENRY MCCORMICK</t>
  </si>
  <si>
    <t>E634</t>
  </si>
  <si>
    <t>Very hott in the middle of the day, now always."</t>
  </si>
  <si>
    <t>P265</t>
  </si>
  <si>
    <t>MR. BOSSLEY'S ENSLAVED WOMAN</t>
  </si>
  <si>
    <t>E635</t>
  </si>
  <si>
    <t>"Basheba, one of the Mountain Negroes wanting, in all probability runaway."</t>
  </si>
  <si>
    <t>P266</t>
  </si>
  <si>
    <t>MR. CHAMBER'S JENNY</t>
  </si>
  <si>
    <t>E636</t>
  </si>
  <si>
    <t>P.108-109</t>
  </si>
  <si>
    <t>May 14, 1754</t>
  </si>
  <si>
    <t>"Come here the following Negroes: Humphrey, a New Negroe boy belonging [to] Mr. Cope and Bess whom he has hired off Dr. Micham wife. Also those belonging to Mrs. Anderson: Jacke, Lewie, Mirtilla, Sarah, Lydde, Coffee, SCotland, Mullin, Hope, Quashe, Hazat, Old Phibbah.</t>
  </si>
  <si>
    <t>HUMPHREY
BESS
ELIZABETH ANDERSON
DR. MICHAM'S WIFE
JACKE
LEWIE
MIRTILLA
SARAH
LYDDE
COFFEE
SCOTLAND
MULLIN
HOPE
QUASHE
HAZAT
OLD PHIBBAH</t>
  </si>
  <si>
    <t>P267</t>
  </si>
  <si>
    <t>P213
P41
P76
P481
P482
P197
P32
P106
P255
P353
P483
P484
P373
P284
P87
P96</t>
  </si>
  <si>
    <t>EASTER</t>
  </si>
  <si>
    <t>P268</t>
  </si>
  <si>
    <t>P.108</t>
  </si>
  <si>
    <t>MR. ROBERTS</t>
  </si>
  <si>
    <t>"The mountain Negroe Basheba return'd."</t>
  </si>
  <si>
    <t>P269</t>
  </si>
  <si>
    <t>CUMBERLAND</t>
  </si>
  <si>
    <t>P.111</t>
  </si>
  <si>
    <t>May 16, 1754</t>
  </si>
  <si>
    <t xml:space="preserve">"I went to Hill (William with me). Ambo, Phibbah, and the Mountain Negroes, gave them grounds as follows:
George's to Benjamin
Belinda's to Punch
Cudjoe's to [Mountain] Lucy
Old Moll's to Beck
Will's to Pero
___ to Basheba
Dover's to [Mountain] Susanah
Little Mimber's to Bess
Roger's to Cynthia
Nero's to Hannah
Prue's to Princess
Sharper/Old Sybil's to Congo Sam
Quasheba's to Nago Jenny
Quacoo's to Rose
Lydde &amp; Mazarine has with Phibbah in Quash'es grounds.
</t>
  </si>
  <si>
    <t>THE OVERSEER
WILLIAM CROOKSHANKS
AMBO
PHIBBAH
GEORGE
BENJAMIN
BELINDA
PUNCH
CUDJOE
MOUNTAIN LUCY
OLD MOLL
BECK
WILL
PERO
BASHEBA
DOVER
MOUNTAIN SUSANAH
LITTLE MIMBER
BESS
ROGER
CYNTHIA
NERO
HANNAH
PRUE
WONGA
SHARPER
OLD SYBIL
CONGO SAM
QUASHEBA
JENNY
QUACOO
ROSE
LYDDE
MAZARINE</t>
  </si>
  <si>
    <t>P43
P189
P170
P7
P216
P413
P429
P348
P52
P30
P220
P361
P485
P336
P218
P139
P254
P80
P41
P486
P77
P256
P221
P27
P74
P404
P487
P177
P240
P104
P187
P255
P298
P123</t>
  </si>
  <si>
    <t>P270</t>
  </si>
  <si>
    <t>FLORA [MOUNTAIN LUCY'S CHILD]</t>
  </si>
  <si>
    <t>IMG 120, P.114</t>
  </si>
  <si>
    <t>May 20, 1754</t>
  </si>
  <si>
    <t>"The fire in the Moriass is now very fierce against our pasture, coffee ground &amp; large trees almost continually tumbling."</t>
  </si>
  <si>
    <t>P271</t>
  </si>
  <si>
    <t>LITTLE BENEBA</t>
  </si>
  <si>
    <t>IMG 122, P.116</t>
  </si>
  <si>
    <t>May 22, 1754</t>
  </si>
  <si>
    <t>"About 2 PM Congo Sam call'd out Fire, had all the hands there immediately and as pleased good, wonderfully put a stop to it, presently although it burnt prodigious fierce, however it burnt about 2 acre, one acre in the calabash tree piece and one in the cotton tree piece. It began by the Road side not far from Hill Path. Conjecture it to have been done purposely by some ill disposed person, or thrown carelessly aby some Begroe walking along the Road lighting their pipe. We found the fire stick thrown in...was all the atfternoon putting of it out and quenching it."</t>
  </si>
  <si>
    <t>EGYPT FIELDHANDS
CONGO SAM
THE OVERSEER</t>
  </si>
  <si>
    <t>P315
P404
P43</t>
  </si>
  <si>
    <t>P272</t>
  </si>
  <si>
    <t>JOHN THOMSON</t>
  </si>
  <si>
    <t>May 23, 1754</t>
  </si>
  <si>
    <t>P273</t>
  </si>
  <si>
    <t>"AM, cutt all the cane that was burnt yesterday close to the ground. London watching the canes as usual from the fire."</t>
  </si>
  <si>
    <t>THOMAS</t>
  </si>
  <si>
    <t>EGYPT FIELDHANDS
LONDON</t>
  </si>
  <si>
    <t>MULATTO THOMAS</t>
  </si>
  <si>
    <t>P315
P249</t>
  </si>
  <si>
    <t>P274</t>
  </si>
  <si>
    <t>CAPTAIN SUTTIE</t>
  </si>
  <si>
    <t>IMG 123, P.117</t>
  </si>
  <si>
    <t>"About 3 PM seeing a smoak in the Morass against Jude House cane piece. Took 5 Negroe men and went gor it, very bad walking but at last came to it, it was a littl epice of higher land they call Greenwood, we went out into the Congo ground, pretty good road. Note: the place on fire was not about 15 or 20 yards square but not easy to be put out, so many trees down one over another."</t>
  </si>
  <si>
    <t>P275</t>
  </si>
  <si>
    <t>THE PLANTER'S THREE DAUGHTERS</t>
  </si>
  <si>
    <t>IMG 124-125, P.118-119</t>
  </si>
  <si>
    <t>May 24, 1754</t>
  </si>
  <si>
    <t>"This afternoon was the first good shower we have had for four or five months past; which occasioned an excessive draught and scarcity of water and the country has in most placed been overrun with Fire, most provision ground and many plantations burnt up.
All Salt Savanna and the Morass adjoining to as the way burnt up, trees and all. Some thousands of acres and fires in every morass about us and on every hand. The River Styx in a manner dry under the Bridge and not shoe top deep anywhere The great pond very shallow and almost dry, only just a little water left in the middle."</t>
  </si>
  <si>
    <t>P276</t>
  </si>
  <si>
    <t>PLUTO</t>
  </si>
  <si>
    <t>P296</t>
  </si>
  <si>
    <t>E306</t>
  </si>
  <si>
    <t>IMG 177, P.169</t>
  </si>
  <si>
    <t>July 23, 1754</t>
  </si>
  <si>
    <t>"In the evening cum Mountain Lucy, sup terr in coffee ground pop. cane piece, not far from Tophill.
At night cum Phibbah, sup me: lect."</t>
  </si>
  <si>
    <t>THE OVERSEER
MOUNTAIN LUCY
PHIBBAH</t>
  </si>
  <si>
    <t>P43
P30
P7</t>
  </si>
  <si>
    <t>P277</t>
  </si>
  <si>
    <t>OLD TOM</t>
  </si>
  <si>
    <t>FATHER OF</t>
  </si>
  <si>
    <t>IMG 179, P.177</t>
  </si>
  <si>
    <t>July 25, 1754</t>
  </si>
  <si>
    <t>"At night, cum Phib. she went to Negroe house, and would not come near me, though I sent Coffee often til I went with much ado, prevailed of her to come back, uypon Mountain Lucys account: she being informed exactly."</t>
  </si>
  <si>
    <t>THE OVERSEER
PHIBBAH</t>
  </si>
  <si>
    <t>P43
P7</t>
  </si>
  <si>
    <t>P278</t>
  </si>
  <si>
    <t>FARLANE</t>
  </si>
  <si>
    <t>PHIB</t>
  </si>
  <si>
    <t>P455</t>
  </si>
  <si>
    <t>P279</t>
  </si>
  <si>
    <t xml:space="preserve"> JAMES LIMBURNER</t>
  </si>
  <si>
    <t>E214</t>
  </si>
  <si>
    <t>IMG 179, P.171</t>
  </si>
  <si>
    <t>July 26, 1754</t>
  </si>
  <si>
    <t>"At home sick, Jenny, Lucy, Ellin, Doll, Molia, Lydde, Franke, and Nero."</t>
  </si>
  <si>
    <t>JENNY
EGYPT LUCY
ELLIN
DOLL
EGYPT MOLIA
LYDDE
EGYPT FRANKE
NERO</t>
  </si>
  <si>
    <t>P104
P3
P33
P225
P116
P194
P255
P256</t>
  </si>
  <si>
    <t>P280</t>
  </si>
  <si>
    <t>MR. GRANT</t>
  </si>
  <si>
    <t>E344</t>
  </si>
  <si>
    <t>IMG 181, P.173</t>
  </si>
  <si>
    <t>July 27, 1754</t>
  </si>
  <si>
    <t>"At night gave Mountain negroes 17 bitts amongst them and 6 shadds each."</t>
  </si>
  <si>
    <t>P281</t>
  </si>
  <si>
    <t>CESAR</t>
  </si>
  <si>
    <t>E489</t>
  </si>
  <si>
    <t>IMG 183, P.175</t>
  </si>
  <si>
    <t>July 30, 1754</t>
  </si>
  <si>
    <t>P282</t>
  </si>
  <si>
    <t>"William seemingly drunk, abuse Phibbah in strange belliegerant language. She answer'd him pretty well."</t>
  </si>
  <si>
    <t xml:space="preserve">WILLIAM CROOKSHANKS
PHIBBAH
</t>
  </si>
  <si>
    <t>JOHN DORWARD</t>
  </si>
  <si>
    <t>P189
P7</t>
  </si>
  <si>
    <t>DOMESTIC RELATIONS(HIPS)</t>
  </si>
  <si>
    <t>P283</t>
  </si>
  <si>
    <t>JOHN STUART</t>
  </si>
  <si>
    <t>July 31, 1754</t>
  </si>
  <si>
    <t>"William out of humor and would eat nothing all day. He is so affronted at Phibbah and Ambo."</t>
  </si>
  <si>
    <t>WILLIAM CROOKSHANKS
PHIBBAH
AMBO</t>
  </si>
  <si>
    <t>P189
P7
P43</t>
  </si>
  <si>
    <t>P284</t>
  </si>
  <si>
    <t>EGYPT QUASHE</t>
  </si>
  <si>
    <t>E177</t>
  </si>
  <si>
    <t>IMG 184, P.176</t>
  </si>
  <si>
    <t>August 2, 1754</t>
  </si>
  <si>
    <t>"Employed holing. Doll, Cloe, Violet, Agnes, Mirtilla, Rose, Lucy, Morris all in hot house. Jenny, our Lucy and Sarah doing nothing."</t>
  </si>
  <si>
    <t>P285</t>
  </si>
  <si>
    <t>DOLL
CLOE
VIOLET
AGNES
EGYPT MIRTILLA
ROSE
EGYPT LUCY
MORRIS
JENNY
SARAH</t>
  </si>
  <si>
    <t>P225
P101
P117
P124
P97
P187
P3
P104
P226
P106</t>
  </si>
  <si>
    <t>MR. BURTON</t>
  </si>
  <si>
    <t>L1-A</t>
  </si>
  <si>
    <t>P286</t>
  </si>
  <si>
    <t>MR. RIPLEY</t>
  </si>
  <si>
    <t>IMG 106, P. 100</t>
  </si>
  <si>
    <t>August 28, 1754</t>
  </si>
  <si>
    <t>"Put Cyrus for fishing and made Ambo driver."</t>
  </si>
  <si>
    <t>THE OVERSEER
AMBO
CYRUS</t>
  </si>
  <si>
    <t>P43
P170
P210</t>
  </si>
  <si>
    <t>P287</t>
  </si>
  <si>
    <t>RIPLEY'S DAUGHTERS</t>
  </si>
  <si>
    <t>P288</t>
  </si>
  <si>
    <t>YOUNG HORLOCK</t>
  </si>
  <si>
    <t>E494</t>
  </si>
  <si>
    <t>IMG 205, P.197</t>
  </si>
  <si>
    <t>September 3, 1754</t>
  </si>
  <si>
    <t>"Wrote to Dr. Gorse and sent Agnes to get a tooth pull'd out."</t>
  </si>
  <si>
    <t>DR. GORSE
AGNES</t>
  </si>
  <si>
    <t>P228
P124</t>
  </si>
  <si>
    <t>P289</t>
  </si>
  <si>
    <t>COOBAH'S HUSBAND TOM</t>
  </si>
  <si>
    <t>P290</t>
  </si>
  <si>
    <t>MR. HAYWARD'S SAM</t>
  </si>
  <si>
    <t>E484</t>
  </si>
  <si>
    <t>IMG 206, P.198</t>
  </si>
  <si>
    <t>September 5, 1754</t>
  </si>
  <si>
    <t>"Plato is runaway. Mr. Dorrill's boy Job slept here last night, his mule was rode away and most of our __stole that we put upon the mules. London &amp; Pluto were watchmen, going to whip London, Ambo let him make his escape away.
PM Salt River Mocho, Coffee, and his boy Euce took London at hill, he resisted with his bill, etc, so that Euce was forc'd to cut him with his musket on the head, face, arm etc but none deep. But the boy prov'd above his match."</t>
  </si>
  <si>
    <t xml:space="preserve">PLATO
JOB
LONDON
PLUTO
AMBO
COFFEE
EUCE
</t>
  </si>
  <si>
    <t>P208
P29
P249
P276
P170
P353
P415</t>
  </si>
  <si>
    <t>P291</t>
  </si>
  <si>
    <t>MOCHO JIMMY</t>
  </si>
  <si>
    <t>E595</t>
  </si>
  <si>
    <t>P292</t>
  </si>
  <si>
    <t>IMG 208, P.200</t>
  </si>
  <si>
    <t>September 7, 1754</t>
  </si>
  <si>
    <t>HANNAH PINKNEY</t>
  </si>
  <si>
    <t>"Gave the Mountain Negroes 13 bitts amongst them and some herrings each."</t>
  </si>
  <si>
    <t>THE OVERSEER
MOUNTAIN NEGROES</t>
  </si>
  <si>
    <t>P43
P462</t>
  </si>
  <si>
    <t>P293</t>
  </si>
  <si>
    <t>MR. ALLEN</t>
  </si>
  <si>
    <t>E553</t>
  </si>
  <si>
    <t>IMG 233, P.225</t>
  </si>
  <si>
    <t>October 16, 1754</t>
  </si>
  <si>
    <t>"In the evening Old Eve came to Egypt Lucy."</t>
  </si>
  <si>
    <t>P294</t>
  </si>
  <si>
    <t>OLD EVE
EGYPT LUCY</t>
  </si>
  <si>
    <t>JUNO</t>
  </si>
  <si>
    <t>P434
P3</t>
  </si>
  <si>
    <t>P295</t>
  </si>
  <si>
    <t>DERBY</t>
  </si>
  <si>
    <t>IMG 235, P.227</t>
  </si>
  <si>
    <t>October 24, 1754</t>
  </si>
  <si>
    <t>"Old Eve return'd to SAlt River, put Old Phibbah with Lucy for a few days."</t>
  </si>
  <si>
    <t>OLD EVE
OLD PHIBBAH
EGYPT LUCY</t>
  </si>
  <si>
    <t>P434
P3
P96</t>
  </si>
  <si>
    <t>EGYPT SUSANAH</t>
  </si>
  <si>
    <t>L1 &amp; L4</t>
  </si>
  <si>
    <t>EGYPT ESTATE &amp; SALT RIVER ESTATE</t>
  </si>
  <si>
    <t>P297</t>
  </si>
  <si>
    <t>IMG 228, P.230</t>
  </si>
  <si>
    <t>HANNIBAL</t>
  </si>
  <si>
    <t>October 28, 1754</t>
  </si>
  <si>
    <t>"Lucy in the ___, Old Phibbah tending Lucy."</t>
  </si>
  <si>
    <t>EGYPT LUCY
OLD PHIBBAH</t>
  </si>
  <si>
    <t>P3
P963</t>
  </si>
  <si>
    <t>P298</t>
  </si>
  <si>
    <t>EGYPT QUACOO</t>
  </si>
  <si>
    <t>E488</t>
  </si>
  <si>
    <t>P299</t>
  </si>
  <si>
    <t>JOE</t>
  </si>
  <si>
    <t>November 22, 1754</t>
  </si>
  <si>
    <t>"Gave Agnes &amp; Quaw each a new hoe, the ground so hard breaks the hoes."</t>
  </si>
  <si>
    <t>AGNES
QUAW</t>
  </si>
  <si>
    <t>P380
P124</t>
  </si>
  <si>
    <t>P300</t>
  </si>
  <si>
    <t>CAESAR</t>
  </si>
  <si>
    <t>MR. MARKMAN'S CAESAR</t>
  </si>
  <si>
    <t>E490</t>
  </si>
  <si>
    <t>IMG 247, P.239</t>
  </si>
  <si>
    <t>December 3, 1754</t>
  </si>
  <si>
    <t>"About 10AM cum Princess in Break cane piece by morass side, sup terr."</t>
  </si>
  <si>
    <t>THE OVERSEER
WONGA</t>
  </si>
  <si>
    <t>P43
P27</t>
  </si>
  <si>
    <t>P301</t>
  </si>
  <si>
    <t>GUY</t>
  </si>
  <si>
    <t>Wanga was an African woman who was purchased and brought to Egypt to work as field laborer in May of 1754 shortly after Thistlewood's arrival in the early 1750's. Upon her purchase, she was renamed "Princess," and paired with another enslaved woman named Quashe who served as her 'seasoner'.  
Wanga would have several confirmed sexual/domestic partners over the course of the sixteen years that Thistlewood served as overseer at Egypt. Among them were a driver named Hazat, and an Ebo man and skilled laborer named Cyrus, with whom she had a son in January of 1757 named Little Dick.
Although he survived his first two years of life, Little Dick was badly afflicted with yaws, a severe bacterial infection that resulted in skin lesions, joint inflammation and bone pain/deformities. In July of 1759, Little Dick passed away from the complications of yaws. Two months later Wanga and his father, Cyrus, would go on to hold a "feast" (funeral ceremony) in his honor.
In 1761, Wanga was assigned to be the seasoner of an estimated 15 year old 'Ebo' young woman named Molia who had been purchased by Thistlewood and who he renamed 'Coobah'. 
Wanga ran away from the estate once in the spring of 1762. She was also pregnant at the time of her escape. Daniel, a skilled laborer was sent to search for and return her to the estate. She was later sent to Paradise estate to lie-in and give birth to a daughter named Charlotte, who survived at least until her second year.</t>
  </si>
  <si>
    <t>P302</t>
  </si>
  <si>
    <t>E491</t>
  </si>
  <si>
    <t>CHARLES</t>
  </si>
  <si>
    <t>"I had Ambo whipp'd for bad management in the field."</t>
  </si>
  <si>
    <t>P456</t>
  </si>
  <si>
    <t>P303</t>
  </si>
  <si>
    <t>MARINA</t>
  </si>
  <si>
    <t>E551</t>
  </si>
  <si>
    <t>IMG 251, P.243</t>
  </si>
  <si>
    <t>December 11, 1754</t>
  </si>
  <si>
    <t>"This morning Dr. Graham told me Mr. Dorrill died this morning between 7 and 8 o'clock."</t>
  </si>
  <si>
    <t>DR. GRAHAM
THE OVERSEER
WILLIAM DORRILL</t>
  </si>
  <si>
    <t>P43
P108
P75</t>
  </si>
  <si>
    <t>P304</t>
  </si>
  <si>
    <t>MARY (JOHN EDMOND'S WIFE)</t>
  </si>
  <si>
    <t>E492</t>
  </si>
  <si>
    <t>IMG 254, P.246</t>
  </si>
  <si>
    <t>December 21, 1754</t>
  </si>
  <si>
    <t>"AM walked to the sand ground and about 11 AM cum Doll sup terr by Ambo's ground."</t>
  </si>
  <si>
    <t>P305</t>
  </si>
  <si>
    <t>BARBADOS WOMAN</t>
  </si>
  <si>
    <t>THE OVERSEER
DOLL</t>
  </si>
  <si>
    <t>P43
P225</t>
  </si>
  <si>
    <t>L1-W</t>
  </si>
  <si>
    <t>P306</t>
  </si>
  <si>
    <t>MR. BARTON</t>
  </si>
  <si>
    <t>E556</t>
  </si>
  <si>
    <t>IMG 7, P.3</t>
  </si>
  <si>
    <t>January 4, 1755</t>
  </si>
  <si>
    <t>"In the forenoon myself William Crookshanks, Mabo &amp; Daniel walk'd thro' our sand ground, plantane walk, westward to a large sand ground, and came to a piece clear'd lately, now in corn and casader, in going saw a logwood from Daniel says he planted...we got home about noon.</t>
  </si>
  <si>
    <t>THE OVERSEER
WILLIAM CROOKSHANKS
AMBO
DANIEL</t>
  </si>
  <si>
    <t>P43
P189
P170
P42</t>
  </si>
  <si>
    <t>E526</t>
  </si>
  <si>
    <t>IMG 25, P.21</t>
  </si>
  <si>
    <t>January 31, 1755</t>
  </si>
  <si>
    <t>"Nancy, Phibbah's sister here tonight."</t>
  </si>
  <si>
    <t>NANCY
PHIBBAH</t>
  </si>
  <si>
    <t>P7
P8</t>
  </si>
  <si>
    <t>P309</t>
  </si>
  <si>
    <t>VINEYARD PHIBBAH</t>
  </si>
  <si>
    <t>February 15, 1755</t>
  </si>
  <si>
    <t>"The great pond now has no water left in it, but is perfectly dry."</t>
  </si>
  <si>
    <t>P310</t>
  </si>
  <si>
    <t>SCIPIO</t>
  </si>
  <si>
    <t>E525</t>
  </si>
  <si>
    <t>"In the morning Mr. Cope told me where he would have me bury him if he should die (Right in the rick hole going to coffee ground. Mr. Mordimer to make him a mahagony coffin and to have a brick arch over the hole.)</t>
  </si>
  <si>
    <t>THE OVERSEER
JOHN COPE
MR. MORTIMER</t>
  </si>
  <si>
    <t>P43
P44
P427</t>
  </si>
  <si>
    <t>P311</t>
  </si>
  <si>
    <t>HUGO</t>
  </si>
  <si>
    <t>SIR HANS SLOANE</t>
  </si>
  <si>
    <t>E476</t>
  </si>
  <si>
    <t>IMG 39, P.33</t>
  </si>
  <si>
    <t>February 19, 1755</t>
  </si>
  <si>
    <t>"Gave Dido a bill, hough, and new baskett."</t>
  </si>
  <si>
    <t>P313</t>
  </si>
  <si>
    <t xml:space="preserve"> VINEYARD DICK</t>
  </si>
  <si>
    <t>FULLERWOOD QUASHEBA</t>
  </si>
  <si>
    <t>IMG 42, P.36</t>
  </si>
  <si>
    <t>February 23, 1755</t>
  </si>
  <si>
    <t>"About 6 AM cum Ellin sup floor in hot house."</t>
  </si>
  <si>
    <t>EGYPT FIELD HANDS</t>
  </si>
  <si>
    <t>MR. COOK</t>
  </si>
  <si>
    <t>E603</t>
  </si>
  <si>
    <t>IMG 43, P.37</t>
  </si>
  <si>
    <t>February 25, 1755</t>
  </si>
  <si>
    <t>"At dinnertime, rode over the plantation to see who would be eating canes. Found Hecctor and Beck. Had them whipped."</t>
  </si>
  <si>
    <t>THE OVERSEER
HECTOR
BECK</t>
  </si>
  <si>
    <t>P43
P358
P361</t>
  </si>
  <si>
    <t>P317</t>
  </si>
  <si>
    <t>P318</t>
  </si>
  <si>
    <t>POLLY COPE</t>
  </si>
  <si>
    <t>E527</t>
  </si>
  <si>
    <t>IMG 46, P.41</t>
  </si>
  <si>
    <t>February 28, 1755</t>
  </si>
  <si>
    <t>"Princess pretty much out of order going to miscarriage or I don't know what ails her. Chrishea tending her."</t>
  </si>
  <si>
    <t>WONGA
CHRISHEA</t>
  </si>
  <si>
    <t>P27
P126</t>
  </si>
  <si>
    <t>P319</t>
  </si>
  <si>
    <t>CLOE'S CHILD</t>
  </si>
  <si>
    <t>P320</t>
  </si>
  <si>
    <t>EMOTSON'S EVE</t>
  </si>
  <si>
    <t>E592</t>
  </si>
  <si>
    <t>March 1, 1755</t>
  </si>
  <si>
    <t>"Mr. Cope, Mr. Lauderdale, Mr. Gorse, and Bessy Storer din'd here. Had pea fowl, etc at dinner."</t>
  </si>
  <si>
    <t>THE OVERSEER
JOHN COPE
MR. LAUDERDALE
MR. GORSE
BESSY STORER</t>
  </si>
  <si>
    <t>P43
P44
P228
P459
P460</t>
  </si>
  <si>
    <t>P321</t>
  </si>
  <si>
    <t>BARNETT'S NANCY</t>
  </si>
  <si>
    <t>P322</t>
  </si>
  <si>
    <t>COL. BARCLAY'S NEGROES</t>
  </si>
  <si>
    <t>March 2, 1755</t>
  </si>
  <si>
    <t>"Bought plantains for the new NEgroes, hosue Negroes, etc. At 900 for 27 bitts, i.e. 3 bitts per hundred."</t>
  </si>
  <si>
    <t>P323</t>
  </si>
  <si>
    <t>MRS. WHEATLEY</t>
  </si>
  <si>
    <t>E594</t>
  </si>
  <si>
    <t>March 3, 1755</t>
  </si>
  <si>
    <t>P324</t>
  </si>
  <si>
    <t>PETER COLLGRAVE</t>
  </si>
  <si>
    <t>"Mountain Susanah and Beck wanting all day, also Cyrus yet, Port Royal and Benjamin also. Eve wanting."</t>
  </si>
  <si>
    <t>MOUNTAIN SUSANAH
BECK
CYRUS
PORT ROYAL
BENJAMIN
EVE</t>
  </si>
  <si>
    <t>P254
P361
P210
P212
P413
P128</t>
  </si>
  <si>
    <t>P325</t>
  </si>
  <si>
    <t>EGYPT LITTLE PHIBBAH</t>
  </si>
  <si>
    <t>March 4, 1755</t>
  </si>
  <si>
    <t>"About PM cum, Ellin in the Main trench, being from the pond into the morass, papah tree cane piece."</t>
  </si>
  <si>
    <t>P326</t>
  </si>
  <si>
    <t>L1-N</t>
  </si>
  <si>
    <t>MR. MOULD'S LYDDE</t>
  </si>
  <si>
    <t>E637</t>
  </si>
  <si>
    <t>P327</t>
  </si>
  <si>
    <t>IMG 51, P.45</t>
  </si>
  <si>
    <t>ROBERT LAWRENCE</t>
  </si>
  <si>
    <t>March 6, 1755</t>
  </si>
  <si>
    <t>"Soon return'd home and sent William [Crookshanks] to Salt River to look for Eve, she beign run away again. In the evening he brought Eve home to Egypt having found her at Salt River."</t>
  </si>
  <si>
    <t>THE OVERSEER
WILLIAM CROOKSHANKS
EVE</t>
  </si>
  <si>
    <t>P43
P189
P128</t>
  </si>
  <si>
    <t>L1; L4</t>
  </si>
  <si>
    <t>EGYPT ESTATE
SALT RIVER ESTATE</t>
  </si>
  <si>
    <t>P328</t>
  </si>
  <si>
    <t>DINAH</t>
  </si>
  <si>
    <t>E188</t>
  </si>
  <si>
    <t>IMG 53, P.47</t>
  </si>
  <si>
    <t>March 9, 1755</t>
  </si>
  <si>
    <t>"Have had for several days past a pain in my groin and feel oddly, also perceive a small glit."</t>
  </si>
  <si>
    <t>P458</t>
  </si>
  <si>
    <t>P329</t>
  </si>
  <si>
    <t>KENT</t>
  </si>
  <si>
    <t>P330</t>
  </si>
  <si>
    <t>JACOB HENRIQUEZ</t>
  </si>
  <si>
    <t>March 10, 1755</t>
  </si>
  <si>
    <t>"The running rather increases if anything, so PM, I went to Hill and bespoke some of Old Sharper's diet drink."</t>
  </si>
  <si>
    <t>THE OVERSEER
OLD SHARPER</t>
  </si>
  <si>
    <t>P43
P74</t>
  </si>
  <si>
    <t>P331</t>
  </si>
  <si>
    <t>RICHARD HAYWARD</t>
  </si>
  <si>
    <t>E528</t>
  </si>
  <si>
    <t>IMG 55, P.49</t>
  </si>
  <si>
    <t>March 11, 1755</t>
  </si>
  <si>
    <t>"Chrishea and Mountain Lucy, gathering logwood seed."</t>
  </si>
  <si>
    <t>P332</t>
  </si>
  <si>
    <t>CHRISHEA
MOUNTAIN LUCY</t>
  </si>
  <si>
    <t>AARON TORRO</t>
  </si>
  <si>
    <t>P126
P30</t>
  </si>
  <si>
    <t>P333</t>
  </si>
  <si>
    <t>JACOB PEFSOA</t>
  </si>
  <si>
    <t>"The running increases and rather begins to burn &amp; the colour of the running turns yellow with a prodigious soreness at the end of the penis, odd feeling in the groin, pain in the back &amp; disordered all over the body."</t>
  </si>
  <si>
    <t>P334</t>
  </si>
  <si>
    <t>SAM SPRINGETT</t>
  </si>
  <si>
    <t>P335</t>
  </si>
  <si>
    <t>BILLY</t>
  </si>
  <si>
    <t>E471</t>
  </si>
  <si>
    <t>IMG 66, P. 60</t>
  </si>
  <si>
    <t>March 12, 1755</t>
  </si>
  <si>
    <t>"About 9 AM Mr. John Cope and Mr. John Hutt come home, they and Mr. Mason, Mr. Gordon, Mr. Weech, etc, Mr. Watt all din'd here, all heartily drunk, and all except Mr. Cope and Mr. Gordon hawl'd Eve separately into the Water room and were concerned with her. Weech twice: first and last."</t>
  </si>
  <si>
    <t>JOHN COPE
JOHN HUTT
MR. MASON
MR. GORDON
MR. WEECH
MR. WATT
EVE</t>
  </si>
  <si>
    <t>P336</t>
  </si>
  <si>
    <t>P44
P51
P202
P408
P409
P410
P128</t>
  </si>
  <si>
    <t>PERO</t>
  </si>
  <si>
    <t>P337</t>
  </si>
  <si>
    <t>CAMBRIDGE</t>
  </si>
  <si>
    <t>E529</t>
  </si>
  <si>
    <t>IMG 66, P.60</t>
  </si>
  <si>
    <t>"Quarrell'd with Phibbah etc at night. Suspect Hutt!"</t>
  </si>
  <si>
    <t>THE OVERSEER
PHIBBAH
JOHN HUTT</t>
  </si>
  <si>
    <t>P43
P7
P51</t>
  </si>
  <si>
    <t>P338</t>
  </si>
  <si>
    <t>PETER</t>
  </si>
  <si>
    <t>P339</t>
  </si>
  <si>
    <t>SAWNY</t>
  </si>
  <si>
    <t>"Drank a quart of Old Sharper's diet drink."</t>
  </si>
  <si>
    <t>P340</t>
  </si>
  <si>
    <t>AMELIA</t>
  </si>
  <si>
    <t>P341</t>
  </si>
  <si>
    <t>LITTLE COFFEE</t>
  </si>
  <si>
    <t>IMG 67, P.61</t>
  </si>
  <si>
    <t>March 13, 1755</t>
  </si>
  <si>
    <t xml:space="preserve">"Drank a bottle of Old sharper's diet drink, continue much the same. Pains in the back etc and now and the violent shooting pains in the head, feverish and troublesome dreams all night. Much out of order."                                                                                                                                                                                                                                                                                                                                                                                                                                                                                                                                                              </t>
  </si>
  <si>
    <t>P342</t>
  </si>
  <si>
    <t>PRIMUS</t>
  </si>
  <si>
    <t>March 14, 1755</t>
  </si>
  <si>
    <t>P343</t>
  </si>
  <si>
    <t>WORSOE</t>
  </si>
  <si>
    <t>"Drank a quart bottle of Old Sharper's diet drink, nevertgheless am not better, a prodigious burning when I make water and painful involtunary erections at night."</t>
  </si>
  <si>
    <t>P376</t>
  </si>
  <si>
    <t>P344</t>
  </si>
  <si>
    <t>DAPHNE [EGYPT]</t>
  </si>
  <si>
    <t>P345</t>
  </si>
  <si>
    <t>MARGARETTA</t>
  </si>
  <si>
    <t>March 15, 1755</t>
  </si>
  <si>
    <t>"Drank a bottle of Old Sharper's diet drink, can't perceive I am anything the better, run very much, a yellowish matter and hurt very mjuch when I make water. Also when warm in Bed at night, a pain ion my right groin."</t>
  </si>
  <si>
    <t>P346</t>
  </si>
  <si>
    <t>SOLINDA</t>
  </si>
  <si>
    <t>E598</t>
  </si>
  <si>
    <t>March 16, 1755</t>
  </si>
  <si>
    <t>"Mr. Gardiner &amp; Dr. Frazier din'd here."</t>
  </si>
  <si>
    <t>MR. GARDINER
DR. FRAZIER</t>
  </si>
  <si>
    <t>P347</t>
  </si>
  <si>
    <t>P245
P378</t>
  </si>
  <si>
    <t>HARRY</t>
  </si>
  <si>
    <t>P348</t>
  </si>
  <si>
    <t>PUNCH</t>
  </si>
  <si>
    <t>"Drank a bottle of Old Sharper's diet drink, much as yesterday only head ache more &amp; dimness fo my eyes."</t>
  </si>
  <si>
    <t>P349</t>
  </si>
  <si>
    <t>LUTHE</t>
  </si>
  <si>
    <t>P350</t>
  </si>
  <si>
    <t>JOASE</t>
  </si>
  <si>
    <t>E480</t>
  </si>
  <si>
    <t>IMG 70, P.64</t>
  </si>
  <si>
    <t>March 17, 1755</t>
  </si>
  <si>
    <t>"This morning Mr. Cope took all of Mrs. Cope's china, glasses, etc she brought here when he was last at Town and smashed them with all his force against the floor and broke them in pieces; believe they were given her by an old sweetheart, J. Thoms. Then he went out and staid til night. He took her Kitterine horse with him. "</t>
  </si>
  <si>
    <t>JOHN COPE
MOLLY COPE</t>
  </si>
  <si>
    <t>P44
P45</t>
  </si>
  <si>
    <t>P351</t>
  </si>
  <si>
    <t>CHRISTOPHER</t>
  </si>
  <si>
    <t>P352</t>
  </si>
  <si>
    <t>EGYPT CUBBAH</t>
  </si>
  <si>
    <t>"Drank a bottle of Old Sharper diet drink, worse if anything! Suppose the lime juice or spirits hindering mending. Perceive I have some caruncles, etc. PM walk'd to hill, carry'd Old Sharper 2 bottles of dram. Sent Egypt Susanah with some water. Rec'd back by her some diet drink in a gourd."</t>
  </si>
  <si>
    <t>THE OVERSEER
EGYPT SUSANNAH
OLD SHARPER</t>
  </si>
  <si>
    <t>P43
P74
P296</t>
  </si>
  <si>
    <t>P353</t>
  </si>
  <si>
    <t>EGYPT COFFEE</t>
  </si>
  <si>
    <t>P354</t>
  </si>
  <si>
    <t>QUAMINA</t>
  </si>
  <si>
    <t>March 18, 1755</t>
  </si>
  <si>
    <t>"Drank some of Old Sharper's diet drink and avoided punch and everything that had spirit or lime juice in it."</t>
  </si>
  <si>
    <t>CUBBENNA</t>
  </si>
  <si>
    <t>P356</t>
  </si>
  <si>
    <t>E623</t>
  </si>
  <si>
    <t>FLANDERS</t>
  </si>
  <si>
    <t>IMG 71, P.65</t>
  </si>
  <si>
    <t>March 19, 1755</t>
  </si>
  <si>
    <t>"The alligators by reaosn of the great draught now began to die, they have lived 5 or 6 weeks without water."</t>
  </si>
  <si>
    <t>P357</t>
  </si>
  <si>
    <t>IMG 72, P.66</t>
  </si>
  <si>
    <t>"Continue drinking Old Sharper's diet drink, which makes me feel very oddly, and am nothing the better, yet I can perceive many kernels in each groin, but the largest in the right and hurts me somewhat. Last night got very little sleep for the cordee."</t>
  </si>
  <si>
    <t>P358</t>
  </si>
  <si>
    <t>P421</t>
  </si>
  <si>
    <t>HECTOR</t>
  </si>
  <si>
    <t>P359</t>
  </si>
  <si>
    <t>LITTLE QUASHE [EGYPT DRIVER]</t>
  </si>
  <si>
    <t>IMG 73, P.67</t>
  </si>
  <si>
    <t>March 20, 1755</t>
  </si>
  <si>
    <t>"Kept drinking Old Sharper's diet drink and lignum vita drink. Running continues yet, tho I think not so bad as before, neither was the cordee so bad last night. Have 2 caruncles which give me a good deal of pain. Sometimes also am troubled with a tenesmus."</t>
  </si>
  <si>
    <t>P360</t>
  </si>
  <si>
    <t>ABRAHAM</t>
  </si>
  <si>
    <t>P361</t>
  </si>
  <si>
    <t>BECK</t>
  </si>
  <si>
    <t>E178</t>
  </si>
  <si>
    <t>IMG 75, P.69</t>
  </si>
  <si>
    <t>March 22, 1755</t>
  </si>
  <si>
    <t>"Chrishea and Lucy gutting logwood."</t>
  </si>
  <si>
    <t>CHRISHEA
EGYPT LUCY</t>
  </si>
  <si>
    <t>P126
P3</t>
  </si>
  <si>
    <t>P362</t>
  </si>
  <si>
    <t>BIG MIMBER</t>
  </si>
  <si>
    <t>P363</t>
  </si>
  <si>
    <t>BIG DOLL</t>
  </si>
  <si>
    <t>"Drank Old Sharper's dirt drink a very great workup of all the ____ in the groiins, etc., no so much troubled with the cordie as before, nor the running so yellow."</t>
  </si>
  <si>
    <t>P43
P74</t>
  </si>
  <si>
    <t>P364</t>
  </si>
  <si>
    <t>OLD SAMBO</t>
  </si>
  <si>
    <t>P365</t>
  </si>
  <si>
    <t>OLD BELLA</t>
  </si>
  <si>
    <t>E599</t>
  </si>
  <si>
    <t>IMG 76, P.70</t>
  </si>
  <si>
    <t>March 23, 1755</t>
  </si>
  <si>
    <t>"A little before noon, Mr. Emotson call'd to see me, eat some bread &amp; cheese and drank some punch."</t>
  </si>
  <si>
    <t>MR. EMOTSON
THE OVERSEER</t>
  </si>
  <si>
    <t>P92
P43</t>
  </si>
  <si>
    <t>P366</t>
  </si>
  <si>
    <t>TOM TOMLINSON</t>
  </si>
  <si>
    <t>P367</t>
  </si>
  <si>
    <t>JAMES HAYES</t>
  </si>
  <si>
    <t>P457</t>
  </si>
  <si>
    <t>E604</t>
  </si>
  <si>
    <t>IMG 84, P.78</t>
  </si>
  <si>
    <t>April 2, 1755</t>
  </si>
  <si>
    <t>"About Noon, a Negroe man from the Retrieve Estate brought home Morris from thence."</t>
  </si>
  <si>
    <t>"NEGROE" MAN FROM RETRIEVE ESTATE
MORRIS</t>
  </si>
  <si>
    <t>P470
P226</t>
  </si>
  <si>
    <t>P368</t>
  </si>
  <si>
    <t>LAWRENCE OLIPHANT</t>
  </si>
  <si>
    <t>P369</t>
  </si>
  <si>
    <t>COLONEL BARCLAY</t>
  </si>
  <si>
    <t>E530</t>
  </si>
  <si>
    <t>IMG 86, P.80</t>
  </si>
  <si>
    <t>April 4, 1755</t>
  </si>
  <si>
    <t>"PM Rode to the Bay, rec'd 4 pills to take in the morning, also broughgt some physick for Lucy's child."</t>
  </si>
  <si>
    <t>THE OVERSEER
MOUNTAIN LUCY</t>
  </si>
  <si>
    <t>P43
P30</t>
  </si>
  <si>
    <t>P370</t>
  </si>
  <si>
    <t>OLD SARAH</t>
  </si>
  <si>
    <t>P371</t>
  </si>
  <si>
    <t>ANJAW'S FIRST CHILD [1758]</t>
  </si>
  <si>
    <t>"Eve brought home, has been runaway two or three days."</t>
  </si>
  <si>
    <t>P372</t>
  </si>
  <si>
    <t>MRS. BENNETT'S SARAH</t>
  </si>
  <si>
    <t>IMG 87, P.81</t>
  </si>
  <si>
    <t>April 5, 1755</t>
  </si>
  <si>
    <t>"Mr and Mrs. Cope diffr'd, he painted her head, face, cloaks etc."</t>
  </si>
  <si>
    <t>P373</t>
  </si>
  <si>
    <t>HOPE</t>
  </si>
  <si>
    <t>P374</t>
  </si>
  <si>
    <t>RHADAMANTHUS</t>
  </si>
  <si>
    <t>E329</t>
  </si>
  <si>
    <t>IMG P1, P.85</t>
  </si>
  <si>
    <t>April 11, 1755</t>
  </si>
  <si>
    <t>"At night cum Phibbah, in emission of semen, it burnt very much seemingly."</t>
  </si>
  <si>
    <t>P375</t>
  </si>
  <si>
    <t>TOBY</t>
  </si>
  <si>
    <t>SARAH'S CUBBAH</t>
  </si>
  <si>
    <t>IMG 91, P.85</t>
  </si>
  <si>
    <t>"Our Negroes have this week had but 3 plantains each per diem, and none on holy days or Negroe days (New Negoes)</t>
  </si>
  <si>
    <t>P377</t>
  </si>
  <si>
    <t>LYDDE'S FORTUNE</t>
  </si>
  <si>
    <t>E477</t>
  </si>
  <si>
    <t>IMG 92, P.86</t>
  </si>
  <si>
    <t>April 13, 1755</t>
  </si>
  <si>
    <t>"Rode over the Estate: The canes mostly destroy'd by the cattle. Mr. Cope talks of renting it out or throwing it up."</t>
  </si>
  <si>
    <t>THE OVERSEER
JOHN COPE</t>
  </si>
  <si>
    <t>P43
P44</t>
  </si>
  <si>
    <t>P378</t>
  </si>
  <si>
    <t>MR. GARDINER</t>
  </si>
  <si>
    <t>E474</t>
  </si>
  <si>
    <t>IMG 93, P.87</t>
  </si>
  <si>
    <t>April 14, 1755</t>
  </si>
  <si>
    <t>P379</t>
  </si>
  <si>
    <t>"Many reoprts of Salt River being haunted by Mr. Dorrill. Several pretend to have heard and seen him."</t>
  </si>
  <si>
    <t>VIOLET'S CHILD</t>
  </si>
  <si>
    <t>P380</t>
  </si>
  <si>
    <t>QUAW</t>
  </si>
  <si>
    <t>April 19, 1755</t>
  </si>
  <si>
    <t>"Mr. Cope din'd out, come home at night very drunk after supper. He turn'd Mrs. Cope out of the house, shut the door against her etc, and made her sit in my piazza good part of the night."</t>
  </si>
  <si>
    <t>JOHN COPE
MOLLY COPE
THE OVERSEER</t>
  </si>
  <si>
    <t>P44
P45
P43</t>
  </si>
  <si>
    <t>P381</t>
  </si>
  <si>
    <t>PHILIP</t>
  </si>
  <si>
    <t>E478</t>
  </si>
  <si>
    <t>IMG 103, P.97</t>
  </si>
  <si>
    <t>April 26, 1755</t>
  </si>
  <si>
    <t>"Those who take Land to hole at 50 per acre ought to make each NEgroe hole 68 holes [four feet square each] toearn him 2 bitts per day there being 80 bitts in 50 and 2722 four feet hles in an acre of ground. 136 each 2 hands."</t>
  </si>
  <si>
    <t>P382</t>
  </si>
  <si>
    <t>WITTE</t>
  </si>
  <si>
    <t>IMG 105, P.99</t>
  </si>
  <si>
    <t>P383</t>
  </si>
  <si>
    <t>April 28, 1755</t>
  </si>
  <si>
    <t>MR. BECKFORD</t>
  </si>
  <si>
    <t>"About 4 PM cum Ellin sup terr Back of the Old Ground Island by the Morass side not far from the Great Cotton Tree. Gave d^0 a bitt."</t>
  </si>
  <si>
    <t>P384</t>
  </si>
  <si>
    <t>MR. BOSSLEY</t>
  </si>
  <si>
    <t>E104</t>
  </si>
  <si>
    <t>April 29, 1755</t>
  </si>
  <si>
    <t>"Phibbah and I had words."</t>
  </si>
  <si>
    <t>PHIBBAH
THE OVERSEER</t>
  </si>
  <si>
    <t>P7
P43</t>
  </si>
  <si>
    <t>P385</t>
  </si>
  <si>
    <t>HUGH WHITE</t>
  </si>
  <si>
    <t>P386</t>
  </si>
  <si>
    <t>JAMES WHITE</t>
  </si>
  <si>
    <t>May 1, 1755</t>
  </si>
  <si>
    <t>"The great pond has long been so dry that a loaded cart might have gone ahywhere over it, now (this evening) beguns to have a little water stand in it."</t>
  </si>
  <si>
    <t>P387</t>
  </si>
  <si>
    <t>MR. STERLING</t>
  </si>
  <si>
    <t>P388</t>
  </si>
  <si>
    <t>MR. BOYD</t>
  </si>
  <si>
    <t>E209</t>
  </si>
  <si>
    <t>May 6, 1755</t>
  </si>
  <si>
    <t>"About noon cum Mountain Lucy sup ter rin coffee ground path morass, or rather Old Negroe house cane piece. Gave d^0 2 bitts."</t>
  </si>
  <si>
    <t>THE OVERSEER
MOUNTAIN LUCY</t>
  </si>
  <si>
    <t>P43
P30</t>
  </si>
  <si>
    <t>P389</t>
  </si>
  <si>
    <t>PEGGY COPE</t>
  </si>
  <si>
    <t>E479</t>
  </si>
  <si>
    <t>May 9, 1755</t>
  </si>
  <si>
    <t>"Mr. Cope order'd me to give the Negroes but 1 3/4 hour dinner time ever and but 1 1/2 in crop time."</t>
  </si>
  <si>
    <t>P390</t>
  </si>
  <si>
    <t xml:space="preserve">JOHN COPE
THE OVERSEER
EGYPT FIELDHANDS
</t>
  </si>
  <si>
    <t>MR. CARR</t>
  </si>
  <si>
    <t>P43
P44
P315</t>
  </si>
  <si>
    <t>P391</t>
  </si>
  <si>
    <t>MR. RANKIN</t>
  </si>
  <si>
    <t>E340</t>
  </si>
  <si>
    <t>IMG 116, P.110</t>
  </si>
  <si>
    <t>May 16, 1755</t>
  </si>
  <si>
    <t>"Had Violet given a good whipping in field, also Jenny and Egypt Lucy."</t>
  </si>
  <si>
    <t>VIOLET
JENNY
EGYPT LUCY</t>
  </si>
  <si>
    <t>P117
P104
P3</t>
  </si>
  <si>
    <t>P392</t>
  </si>
  <si>
    <t>BLUECASTLE OVERSEER</t>
  </si>
  <si>
    <t>IMG 117, P.111</t>
  </si>
  <si>
    <t>May 18, 1755</t>
  </si>
  <si>
    <t>"Our great pond is now as dry as ever again."</t>
  </si>
  <si>
    <t>P393</t>
  </si>
  <si>
    <t>BREADNUT ISLAND PEN FIELDHANDS</t>
  </si>
  <si>
    <t>"Altho Whitsun Monday, Mr. Cope made the Negroes work as punishment (he says) for eating canes so much."</t>
  </si>
  <si>
    <t>P394</t>
  </si>
  <si>
    <t>DAVID FRAILL</t>
  </si>
  <si>
    <t>P395</t>
  </si>
  <si>
    <t>E531</t>
  </si>
  <si>
    <t>IMG 118, P.112</t>
  </si>
  <si>
    <t>ADAM [OLD HOPE ESTATE]</t>
  </si>
  <si>
    <t>May 20, 1755</t>
  </si>
  <si>
    <t>"We have a good many tagge nutts produced from a few our Negroes brought from Guinea."</t>
  </si>
  <si>
    <t>P396</t>
  </si>
  <si>
    <t>CHARLES COOK</t>
  </si>
  <si>
    <t>E596</t>
  </si>
  <si>
    <t>IMG 119, P. 113</t>
  </si>
  <si>
    <t>May 21, 1755</t>
  </si>
  <si>
    <t>"Mr and Mrs. Mould din'd here. Stai'd all night, I won at cards off then. 5 bitts."</t>
  </si>
  <si>
    <t>MR MOULD
MRS. MOULD
THE OVERSEER</t>
  </si>
  <si>
    <t>P43
P252
P463</t>
  </si>
  <si>
    <t>P397</t>
  </si>
  <si>
    <t>MRS.MARIN</t>
  </si>
  <si>
    <t>E597</t>
  </si>
  <si>
    <t>IMG1 76, P.70</t>
  </si>
  <si>
    <t>May 23, 1755</t>
  </si>
  <si>
    <t>"Mr. Richard Hungerford, John Weech &amp; Thomas Gardiner din'd here: and were all very merry at night before they went home."</t>
  </si>
  <si>
    <t>P398</t>
  </si>
  <si>
    <t>MR. MARIN</t>
  </si>
  <si>
    <t>RICHARD HUNGERFORD
JOHN WEECH
THOMAS GARDINER
THE OVERSEER</t>
  </si>
  <si>
    <t>P43
P111
P202
P378</t>
  </si>
  <si>
    <t>P399</t>
  </si>
  <si>
    <t>ENSLAVED WOMAN [MARIN'S]</t>
  </si>
  <si>
    <t>E475</t>
  </si>
  <si>
    <t>May 27, 1755</t>
  </si>
  <si>
    <t>"About noon a prodigious halo about the sun."</t>
  </si>
  <si>
    <t>P400</t>
  </si>
  <si>
    <t>DR. LIGHTFOOT</t>
  </si>
  <si>
    <t>E208</t>
  </si>
  <si>
    <t>IMG 125, P.119</t>
  </si>
  <si>
    <t>May 30, 1755</t>
  </si>
  <si>
    <t>"Dr. Allwood din'd here, very impudent, went into my room to Phibbah."</t>
  </si>
  <si>
    <t>DR. ALLWOOD
PHIBBAH</t>
  </si>
  <si>
    <t>P7
P248</t>
  </si>
  <si>
    <t>P401</t>
  </si>
  <si>
    <t>PETER FOOKES</t>
  </si>
  <si>
    <t>IMG 131, P.125</t>
  </si>
  <si>
    <t>June 8, 1755</t>
  </si>
  <si>
    <t>"In the morning rode into the Savanna to the Negro market. Plantains 5 bitts per hundred, corn 4 ditto. Bought none."</t>
  </si>
  <si>
    <t>P402</t>
  </si>
  <si>
    <t>SAMUEL MORDENNER</t>
  </si>
  <si>
    <t>IMG 132, P.126</t>
  </si>
  <si>
    <t>P403</t>
  </si>
  <si>
    <t>June 9, 1755</t>
  </si>
  <si>
    <t>CAPTAIN RIVIERE DE LA BRUCE</t>
  </si>
  <si>
    <t>"Employ'd trenching in the Old Curing House cane piece etc. Finish'd it."</t>
  </si>
  <si>
    <t>L1-O</t>
  </si>
  <si>
    <t>P404</t>
  </si>
  <si>
    <t>CONGO SAM</t>
  </si>
  <si>
    <t>"A great flood open'd up the Trench to let the water into the Great pond, it also run over into it in many places, particularly between the Millhouse &amp; cattle pen and by the fence side beyond the great Mangrove Tree."</t>
  </si>
  <si>
    <t>P405</t>
  </si>
  <si>
    <t>PHILIP HAWTHORNE</t>
  </si>
  <si>
    <t>June 10, 1755</t>
  </si>
  <si>
    <t>"A very great flood continues; the highest I ahve seen but begin to fall ever since morning."</t>
  </si>
  <si>
    <t>P406</t>
  </si>
  <si>
    <t>MAJOR CHAMBERS</t>
  </si>
  <si>
    <t>E439</t>
  </si>
  <si>
    <t>IMG 135, P.129</t>
  </si>
  <si>
    <t>June 13, 1755</t>
  </si>
  <si>
    <t>"Ebo Cyrus come home, found no mules, etc."</t>
  </si>
  <si>
    <t>P522</t>
  </si>
  <si>
    <t>P407</t>
  </si>
  <si>
    <t>MR. BLYTHE</t>
  </si>
  <si>
    <t>IMG 135-136, P. 129-130</t>
  </si>
  <si>
    <t>June 15, 1755</t>
  </si>
  <si>
    <t>"Mr. Cope din'd out. Mrs.Cope told me how much Mr. Cope want her cut of the Ential and settle upon him for life. Or, as it is going to be a war, he must go home and try to make his fortune that way, if she don't."</t>
  </si>
  <si>
    <t>P408</t>
  </si>
  <si>
    <t>MR. GORDON</t>
  </si>
  <si>
    <t>P409</t>
  </si>
  <si>
    <t>MR. MASON</t>
  </si>
  <si>
    <t>IMG 138, P.132</t>
  </si>
  <si>
    <t>June 17, 1755</t>
  </si>
  <si>
    <t>"Gave Ebo Cyrus a note to protevt his seeking the Mules."</t>
  </si>
  <si>
    <t>CYRUS
THE OVERSEER</t>
  </si>
  <si>
    <t>P522
P43</t>
  </si>
  <si>
    <t>P410</t>
  </si>
  <si>
    <t>MR. WATT</t>
  </si>
  <si>
    <t>IMG 139, P.133</t>
  </si>
  <si>
    <t>June 19, 1755</t>
  </si>
  <si>
    <t>"Help'd Mrs. Cope to a bottle of rum and a bottom f sugar privately."</t>
  </si>
  <si>
    <t>THE OVERSEER
MOLLY COPE</t>
  </si>
  <si>
    <t>P43
P45</t>
  </si>
  <si>
    <t>P411</t>
  </si>
  <si>
    <t>TONY</t>
  </si>
  <si>
    <t>E213</t>
  </si>
  <si>
    <t>IMG 143, P. 137</t>
  </si>
  <si>
    <t>June 24, 1755</t>
  </si>
  <si>
    <t>"Jenny, Egypt Lucy, Moll, Abigail and Mountain Susanah all sick in hot house."</t>
  </si>
  <si>
    <t>JENNY
EGYPT LUCY 
ABIGAIL
MOUNTAIN SUSANAH</t>
  </si>
  <si>
    <t>P412</t>
  </si>
  <si>
    <t>P104
P3
P118
P254</t>
  </si>
  <si>
    <t>CELIA</t>
  </si>
  <si>
    <t>P413</t>
  </si>
  <si>
    <t>BENJAMIN</t>
  </si>
  <si>
    <t>IMG 153, P.147</t>
  </si>
  <si>
    <t>July 6, 1755</t>
  </si>
  <si>
    <t>"Last night had some words with Phibbah and she was very saucy about showing me London who wanted to come home...Phibbah has took her things out of my house, while I was away in morning and has not come in it time.
At night, Phibbah never came nigh my house but slept in cookroom or Lord knows where,"</t>
  </si>
  <si>
    <t>PHIBBAH
THE OVERSEER
LONDON</t>
  </si>
  <si>
    <t>P7
P43
P249</t>
  </si>
  <si>
    <t>P414</t>
  </si>
  <si>
    <t>MULATTO SAM</t>
  </si>
  <si>
    <t>IMG 155, P.149</t>
  </si>
  <si>
    <t>July 7, 1755</t>
  </si>
  <si>
    <t>"Phibbah keeps away yet, sleeps in cookroom I believe."</t>
  </si>
  <si>
    <t>P415</t>
  </si>
  <si>
    <t>EUCE</t>
  </si>
  <si>
    <t>IMG 156, P.150</t>
  </si>
  <si>
    <t>July 8, 1755</t>
  </si>
  <si>
    <t>"Phibbah slept away."</t>
  </si>
  <si>
    <t>TOBBI (AMBO'S CHILD)</t>
  </si>
  <si>
    <t>TOBBI</t>
  </si>
  <si>
    <t>P417</t>
  </si>
  <si>
    <t>MR. HALL</t>
  </si>
  <si>
    <t>E532</t>
  </si>
  <si>
    <t>"New Negroe Quasheba cut up the fine cashoe tree at the corner of the papah tree cane piece thro a strange stake &amp; Ambo's neglect. Had him, Hazat and Quasheba all whipp'd for it."</t>
  </si>
  <si>
    <t>QUASHEBA
AMBO
HAZAT
THE OVERSEER</t>
  </si>
  <si>
    <t>P185
P170
P87
P43</t>
  </si>
  <si>
    <t>P418</t>
  </si>
  <si>
    <t>ENSLAVED WHEELWRIGHTS</t>
  </si>
  <si>
    <t>IMG 157, P.151</t>
  </si>
  <si>
    <t>P419</t>
  </si>
  <si>
    <t>July 10, 1755</t>
  </si>
  <si>
    <t>EGYPT</t>
  </si>
  <si>
    <t>"At night Phibbah quarll'd with Princess for jealousy or she prenteds but her stomach come down do as to come home. At night cum Ditto."</t>
  </si>
  <si>
    <t>P7
P43
P250
P27</t>
  </si>
  <si>
    <t>PHIBBAH
PRINCESS
THE OVERSEER
DITTO</t>
  </si>
  <si>
    <t>P420</t>
  </si>
  <si>
    <t>SAUCY</t>
  </si>
  <si>
    <t>E533</t>
  </si>
  <si>
    <t>"The same in the hothouse as yesterday. Also Agnes."</t>
  </si>
  <si>
    <t>AGNES &amp; AMBO'S CHILD #1</t>
  </si>
  <si>
    <t>E482</t>
  </si>
  <si>
    <t>IMG 143, P.137</t>
  </si>
  <si>
    <t>P422</t>
  </si>
  <si>
    <t>July 24, 1755</t>
  </si>
  <si>
    <t>CAPTAIN GILLBRAITH</t>
  </si>
  <si>
    <t>"Morris yet wanting. Jenny, EGypt, Lucy, Moll, Abigail, And Mountain Susanah all sick in the hot house. Tony and Old Sarah watch gates, Daniel and Old SArah at the hog styes, Old Sharper and Celia at hill, also Hecvtor, Cloe &amp; Prince there, bad of the ywas. Hazat watch at Top Hill. Port Royal &amp; Benjamin look after cattle, cut the last is now at Salt River, bad of the toothache.
Ambo is our driver, Phibbah &amp; Mazarine cooks, Cynthia in cookroom, Abraham look after the sheep, Dover assist Mason Quashe, Mimber washerwoman, Franke, Eve, Silvia &amp; Accubah in the great house. Humphrey &amp; Kent waiting boys, Little Mimber at school.</t>
  </si>
  <si>
    <t>MORRIS
JENNY
EGYPT LUCY
ABIGAIL
MOUNTAIN SUSANAH
TONY
OLD SARAH
OLD SHARPER
CELIA
HECTOR
CLOE
PRINCE
HAZAT
PORT ROYAL
BENJAMIN
AMBO
PHIBBAH
MAZARINE
CYNTHIA
ABRAHAM
DOVER
MASON QUASHE
MIMBER
FRANKE
EVE
SILVIA
ACCUABAH
HUMPHREY
KENT
LITTLE MIMBER</t>
  </si>
  <si>
    <t>P226
P104
P3
P118
P254
P411
P370
P74
P412
P358
P101
P165
P87
P212
P413
P170
P7
P123
P77
P360
P139
P25
P362
P59
P128
P122
P16
P213
P329
P80</t>
  </si>
  <si>
    <t>P423</t>
  </si>
  <si>
    <t>BEASTLY</t>
  </si>
  <si>
    <t>IMG 172, P.166</t>
  </si>
  <si>
    <t>July 28, 1755</t>
  </si>
  <si>
    <t>"At night cum Phibbah--Phibbah brought me Mountain Lucy to keep as a sweetheart time she lies in. I said nothing to her."</t>
  </si>
  <si>
    <t>P7
P43
P30</t>
  </si>
  <si>
    <t>P424</t>
  </si>
  <si>
    <t>PHIBBAH
THE OVERSEER
MOUNTAIN LUCY</t>
  </si>
  <si>
    <t xml:space="preserve">HAZAT [MR. MOULD'S] </t>
  </si>
  <si>
    <t>P425</t>
  </si>
  <si>
    <t>EGYPT NANNY</t>
  </si>
  <si>
    <t>IMG 173, P.167</t>
  </si>
  <si>
    <t>July 29, 1755</t>
  </si>
  <si>
    <t>"Cum Billy Foot's Mimbah in curing house sup foundation wall, left hand side of door going in. Phibbah scorched her coming out and made a sad noise."</t>
  </si>
  <si>
    <t xml:space="preserve">P43
P251
P7
</t>
  </si>
  <si>
    <t>MIMBAH
THE OVERSEER
PHIBBAH</t>
  </si>
  <si>
    <t>P426</t>
  </si>
  <si>
    <t>RACHEL</t>
  </si>
  <si>
    <t>IMG 178-179, P.172-173</t>
  </si>
  <si>
    <t>August 5, 1755</t>
  </si>
  <si>
    <t>"Last night Phibbah told me she found herself nigh her time, got up and went to Quashe's new house, and about shell blow this morning was (by Old Phibbah, belonging to Mr. Mould) deliv'd of a child,  dead. A fine boy: a Mulatto. In forenoon had him buried.
Suspect Mr. JC when over ab. beginning of November and seemingly a resemblance."</t>
  </si>
  <si>
    <t>P7
P43
P96
P44
P252</t>
  </si>
  <si>
    <t xml:space="preserve">PHIBBAH
QUASHE
OLD PHIBBAH
MR. MOULD
THE PLANTER
THE OVERSEEER
</t>
  </si>
  <si>
    <t>P427</t>
  </si>
  <si>
    <t>MR. MORDIMER</t>
  </si>
  <si>
    <t>P428</t>
  </si>
  <si>
    <t>MR. DORWOOD</t>
  </si>
  <si>
    <t>IMG 182, P.176</t>
  </si>
  <si>
    <t>August 7, 1755</t>
  </si>
  <si>
    <t>"At night cum Mountain Lucy bis sup lect: she staid all night. Gave d^0 a little sugar, also a string off Black and another of white beads."</t>
  </si>
  <si>
    <t>IMG 189, P.183</t>
  </si>
  <si>
    <t>August 12, 1755</t>
  </si>
  <si>
    <t>"At night cum New Negroe Quasheba (a Coromante) sup: floor, the hot house 
*Afterward would not let Mountain Lucy in."</t>
  </si>
  <si>
    <t>P430</t>
  </si>
  <si>
    <t>THE OVERSEER
QUASHEBA [EGYPT]
MOUNTAIN LUCY</t>
  </si>
  <si>
    <t>JOHN FILTON</t>
  </si>
  <si>
    <t>P43
P185
P30</t>
  </si>
  <si>
    <t>P431</t>
  </si>
  <si>
    <t>BELLA'S HUSBAND SAM</t>
  </si>
  <si>
    <t>E441</t>
  </si>
  <si>
    <t>IMG 209, P.203</t>
  </si>
  <si>
    <t>September 2, 1755</t>
  </si>
  <si>
    <t>"At night cum Mountain Lucy sup matt in my hall floor, Gave d^0 a few corn &amp; some thread to make her cloaths."</t>
  </si>
  <si>
    <t>MOUNTAIN LUCY
THE OVERSEER</t>
  </si>
  <si>
    <t>P30
P43</t>
  </si>
  <si>
    <t>P432</t>
  </si>
  <si>
    <t>SAM [MR. BARCLAY'S]</t>
  </si>
  <si>
    <t>IMG 211, P.205</t>
  </si>
  <si>
    <t>September 5, 1755</t>
  </si>
  <si>
    <t>"At night cum Mountain Lucy in my hall, sup matt, gave her 2 bitts and a few corn."</t>
  </si>
  <si>
    <t>IMG 214, P.208</t>
  </si>
  <si>
    <t>September 9, 1755</t>
  </si>
  <si>
    <t>"Cum Mountain Lucy in my hall, sup Mat."</t>
  </si>
  <si>
    <t>P434</t>
  </si>
  <si>
    <t>OLD EVE</t>
  </si>
  <si>
    <t>P435</t>
  </si>
  <si>
    <t>MISS WINN</t>
  </si>
  <si>
    <t>IMG 215, P.209</t>
  </si>
  <si>
    <t>September 11, 1755</t>
  </si>
  <si>
    <t>"At night, Mountain Lucy come in my house, gave her some corn and told her to go to Colorane."</t>
  </si>
  <si>
    <t>IMG 218, P.212</t>
  </si>
  <si>
    <t>September 18, 1755</t>
  </si>
  <si>
    <t>"About 2 PM cum Mountain Lucy sup terr in coffee ground path piece."</t>
  </si>
  <si>
    <t>P30 
P43</t>
  </si>
  <si>
    <t>P437</t>
  </si>
  <si>
    <t>JUSTICE/DR. SMITH</t>
  </si>
  <si>
    <t>E495</t>
  </si>
  <si>
    <t>IMG 226, P.220</t>
  </si>
  <si>
    <t>October 3, 1755</t>
  </si>
  <si>
    <t>P438</t>
  </si>
  <si>
    <t>"Stood in the field in the sun a long time this forenoon, which I believe gave me the fever, for I had it most part of the afternoon and night."</t>
  </si>
  <si>
    <t>THOMAS TRINDAL</t>
  </si>
  <si>
    <t>P439</t>
  </si>
  <si>
    <t>HOMER JACKSON</t>
  </si>
  <si>
    <t>IMG 227, P.221</t>
  </si>
  <si>
    <t>October 5, 1755</t>
  </si>
  <si>
    <t>"Gave Ambo my old hatt [sic] being that I bought of Mr. Emotson and began to wear the last I had of Mr. Gardiner."</t>
  </si>
  <si>
    <t>THE OVERSEER
AMBO
MR. EMOTSON
MR. GARDINER</t>
  </si>
  <si>
    <t>P440</t>
  </si>
  <si>
    <t>P43
P170
P92
P378</t>
  </si>
  <si>
    <t>MR. STONES</t>
  </si>
  <si>
    <t>EGYPT LUCY'S CHILD #3</t>
  </si>
  <si>
    <t>E563</t>
  </si>
  <si>
    <t>IMG 227, P221</t>
  </si>
  <si>
    <t>October 6, 1755</t>
  </si>
  <si>
    <t>"Job came home from Salt River by Mr. Cope's order and is to work in the field."</t>
  </si>
  <si>
    <t>Jenny was born on August 30 1772 to Abba, an enslaved African woman and Neptune</t>
  </si>
  <si>
    <t>IMG 228, P.222</t>
  </si>
  <si>
    <t>October 7, 1755</t>
  </si>
  <si>
    <t>"Mountain Lucy sick in the hot house. She told me she is with child by me, but I know not true."</t>
  </si>
  <si>
    <t>CUDJOE [JOHN RICKETT'S]</t>
  </si>
  <si>
    <t>IMG 229, P.223</t>
  </si>
  <si>
    <t>October 8, 1755</t>
  </si>
  <si>
    <t>"Very wearisome, uncomfortable weather."</t>
  </si>
  <si>
    <t>NEPTUNE [THOMAS EMOTSON'S]</t>
  </si>
  <si>
    <t>October 9, 1755</t>
  </si>
  <si>
    <t>"Flood this afternoon, not so high yet as in May but a great deal of water."</t>
  </si>
  <si>
    <t>DAVIE [NANCY'S SON]</t>
  </si>
  <si>
    <t>IMG 229, P.224</t>
  </si>
  <si>
    <t>October 10, 1755</t>
  </si>
  <si>
    <t>"The water continues up as high as yesterday or higher."</t>
  </si>
  <si>
    <t>NANCY'S DAUGHTER</t>
  </si>
  <si>
    <t>"Put Job to look after the cattle with Benjamin and Port Royal in the field."</t>
  </si>
  <si>
    <t>JOB
BENJAMIN
PORT ROYAL</t>
  </si>
  <si>
    <t>P29
P413
P212</t>
  </si>
  <si>
    <t>JAMES [LITTLE MIMBER'S SON]</t>
  </si>
  <si>
    <t>RACHAEL [OGO'S DAUGHTER]</t>
  </si>
  <si>
    <t>IMG 230, P.224</t>
  </si>
  <si>
    <t>AT LEAST HALF EBO</t>
  </si>
  <si>
    <t>October 11, 1755</t>
  </si>
  <si>
    <t>"A great flood of water higher than in last May."</t>
  </si>
  <si>
    <t>IMG 234, P.228</t>
  </si>
  <si>
    <t>October 18, 1755</t>
  </si>
  <si>
    <t>"Fisherman Cyrus brought no fish today, at night was took and secured in the Bilboes."</t>
  </si>
  <si>
    <t>OGO'S SON [DEAD, 1770]</t>
  </si>
  <si>
    <t>IMG 235, P.229</t>
  </si>
  <si>
    <t>October 20, 1755</t>
  </si>
  <si>
    <t>"Fisherman Cyrus flogg'd this morning."</t>
  </si>
  <si>
    <t>JIMMY STEWART</t>
  </si>
  <si>
    <t>NEW HOPE ESTATE</t>
  </si>
  <si>
    <t>E611</t>
  </si>
  <si>
    <t>"Quasheba, Derby &amp; Philip whipp'd for stealing corn,"</t>
  </si>
  <si>
    <t>EGYPT QUASHEBA
DERBY
PHILIP</t>
  </si>
  <si>
    <t>P240
P295
P381</t>
  </si>
  <si>
    <t>ABBA'S MARY'S DAUGHTER (1784)</t>
  </si>
  <si>
    <t>E436</t>
  </si>
  <si>
    <t>IMG 236, P.230</t>
  </si>
  <si>
    <t>October 21, 1755</t>
  </si>
  <si>
    <t>"the Boy Hazat who watched Top Hill confesses to slept with Agnes, Chrishea, Princess, Ellin, &amp; Little Lydde"</t>
  </si>
  <si>
    <t>HAZAT
AGNES
CHRISHEA
WONGA [PRINCESS]
ELLIN
LITTLE LYDDE</t>
  </si>
  <si>
    <t>P84
P124
P126
P27
P33
P255</t>
  </si>
  <si>
    <t>PRUE [DAUGHTER OF MARY, GRANDDAUGHTER OF ABBA]</t>
  </si>
  <si>
    <t>E438</t>
  </si>
  <si>
    <t>IMG 237, P.231</t>
  </si>
  <si>
    <t>PHIBBAH [ABBA &amp; LINCOLN'S DAUGHTER]</t>
  </si>
  <si>
    <t>October 24, 1755</t>
  </si>
  <si>
    <t>"Just before midnight, Violet brought to bed off a boy."</t>
  </si>
  <si>
    <t>VIOLET
VIOLET'S CHILD</t>
  </si>
  <si>
    <t>P117
P379</t>
  </si>
  <si>
    <t>CHARLOTTE (WONGA'S DAUGHTER)</t>
  </si>
  <si>
    <t>IMG 239, P.233</t>
  </si>
  <si>
    <t>October 27, 1755</t>
  </si>
  <si>
    <t>"Jenny at home, giving Violet's child suck."</t>
  </si>
  <si>
    <t>JENNY
VIOLET
VIOLET'S CHILD</t>
  </si>
  <si>
    <t>P379
P117
P104</t>
  </si>
  <si>
    <t>SAWNEY [CYRUS' SON]</t>
  </si>
  <si>
    <t>E433</t>
  </si>
  <si>
    <t>October 29, 1755</t>
  </si>
  <si>
    <t>"Got a rat &amp; a mouse in my house."</t>
  </si>
  <si>
    <t>PRUE [MOUNTAIN LUCY'S DAUGHTER]</t>
  </si>
  <si>
    <t>IMG 241, P.235</t>
  </si>
  <si>
    <t>P459</t>
  </si>
  <si>
    <t>October 30, 1755</t>
  </si>
  <si>
    <t>MR. LAUDERDALE</t>
  </si>
  <si>
    <t>"Got a large rat in my house at night."</t>
  </si>
  <si>
    <t>P460</t>
  </si>
  <si>
    <t>BESY STORER</t>
  </si>
  <si>
    <t>E534</t>
  </si>
  <si>
    <t>IMG 243, P.237</t>
  </si>
  <si>
    <t>November 3, 1755</t>
  </si>
  <si>
    <t>"Let Egypt Lucy &amp; Ellin sweat their yaws."</t>
  </si>
  <si>
    <t>EGYPT LUCY 
ELLIN</t>
  </si>
  <si>
    <t>P3
P33</t>
  </si>
  <si>
    <t>P461</t>
  </si>
  <si>
    <t>AGNES ' CHILD #3</t>
  </si>
  <si>
    <t>E552</t>
  </si>
  <si>
    <t>"Lett [sic] Egypt Lucy &amp; Ellin sweat thei crab yaws feet."</t>
  </si>
  <si>
    <t>P462</t>
  </si>
  <si>
    <t>EGYPT LUCY
ELLIN</t>
  </si>
  <si>
    <t>MOUNTAIN NEGROES</t>
  </si>
  <si>
    <t>P463</t>
  </si>
  <si>
    <t>MRS. MOULD</t>
  </si>
  <si>
    <t>E440</t>
  </si>
  <si>
    <t>IMG 248, P.242</t>
  </si>
  <si>
    <t>November 14, 1755</t>
  </si>
  <si>
    <t>"Penkeeper Cyrus brought home Maria Mule, which has been so long wanting. Found near Paul Island. Gave him a bottle of rum."</t>
  </si>
  <si>
    <t>P464</t>
  </si>
  <si>
    <t>JACOB RICKETTS</t>
  </si>
  <si>
    <t>IMG 249, P.229</t>
  </si>
  <si>
    <t>November 15, 1755</t>
  </si>
  <si>
    <t>"Cyrus fishing again."</t>
  </si>
  <si>
    <t>P465</t>
  </si>
  <si>
    <t>MR. SIMMS</t>
  </si>
  <si>
    <t>E449</t>
  </si>
  <si>
    <t>IMG 252, P.246</t>
  </si>
  <si>
    <t>November 22, 1755</t>
  </si>
  <si>
    <t>P466</t>
  </si>
  <si>
    <t>"MR. Hutt supp'd and slept here."</t>
  </si>
  <si>
    <t>MR. ANTROBUS</t>
  </si>
  <si>
    <t>THE SLAVE TRADER [JOHN HUTT]</t>
  </si>
  <si>
    <t>P467</t>
  </si>
  <si>
    <t>MR. GALLAGHER</t>
  </si>
  <si>
    <t>November 23, 1755</t>
  </si>
  <si>
    <t>"AM Mr. John Hutt went away. Suspect Phibbah in the garden (gathering pears) with him. Quarrl'd with her."</t>
  </si>
  <si>
    <t>THE SLAVE TRADER [JOHN HUTT]
PHIBBAH
THE OVERSEER</t>
  </si>
  <si>
    <t xml:space="preserve">P51
P7
P43
</t>
  </si>
  <si>
    <t>P468</t>
  </si>
  <si>
    <t>MR. LISTER</t>
  </si>
  <si>
    <t>IMG 254, P.248</t>
  </si>
  <si>
    <t>November 26, 1755</t>
  </si>
  <si>
    <t>"PM Had Ambo and Princess whipp'd, about Princess tealing a basket of corn today."</t>
  </si>
  <si>
    <t>THE OVERSEER
AMBO
WONGA</t>
  </si>
  <si>
    <t>P43
P170
P23</t>
  </si>
  <si>
    <t>P469</t>
  </si>
  <si>
    <t>WAGER (APONGO)</t>
  </si>
  <si>
    <t>E564</t>
  </si>
  <si>
    <t>IMG 260, P.254</t>
  </si>
  <si>
    <t>P470</t>
  </si>
  <si>
    <t>December 5, 1755</t>
  </si>
  <si>
    <t>"NEGROE" MAN FROM RETRIEVE ESTATE</t>
  </si>
  <si>
    <t>"Whipp'd Job, Benjamin, &amp; Abraham for neglect, Jackie runaway."</t>
  </si>
  <si>
    <t>JOB
BENJAMIN
ABRAHAM
JACKIE</t>
  </si>
  <si>
    <t>P29
P413
P360
P102</t>
  </si>
  <si>
    <t>P471</t>
  </si>
  <si>
    <t>HANNAH'S DAUGHTER</t>
  </si>
  <si>
    <t>E434</t>
  </si>
  <si>
    <t>IMG 262, P.256</t>
  </si>
  <si>
    <t>December 8, 1755</t>
  </si>
  <si>
    <t>"Mason Quashe took his tools away and gone to be hired somewhere, as Mr. Cope has little for him to doe. [sic]"</t>
  </si>
  <si>
    <t>MASON QUASHE
JOHN COPE</t>
  </si>
  <si>
    <t>P25
P44</t>
  </si>
  <si>
    <t>P472</t>
  </si>
  <si>
    <t>CAPTAIN LEISTER</t>
  </si>
  <si>
    <t>E493</t>
  </si>
  <si>
    <t>IMG 265, P.259</t>
  </si>
  <si>
    <t>December 14, 1755</t>
  </si>
  <si>
    <t>"Gave Ambo and Franke each a bottle of rum."</t>
  </si>
  <si>
    <t>AMBO
THE OVERSEER
FRANKE</t>
  </si>
  <si>
    <t>P43
P170
P59</t>
  </si>
  <si>
    <t>P473</t>
  </si>
  <si>
    <t>"THE NEGROES" ON CAPTAIN LEISTER'S ESTATE</t>
  </si>
  <si>
    <t>E535</t>
  </si>
  <si>
    <t>IMG 267, P.261</t>
  </si>
  <si>
    <t>December 17, 1755</t>
  </si>
  <si>
    <t>"PM wrote to Mr. Dorwood, and sent to gaol by WC a Negroe woman Ambo catch'd, William received 15 for her."</t>
  </si>
  <si>
    <t>THE OVERSEER
MR. DORWOOD
WILLIAM CROOKSHANKS
AMBO</t>
  </si>
  <si>
    <t>P43
P170
P189
P428</t>
  </si>
  <si>
    <t>E554</t>
  </si>
  <si>
    <t>P475</t>
  </si>
  <si>
    <t>PHILLIS</t>
  </si>
  <si>
    <t>"AM Mr. Cope &amp; Miss Winn went into the Savanna, had Job with them."</t>
  </si>
  <si>
    <t>MR. COPE
MISS WINN
JOB</t>
  </si>
  <si>
    <t>P44
P445
P29</t>
  </si>
  <si>
    <t>P476</t>
  </si>
  <si>
    <t>LITTLE QUAW</t>
  </si>
  <si>
    <t>E435</t>
  </si>
  <si>
    <t>IMG 271, P.265</t>
  </si>
  <si>
    <t>December 23, 1755</t>
  </si>
  <si>
    <t>"Had Old Sarah whipp'd today."</t>
  </si>
  <si>
    <t>OLD SARAH
THE OVERSEER</t>
  </si>
  <si>
    <t>P370
P43</t>
  </si>
  <si>
    <t>P477</t>
  </si>
  <si>
    <t>ZACHARY</t>
  </si>
  <si>
    <t>IMG 272, P.266</t>
  </si>
  <si>
    <t>December 24, 1755</t>
  </si>
  <si>
    <t>"Gave Ambo a bottle of rum and a little sugar."</t>
  </si>
  <si>
    <t>P478</t>
  </si>
  <si>
    <t>ALLEN'S QUAMINA</t>
  </si>
  <si>
    <t>P479</t>
  </si>
  <si>
    <t>MR. OGILBY</t>
  </si>
  <si>
    <t>E276</t>
  </si>
  <si>
    <t>December 25, 1755</t>
  </si>
  <si>
    <t>"At night 2 sheep dead within 20 yards od each other, their bellys [sic] swell'd, seemingly poisoned. They were by Egypt Lucy's house."</t>
  </si>
  <si>
    <t>L1-C</t>
  </si>
  <si>
    <t>P480</t>
  </si>
  <si>
    <t>LYDIA</t>
  </si>
  <si>
    <t>E442</t>
  </si>
  <si>
    <t>IMG 273, P.267</t>
  </si>
  <si>
    <t>"Gave Mason Quashe a bottle of rum."</t>
  </si>
  <si>
    <t>THE OVERSEER
MASON QUASHE</t>
  </si>
  <si>
    <t>P43
P25</t>
  </si>
  <si>
    <t>P481</t>
  </si>
  <si>
    <t>DR.MICHAM'S WIFE</t>
  </si>
  <si>
    <t>E443</t>
  </si>
  <si>
    <t>IMG 274, P.268</t>
  </si>
  <si>
    <t>December 26, 1755</t>
  </si>
  <si>
    <t>"Mason Quashe gave a feast today."</t>
  </si>
  <si>
    <t>P482</t>
  </si>
  <si>
    <t>JACKE</t>
  </si>
  <si>
    <t>P483</t>
  </si>
  <si>
    <t>SCOTLAND</t>
  </si>
  <si>
    <t>IMG 12, P.2</t>
  </si>
  <si>
    <t>January 3, 1756</t>
  </si>
  <si>
    <t>"In the morning rode to Hartford [Estate] got there about 7 o'clock, bought a new Negroe boy off[sic] Mr. Mason and gave my note for 43 pound, to be paid him or before the 1st of May next with lowful interest till paid, which will make it 43:16:19 (paid 43:12:8). He is an Ebo, about 16 years of age, measure 4 ft 9 inches 2/10. Named him Lincoln, call'd at Strathbogie [Castle], staid a while, went from there to Salt River &amp; got home about Noon."</t>
  </si>
  <si>
    <t xml:space="preserve">THE OVERSEER
LINCOLN
MR. MASON
</t>
  </si>
  <si>
    <t>P43
P409
P24</t>
  </si>
  <si>
    <t>SALE</t>
  </si>
  <si>
    <t>L61
L62
L4
L1</t>
  </si>
  <si>
    <t xml:space="preserve">HARTFORD ESTATE
STRATHBOGIE CASTLE
SALT RIVER ESTATE
EGYPT ESTATE
</t>
  </si>
  <si>
    <t>P484</t>
  </si>
  <si>
    <t>MULLIN</t>
  </si>
  <si>
    <t>IMG 10, P.1</t>
  </si>
  <si>
    <t>"London looks after the cattle today: Benjamin &amp; Job have today."</t>
  </si>
  <si>
    <t>LONDON
BENJAMIN
JOB</t>
  </si>
  <si>
    <t>P249
P413
P29</t>
  </si>
  <si>
    <t>P485</t>
  </si>
  <si>
    <t>E447</t>
  </si>
  <si>
    <t>IMG 1, P.3</t>
  </si>
  <si>
    <t>January 5, 1756</t>
  </si>
  <si>
    <t>"Whipp'd Hannah &amp; Mountain Lucy for absenting last Saturday."</t>
  </si>
  <si>
    <t>HANNAH
MOUNTAIN LUCY
THE OVERSEER</t>
  </si>
  <si>
    <t>P221
P30
P43</t>
  </si>
  <si>
    <t>P486</t>
  </si>
  <si>
    <t>ROGER</t>
  </si>
  <si>
    <t>P487</t>
  </si>
  <si>
    <t>PRUE [EGYPT FIELDHAND]</t>
  </si>
  <si>
    <t>"Gave Lincoln a matt to sleep on, and cut up ten yards of Brown osnabrig to make him cloaths [sic].</t>
  </si>
  <si>
    <t>THE OVERSEER
LINCOLN</t>
  </si>
  <si>
    <t xml:space="preserve">P43
P24
</t>
  </si>
  <si>
    <t>SEASONING</t>
  </si>
  <si>
    <t>P488</t>
  </si>
  <si>
    <t>MULATTO WILL</t>
  </si>
  <si>
    <t>January 6, 1756</t>
  </si>
  <si>
    <t>"Mountain Lucy wanting all day and Hannah in the forenoon. PM Gagg'd her."</t>
  </si>
  <si>
    <t>P489</t>
  </si>
  <si>
    <t>SILVIA [SHIPMATE OF WIFE OF MULATTO WILL]</t>
  </si>
  <si>
    <t>P490</t>
  </si>
  <si>
    <t>HESTER</t>
  </si>
  <si>
    <t>IMG 14, P.4</t>
  </si>
  <si>
    <t>"Mr. John Hutt here, all day, strange work amongst the girls."</t>
  </si>
  <si>
    <t>P491</t>
  </si>
  <si>
    <t>DAMSEL [WIFE OF MULATTO WILL]</t>
  </si>
  <si>
    <t>January 7, 1756</t>
  </si>
  <si>
    <t>"Whipp'd and gagg'd Mountain Lucy for absenting yesterday, also whipp'd Violet for harboring her, etc."</t>
  </si>
  <si>
    <t>P492</t>
  </si>
  <si>
    <t>DINAH [MULATTO WILL'S MOTHER]</t>
  </si>
  <si>
    <t>THE OVERSEER
MOUNTAIN LUCY
VIOLET</t>
  </si>
  <si>
    <t>P43
P30
P117</t>
  </si>
  <si>
    <t>P493</t>
  </si>
  <si>
    <t>COBENNA</t>
  </si>
  <si>
    <t>E661</t>
  </si>
  <si>
    <t>IMG 16, P.5</t>
  </si>
  <si>
    <t>January 10, 1756</t>
  </si>
  <si>
    <t>"Most of hir'd Negroes not at work today, because it is properly the Negroes Saturday."</t>
  </si>
  <si>
    <t>HIRED ENSLAVED PEOPLE ON EGYPT ESTATE</t>
  </si>
  <si>
    <t>P504</t>
  </si>
  <si>
    <t>P494</t>
  </si>
  <si>
    <t>PARADISE DOVER</t>
  </si>
  <si>
    <t>P495</t>
  </si>
  <si>
    <t>MR. CUPPAGE</t>
  </si>
  <si>
    <t>IMG 18, P.6</t>
  </si>
  <si>
    <t>January 11, 1756</t>
  </si>
  <si>
    <t>"Gave Job and Benjamin today, Pero looks after teh cattle."</t>
  </si>
  <si>
    <t>JOB
BENJAMIN
PERO</t>
  </si>
  <si>
    <t>P336
P413
P29</t>
  </si>
  <si>
    <t>P496</t>
  </si>
  <si>
    <t>JOHN JONES' ENSLAVED PERSON</t>
  </si>
  <si>
    <t>E660</t>
  </si>
  <si>
    <t>P497</t>
  </si>
  <si>
    <t>MR. MCDONALD</t>
  </si>
  <si>
    <t>"Skin'd my alligator, his body was laive some time after his skin &amp; head was off for he struck with with the tail part after etc. Stuff'd his kskin. Eat some fo the flesh boiled, seemed very fine and was vastly fatt. Note! I satt upon him yesterday but when WC was going to sit upon him, he truck with great fury &amp; frighted him."</t>
  </si>
  <si>
    <t>THE OVERSEER
WILLIAM CROOKSHANKS</t>
  </si>
  <si>
    <t>P43
P189</t>
  </si>
  <si>
    <t>P498</t>
  </si>
  <si>
    <t>MR. FOOT'S QUACOO</t>
  </si>
  <si>
    <t>E561</t>
  </si>
  <si>
    <t>IMG 9, P.23</t>
  </si>
  <si>
    <t>January 12, 1756</t>
  </si>
  <si>
    <t>P499</t>
  </si>
  <si>
    <t>"Lincoln went with Cyrus and got several drummers, etc as he did also yesterday afternoon.</t>
  </si>
  <si>
    <t>HAZARD [MR. WATT'S]</t>
  </si>
  <si>
    <t>LINCOLN
CYRUS</t>
  </si>
  <si>
    <t>P210
P24</t>
  </si>
  <si>
    <t>P500</t>
  </si>
  <si>
    <t>POMONA [MR. WATTS']</t>
  </si>
  <si>
    <t>IMG 20, P.7</t>
  </si>
  <si>
    <t>January 13, 1756</t>
  </si>
  <si>
    <t>"Saw a two-headed snake aout 12 inches long, goe either way, very ugly: amphisbana."</t>
  </si>
  <si>
    <t>P501</t>
  </si>
  <si>
    <t>HAZMAT</t>
  </si>
  <si>
    <t>P502</t>
  </si>
  <si>
    <t>ENSLAVED PERSON [ARTHUR FOREST'S]</t>
  </si>
  <si>
    <t>E566</t>
  </si>
  <si>
    <t>"Job sent to Lucia [sic] by Mr. Cope."</t>
  </si>
  <si>
    <t>L63</t>
  </si>
  <si>
    <t>P503</t>
  </si>
  <si>
    <t>MR. CUNNINGHAM [SALT RIVER]</t>
  </si>
  <si>
    <t>E624</t>
  </si>
  <si>
    <t>IMG 22, P.8</t>
  </si>
  <si>
    <t>January 17, 1756</t>
  </si>
  <si>
    <t>"For several weeks past, we hear the reef rose prodigiously almost every night."</t>
  </si>
  <si>
    <t>P505</t>
  </si>
  <si>
    <t>HANNAH WILLIS</t>
  </si>
  <si>
    <t>P506</t>
  </si>
  <si>
    <t>PRICE</t>
  </si>
  <si>
    <t>E444</t>
  </si>
  <si>
    <t>IMG 32, P.13</t>
  </si>
  <si>
    <t>January 26, 1756</t>
  </si>
  <si>
    <t>"If you can learn a New NEgroe to count twenty, he will learn to pronounce most English words very well."
(MR. THOMAS EMOTSON)</t>
  </si>
  <si>
    <t>P507</t>
  </si>
  <si>
    <t>CAPTAIN CUZZONS</t>
  </si>
  <si>
    <t>E501</t>
  </si>
  <si>
    <t>IMG 3, P.14</t>
  </si>
  <si>
    <t>January 27, 1756</t>
  </si>
  <si>
    <t>"Derby accused for eating young canes, secured in the Bilboes at night."</t>
  </si>
  <si>
    <t>P508</t>
  </si>
  <si>
    <t>DIAMOND</t>
  </si>
  <si>
    <t>P509</t>
  </si>
  <si>
    <t>January 28, 1756</t>
  </si>
  <si>
    <t>"Had Derby well whipped and made Egypt shit in his mouth."</t>
  </si>
  <si>
    <t>GENTLEMAN BY STYX BRIDGE</t>
  </si>
  <si>
    <t>THE OVERSEER
DERBY
EGYPT</t>
  </si>
  <si>
    <t>P43
P419
P295</t>
  </si>
  <si>
    <t>P510</t>
  </si>
  <si>
    <t>ARMED ENSLAVED PEOPLE</t>
  </si>
  <si>
    <t>E586</t>
  </si>
  <si>
    <t>IMG 5, P.15</t>
  </si>
  <si>
    <t>January 29, 1756</t>
  </si>
  <si>
    <t>"It is remarkable that one of the last new Negroes, Nam'd Achilles is he who took Doll and sold her: And that having some cloth, some tobacco, dram, and a gun etc, was robb'd going home."</t>
  </si>
  <si>
    <t>ACHILLES
DOLL</t>
  </si>
  <si>
    <t>P225
P192</t>
  </si>
  <si>
    <t>P511</t>
  </si>
  <si>
    <t>GEORGE GOODE</t>
  </si>
  <si>
    <t>E658</t>
  </si>
  <si>
    <t>January 31, 1756</t>
  </si>
  <si>
    <t>"At night, W.C. going to beat Abraham wrongfully. I made him desist, then had words abundance with WC. Also quarrel'd with Phibbah with words and blows. At night took WC and Mirtilla to Mr.Cope."</t>
  </si>
  <si>
    <t>WILLIAM CROOKSHANKS
ABRAHAM
THE OVERSEER
PHIBBAH
MIRTILLA
JOHN COPE</t>
  </si>
  <si>
    <t>P189
P360
P43
P7
P32
P44</t>
  </si>
  <si>
    <t>P512</t>
  </si>
  <si>
    <t>COLONEL RICKETT</t>
  </si>
  <si>
    <t>IMG 34, P.16</t>
  </si>
  <si>
    <t>February 2, 1756</t>
  </si>
  <si>
    <t>"New Negroe Derby wanting."</t>
  </si>
  <si>
    <t>P513</t>
  </si>
  <si>
    <t>MR. LEWIS</t>
  </si>
  <si>
    <t>P514</t>
  </si>
  <si>
    <t>CONGO SHARPER</t>
  </si>
  <si>
    <t>E662</t>
  </si>
  <si>
    <t>IMG 36, P.17</t>
  </si>
  <si>
    <t>February 3, 1756</t>
  </si>
  <si>
    <t>"At night Lewie detected with his grass, and when going to be whipp'd, made his escape."</t>
  </si>
  <si>
    <t>P515</t>
  </si>
  <si>
    <t>MR. COLE</t>
  </si>
  <si>
    <t>IMG 38, P.18</t>
  </si>
  <si>
    <t>February 4, 1756</t>
  </si>
  <si>
    <t>"Job sent to Strathbogie [Castle], made London look after the cattle in his room. At night, he return'd."</t>
  </si>
  <si>
    <t>JOB
LONDON</t>
  </si>
  <si>
    <t>P29
P249</t>
  </si>
  <si>
    <t>L62</t>
  </si>
  <si>
    <t>P516</t>
  </si>
  <si>
    <t>CHARLES MCINTOSH</t>
  </si>
  <si>
    <t>"Old Sharper brought home Derby &amp; I gave him a good whipping &amp; Old Sharper a pint of rum."</t>
  </si>
  <si>
    <t>DERBY
OLD SHARPER
THE OVERSEER</t>
  </si>
  <si>
    <t>P295
P43
P74</t>
  </si>
  <si>
    <t>P517</t>
  </si>
  <si>
    <t>OLD HARRY THE COOK'S DAUGHTER</t>
  </si>
  <si>
    <t>P518</t>
  </si>
  <si>
    <t>MARK</t>
  </si>
  <si>
    <t>"About noon Mr. Mould came, he shot at Lewie in the Old Road as he came, but he made his escape from him."</t>
  </si>
  <si>
    <t>LEWIE
MR. MOULD</t>
  </si>
  <si>
    <t>P197
P252</t>
  </si>
  <si>
    <t>P519</t>
  </si>
  <si>
    <t>ENSLAVED MAN [MR. BANARD SENIOR]</t>
  </si>
  <si>
    <t>E560</t>
  </si>
  <si>
    <t>February 5, 1756</t>
  </si>
  <si>
    <t>"Lent Lincoln my gun and he also shot 4 Cuba Teal at once in the morass bank of the old ground and PM he shot 3 d^0 and a coat."</t>
  </si>
  <si>
    <t>P520</t>
  </si>
  <si>
    <t>DR. CUTLING</t>
  </si>
  <si>
    <t>P521</t>
  </si>
  <si>
    <t>MRS. KATY</t>
  </si>
  <si>
    <t>IMG 7, P.19</t>
  </si>
  <si>
    <t>February 6, 1756</t>
  </si>
  <si>
    <t>"Ambo sick today. Put Syphox to stand over the Negroes."</t>
  </si>
  <si>
    <t>AMBO
SYPHOX</t>
  </si>
  <si>
    <t>P170
P62</t>
  </si>
  <si>
    <t>EBO CYRUS</t>
  </si>
  <si>
    <t>P523</t>
  </si>
  <si>
    <t>MR. BELTFIELD</t>
  </si>
  <si>
    <t>E446</t>
  </si>
  <si>
    <t>IMG 40, P.21</t>
  </si>
  <si>
    <t>February 9, 1756</t>
  </si>
  <si>
    <t>"Gave new basketts to the fifteen following Negroes: Punch, Quacoo, Quaw, Charles, Philip, Mountain Lucy, Princess, Beck, Egypt Lucy, Ellin, Moll, Doll, Dido, Rosanna, Molia."</t>
  </si>
  <si>
    <t>PUNCH
EGYPT QUACOO
CHARLES
PHILIP
MOUNTAIN LUCY
PRINCESS
BECK
EGYPT LUCY
ELLIN
MOLL
DOLL
DIDO
ROSANNA
MOLIA</t>
  </si>
  <si>
    <t xml:space="preserve">P348
P298
P380
P302
P381
P30
P27
P361
P3
P33
P125
P225
P105
P115
P116
</t>
  </si>
  <si>
    <t>P524</t>
  </si>
  <si>
    <t>THOMAS FEWKES</t>
  </si>
  <si>
    <t>P525</t>
  </si>
  <si>
    <t>MRS. RICKETT</t>
  </si>
  <si>
    <t>E567</t>
  </si>
  <si>
    <t>"Job sent to be with coopers at Salt River. Johnie put to assist to look after the cattle."</t>
  </si>
  <si>
    <t>JOB
JOHNIE</t>
  </si>
  <si>
    <t>P29
P20</t>
  </si>
  <si>
    <t>P526</t>
  </si>
  <si>
    <t>MR. BOSLEY</t>
  </si>
  <si>
    <t>E663</t>
  </si>
  <si>
    <t>P527</t>
  </si>
  <si>
    <t>"One of our oven posts burnt down. Franke got another put up &amp; painted privately."</t>
  </si>
  <si>
    <t>EGYPT FRANKE</t>
  </si>
  <si>
    <t>P528</t>
  </si>
  <si>
    <t>E664</t>
  </si>
  <si>
    <t>"A great many tears or drops of water, seem to be between and the moon, when view'd thro the telescope. Mr William Dorrill used to say it was a certain sign of Rain shortly."</t>
  </si>
  <si>
    <t>THE OVERSEER
WILLIAM DORRILL</t>
  </si>
  <si>
    <t>P43
P75</t>
  </si>
  <si>
    <t>P529</t>
  </si>
  <si>
    <t>E665</t>
  </si>
  <si>
    <t>IMG 41, P.22</t>
  </si>
  <si>
    <t>February 11, 1756</t>
  </si>
  <si>
    <t>"Mrs. Hannah Willis died abot one o'clock this morning."</t>
  </si>
  <si>
    <t>February 12, 1756</t>
  </si>
  <si>
    <t>"Price runaway, said to have beat Mrs. Willis to death."</t>
  </si>
  <si>
    <t>PRICE
HANNAH WILLIS</t>
  </si>
  <si>
    <t>P505
P506</t>
  </si>
  <si>
    <t>UNKNOWN</t>
  </si>
  <si>
    <t>E565</t>
  </si>
  <si>
    <t>IMG 11, P. 24</t>
  </si>
  <si>
    <t>February 14, 1756</t>
  </si>
  <si>
    <t>"Job lurking about home yesterday &amp; today."</t>
  </si>
  <si>
    <t>EGYPT ESTATE HOTHOUSE</t>
  </si>
  <si>
    <t>E138</t>
  </si>
  <si>
    <t>IMG 17, P. 28</t>
  </si>
  <si>
    <t>February 19, 1756</t>
  </si>
  <si>
    <t>"Old Katy says, she has 8 children alive and 15 grandchikldren beside many mulatto grandchildren."</t>
  </si>
  <si>
    <t>EGYPT ESTATE NEGROE HOUSES</t>
  </si>
  <si>
    <t>FAMILY/KINSHIP</t>
  </si>
  <si>
    <t>EGYPT LUCY'S HOUSE</t>
  </si>
  <si>
    <t>E666</t>
  </si>
  <si>
    <t>IMG 15, P.27</t>
  </si>
  <si>
    <t>"Capt Cuzzons says, Norward captains seldom take anything for a person's passage from Jamaica to Rhode Island, Pennsylvania, etc. or however not above a doubloon (about 30 days passage) and in the great cabin from the Norwood home to Old England, 5 guineas is the usual price and you are supposed to be lye in a stock so that you may stay a month ashore at hte Norward and get home as cheap, or to go directly from Jamaica home."</t>
  </si>
  <si>
    <t>L1-D</t>
  </si>
  <si>
    <t>EGYPT OLD NEGROE GROUND CANE PIECE</t>
  </si>
  <si>
    <t>L1-E</t>
  </si>
  <si>
    <t>EGYPT COFFEE GROUND PIECE</t>
  </si>
  <si>
    <t>E625</t>
  </si>
  <si>
    <t>IMG 21, P.30</t>
  </si>
  <si>
    <t>February 23, 1756</t>
  </si>
  <si>
    <t>"Port Royal leading dung upon the Potatoe Cane Piece. Chrishea, Dido &amp; Zachary filling the carts."</t>
  </si>
  <si>
    <t>PORT ROYAL
CHRISHEA
DIDO
ZACHARY</t>
  </si>
  <si>
    <t>P212
P126
P105
P477</t>
  </si>
  <si>
    <t>L1-F</t>
  </si>
  <si>
    <t>EGYPT POTATO PIECE</t>
  </si>
  <si>
    <t>IMG 48, P.37</t>
  </si>
  <si>
    <t>March 2, 1756</t>
  </si>
  <si>
    <t>EGYPT BREADNUT TREE CANE PIECE</t>
  </si>
  <si>
    <t>"Found a hough [sic] in the Bush, said to belong to Derby."</t>
  </si>
  <si>
    <t>L1-H</t>
  </si>
  <si>
    <t>EGYPT CALABASH TREE PIECE</t>
  </si>
  <si>
    <t>E667</t>
  </si>
  <si>
    <t>IMG 49, P.38</t>
  </si>
  <si>
    <t>March 3, 1756</t>
  </si>
  <si>
    <t>"It is said in a great drought in Antigua, a person, a clergyman, being desir'd to pray for rain, said he would pray for rain if they desir'd it, but he would be damn'd if they had any before the moon changed."</t>
  </si>
  <si>
    <t>L1-I</t>
  </si>
  <si>
    <t>EGYPT COTTON TREE PIECE</t>
  </si>
  <si>
    <t>L65</t>
  </si>
  <si>
    <t>L1-J</t>
  </si>
  <si>
    <t>EGYPT OLD BOILING HOUSE PIECE</t>
  </si>
  <si>
    <t>N/A</t>
  </si>
  <si>
    <t>E509</t>
  </si>
  <si>
    <t>IMG 50, P.39</t>
  </si>
  <si>
    <t>March 4, 1756</t>
  </si>
  <si>
    <t>"*Note! MR. Hutt also supp'd here, and he and Mr. Weech both went away to the Bay in the Night as Mr. and Mrs. Cope quarrled."</t>
  </si>
  <si>
    <t>JOHN HUTT
MR. WEECH
JOHN COPE
MOLLY COPE</t>
  </si>
  <si>
    <t>P51
P44
P45
P202</t>
  </si>
  <si>
    <t>L1-K</t>
  </si>
  <si>
    <t>EGYPT ORNAGE TREE PIECE</t>
  </si>
  <si>
    <t>L1-L</t>
  </si>
  <si>
    <t>EGYPT PLUM TREE PIECE</t>
  </si>
  <si>
    <t>IMG 52, P.41</t>
  </si>
  <si>
    <t>March 8, 1756</t>
  </si>
  <si>
    <t>"Mr. Hutt Supp'd here."</t>
  </si>
  <si>
    <t>JOHN HUTT</t>
  </si>
  <si>
    <t>L1-M</t>
  </si>
  <si>
    <t>EGYPT OLD SCOTCHGRASS PIECE</t>
  </si>
  <si>
    <t>EGYPT PAPAH TREE PIECE</t>
  </si>
  <si>
    <t>E500</t>
  </si>
  <si>
    <t>IMG 53, P.42</t>
  </si>
  <si>
    <t>March 10, 1756</t>
  </si>
  <si>
    <t>"About 1 pm cum Bella, a waiting girl of Mrs. Cope's sup floor in my hall.
Phibbah got her for me."</t>
  </si>
  <si>
    <t>THE OVERSEER
BELLA
PHIBBAH</t>
  </si>
  <si>
    <t>P223
P43
P7</t>
  </si>
  <si>
    <t>L1-Y</t>
  </si>
  <si>
    <t>EGYPT OLD CURING HOUSE PIECE</t>
  </si>
  <si>
    <t>L1-P</t>
  </si>
  <si>
    <t>EGYPT PIMENTO TREE PIECE</t>
  </si>
  <si>
    <t>E510</t>
  </si>
  <si>
    <t>IMG 55, P.44</t>
  </si>
  <si>
    <t>March 12, 1756</t>
  </si>
  <si>
    <t>"Gave Betty a new hough."</t>
  </si>
  <si>
    <t>THE OVERSEER
BETTY</t>
  </si>
  <si>
    <t>P43
P134</t>
  </si>
  <si>
    <t>L1-Q</t>
  </si>
  <si>
    <t>EGYPT MILKWOOD TREE PIECE</t>
  </si>
  <si>
    <t>March 13, 1756</t>
  </si>
  <si>
    <t>"Hazat catch;'d Derby last night stealing cane, Derby wanting this morning."</t>
  </si>
  <si>
    <t>DERBY
HAZAT</t>
  </si>
  <si>
    <t>P87
P295</t>
  </si>
  <si>
    <t>L1-R</t>
  </si>
  <si>
    <t>EGYPT JUDE HOUSE POND PIECE</t>
  </si>
  <si>
    <t>PM/AM</t>
  </si>
  <si>
    <t>L1-S</t>
  </si>
  <si>
    <t>EGYPT OLD SHEEP PEN PIECE</t>
  </si>
  <si>
    <t>"Hazat catch'd Derby last night stealing cane. Derby wanting this morning."</t>
  </si>
  <si>
    <t>HAZAT
DERBY</t>
  </si>
  <si>
    <t>L1-T</t>
  </si>
  <si>
    <t>EGYPT MARL PITT PIECE</t>
  </si>
  <si>
    <t>E156</t>
  </si>
  <si>
    <t>PHIBBAH'S HOUSE</t>
  </si>
  <si>
    <t>IMG 57, P.48</t>
  </si>
  <si>
    <t>March 15, 1756</t>
  </si>
  <si>
    <t>"In morning W.C. went to Paradise, Mirtilla in labour all day at night. Doctor Robinson sent to her, who deliver'd her of a girl (a Mulattio) after supper. She is in Egypt Lucy's house."</t>
  </si>
  <si>
    <t>WILLIAM CROOKSHANKS
MIRTILLA
DOCTOR ROBINSON
EGYPT LUCY</t>
  </si>
  <si>
    <t>P189
P97
P188
P3</t>
  </si>
  <si>
    <t>L1-V</t>
  </si>
  <si>
    <t>EGYPT BOILING HOUSE</t>
  </si>
  <si>
    <t>L2
L1-C</t>
  </si>
  <si>
    <t>AMBO'S GROUND</t>
  </si>
  <si>
    <t>IMG 57, P.46</t>
  </si>
  <si>
    <t>"Paradise Dover catch'd Derby, who pretended to be wondrous ill, gaining the more liberty, threw himself from off Cabaritta Bridge into the river, swam down about 4 score yards, then went ashore and hid under some crab thatch in the morass. I run from dinner, made Plato &amp; Cobenna swim down in the River, so they found him and 4 Negroe Men brought him homr, as he feigned himself dead, however, secured him in the Bilboes."</t>
  </si>
  <si>
    <t>PARADISE DOVER
DERBY</t>
  </si>
  <si>
    <t>P494
P295</t>
  </si>
  <si>
    <t>L1-X</t>
  </si>
  <si>
    <t>EGYPT STILL HOUSE</t>
  </si>
  <si>
    <t>THISTLEWOOD'S HOUSE</t>
  </si>
  <si>
    <t>"Paradise Dover catch'd Derby who, pretended to be wondrous ill so gaining the more liberty, threw himself from the Cabaritta bridge into the river, swam down about 4 score yards then went ashore &amp; hid under some crab thatch in the Morass. I run from dinner, made Plato &amp; Cobenna swim down the river so they found him and 4 Negroe men brought him home, as he deigned himself Dead, however secured him in the bilboes."</t>
  </si>
  <si>
    <t>PARADISE DOVER
DERBY
THE OVERSEER
PLATO
COBENNA</t>
  </si>
  <si>
    <t>P494
P295
P43
P208
P493</t>
  </si>
  <si>
    <t>L8-B</t>
  </si>
  <si>
    <t>L1-Z</t>
  </si>
  <si>
    <t>JENNY'S HOUSE</t>
  </si>
  <si>
    <t>IMG 58, P.47</t>
  </si>
  <si>
    <t>March 16, 1756</t>
  </si>
  <si>
    <t>"Derby continues sallow, won't eat or drink or care for anything."</t>
  </si>
  <si>
    <t>L1-A2</t>
  </si>
  <si>
    <t>EGYPT OLD COW PEN CANE PIECE</t>
  </si>
  <si>
    <t>L1-A3</t>
  </si>
  <si>
    <t>EGYPT OLD NEGROES HOUSE PIECE</t>
  </si>
  <si>
    <t>IMG 60, P.49</t>
  </si>
  <si>
    <t>March 19, 1756</t>
  </si>
  <si>
    <t>"PM Went to see Mirtilla &amp; her Mulatto girl, in Egypt Lucy's House."</t>
  </si>
  <si>
    <t>THE OVERSEER
MIRTILLA
MIRTILLA'S DAUGHTER
EGYPT LUCY</t>
  </si>
  <si>
    <t>P43
P97
P190
P3</t>
  </si>
  <si>
    <t>L36</t>
  </si>
  <si>
    <t>E641</t>
  </si>
  <si>
    <t>IMG 62, P.51</t>
  </si>
  <si>
    <t>March 22,1756</t>
  </si>
  <si>
    <t>"Punch wanting &amp; many Negroes sick."</t>
  </si>
  <si>
    <t>L2-A</t>
  </si>
  <si>
    <t>PARADISE MOUNTAIN</t>
  </si>
  <si>
    <t>March 23, 1756</t>
  </si>
  <si>
    <t>"Punch come to work."</t>
  </si>
  <si>
    <t>L3-A</t>
  </si>
  <si>
    <t>NEGRO HOUSE (BREADNUT)</t>
  </si>
  <si>
    <t>E642</t>
  </si>
  <si>
    <t>IMG 63, P.52</t>
  </si>
  <si>
    <t>L3-B</t>
  </si>
  <si>
    <t>SOLON'S HOUSE</t>
  </si>
  <si>
    <t>"Port Royal &amp; Benjamin absconded having let some mules get away."</t>
  </si>
  <si>
    <t>PORT ROYAL
BENJAMIN</t>
  </si>
  <si>
    <t>P212
P413</t>
  </si>
  <si>
    <t>L3-C</t>
  </si>
  <si>
    <t>PHIBBAH'S GROUNDS</t>
  </si>
  <si>
    <t>E502</t>
  </si>
  <si>
    <t>March 24, 1756</t>
  </si>
  <si>
    <t>"Agnes, Mountain Lucy, Jenny saucy in the field today."</t>
  </si>
  <si>
    <t>AGNES
MOUNTAIN LUCY
JENNY
SAUCY</t>
  </si>
  <si>
    <t>P124
P30
P104
P420</t>
  </si>
  <si>
    <t>L4-A</t>
  </si>
  <si>
    <t>SALT RIVER DUNGEON</t>
  </si>
  <si>
    <t>"Whipp'd Port Royal &amp; Benjamin, put Port Royal in the field and Jackie to look after the cattle in his room."</t>
  </si>
  <si>
    <t xml:space="preserve">PORT ROYAL
BENJAMIN
JACKIE
THE OVERSEER
</t>
  </si>
  <si>
    <t>P212
P413
P102
P43</t>
  </si>
  <si>
    <t>L5</t>
  </si>
  <si>
    <t>FRIENDSHIP ESTATE</t>
  </si>
  <si>
    <t>E582</t>
  </si>
  <si>
    <t>IMG 65, P.54</t>
  </si>
  <si>
    <t>March 27, 1756</t>
  </si>
  <si>
    <t>" * Lease signed and commence today for the Negroes."</t>
  </si>
  <si>
    <t>L7</t>
  </si>
  <si>
    <t>OLD HOPE ESTATE</t>
  </si>
  <si>
    <t>"About 11 AM cum Ellin, sup Terr in the Morass between the break Axe cane piece, the Styx Bridge, gave d^0 a bitt."</t>
  </si>
  <si>
    <t>THE OVERSEER
ELLIN</t>
  </si>
  <si>
    <t>P43
P33</t>
  </si>
  <si>
    <t>L8-A</t>
  </si>
  <si>
    <t>VINE'S HOUSE</t>
  </si>
  <si>
    <t>IMG 68, P.57</t>
  </si>
  <si>
    <t>March 31, 1756</t>
  </si>
  <si>
    <t>"Job at Salt River learning to be a cooper."</t>
  </si>
  <si>
    <t>CABARITTA BRIDGE</t>
  </si>
  <si>
    <t>E701</t>
  </si>
  <si>
    <t>"Jackie let the cattle goe amongst Top Hill Canes, at night he absconded."</t>
  </si>
  <si>
    <t>L9</t>
  </si>
  <si>
    <t>KIRKPATRICK PEN</t>
  </si>
  <si>
    <t>L55</t>
  </si>
  <si>
    <t>SAVANNA LA MAR</t>
  </si>
  <si>
    <t>E513</t>
  </si>
  <si>
    <t>IMG 69, P.58</t>
  </si>
  <si>
    <t>April 1, 1756</t>
  </si>
  <si>
    <t>"Gave Ambo my old Strait Body'd great coat made by John Pounder of Longton in the Spring of 1744, about 12 years ago."</t>
  </si>
  <si>
    <t>P43
170</t>
  </si>
  <si>
    <t>L10-A</t>
  </si>
  <si>
    <t>DR. PANTON'S</t>
  </si>
  <si>
    <t>IMG 69, 9.58</t>
  </si>
  <si>
    <t>L10-B</t>
  </si>
  <si>
    <t>"No news of Jackie."</t>
  </si>
  <si>
    <t>MEYLER'S WHARF</t>
  </si>
  <si>
    <t>L10-C</t>
  </si>
  <si>
    <t>SAVANNA LA MAR CHAPEL</t>
  </si>
  <si>
    <t>E605</t>
  </si>
  <si>
    <t>IMG 70, P.59</t>
  </si>
  <si>
    <t>April 3, 1756</t>
  </si>
  <si>
    <t>"At night Hanah brought to bed of a girl (A Negroe)</t>
  </si>
  <si>
    <t>HANNAH
HANNAH'S DAUGHTER</t>
  </si>
  <si>
    <t>P221
P471</t>
  </si>
  <si>
    <t>L11-D</t>
  </si>
  <si>
    <t>SAVANNA LA MAR COURTHOUSE</t>
  </si>
  <si>
    <t>E507</t>
  </si>
  <si>
    <t>IMG 71, P.60</t>
  </si>
  <si>
    <t>April 4, 1756</t>
  </si>
  <si>
    <t>"In the morning cum Phibbah."</t>
  </si>
  <si>
    <t xml:space="preserve">P43
P7
</t>
  </si>
  <si>
    <t>THE ROAD(S)</t>
  </si>
  <si>
    <t>L13</t>
  </si>
  <si>
    <t>ATLANTIC OCEAN</t>
  </si>
  <si>
    <t>E508</t>
  </si>
  <si>
    <t>PM Phibbah went to Mrs. Blake's to see Accubah</t>
  </si>
  <si>
    <t>THE OVERSEER
PHIBBAH
ACCUBAH
MRS. BLAKE</t>
  </si>
  <si>
    <t xml:space="preserve">P43
P7
P16
</t>
  </si>
  <si>
    <t>L14</t>
  </si>
  <si>
    <t>BLUECASTLE ESTATE</t>
  </si>
  <si>
    <t>L32</t>
  </si>
  <si>
    <t>IMG 72, P.61</t>
  </si>
  <si>
    <t>April 5, 1756</t>
  </si>
  <si>
    <t>"Egypt now seems dull, however I had a bottle of good ale at my supper which I mix/d with sugar &amp; water &amp; grated nutmeg over it. Roast Beef, roast turkey, cold tongue, cheek, etc to my supper."</t>
  </si>
  <si>
    <t>EGYPT
THE OVERSEER</t>
  </si>
  <si>
    <t>P419
P43</t>
  </si>
  <si>
    <t>L16</t>
  </si>
  <si>
    <t>BARCLAY'S RIVER</t>
  </si>
  <si>
    <t>L17</t>
  </si>
  <si>
    <t>MR LEE'S</t>
  </si>
  <si>
    <t>E643</t>
  </si>
  <si>
    <t>April 6, 1756</t>
  </si>
  <si>
    <t>"Gave Nanny a good whipping. Jackie come home with a large sore on his leg, seems purposely made, gave him a good whipping. Lock'd a cat chain about his neck and put him after the cattle again."</t>
  </si>
  <si>
    <t>NANNY
JACKIE
THE OVERSEER</t>
  </si>
  <si>
    <t>P425
P102
P43</t>
  </si>
  <si>
    <t>MRS. SARAH BENNETT'S</t>
  </si>
  <si>
    <t>E583</t>
  </si>
  <si>
    <t>IMG 73, P.62</t>
  </si>
  <si>
    <t>L19</t>
  </si>
  <si>
    <t>April 7, 1756</t>
  </si>
  <si>
    <t>KINGSTON</t>
  </si>
  <si>
    <t>"AM Whipp'd Egypt Susanah for stealing plantains."</t>
  </si>
  <si>
    <t>EGYPT SUSANAH
THE OVERSEER</t>
  </si>
  <si>
    <t>P296
P43</t>
  </si>
  <si>
    <t>E645</t>
  </si>
  <si>
    <t>IMG 74, P.63</t>
  </si>
  <si>
    <t>April 8, 1756</t>
  </si>
  <si>
    <t>"Having just sat down to dinner was alarm'd with a cry of fire which proved the Breadnut Tree cane piece ruinate over Styx Bridge. Blew the shell, got all hands &amp; soon stopped it, seems to proceed from fire scattr'd from a pipe off [sic] somebody passing along the road. Whipp'd Tony with a logwood bush."</t>
  </si>
  <si>
    <t>THE OVERSEER
EGYPT FIELDHANDS
TONY</t>
  </si>
  <si>
    <t>P43
P315
P411</t>
  </si>
  <si>
    <t>L22</t>
  </si>
  <si>
    <t>THE RETRIEVE</t>
  </si>
  <si>
    <t>IMG 75, P.64</t>
  </si>
  <si>
    <t>April 9, 1756</t>
  </si>
  <si>
    <t>L23</t>
  </si>
  <si>
    <t>"When going to dinner saw a great smoke toward Tony's and at turn out time, it was Col. Barclay's plantation of Long Pond, sent all the Negroes. rode there myself as Mr. Cope also did and Mr. Cuppage &amp; Mr. Weech followed. 21 Negroes houses burnt down, sheep pen &amp; cookroom, also much cane land run over. The works narrowly escaped the Mill House &amp; Rum house were both on fire, but saved. Our Negroes helped to kill the fire all the afternoon, at night the overseer gave them a pail of rum, got home at suppertime. Forest enough burnt, many hoggs also burnt."</t>
  </si>
  <si>
    <t>MORELAND ESTATE</t>
  </si>
  <si>
    <t>THE OVERSEER
JOHN COPE
MR. CUPPAGE
MR. WEECH
EGYPT FIELDHANDS</t>
  </si>
  <si>
    <t>P43
P44
P495
P202
P315</t>
  </si>
  <si>
    <t>L44</t>
  </si>
  <si>
    <t>L24</t>
  </si>
  <si>
    <t>SAVANNAH, GA</t>
  </si>
  <si>
    <t>E646</t>
  </si>
  <si>
    <t>IMG 76, P.65</t>
  </si>
  <si>
    <t>April 10, 1756</t>
  </si>
  <si>
    <t>"Scotland wanting."</t>
  </si>
  <si>
    <t>L26</t>
  </si>
  <si>
    <t>IMG 77, P.66</t>
  </si>
  <si>
    <t>April 12, 1756</t>
  </si>
  <si>
    <t>"Egypt &amp; Scotland both came home, whipp'd them, pickl'd them and locked cart chains about their necks."</t>
  </si>
  <si>
    <t>EGYPT
SCOTLAND
THE OVERSEER</t>
  </si>
  <si>
    <t>P419
P483
P43</t>
  </si>
  <si>
    <t>L27</t>
  </si>
  <si>
    <t>MONTEGO BAY</t>
  </si>
  <si>
    <t>IMG 78, P.67</t>
  </si>
  <si>
    <t>April 13, 1756</t>
  </si>
  <si>
    <t>L28</t>
  </si>
  <si>
    <t>GOODIN'S PEN</t>
  </si>
  <si>
    <t>"This morning Hannah's child died, jaw fallen."</t>
  </si>
  <si>
    <t>L29</t>
  </si>
  <si>
    <t>MR. MURRAY'S</t>
  </si>
  <si>
    <t>E584</t>
  </si>
  <si>
    <t>IMG 80, P.69</t>
  </si>
  <si>
    <t>April 16, 1756</t>
  </si>
  <si>
    <t>"Sent Lincoln for a Jug of water to Mr. Hall's River, am forced to have all fetch'd from there to drinkm, ours so very salt."</t>
  </si>
  <si>
    <t>L30</t>
  </si>
  <si>
    <t>P43
P24</t>
  </si>
  <si>
    <t>COLONEL RICKETT'S</t>
  </si>
  <si>
    <t>L60</t>
  </si>
  <si>
    <t>L31</t>
  </si>
  <si>
    <t>RIDGELAND ESTATE</t>
  </si>
  <si>
    <t>"Egypt wanting."</t>
  </si>
  <si>
    <t>MRS. BLAKE'S</t>
  </si>
  <si>
    <t>L33</t>
  </si>
  <si>
    <t>E668</t>
  </si>
  <si>
    <t>MR. HAYWARD'S</t>
  </si>
  <si>
    <t>IMG 81, P.70</t>
  </si>
  <si>
    <t>April 18, 1756</t>
  </si>
  <si>
    <t>"AM Let off a Negroe man Diamond in the Morass by the Styx Bridge with a gun, brought him home to Mr. Cope, he started from the door, but I seiz'd the gun &amp; detained it. PM He brought a complaint letter from Mr. George Leslie, Longpond Overseer to Mr. Cope, so I gave him his gun again."</t>
  </si>
  <si>
    <t>THE OVERSEER
DIAMOND
JOHN COPE
GEORGE LESLIE</t>
  </si>
  <si>
    <t>P43
P44
P508
P49</t>
  </si>
  <si>
    <t>L66</t>
  </si>
  <si>
    <t>L34</t>
  </si>
  <si>
    <t>ENGLAND</t>
  </si>
  <si>
    <t>April 19, 1756</t>
  </si>
  <si>
    <t>L35</t>
  </si>
  <si>
    <t>"About 10 AM cum Ellin sup terr int he sand ground. Gave a bitt."</t>
  </si>
  <si>
    <t>MORRIS' HUT</t>
  </si>
  <si>
    <t>NORTH AMERICA</t>
  </si>
  <si>
    <t>IMG 82, P.71</t>
  </si>
  <si>
    <t>April 20, 1756</t>
  </si>
  <si>
    <t>"Lewie come home, very lame, bit (as he says) by Col. Barclay's penkeeper's dogs."</t>
  </si>
  <si>
    <t>L37</t>
  </si>
  <si>
    <t>MOUNT PLEASANT ESTATE</t>
  </si>
  <si>
    <t>L38</t>
  </si>
  <si>
    <t>MR. JOHN STONE'S</t>
  </si>
  <si>
    <t>E579</t>
  </si>
  <si>
    <t>IMG, 83, P.72</t>
  </si>
  <si>
    <t>April 21, 1756</t>
  </si>
  <si>
    <t>"Employ'd carrying the Morass Earth (we lived in hopes some time ago upon places in Top Hill Cane Piece on a place staked out for a pen."</t>
  </si>
  <si>
    <t>L39</t>
  </si>
  <si>
    <t>SWEET RIVER ESTATE</t>
  </si>
  <si>
    <t>IMG 84, P.73</t>
  </si>
  <si>
    <t>L40</t>
  </si>
  <si>
    <t>April 22, 1756</t>
  </si>
  <si>
    <t>MR. HAUGHTON'S</t>
  </si>
  <si>
    <t>"Finish'd carrying those heaps of Morass EArth at Top Hill, upon the place intended for a pen.
PM: Carrying those heaps of Morass earth that are in the Break axe cane piece &amp; potato cane piece into the cattle pen."</t>
  </si>
  <si>
    <t>am/pm</t>
  </si>
  <si>
    <t>L41</t>
  </si>
  <si>
    <t>MR. HARING'S</t>
  </si>
  <si>
    <t>IMG 85, P.74</t>
  </si>
  <si>
    <t>April 23, 1756</t>
  </si>
  <si>
    <t>"Employ'd carrying morass earth into the cattle pen in the cane piece as yesterday."</t>
  </si>
  <si>
    <t>L42</t>
  </si>
  <si>
    <t>CANAAN ESTATE</t>
  </si>
  <si>
    <t>L43</t>
  </si>
  <si>
    <t>ROCKHOLE PROVISION GROUND</t>
  </si>
  <si>
    <t>April 24, 1756</t>
  </si>
  <si>
    <t>"Employ'd carrying Morass esrth into the cattle pen as yesterday, finish'd those heaps before noon."</t>
  </si>
  <si>
    <t>LONGPOND ESTATE</t>
  </si>
  <si>
    <t>IMG 86, P.75</t>
  </si>
  <si>
    <t>L46</t>
  </si>
  <si>
    <t>PAUL ISLAND</t>
  </si>
  <si>
    <t>April 25, 1756</t>
  </si>
  <si>
    <t>"Employ'd cutting down the morass wood between coffee ground path cane piece and coffee ground,"</t>
  </si>
  <si>
    <t>L47</t>
  </si>
  <si>
    <t>DUNBAR GROUND</t>
  </si>
  <si>
    <t>IMG 87, P.76</t>
  </si>
  <si>
    <t>April 27, 1756</t>
  </si>
  <si>
    <t>"Four hands cutting down the morass wood between coffee ground path cane piece and coffee ground."</t>
  </si>
  <si>
    <t>L48</t>
  </si>
  <si>
    <t>CRAWFORD'S</t>
  </si>
  <si>
    <t>L49</t>
  </si>
  <si>
    <t>"Egypt still wanting."</t>
  </si>
  <si>
    <t>L50</t>
  </si>
  <si>
    <t>MR. WILSON'S</t>
  </si>
  <si>
    <t>IMG 88, P.77</t>
  </si>
  <si>
    <t>April 29, 1756</t>
  </si>
  <si>
    <t>"Employ'd as yesterday cutting down the same Morass, junking it up, etc. Bringing it out and piling it in long piles in the Main Interval."</t>
  </si>
  <si>
    <t>L51</t>
  </si>
  <si>
    <t>HANNAH PINKNEY'S</t>
  </si>
  <si>
    <t>L52</t>
  </si>
  <si>
    <t>KENDAL ESTATE</t>
  </si>
  <si>
    <t>IMG 89, P.78</t>
  </si>
  <si>
    <t>April 30, 1756</t>
  </si>
  <si>
    <t>"Four hands cutting fences as yesterday. Employ'd as yesterday."</t>
  </si>
  <si>
    <t>THE SEA</t>
  </si>
  <si>
    <t>IMG 90, P.79</t>
  </si>
  <si>
    <t>May 1, 1756</t>
  </si>
  <si>
    <t>L54</t>
  </si>
  <si>
    <t>"One of Mr. John Jones' Negroes broought home Egypt. I secured him in the bilboes: teh chain and lock is gone from his neck."</t>
  </si>
  <si>
    <t>HYNE'S LAND</t>
  </si>
  <si>
    <t>EGYPT
JOHN JONES' ENSLAVED PERSON
THE OVERSEER</t>
  </si>
  <si>
    <t>P419
P496
P43</t>
  </si>
  <si>
    <t>TOP HILL CANES</t>
  </si>
  <si>
    <t>E647</t>
  </si>
  <si>
    <t>May 2, 1756</t>
  </si>
  <si>
    <t>"Sometime in the middle of last night, Mr. Cope come home and Mr. Mcdonald with him, they sat drinking for some time, then went to bed. Mr. McDonald had Eve to whom he gave 5 bitts and Mr. Cope made Tom fetch Beck from the Negroe houses for himself, with whom she was with till morning. In the forenoon he went out and come again at night."</t>
  </si>
  <si>
    <t>JOHN COPE
MR. MCDONALD</t>
  </si>
  <si>
    <t xml:space="preserve">P44
P497
P128
P361
P88
</t>
  </si>
  <si>
    <t>L56</t>
  </si>
  <si>
    <t>OLD SHARP PEN PIECE</t>
  </si>
  <si>
    <t>L57</t>
  </si>
  <si>
    <t>MR. HARTNOLE'S</t>
  </si>
  <si>
    <t>IMG 91, P.80</t>
  </si>
  <si>
    <t>May 3, 1756</t>
  </si>
  <si>
    <t>"Employ'd cutting down the Morass coffee ground path cane piece, coffee ground piece, a before. Junking it into copperwood.:</t>
  </si>
  <si>
    <t>L58</t>
  </si>
  <si>
    <t>GLASGOW ESTATE</t>
  </si>
  <si>
    <t>"Sent Egypt to Salt River by Mason Quashe, had a pott hook put about his neck, whipp'd him and put him in the field, but first made him fetch the cart chain &amp; lock he had got off and thrown in the Bush, somewhere about Tony's."</t>
  </si>
  <si>
    <t>EGYPT
MASON QUASHE
THE OVERSEER</t>
  </si>
  <si>
    <t>P419
P25
P43</t>
  </si>
  <si>
    <t>THE BARCADIER</t>
  </si>
  <si>
    <t>MR. HALL'S RIVER</t>
  </si>
  <si>
    <t>E504</t>
  </si>
  <si>
    <t>IMG 92, P.81</t>
  </si>
  <si>
    <t>May 5, 1756</t>
  </si>
  <si>
    <t>"Mason Quashe stood as driver in the field with Ambo."</t>
  </si>
  <si>
    <t>MASON QUASHE
AMBO</t>
  </si>
  <si>
    <t>P25
P170</t>
  </si>
  <si>
    <t>L61</t>
  </si>
  <si>
    <t>HARTFORD ESTATE</t>
  </si>
  <si>
    <t>"AM Drawing canes in the Top Hill Cane piece, finish'd it. PM Supplying in the Old Sheep Pen Cane Piece."</t>
  </si>
  <si>
    <t>STRATHBOGIE CASTLE</t>
  </si>
  <si>
    <t>L55 &amp; L1-S</t>
  </si>
  <si>
    <t xml:space="preserve">TOP HILL CANES &amp; EGYPT OLD SHEEP PEN PIECE
</t>
  </si>
  <si>
    <t>"PM Egypt Susanah &amp; Mazarine whipp'd for refusal last Saturday night by Mr. Cope's orders. Little Phibbah told MRs. Cope last SAturday night's affair, Mrs. Cope also examined the sheets and found them amiss."</t>
  </si>
  <si>
    <t>LUCEA</t>
  </si>
  <si>
    <t>EGYPT SUSANAH
MAZARINE
JOHN COPE
MOLLY COPE
LITTLE PHIBBAH</t>
  </si>
  <si>
    <t>P296
P123
P44
P45
P325</t>
  </si>
  <si>
    <t>CAPTAIN LESITER'S ESTATE</t>
  </si>
  <si>
    <t>May 6, 1756</t>
  </si>
  <si>
    <t>"Employ'd supplying the Old Sheep Pen Cane Piece. PM Drawing canes, finish'd all on the right hand side going to Tony's. Began upon the Old Cane Pen Piece."</t>
  </si>
  <si>
    <t>ANTIGUA</t>
  </si>
  <si>
    <t xml:space="preserve">EGYPT OLD SHEEP PEN PIECE
</t>
  </si>
  <si>
    <t>May 7, 1756</t>
  </si>
  <si>
    <t>RIVER STYX BRIDGE</t>
  </si>
  <si>
    <t>"Finish'd supplying the Old Sheep Cane Piece. Afterwards, planting in d^0 piece began where we left off before. Three habnds with six mules fetching canes."</t>
  </si>
  <si>
    <t>MR. GEORGE GOODE'S</t>
  </si>
  <si>
    <t>IMG 93, P.82</t>
  </si>
  <si>
    <t>May 8, 1756</t>
  </si>
  <si>
    <t>"Finish'd planting what canes we had pull'd in the Old Sheep Pen Cane Piece. Weed the young canes in Jude House Cane Piece ponds. PM Lining out grounds and holding in the Old Sheep Pen Cane Piece."</t>
  </si>
  <si>
    <t>L1-S
L1-R</t>
  </si>
  <si>
    <t>EGYPT OLD SHEEP PEN PIECE
EGYPT JUDE HOUSE POND PIECE</t>
  </si>
  <si>
    <t>L68</t>
  </si>
  <si>
    <t>MR. BELTFIELD'S</t>
  </si>
  <si>
    <t>May 10, 1756</t>
  </si>
  <si>
    <t>"Employ'd trenching the ponds in the potato cane piece after we had finish'd holing the Old Sheep Pen Cane Piece."</t>
  </si>
  <si>
    <t>L1-R
L1-S</t>
  </si>
  <si>
    <t>EGYPT POTATO PIECE
EGYPT OLD SHEEP PEN PIECE</t>
  </si>
  <si>
    <t>L69</t>
  </si>
  <si>
    <t>WILLIAMS CROOKSHANKS'</t>
  </si>
  <si>
    <t>IMG 94, P.83</t>
  </si>
  <si>
    <t>May 11, 1756</t>
  </si>
  <si>
    <t>"Employ'd trenching the pond, as yesterday."</t>
  </si>
  <si>
    <t>L70</t>
  </si>
  <si>
    <t>May 13, 1756</t>
  </si>
  <si>
    <t>"Employ'd yesterday &amp; finish'd trenching those ponds. At night clean'd the rubbish from the storehouse and spread in the cattlepen. Four hands cutting fences as before. Employ'd cutting down the Morass, between coffee ground path cane piece and coffee ground."</t>
  </si>
  <si>
    <t>L71</t>
  </si>
  <si>
    <t>IMG 95, P.84</t>
  </si>
  <si>
    <t>"Had Egypt's pothooks took off him &amp; Quacoo chain'd together."</t>
  </si>
  <si>
    <t>THE OVERSEER
EGYPT
QUACOO</t>
  </si>
  <si>
    <t>P43
P419
P298</t>
  </si>
  <si>
    <t>L72</t>
  </si>
  <si>
    <t>L73</t>
  </si>
  <si>
    <t>E669</t>
  </si>
  <si>
    <t>"A gentleman (in the evening) by the Styx Bridge, very inquisitive who I belong'd to etc. Believe I affronted him, he had loud coat on, another gentleman with him and a many attendants."</t>
  </si>
  <si>
    <t>THE OVERSEER
GENTLEMAN BY STYX BRIDGE</t>
  </si>
  <si>
    <t>P43
P509</t>
  </si>
  <si>
    <t>L74</t>
  </si>
  <si>
    <t>L75</t>
  </si>
  <si>
    <t>IMG 95-96, P.84-85</t>
  </si>
  <si>
    <t>May 14, 1756</t>
  </si>
  <si>
    <t xml:space="preserve">"Finish'd cutting down the Morass between coffee ground path cane piece and coffee ground, but have not Nigh carried all the wood out. 
PM: Made a bed to plant logwood seed round the cane pieces where it mist last year, also between the Old Sheep Pen Cane Piece &amp; road from Old Sarah's gate." </t>
  </si>
  <si>
    <t>L76</t>
  </si>
  <si>
    <t>E505</t>
  </si>
  <si>
    <t>IMG 98, P,87</t>
  </si>
  <si>
    <t>L77</t>
  </si>
  <si>
    <t>May 16, 1756</t>
  </si>
  <si>
    <t>"Suspect Phibbah in the great house when Mrs. Cope gone to see Mountain Lucy today."</t>
  </si>
  <si>
    <t>PHIBBAH
MOLLY COPE
MOUNTAIN LUCY</t>
  </si>
  <si>
    <t>P45
P30
P7</t>
  </si>
  <si>
    <t>L78</t>
  </si>
  <si>
    <t>"Mountain Lucy brought to bed of a girl, about half an hour past midnight last night. Plato mending Jenny's house where Lucy lies in."</t>
  </si>
  <si>
    <t>MOUNTAIN LUCY
PLATO
JENNY</t>
  </si>
  <si>
    <t>P30
P104
P208</t>
  </si>
  <si>
    <t>IMG 96, P.85</t>
  </si>
  <si>
    <t>"Gillbraith din'd here. Mr. Hutt supp'd and slept here."</t>
  </si>
  <si>
    <t>CAPTAIN GILLBRAITH
JOHN HUTT</t>
  </si>
  <si>
    <t>P422
P51</t>
  </si>
  <si>
    <t>IMG 97, P.86</t>
  </si>
  <si>
    <t>May 17, 1756</t>
  </si>
  <si>
    <t>"Fresh suppl'd with logwood seed all around the canes where we planted last year. AM Finish'd drawing the Old Cow Pen cane pieces and all that way, afterwards planting in the Old Sheep Pen Cane Piece. Three hands with 6 mules carrying cane."</t>
  </si>
  <si>
    <t>L1-S
L1-A2</t>
  </si>
  <si>
    <t>EGYPT OLD COW PEN CANE PIECE
EGYPT OLD SHEEP PEN PIECE</t>
  </si>
  <si>
    <t>E588</t>
  </si>
  <si>
    <t>"Barrell of herrings opened. Negroes some left off, others half allowance."</t>
  </si>
  <si>
    <t>THE OVERSEER
EGYPT FIELDHANDS</t>
  </si>
  <si>
    <t>IMG 98, P.87</t>
  </si>
  <si>
    <t>May 18, 1756</t>
  </si>
  <si>
    <t>"AM Draw canes in the calabash Tree Cane piece paradise. PM: Planting in the Old Sheep Pen Cane Piece. Also cut some rails to fence against the Road."</t>
  </si>
  <si>
    <t>L1-H
L1-S</t>
  </si>
  <si>
    <t>EGYPT OLD SHEEP PEN PIECE
EGYPT CALABASH TREE PIECE</t>
  </si>
  <si>
    <t>May 19, 1756</t>
  </si>
  <si>
    <t>"Employ'd as yesterday, and the same hands with 6 mules carrying canes."</t>
  </si>
  <si>
    <t>E585</t>
  </si>
  <si>
    <t>"Violet giving suck to (Mountain) Lucy's child.
*Gave a bottle [of] lamp oil for Mountain Lucy."</t>
  </si>
  <si>
    <t>VIOLET
MOUNTAIN LUCY
MOUNTAIN LUCY'S CHILD (1756)</t>
  </si>
  <si>
    <t>P117
P30</t>
  </si>
  <si>
    <t>May 20, 1756</t>
  </si>
  <si>
    <t>"Finish'd planting the Old Sheep Pen Cane Piece, supply'd the ponds and low planes in the milkwood tree cane pieces. Began holing the home Breadnut Tree Cane Piece --&gt; holes 6 feet long, 4 broad."</t>
  </si>
  <si>
    <t>L1-S
L1-G</t>
  </si>
  <si>
    <t>EGYPT OLD SHEEP PEN PIECE
EGYPT BREADNUT TREE CANE PIECE</t>
  </si>
  <si>
    <t>IMG 99, P.88</t>
  </si>
  <si>
    <t>May 21, 1756</t>
  </si>
  <si>
    <t>"Lining out ground as yesterday. Holing in the Home Breadnut Tree Cane Piece. Put up a fence of stakes and rails between the Old Sheep Pen Cane Piece and the Road also planted logwood seed in a bed against d^0."</t>
  </si>
  <si>
    <t>May 22, 1756</t>
  </si>
  <si>
    <t>"Finish'd holing the Home Bread Nut Tree Cane Piece."</t>
  </si>
  <si>
    <t>IMG 100, P.89</t>
  </si>
  <si>
    <t>May 24, 1756</t>
  </si>
  <si>
    <t>"Employ'd clearing the potato piece."</t>
  </si>
  <si>
    <t>E558</t>
  </si>
  <si>
    <t>IMG 101, P.90</t>
  </si>
  <si>
    <t>May 25, 1756</t>
  </si>
  <si>
    <t>"At noon, had a warrant serv'd on me by one of the constables of the parish granted by Dr. Smith, to Thomas Trindal, upon said Trindal's complaint that he was apprehensive their Negroes were in danger of their lives from me, as they pass'd thro Egypt Estate along the King's Road, and that last Sunday I beat, bruised, and threatened one of their Negroes nam'd Will, etc. The Constable din'd with me.
At two in the afternoon wrote to Mr. Cope by Jackie and went along with the constable to Justice Smith's in the Savanna, staid there a good while. Trindal did not come, the constable went for him, staid long. Dr. Smith told me I might hgo home, met the constable &amp; Trindal almost at the gate, coming into the lane between Col. Barclay's pasture. The constable seiz'd my horse bridle and led me and charg'd Trinal in the King's. name to whip my horse along, which he did (note, the Constable had before given the warrant to Dr. Smith, which I did not then recollect). Saw Old Dorrent in his piazza as I went along, met Homer Jackson just this side. Mr. Stones was at Dr. Smith's til past 6 in the evening, nothing done, then was allowed to return home. A man &amp; woman in Dr. Smith's house heard what pass'd etc. Trindal is an Irishman, serv'd his time with Mr. Hall and now lives there again."</t>
  </si>
  <si>
    <t>THE OVERSEER
THOMAS TRINDAL
DR. SMITH
MR. COPE
JACKIE
THE CONSTABLE
OLD DORRENT
HOMER JACKSON
MR. STONES</t>
  </si>
  <si>
    <t>P43
P44
P102
P437
P438
P439
P440</t>
  </si>
  <si>
    <t>IMG 102, P.91</t>
  </si>
  <si>
    <t>"Lincoln shot a whiting duck this morning sitting."</t>
  </si>
  <si>
    <t>"Finish'd cutting the Fences over the Bridge. Finish'd clearing the potato cane piece, hawl'd up the dung heaps, cut up the line fence by Old Sarah's gate, planted logwood seed."</t>
  </si>
  <si>
    <t>May 26, 1756</t>
  </si>
  <si>
    <t>"Derby catch'd by Port Royal eatin canes, had him well flogged and pickled then made Hector shit in his mouth."</t>
  </si>
  <si>
    <t>DERBY
PORT ROYAL
THE OVERSEER</t>
  </si>
  <si>
    <t>P43
P295
P212</t>
  </si>
  <si>
    <t>"Cyrus leading trash from off the potato cane piece into the Pen. AM: The NEgroes cleaning and making new trenches in d^0 piece. PM: Planted rice in the Morass we made coachway thro and trench'd back off the Mill house, afterwards clearing the Old NEgroe house piece canes."</t>
  </si>
  <si>
    <t>CYRUS
EGYPT FIELDHANDS</t>
  </si>
  <si>
    <t>P210
P315</t>
  </si>
  <si>
    <t>L1-F
L1-D</t>
  </si>
  <si>
    <t>EGYPT POTATO PIECE
EGYPT OLD NEGROE GROUND CANE PIECE</t>
  </si>
  <si>
    <t>IMG 104, P.93</t>
  </si>
  <si>
    <t>May 28, 1756</t>
  </si>
  <si>
    <t>"Finish'd weeding coffee ground &amp; coffee ground path cane piece."</t>
  </si>
  <si>
    <t>E506</t>
  </si>
  <si>
    <t>IMG 105, P.94</t>
  </si>
  <si>
    <t>May 30, 1756</t>
  </si>
  <si>
    <t>"Agnes brought to bed of a girl last night, Old Phibbah says before Midnight. * Gave a bottle of lamp oil &amp; wick for her."</t>
  </si>
  <si>
    <t>AGNES
OLD PHIBBAH
THE OVERSEER</t>
  </si>
  <si>
    <t>P124
P96
P43</t>
  </si>
  <si>
    <t>E587</t>
  </si>
  <si>
    <t>"The weather vastly sultry and hott [sic]. I am veyr faint and much out of order today &amp; for some days past."</t>
  </si>
  <si>
    <t>IMG 106, P.95</t>
  </si>
  <si>
    <t>June 3, 1756</t>
  </si>
  <si>
    <t>"Gave Agnes another bottle lamp oil. Agnes child died at night."</t>
  </si>
  <si>
    <t>AGNES
AGNES' CHILD</t>
  </si>
  <si>
    <t>P124
P421</t>
  </si>
  <si>
    <t>IMG 110, P.99</t>
  </si>
  <si>
    <t>June 5, 1756</t>
  </si>
  <si>
    <t>"Egypt &amp; Quacoo wanting today, they are chain'd toegther."</t>
  </si>
  <si>
    <t>EGYPT
QUACOO</t>
  </si>
  <si>
    <t>P419
P298</t>
  </si>
  <si>
    <t>E670</t>
  </si>
  <si>
    <t>IMG 108, P.97</t>
  </si>
  <si>
    <t>June 8, 1756</t>
  </si>
  <si>
    <t>"This mornign a party of about a score of the wild Negroes past thro' egypt, Arm'd."</t>
  </si>
  <si>
    <t>IMG 115, P.104</t>
  </si>
  <si>
    <t>June 14, 1756</t>
  </si>
  <si>
    <t>"Gave Quashe, Ambo and Phibbah a few herrings each."</t>
  </si>
  <si>
    <t>EGYPT QUASHE
AMBO
PHIBBAH
THE OVERSEER</t>
  </si>
  <si>
    <t>P284
P170
P7
P43</t>
  </si>
  <si>
    <t>E671</t>
  </si>
  <si>
    <t>IMG 111, P.100</t>
  </si>
  <si>
    <t>"Note! I have had off Mr. Cope 4:5:7 1/2 at Sunday Time amongst themoney to buy plantains etc, which has not been returned and the hundred feet of boards, etc. Mr. Cope's note off hand thus!
Egypt, May the 2nd 1756
I promise to pay to Mr. Thomas Thistlewood his heirs or assigns the sum of twenty five pounds with lawful interest from the date hereoff on demand.
John Cope.
[He goes on and on; all in all, Cope owes him 132:1:5]</t>
  </si>
  <si>
    <t xml:space="preserve">THE OVERSEER
JOHN COPE
</t>
  </si>
  <si>
    <t>P43
P44</t>
  </si>
  <si>
    <t>IMG 116, P.105</t>
  </si>
  <si>
    <t>June 15, 1756</t>
  </si>
  <si>
    <t>"Mountain Lucy come in the field again."</t>
  </si>
  <si>
    <t>E672</t>
  </si>
  <si>
    <t>IMG 118, P.107</t>
  </si>
  <si>
    <t>June 17, 1756</t>
  </si>
  <si>
    <t>"Have the headache violently and something of the fever."</t>
  </si>
  <si>
    <t>June 18, 1756</t>
  </si>
  <si>
    <t>"Have the headache &amp; fever violently all day."</t>
  </si>
  <si>
    <t>June 19, 1756</t>
  </si>
  <si>
    <t>"Hector wanting, come home again at night."</t>
  </si>
  <si>
    <t>"Slept little tonight. Feverish."</t>
  </si>
  <si>
    <t>E153</t>
  </si>
  <si>
    <t>IMG 119, P.108</t>
  </si>
  <si>
    <t>June 20, 1756</t>
  </si>
  <si>
    <t>"Rose come home; and is to live with Nancy, who is to give Mr. Cope five pounds per ann. for her."</t>
  </si>
  <si>
    <t>ROSE
NANCY
THE PLANTER</t>
  </si>
  <si>
    <t>P187
P8
P44</t>
  </si>
  <si>
    <t>E589</t>
  </si>
  <si>
    <t>"Rose come home and is to live with Nancy who is to give Mr. Cope five pounds, per annum for her."</t>
  </si>
  <si>
    <t>ROSE
NANCY
JOHN COPE</t>
  </si>
  <si>
    <t>P187
P8
P44</t>
  </si>
  <si>
    <t>"Don't find myself nigh well yet, feverish, etc."</t>
  </si>
  <si>
    <t>June 21, 1756</t>
  </si>
  <si>
    <t>"Employ'd holing the potatoe cane piece. Hazat and Charles yet away. Toby, Hector, &amp; Molia in teh hot house. Agnes not out yet. Mountain Lucy at home taking physick and Violet suckling Lucy's child. Little Quashe at Salt River lame, Rose with NAncy. Morris, Cloe, &amp; Clara at Hill of the yaws. Little Mimber at school with Mr. Ogilby learning to sew and accubah with Mr. Blake's Doll."</t>
  </si>
  <si>
    <t>HAZAT
CHARLES
TOBY
HECTOR
EGYPT MOLIA
AGNES
MOUNTAIN LUCY
VIOLET
MOUNTAIN LUCY'S CHILD
LITTLE QUASHE [DRIVER]
ROSE
NANCY
MORRIS
CLOE
CLARA
LITTLE MIMBER
MR. OGILBY
ACCUBAH
MR. BLAKE'S DOLL</t>
  </si>
  <si>
    <t>P87
P302
P375
P358
P116
P124
P30
P117
P359
P187
P8
P226
P101
P129
P80
P16
P160
P479</t>
  </si>
  <si>
    <t>IMG 119, P.109</t>
  </si>
  <si>
    <t>IMG 120, P.109</t>
  </si>
  <si>
    <t>June 22, 1756</t>
  </si>
  <si>
    <t>"Have the headache and fever violently all day, at night ook a country herb sweat, but rested very ill."</t>
  </si>
  <si>
    <t>June 23, 1756</t>
  </si>
  <si>
    <t>"Inclin'd to the headache, very faint etc all day."</t>
  </si>
  <si>
    <t>June 24, 1756</t>
  </si>
  <si>
    <t>"Weak &amp; faint etc all day."</t>
  </si>
  <si>
    <t>AM/P,</t>
  </si>
  <si>
    <t>June 25, 1756</t>
  </si>
  <si>
    <t>"Egypt + Quacoo wanting."</t>
  </si>
  <si>
    <t>"Continue weak &amp; feverish."</t>
  </si>
  <si>
    <t>IMG 121, P.110</t>
  </si>
  <si>
    <t>June 28, 1756</t>
  </si>
  <si>
    <t>"Egypt &amp; Quacoo yet wanting. Hector and Beck also wanting. PM sent Mason Quashe out to look for them."</t>
  </si>
  <si>
    <t>EGYPT
QUACOO
HECTOR
BECK
MASON QUASHE
THE OVERSEER</t>
  </si>
  <si>
    <t>P419
P298
P358
P361
P25</t>
  </si>
  <si>
    <t>IMG 122, P.111</t>
  </si>
  <si>
    <t>June 29, 1756</t>
  </si>
  <si>
    <t>"Hector come home, Quashe brought home Beck, flogg'd her. No news of Egypt or Quacoo."</t>
  </si>
  <si>
    <t>HECTOR
MASON QUASHE
BECK
EGYPT
QUACOO
THE OVERSEER</t>
  </si>
  <si>
    <t>June 30, 1756</t>
  </si>
  <si>
    <t>"Quaw wanting, Old Sharper brought home Egypt &amp; Quacoo, whipp'd them well, mark'd them in face, etc. 
Quashe out seeking runaways."</t>
  </si>
  <si>
    <t>QUAW
OLD SHARPER
EGYPT
QUACOO
THE OVERSEER</t>
  </si>
  <si>
    <t>P380
P74
P419
P298
P43</t>
  </si>
  <si>
    <t>IMG 123, O.112</t>
  </si>
  <si>
    <t>July 2, 1756</t>
  </si>
  <si>
    <t>"PM Egypt, Quacoo &amp; Hope wanting. Hope work'd in the fornoon, but wanting again in afternoon."</t>
  </si>
  <si>
    <t>EGYPT
QUACOO
HOPE</t>
  </si>
  <si>
    <t>P419
P298
P373</t>
  </si>
  <si>
    <t>IMG 124, P.113</t>
  </si>
  <si>
    <t>July 5, 1756</t>
  </si>
  <si>
    <t>"Watchman Daniel brought home Egypt, Quacoo has broke his collar and got loose form Egypt."</t>
  </si>
  <si>
    <t>DANIEL
EGYPT
QUACOO</t>
  </si>
  <si>
    <t>P42
P419
P298</t>
  </si>
  <si>
    <t>E648</t>
  </si>
  <si>
    <t>July 6, 1756</t>
  </si>
  <si>
    <t>"Punch wanting."</t>
  </si>
  <si>
    <t>IMG 126, P.115</t>
  </si>
  <si>
    <t>July 10, 1756</t>
  </si>
  <si>
    <t>"Had Egypt's chains took off."</t>
  </si>
  <si>
    <t>IMG 128, P.117</t>
  </si>
  <si>
    <t>July 11, 1756</t>
  </si>
  <si>
    <t>"Old Sharper brought home Punch."</t>
  </si>
  <si>
    <t>OLD SHARPER
PUNCH</t>
  </si>
  <si>
    <t>P74
P348</t>
  </si>
  <si>
    <t>E683</t>
  </si>
  <si>
    <t>"Mr. hungerford says that the parish of Hanover made last crop abotu six thousand HHS sugar and that this parish of Westmoreland seldom makes about 7 or 8 thousand hhs. He also says that he has known the island of Antigua makes 27 thousand hhs (from 12 to 14 weight, one year &amp; teh next makes but three thousand."</t>
  </si>
  <si>
    <t>E649</t>
  </si>
  <si>
    <t>IMG 130, P. 119</t>
  </si>
  <si>
    <t>July 16, 1756</t>
  </si>
  <si>
    <t>"Quacoo, Charles, Joe, Philip, Mountain Susanah &amp; Mr. Mould's Hazat all runaway."</t>
  </si>
  <si>
    <t>QUACOO
CHARLES
JOE
MOUNTAIN SUSANAH
MR. MOULD'S HAZAT</t>
  </si>
  <si>
    <t>P298
P302
P299
P424
P254</t>
  </si>
  <si>
    <t>IMG 131, P.120</t>
  </si>
  <si>
    <t>July 18, 1756</t>
  </si>
  <si>
    <t>"About noon died Nancy's child, Davie."</t>
  </si>
  <si>
    <t>July 19, 1756</t>
  </si>
  <si>
    <t>"Port Royal &amp; Quaw runaway. Paradise Dover come here in the morning, wrote a note for him and sent Plato with him to look for our Runaways."</t>
  </si>
  <si>
    <t>PORT ROYAL
QUAW
PARADISE DOVER
THE OVERSEER
PLATO</t>
  </si>
  <si>
    <t>P212
P380
P494
P43
P208</t>
  </si>
  <si>
    <t>IMG 132, P.121</t>
  </si>
  <si>
    <t>July 20, 1756</t>
  </si>
  <si>
    <t>"At night Dover and Plato brought home Quaw."</t>
  </si>
  <si>
    <t>PARADISE DOVER
PLATO
QUAW</t>
  </si>
  <si>
    <t>P494
P208
P380</t>
  </si>
  <si>
    <t>July 21, 1756</t>
  </si>
  <si>
    <t>"Plato &amp; Dover out after runaways."</t>
  </si>
  <si>
    <t>PLATO
PARADISE DOVER</t>
  </si>
  <si>
    <t>P208
P494</t>
  </si>
  <si>
    <t>E517</t>
  </si>
  <si>
    <t>July 22, 1756</t>
  </si>
  <si>
    <t>"To Egypt Lucy for 17 crabbs a bitt."</t>
  </si>
  <si>
    <t>THE OVERSEER
EGYPT LUCY</t>
  </si>
  <si>
    <t>P43
P3</t>
  </si>
  <si>
    <t>IMG 25, P.122</t>
  </si>
  <si>
    <t>July 23, 1756</t>
  </si>
  <si>
    <t>"AM Port Royal come into the Congo fold pond to the cattle boys, they let me know. I sent JAckie &amp; Mr. Foot's Quacoo &amp; had him brought  home, gave hiom a moderate whipping, pickled him well, made Hector shit in his mouth, immediately put in a gag whilst his mouth was full &amp; made him wear it for 4 or 5 hours. 
Dover &amp; Plato yet out after the runaways."</t>
  </si>
  <si>
    <t>PORT ROYAL
JACKIE
THE OVERSEER
QUACOO
HECTOR
PARADISE DOVER
PLATO</t>
  </si>
  <si>
    <t>P212
P102
P43
P298
P358
P208
P494</t>
  </si>
  <si>
    <t>July 24, 1756</t>
  </si>
  <si>
    <t>"Nancy's play tonight."</t>
  </si>
  <si>
    <t>E650</t>
  </si>
  <si>
    <t>"In the evening catch'd Phillis breaking cane in Jude House piece. Gave her a whipping &amp; Derby's Dose."</t>
  </si>
  <si>
    <t>IMG 27, P.123</t>
  </si>
  <si>
    <t>July 25, 1756</t>
  </si>
  <si>
    <t>"Nancy's play ended, much nusick &amp; dancing all day, etc."</t>
  </si>
  <si>
    <t>"Punch wanting, Hazat &amp; Charles yet in the woods. Plato &amp; Paradise Dover out after them."</t>
  </si>
  <si>
    <t>PUNCH
MR. MOULD'S HAZAT
CHARLES
PLATO
DOVER</t>
  </si>
  <si>
    <t>P348
P424
P302
P208
P494</t>
  </si>
  <si>
    <t>IMG 29, P.124</t>
  </si>
  <si>
    <t>July 27, 1756</t>
  </si>
  <si>
    <t>"Dover &amp; Plato yet out searching runaways."</t>
  </si>
  <si>
    <t>July 28, 1756</t>
  </si>
  <si>
    <t>"Dover &amp; Plato not come home yet."</t>
  </si>
  <si>
    <t>E503</t>
  </si>
  <si>
    <t>IMG 31, P.125</t>
  </si>
  <si>
    <t>July 30, 1756</t>
  </si>
  <si>
    <t>"About 11 AM cum Ellin sup terr in coffee ground: upper cane piece."</t>
  </si>
  <si>
    <t>"Punch catch'd at Salt River and brought home. Flogg'd him &amp; Quacoo well and then wash'd and rubb'd in salt pickle, lime juice &amp; Bird pepper. Also whipp'd Hector for losing his hough [sic], made New Negro Joe piss in his eyes &amp; mouth." 
Dover &amp; Plato yet out after the runaways."</t>
  </si>
  <si>
    <t>PUNCH
QUACOO
HECTOR
JOE
THE OVERSEER
PARADISE DOVER
PLATO</t>
  </si>
  <si>
    <t>P348
P298
P358
P299
P43
P208
P494</t>
  </si>
  <si>
    <t>July 31, 1756</t>
  </si>
  <si>
    <t>"Phillis whipp'd and given Hector's dose. Whipp'd London &amp; Derby for letting a pea fowl be stolen last night."</t>
  </si>
  <si>
    <t>PHILLIS
HECTOR
LONDON
DERBY</t>
  </si>
  <si>
    <t>P475
P358
P295</t>
  </si>
  <si>
    <t>IMG 33, P.126</t>
  </si>
  <si>
    <t>August 1, 1756</t>
  </si>
  <si>
    <t>"Plato brought home Hazat, catch'd him in the morass near Bluff Point. Put him in the Bilboes, both feet. Gagged him, lock'd his hands together, rubb'd him with molasses and expos'd him naked to teh flyes all day and to the mosquitos at night without fire. Run away April last."</t>
  </si>
  <si>
    <t>PLATO
MR. MOULD'S HAZAT
THE OVERSEER</t>
  </si>
  <si>
    <t>P208
P424
P43</t>
  </si>
  <si>
    <t>IMG 35, P.127</t>
  </si>
  <si>
    <t>August 4, 1756</t>
  </si>
  <si>
    <t>"Last night Derby attempting to steal corn out of the Long Pond corn pieces, was catch'd by the watchman and resisting, rec'd many great wounds with a muskeat in the head &amp; particularly his right ear, cheek &amp; jaw almost cut off, a white man &amp; a NEgroe brought him home about 10 AM."</t>
  </si>
  <si>
    <t xml:space="preserve">DERBY
</t>
  </si>
  <si>
    <t>IMG 133, P.128</t>
  </si>
  <si>
    <t>August 5, 1756</t>
  </si>
  <si>
    <t>"Catch'd Quacoo &amp; secur'd him in the Bilboes. Mr. Foot's Quacoo, Hope &amp; Achilles got him, gave them a bottle of run and Joyhnie some herrings for giving me notice."</t>
  </si>
  <si>
    <t>QUACOO
MR. FOOT'S QUACOO
HOPE
ACHILLES
THE OVERSEER</t>
  </si>
  <si>
    <t>P298
P498
P373
P192
P43</t>
  </si>
  <si>
    <t>IMG 135, P.130</t>
  </si>
  <si>
    <t>August 10, 1756</t>
  </si>
  <si>
    <t>"Quacoo and Mould's Hazat chain'd together with a cart chain and strong iron collars about their necks. Made them plant."</t>
  </si>
  <si>
    <t>QUACOO
MR. MOULD'S HAZAT
THE OVERSEER</t>
  </si>
  <si>
    <t>P298
P424
P43</t>
  </si>
  <si>
    <t>August 11, 1756</t>
  </si>
  <si>
    <t>"In the morningcum Egypt Susanah in the curing house stans! Backward and about 11 AM cum Little Lydde sup terr by the morass side in the marlpit cane piece: Made Mountain Susanah watch [all] the while."</t>
  </si>
  <si>
    <t>THE OVERSEER
EGYPT SUSANAH
LITTLE LYDDE
MOUNTAIN SUSANAH</t>
  </si>
  <si>
    <t>P43
P254
P296
P255</t>
  </si>
  <si>
    <t>L1-0 &amp; L1-T</t>
  </si>
  <si>
    <t>EGYPT OLD CURING HOUSE PIECE &amp;
EGYPT MARL PITT PIECE</t>
  </si>
  <si>
    <t>E511</t>
  </si>
  <si>
    <t>August 12, 1756</t>
  </si>
  <si>
    <t>"The courthouse struck by lightning at Savanna la Mar."</t>
  </si>
  <si>
    <t>E651</t>
  </si>
  <si>
    <t>IMG 37, P.131</t>
  </si>
  <si>
    <t>August 13, 1756</t>
  </si>
  <si>
    <t>"Gave one of Mr. Watt's Negroes Nam'd Hazard Derby's Dose for breaking our young cane to eat at dinnertime."</t>
  </si>
  <si>
    <t>HAZARD [MR. WATT'S]
THE OVERSEER</t>
  </si>
  <si>
    <t>P499
P43</t>
  </si>
  <si>
    <t>E652</t>
  </si>
  <si>
    <t>IMG 136, P.132</t>
  </si>
  <si>
    <t>August 16, 1756</t>
  </si>
  <si>
    <t>"New Negroe Joe wanting."</t>
  </si>
  <si>
    <t>E518</t>
  </si>
  <si>
    <t>August 17, 1756</t>
  </si>
  <si>
    <t>"About 11 AM cum Princess sup terr in the coffee ground path upper cane piece."</t>
  </si>
  <si>
    <t>THE OVERSEER
WANGA</t>
  </si>
  <si>
    <t>IMG 137, P.133</t>
  </si>
  <si>
    <t>August 18, 1756</t>
  </si>
  <si>
    <t>"Achilles wanting. New Negroe Joe also wanting, although gagged him last wanting, suppose he has got it off."</t>
  </si>
  <si>
    <t>ACHILLES
JOE</t>
  </si>
  <si>
    <t>P299
P192</t>
  </si>
  <si>
    <t>E512</t>
  </si>
  <si>
    <t>August 20, 1756</t>
  </si>
  <si>
    <t>"Mr. Weech din'd here, he asked Mr. Cope leave to have Miss Molly Cope, and had it."</t>
  </si>
  <si>
    <t>MR. WEECH
JOHN COPE
MOLLY COPE</t>
  </si>
  <si>
    <t>P44
P45
P202</t>
  </si>
  <si>
    <t>E653</t>
  </si>
  <si>
    <t>"PM Egypt wanting. London staked out of the field. because I was going to whip him."</t>
  </si>
  <si>
    <t>EGYPT
LONDON
THE OVERSEER</t>
  </si>
  <si>
    <t>P419
P249
P43</t>
  </si>
  <si>
    <t>E515</t>
  </si>
  <si>
    <t>IMG 139, P.136</t>
  </si>
  <si>
    <t>August 21, 1756</t>
  </si>
  <si>
    <t>"The white driver Beastly drunk &amp; wanted to force Rose."</t>
  </si>
  <si>
    <t>BEASTLY
ROSE</t>
  </si>
  <si>
    <t>P423
P187</t>
  </si>
  <si>
    <t>IMG 140, P.136</t>
  </si>
  <si>
    <t>August 23, 1756</t>
  </si>
  <si>
    <t>"Gave Egypt a whipping for attempting to runaway."</t>
  </si>
  <si>
    <t>Achilles &amp; Joe brought home, had them chain'd together &amp; well whipp'd</t>
  </si>
  <si>
    <t>IMG 142, P.138</t>
  </si>
  <si>
    <t>August 27, 1756</t>
  </si>
  <si>
    <t>"Had London flogg'd for last week's work. Whipp'd Egypt &amp; gave him Derby's Dose for eating cane."</t>
  </si>
  <si>
    <t>LONDON
EGYPT
THE OVERSEER</t>
  </si>
  <si>
    <t>P249
P419
P43</t>
  </si>
  <si>
    <t>E520</t>
  </si>
  <si>
    <t>August 28, 1756</t>
  </si>
  <si>
    <t>"A fas tday, but Mr. Cope choosed to make his negroes work."</t>
  </si>
  <si>
    <t>JOHN COPE
EGYPT FIELDHANDS</t>
  </si>
  <si>
    <t>P315
P44</t>
  </si>
  <si>
    <t>IMG 144, P.140</t>
  </si>
  <si>
    <t>August 31, 1756</t>
  </si>
  <si>
    <t>"About sunset cum Ellin sup terr by the Moras side marle pit piece. Gave d^0 a bitt. She had a misfortune seemingly."</t>
  </si>
  <si>
    <t>E659</t>
  </si>
  <si>
    <t>IMG 146, P.142</t>
  </si>
  <si>
    <t>September 4, 1756</t>
  </si>
  <si>
    <t>"A live worm about 10 inches, voided by stool."</t>
  </si>
  <si>
    <t>IMG 150, P.146</t>
  </si>
  <si>
    <t>September 12, 1756</t>
  </si>
  <si>
    <t>"About 10 AM died Egypt in the hothouse. At night had him buried."</t>
  </si>
  <si>
    <t>E514</t>
  </si>
  <si>
    <t>IMG 152, P.148</t>
  </si>
  <si>
    <t>September 17, 1756</t>
  </si>
  <si>
    <t>"A flood today, tho' nothing so high as last year."</t>
  </si>
  <si>
    <t>IMG 153, P.149</t>
  </si>
  <si>
    <t>September 20, 1756</t>
  </si>
  <si>
    <t>"In the morning took a dose of powder Dr. Gorse sent [by] Cobenna, work'd me abundantly up and down, voided a large worm by stool and had an involuntary emission of seed when at stoll. A violent cordie last night running and scalding of urine continues and the carbuncles."</t>
  </si>
  <si>
    <t>THE OVERSEER
DR. GORSE
COBENNA</t>
  </si>
  <si>
    <t>P493
P43
P228</t>
  </si>
  <si>
    <t>E654</t>
  </si>
  <si>
    <t>IMG 154, P.150</t>
  </si>
  <si>
    <t>September 22, 1756</t>
  </si>
  <si>
    <t>"PM Quaw wanting."</t>
  </si>
  <si>
    <t>IMG 160, P.156</t>
  </si>
  <si>
    <t>October 5, 1756</t>
  </si>
  <si>
    <t>"Gave our Hector and Joe each Derby's Dose for eating cane, also Mr. Watts' Pomona."</t>
  </si>
  <si>
    <t>HECTOR
JOE
POMONOA [MR. WATT'S]
THE OVERSEER</t>
  </si>
  <si>
    <t>P358
P299
P500
P43</t>
  </si>
  <si>
    <t>E655</t>
  </si>
  <si>
    <t>IMG 161, P.157</t>
  </si>
  <si>
    <t>October 6, 1756</t>
  </si>
  <si>
    <t>"Gave Chrishea, Abigail, Ellin, &amp; Beck each a good flogging for neglect of bringing Hazmat."</t>
  </si>
  <si>
    <t>CHRISHEA
ABIGAIL
ELLIN
BECK
THE OVERSEER
HAZMAT</t>
  </si>
  <si>
    <t>P126
P118
P33
P361
P43
P501</t>
  </si>
  <si>
    <t>E673</t>
  </si>
  <si>
    <t>October 8, 1756</t>
  </si>
  <si>
    <t>"Mr. Cope din'd out, come home at night mightily drunk, run to Negroe houses, cookroom, etc."</t>
  </si>
  <si>
    <t>IMG 162, P.158</t>
  </si>
  <si>
    <t>October 9, 1756</t>
  </si>
  <si>
    <t>"Mr. C in his tantrums last night. Forc'd Egypt Susanah in the cookroom, was like a madman most part of the night, etc. Mrs. Cope very ill today. PM Dr. gorse come to her &amp; staid all night."</t>
  </si>
  <si>
    <t>JOHN COPE
MOLLY COPE
DR. GORSE
EGYPT SUSANAH</t>
  </si>
  <si>
    <t xml:space="preserve">P44
P45
P228
P296
</t>
  </si>
  <si>
    <t>IMG 166, P.162</t>
  </si>
  <si>
    <t>October 17, 1756</t>
  </si>
  <si>
    <t>"New Negroe Joe died tonight off poison, just as Zachary did, having eat bitter casava this afternoon. Gave him warm water, and sweet oil, but to no purpose, being too late."</t>
  </si>
  <si>
    <t>JOE
ZACHARY
THE OVERSEER</t>
  </si>
  <si>
    <t>P299
P477
P43</t>
  </si>
  <si>
    <t>E693</t>
  </si>
  <si>
    <t>October 18, 1756</t>
  </si>
  <si>
    <t>"holing in the Old Scotch grass cane piece."</t>
  </si>
  <si>
    <t>E519</t>
  </si>
  <si>
    <t>IMG 167, P.163</t>
  </si>
  <si>
    <t>October 19, 1756</t>
  </si>
  <si>
    <t>"A small mock sun this evening to the southward of the sun."</t>
  </si>
  <si>
    <t>"Employ'd as yesterday. AM Coffee leading out dung from the pen in the Old Negroe ground piece, for to lye upon gthe Old Scotch grass piece. Laid it in the interval."</t>
  </si>
  <si>
    <t>EGYPT FIELDHANDS
EGYPT COFFEE</t>
  </si>
  <si>
    <t>P315
P353</t>
  </si>
  <si>
    <t>IMG 168, P.164</t>
  </si>
  <si>
    <t>October 23, 1756</t>
  </si>
  <si>
    <t>"Job come to be here again."</t>
  </si>
  <si>
    <t>E656</t>
  </si>
  <si>
    <t>"In the AM, Hector wanting. Last night Quacoo and Hazat altho' chain'd toegther broke the padlock which lock'd their chain to the bilboe bolt, then unhing'd the hot house door and made up clear. Coffee, Lewie, Jackie, Plato &amp; Port Royal out after them all day but to no purpose."</t>
  </si>
  <si>
    <t>HECTOR
QUACOO
HAZAT
COFFEE
LEWIE
JACKIE
PLATO
PORT ROYAL</t>
  </si>
  <si>
    <t>P358
P298
P424
P353
P357
P102
P208
P212</t>
  </si>
  <si>
    <t>E568</t>
  </si>
  <si>
    <t>IMG 169, P.165</t>
  </si>
  <si>
    <t>October 24, 1756</t>
  </si>
  <si>
    <t>"Gave Job an old hoe and Bill."</t>
  </si>
  <si>
    <t>THE OVERSEER
JOB</t>
  </si>
  <si>
    <t xml:space="preserve">P43
P29
</t>
  </si>
  <si>
    <t>"Some of our Negroes brought home Hector."</t>
  </si>
  <si>
    <t>HECTOR
EGYPT FIELDHANDS</t>
  </si>
  <si>
    <t>P358
P315</t>
  </si>
  <si>
    <t>October 25, 1756</t>
  </si>
  <si>
    <t>"Abigail &amp; Quaw wanting. Coffee out after Hazard &amp; Quacoo get off his own head, PAradise Dover &amp; Plato sent after them. PM Punch wanting."</t>
  </si>
  <si>
    <t>ABIGAIL
QUAW
HAZARD
QUACOO
PARADISE DOVER
PLATO
PUNCH</t>
  </si>
  <si>
    <t>P118
P380
P499
P298
P494
P208
P348</t>
  </si>
  <si>
    <t>IMG 170, P.166</t>
  </si>
  <si>
    <t>October 26, 1756</t>
  </si>
  <si>
    <t>"Mr. John Hutt supp'd here."</t>
  </si>
  <si>
    <t>E516</t>
  </si>
  <si>
    <t>IMG 171, P.169</t>
  </si>
  <si>
    <t>October 30, 1756</t>
  </si>
  <si>
    <t>"Sam Matthews gone to show Ambo and many others of our Negroes where to make grounds in Paradice Mountain."</t>
  </si>
  <si>
    <t>SAM MATTHEWS
AMBO</t>
  </si>
  <si>
    <t>P170
P79</t>
  </si>
  <si>
    <t>IMG 171, P.167</t>
  </si>
  <si>
    <t>"This morning Paradise Dover, Plato &amp; Coffee come home, found nobody."</t>
  </si>
  <si>
    <t>PARADISE DOVER
PLATO
COFFEE</t>
  </si>
  <si>
    <t>P494
P208
P353</t>
  </si>
  <si>
    <t>IMG 172, P.170</t>
  </si>
  <si>
    <t>October 31, 1756</t>
  </si>
  <si>
    <t>"In the evening Samuel Mathews and Ambo come home from Paradise Mountain having been pitching grounds &amp; giving to the Negroes. Both rode mules"</t>
  </si>
  <si>
    <t>IMG 172, P.168</t>
  </si>
  <si>
    <t>November 1, 1756</t>
  </si>
  <si>
    <t>"Paradise Dover, Plato &amp; Cofee brought Abigail and Quaw home, they found [them] not far from Robin's Point (laos Quacoo's collar broke and a piece of the chain. Had them well flogg'd, pickl'd, gagged, etc."</t>
  </si>
  <si>
    <t>PARADISE DOVER
PLATO
COFFEE
ABIGAIL
QUAW
QUACOO</t>
  </si>
  <si>
    <t>P494
P208
P353
P118
P380
P298</t>
  </si>
  <si>
    <t>E521</t>
  </si>
  <si>
    <t>IMG 173, P.169</t>
  </si>
  <si>
    <t>November 3, 1756</t>
  </si>
  <si>
    <t>"Mrs. Sarah Bennett said to be worth about 5 or 6 thousands pounds exclusivve of 3 or 4 thousands she owes to Mr. William Cunningham."</t>
  </si>
  <si>
    <t>SARAH BENNETT
WILLIAM CUNNINGHAM</t>
  </si>
  <si>
    <t>P50
P259</t>
  </si>
  <si>
    <t>E674</t>
  </si>
  <si>
    <t>IMG 174, P.170</t>
  </si>
  <si>
    <t>November 4, 1756</t>
  </si>
  <si>
    <t>"In the morning took some astringent electuary, before noon had the ague &amp; fever, and all of the afternoon head ach [sic] &amp; fever.."</t>
  </si>
  <si>
    <t>IMG 175, P.171</t>
  </si>
  <si>
    <t>November 6, 1756</t>
  </si>
  <si>
    <t>"Coffee, Plato &amp; Paradise Dover brought home Hazat &amp; Quacoo, they found towards Robin's Point, Hazat a good deal cut in taking about the head, arms, etc. Bleeds a good deal, mighty sick."</t>
  </si>
  <si>
    <t>COFFEE
PLATO
PARADISE DOVER
HAZAT
QUACOO</t>
  </si>
  <si>
    <t>P494
P208
P353
P424
P298</t>
  </si>
  <si>
    <t>E657</t>
  </si>
  <si>
    <t>IMG 272, P.50</t>
  </si>
  <si>
    <t>November 8, 1756</t>
  </si>
  <si>
    <t>"Moderate breezes at times cloudy. PM cloudy and somewhat squally with some showers of rain. Thunder far off, at night lightning."</t>
  </si>
  <si>
    <t>IMG 177, P.173</t>
  </si>
  <si>
    <t>November 9. 1756</t>
  </si>
  <si>
    <t>"Feel myself very queer all day."</t>
  </si>
  <si>
    <t>November 9, 1756</t>
  </si>
  <si>
    <t>"Moderate breezes, most per cloudy. PM somne partly good shower of rain with thunder and lightning in the Evening. Lightning also."</t>
  </si>
  <si>
    <t xml:space="preserve"> E674</t>
  </si>
  <si>
    <t>November 10, 1756</t>
  </si>
  <si>
    <t>"Had the ague &amp; fever badly again today."</t>
  </si>
  <si>
    <t>IMG 273, P.51</t>
  </si>
  <si>
    <t>"Moderate breezes, towards noon cloudy. PM some hard showers of rain with thunder &amp; lightning."</t>
  </si>
  <si>
    <t>November 11, 1756</t>
  </si>
  <si>
    <t>"In the evening had the fever come upon me and held all nightm, rested very badly. A running or clamminess continues with sometimes pain in my groin."</t>
  </si>
  <si>
    <t>"Moderate breezes at times cloudy, a shower of drizzling rain. PM cloudy, some few drops of rain. Thudner at a distance in the evening lightning."</t>
  </si>
  <si>
    <t>November 12, 1756</t>
  </si>
  <si>
    <t>"Very bad most of the day witht he ague and fever: at night took about 10 drops of laudanum and rested better than usual."</t>
  </si>
  <si>
    <t>"Light winds, close, cloudy, hazy weather."</t>
  </si>
  <si>
    <t>IMG 178, P.174</t>
  </si>
  <si>
    <t>November 13, 1756</t>
  </si>
  <si>
    <t>"Negroe Day. Many went upon the mountain."</t>
  </si>
  <si>
    <t>"Feverish all day come on strong in the evening and continued all night. Took 10 drops of laudanum, which was of service. End of the uretha clamm'd up twice in the night."</t>
  </si>
  <si>
    <t>"Moderate breees, at times cloudy PM most part cloudy."</t>
  </si>
  <si>
    <t>IMG 179, P.175</t>
  </si>
  <si>
    <t>November 14, 1756</t>
  </si>
  <si>
    <t>"In the evening perceiving the ague and fever to be coming on, took vomit which operated very well, then drank some warm sangone, took 10 drops of laudanum and rested as well as could be expected.</t>
  </si>
  <si>
    <t>November 15, 1756</t>
  </si>
  <si>
    <t>"took 10 drops of laudanum when I went to bed, had the fever, headach [sic] most part of the night. Running continues."</t>
  </si>
  <si>
    <t>IMG 180, P.176</t>
  </si>
  <si>
    <t>November 16, 1756</t>
  </si>
  <si>
    <t>"Feverish all day, at night took 10 drops of laudanum, rested partly well, running continues, urine mighty high colored, almost red.</t>
  </si>
  <si>
    <t>November 17, 1756</t>
  </si>
  <si>
    <t>"Took 10 drops of laudanum at night, Rested but badly, feverish."</t>
  </si>
  <si>
    <t>November 18, 1756</t>
  </si>
  <si>
    <t>"Somewhat feverish in the evening sweated abundantly at night. Clamminess at the end of teh uretha continues."</t>
  </si>
  <si>
    <t>November 19, 1756</t>
  </si>
  <si>
    <t>"Had the fever a little at night. Running continues."</t>
  </si>
  <si>
    <t>November 20, 1756</t>
  </si>
  <si>
    <t>"Had a small matter of fever at night."</t>
  </si>
  <si>
    <t>E675</t>
  </si>
  <si>
    <t>"Gave Achilles the Derby's Dose."</t>
  </si>
  <si>
    <t>THE OVERSEER
ACHILLES</t>
  </si>
  <si>
    <t>P43
P192</t>
  </si>
  <si>
    <t>IMG 181, P.177</t>
  </si>
  <si>
    <t>November 21, 1756</t>
  </si>
  <si>
    <t>"Partly well in the day, at night somewhat feverish. At night Cum Phib."</t>
  </si>
  <si>
    <t>November 22, 1756</t>
  </si>
  <si>
    <t>"Had the fever at night and rested very badly."</t>
  </si>
  <si>
    <t>November 24, 1756</t>
  </si>
  <si>
    <t>"A little feverish. Running continues."</t>
  </si>
  <si>
    <t>E522</t>
  </si>
  <si>
    <t>IMG 182, P.178</t>
  </si>
  <si>
    <t>November 25, 1756</t>
  </si>
  <si>
    <t>"The water was soak'd back again this morning thro the damme as high again as ever. Threw out all the afternoon and repair'd the damme."</t>
  </si>
  <si>
    <t>E676</t>
  </si>
  <si>
    <t xml:space="preserve"> IMG 183, P.179</t>
  </si>
  <si>
    <t>"In the mornign cum Egypt Susanah in the curing house. Stans! Backwards."</t>
  </si>
  <si>
    <t>THE OVERSEER
EGYPT SUSANNAH</t>
  </si>
  <si>
    <t>P43
P296</t>
  </si>
  <si>
    <t>E678</t>
  </si>
  <si>
    <t>IMG 183, P.179</t>
  </si>
  <si>
    <t>"Mason Quashe went as driver in the field.</t>
  </si>
  <si>
    <t>E679</t>
  </si>
  <si>
    <t>"Plato took an axe."</t>
  </si>
  <si>
    <t>"Princess wanting."</t>
  </si>
  <si>
    <t>November 26, 1756</t>
  </si>
  <si>
    <t>"At night cum Phibbah.</t>
  </si>
  <si>
    <t>THE OVERSEER (P43)
PHIBBAH (7)</t>
  </si>
  <si>
    <t>E677</t>
  </si>
  <si>
    <t>November 27, 1756</t>
  </si>
  <si>
    <t>"A.M. cum Rosanna sup terr in the morass island by the side of the pimento cane pieces."</t>
  </si>
  <si>
    <t>THE OVERSEER
ROSANNA</t>
  </si>
  <si>
    <t>P43
P115</t>
  </si>
  <si>
    <t>IMG 184, P.180</t>
  </si>
  <si>
    <t>November 30, 1756</t>
  </si>
  <si>
    <t>"Ambo, etc let Quacoo and Hazat go away from them. PM Coffee, Plato and London sent after them."</t>
  </si>
  <si>
    <t>AMBO
QUACOO
HAZAT [MR. MOULD'S] 
COFFEE
PLATO
LONDON</t>
  </si>
  <si>
    <t>P170
P298
P353
P208
P249</t>
  </si>
  <si>
    <t>E680</t>
  </si>
  <si>
    <t>IMG 185, P.181</t>
  </si>
  <si>
    <t>"Bacchus run away."</t>
  </si>
  <si>
    <t>December 1, 1756</t>
  </si>
  <si>
    <t>"Plato, London, &amp; Coffee out after Hazat &amp; Quacoo, come privately to Mr. Cope after I [had] gone in the field in the morning. Ambo conceal'd them at the Negro house."</t>
  </si>
  <si>
    <t>PLATO
LONDON
COFFEE
HAZAT [MR. MOULD'S] 
QUACOO
AMBO
JOHN COPE
THE OVERSEER</t>
  </si>
  <si>
    <t>P170
P298
P353
P208
P249
P43
P44</t>
  </si>
  <si>
    <t>"Pain in my bones, shoulders, my breath seems frequently almost stopp'd with something that rips my throat, etc. running &amp; caruncles continues and an inflammation at the end of the uretha."</t>
  </si>
  <si>
    <t>IMG 185, P. 181</t>
  </si>
  <si>
    <t>"Mr. hungerford sent Bacchus home, flogg'd him well."</t>
  </si>
  <si>
    <t>MR. HUNGERFORD
BACCHUS
THE OVERSEER</t>
  </si>
  <si>
    <t>P111
P89
P43</t>
  </si>
  <si>
    <t>E684</t>
  </si>
  <si>
    <t>"PM Broke in the potato piece, 4 very indifferent cart loads, a great deal must have been stole."</t>
  </si>
  <si>
    <t>P315()</t>
  </si>
  <si>
    <t>Type of Relationship</t>
  </si>
  <si>
    <t>Event Type</t>
  </si>
  <si>
    <t>ANANSI</t>
  </si>
  <si>
    <t>December 2, 1756</t>
  </si>
  <si>
    <t>BRITAIN</t>
  </si>
  <si>
    <t>"Weeding the p;otato cane piece. Finish'd ___ the fence round teh canes. also finish'd taking mud out of the trench end."</t>
  </si>
  <si>
    <t>FREEDOM/MANUMISSION</t>
  </si>
  <si>
    <t>GEOPHAGIA</t>
  </si>
  <si>
    <t>Had Cyrus, Pero &amp; Port Royal flogg'd</t>
  </si>
  <si>
    <t>THE OVERSEER
CYRUS
PERO
PORT ROYAL</t>
  </si>
  <si>
    <t xml:space="preserve">P43
P210
P336
P212
</t>
  </si>
  <si>
    <t>MYAL/OBEAH/RELIGION</t>
  </si>
  <si>
    <t>IMG 186, P.182</t>
  </si>
  <si>
    <t>SCHOOL</t>
  </si>
  <si>
    <t>December 3, 1756</t>
  </si>
  <si>
    <t>SCRAMBLE</t>
  </si>
  <si>
    <t>"Plato, London, &amp; Coffee yet out after Quacoo &amp; Hazat."</t>
  </si>
  <si>
    <t xml:space="preserve">PLATO
LONDON
COFFEE
QUACOO
HAZAT [MR. MOULD'S]
</t>
  </si>
  <si>
    <t>P208
P249
P353
P298
P424</t>
  </si>
  <si>
    <t>SUICIDE</t>
  </si>
  <si>
    <t>SUPPLY/GIFT EXCHANGE</t>
  </si>
  <si>
    <t>IMG 187, P.183</t>
  </si>
  <si>
    <t>December 4, 1756</t>
  </si>
  <si>
    <t>"Charles, Quacoo, Hazat &amp; Little Quashe yet out in the woods. London, Plato &amp; Coffee after them."</t>
  </si>
  <si>
    <t>CHARLES
QUACOO
HAZAT [MR. MOULD'S]
LITTLE QUASHE [EGYPT DRIVER]
LONDON
PLATO
COFFEE</t>
  </si>
  <si>
    <t>P302
P298
P424
P359
P249
P208
P353</t>
  </si>
  <si>
    <t>E2</t>
  </si>
  <si>
    <t>E3</t>
  </si>
  <si>
    <t>E4</t>
  </si>
  <si>
    <t>P18; P1, P13, P15</t>
  </si>
  <si>
    <t>E9</t>
  </si>
  <si>
    <t>IMG 15, P.10</t>
  </si>
  <si>
    <t>January 5. 1767</t>
  </si>
  <si>
    <t>"Maria and Cubbah in Egypt Field"</t>
  </si>
  <si>
    <t>CUBBAH; MARIA</t>
  </si>
  <si>
    <t>E15</t>
  </si>
  <si>
    <t>IMG 242, P.237</t>
  </si>
  <si>
    <t>October 6, 1767</t>
  </si>
  <si>
    <t>"Sent Coobah to Egypt to have her child, yaws dropped."</t>
  </si>
  <si>
    <t>MOLIA (P1)</t>
  </si>
  <si>
    <t>IMG 244, P.239</t>
  </si>
  <si>
    <t>October 8, 1767</t>
  </si>
  <si>
    <t>"My Coobah come home from Egypt."</t>
  </si>
  <si>
    <t>E10</t>
  </si>
  <si>
    <t>IMG 24, P. 19</t>
  </si>
  <si>
    <t>January 23, 1768</t>
  </si>
  <si>
    <t>"At 8AM set out upon Prince horse, rode to Masemure, Capt Arthur Forest's to see if they wanted to hire Negroes, staid [sic] about an hour with David Kinlock, got home before Noon."</t>
  </si>
  <si>
    <t>THE OVERSEER; 
ARTHUR FOREST; 
DAVID KINLOCK</t>
  </si>
  <si>
    <t>IMG 36, P. 31</t>
  </si>
  <si>
    <t>February 9, 1768</t>
  </si>
  <si>
    <t>"P.M. Wrote to Mr. David Kinlock, at Masemure Estate, and sent Dick, Coobah and Maria there to work, to be ready to go in the field tomorrow morning: Made Coobah leave her child with Nanny, gave a bitt and 4 herrings each."</t>
  </si>
  <si>
    <t xml:space="preserve">THE OVERSEER (P43);
DAVID KINLOCK (P48);
SAWNO (P39)
OGO (P13)
MOLIA (P1)
NANNY (P15)
SILVIA (P2)
</t>
  </si>
  <si>
    <t>THOMAS THISTLEWOOD
DICK
MARIA
COOBAH</t>
  </si>
  <si>
    <t>IMG 46, P. 41</t>
  </si>
  <si>
    <t>February 29, 1768</t>
  </si>
  <si>
    <t>"Nanny minding Coobah's child. Should be 14 of my Negroes at Masemure"</t>
  </si>
  <si>
    <t>NANNY (P15)
SILVIA (P2)</t>
  </si>
  <si>
    <t>IMG 52, P.47</t>
  </si>
  <si>
    <t>March 14, 1768</t>
  </si>
  <si>
    <t>"In evening received a letter from Mr. David Kinlock by Coobah, whose child is sick."</t>
  </si>
  <si>
    <t>DAVID KINLOCK (P48)
THE OVERSEER (P43)
MOLIA (P1)</t>
  </si>
  <si>
    <t>THOMAS THISTLEWOOD
COOBAH</t>
  </si>
  <si>
    <t>IMG 53, P.48</t>
  </si>
  <si>
    <t>March 16, 1768</t>
  </si>
  <si>
    <t>"Coobah's child Silvia died; had it buried."</t>
  </si>
  <si>
    <t>SILVIA (P2)</t>
  </si>
  <si>
    <t>March 17, 1768</t>
  </si>
  <si>
    <t>"Cudjoe, Nanny, Sally, Peggy and Coobah in the garden"</t>
  </si>
  <si>
    <t>CUDJOE (P52)
NANNY (P15)
SALLY (P17)
PEGGY (P19)
MOLIA (P1)</t>
  </si>
  <si>
    <t>IMG 55, P.50</t>
  </si>
  <si>
    <t>March 21, 1768</t>
  </si>
  <si>
    <t>"Cudjoe, Coobah, Peggy, Sally, and Nanny carrying my logwood down from home to Mr. Say's Ranch Side"</t>
  </si>
  <si>
    <t xml:space="preserve">BREADNUT ISLAND PEN
CABARITTA ESTATE
</t>
  </si>
  <si>
    <t>L3
L8</t>
  </si>
  <si>
    <t>IMG 58, P.53</t>
  </si>
  <si>
    <t>March 28, 1768</t>
  </si>
  <si>
    <t>"Thirteen of my Negroes at Forest's as Coobah is gone there now."</t>
  </si>
  <si>
    <t>E11</t>
  </si>
  <si>
    <t>IMG 6, P.1</t>
  </si>
  <si>
    <t>January 1, 1769</t>
  </si>
  <si>
    <t>Negroes 26 (Coobah's Silvia being dead since last June." (?)</t>
  </si>
  <si>
    <t>E5</t>
  </si>
  <si>
    <t>IMG 13, P.8</t>
  </si>
  <si>
    <t>January 9. 1769</t>
  </si>
  <si>
    <t>"Sent John to Mr. Hughes to school, this morning.
After John was gone this morning, a green sediment was perceived in his chamberpot, like gall; but he makes no complaint."</t>
  </si>
  <si>
    <t>JOHN (P9)</t>
  </si>
  <si>
    <t>E6</t>
  </si>
  <si>
    <t>IMG 30, P. 25</t>
  </si>
  <si>
    <t>February 6, 1769</t>
  </si>
  <si>
    <t>"As Mulatto John come home on Saturday to see his momma etc, sent him to school again this morning and gave a Bible with him."</t>
  </si>
  <si>
    <t>JOHN (P9); 
PHIBBAH (P7)</t>
  </si>
  <si>
    <t>E12</t>
  </si>
  <si>
    <t>IMG 53</t>
  </si>
  <si>
    <t>March 20, 1769</t>
  </si>
  <si>
    <t>"Lincoln come home this evening to look for Coobah, who is not at work. Gave him a bitt."</t>
  </si>
  <si>
    <t>LINCOLN (P24)
MOLIA (P1)</t>
  </si>
  <si>
    <t>IMG 54</t>
  </si>
  <si>
    <t>March 21, 1769</t>
  </si>
  <si>
    <t>"This morning Lincoln come without finding Coobah, sent him to Bluecastle to see if she be not gone to work."</t>
  </si>
  <si>
    <t>BREADNUT ISLAND PEN
BLUECASTLE ESTATE</t>
  </si>
  <si>
    <t>L3
L14</t>
  </si>
  <si>
    <t>E7</t>
  </si>
  <si>
    <t>IMG 57, P.52</t>
  </si>
  <si>
    <t>March 25, 1769</t>
  </si>
  <si>
    <t>"I continue much the same.Phibbah still continues very ill, gave her 2 nervous pills, morning and evening. John slept with me."</t>
  </si>
  <si>
    <t xml:space="preserve">JOHN (P9); 
PHIBBAH (P7); </t>
  </si>
  <si>
    <t>IMG 57, P. 52</t>
  </si>
  <si>
    <t>March 26, 1769</t>
  </si>
  <si>
    <t>"Served my Negroes 20 bitts. Lincoln and Coobah not come for their allowance."</t>
  </si>
  <si>
    <t>E8</t>
  </si>
  <si>
    <t>March 27, 1769</t>
  </si>
  <si>
    <t>"Last night John lay in my bed again, and he p...d it."</t>
  </si>
  <si>
    <t>E13</t>
  </si>
  <si>
    <t>IMG 109, P.104</t>
  </si>
  <si>
    <t>June 30, 1770</t>
  </si>
  <si>
    <t>"Coobah wanting, sent Solon to look [for] her, but he found nothing of her."</t>
  </si>
  <si>
    <t>MOLIA (P1)
SOLON (26)</t>
  </si>
  <si>
    <t>WILDERNESS
UNKNOWN</t>
  </si>
  <si>
    <t>L15
L0</t>
  </si>
  <si>
    <t>"Mod. Breezes, SE and at times cloudy.
PM: Most partly cloudy, a showed of rain, lightning at a distance, at night lightning." (IMG 348, p.25)</t>
  </si>
  <si>
    <t>IMG 111, P.106</t>
  </si>
  <si>
    <t>July 2, 1770</t>
  </si>
  <si>
    <t>"Coobah runaway, gave Lincoln a ticket to go look for her."</t>
  </si>
  <si>
    <t>July 1: "Mod. Breezes SE and at times cloudy. P.M.: A shower of rain, with thunder and lightning."
July 2: Light wind, variable and at times cloudy. PM: Thunder remote at night, Lightning." (IMG 348, p.25)</t>
  </si>
  <si>
    <t>IMG 112, P.107</t>
  </si>
  <si>
    <t>"In the evening received a note from Mr. James Lymborner by Cromwell, with my Coobah. Put her in the bilboes. Wrote to Mr. Lymborner and gave Cromwell 2 bitts."</t>
  </si>
  <si>
    <t>July 3, 1770</t>
  </si>
  <si>
    <t>"Took Coobah out of the bilboes, flogged her and put on a collar and chain and sent her to the rest, who are clearing the pasture."</t>
  </si>
  <si>
    <t>PUNISHMENT</t>
  </si>
  <si>
    <t>BREADNUT ISLAND PEN
WILDERNESS</t>
  </si>
  <si>
    <t>L3
L15</t>
  </si>
  <si>
    <t>E14</t>
  </si>
  <si>
    <t>IMG 115</t>
  </si>
  <si>
    <t>July 6, 1770</t>
  </si>
  <si>
    <t>"Coobah wanting, but about 4 o'clock Jimmy &amp; Damsel coming home with water from Barclay's river met her going that way and brought her back. Flogged her well and brandmarked her in the forehead. She has broke open Mr. Say's Nancy's house since noon, stolenr ice, calbasas &amp;..."</t>
  </si>
  <si>
    <t>MOLIA (P1)
JIMMY (P54)
DAMSEL (P34)</t>
  </si>
  <si>
    <t>BREADNUT ISLAND PEN
BARCLAY'S RIVER
CABARITTA ESTATE</t>
  </si>
  <si>
    <t>L3
L8
L16</t>
  </si>
  <si>
    <t>"Light winds variable and at times cloudy. P.M.: Most partly cloudy, a few drops of rain with Thunder and lightning."</t>
  </si>
  <si>
    <t>E16</t>
  </si>
  <si>
    <t>IMG 118, P.113</t>
  </si>
  <si>
    <t>July 11, 1770</t>
  </si>
  <si>
    <t>"Coobah wanting this morning. Sent Solon to look [for] her, and in the evening, he brought her. She had been in Egypt Canes."</t>
  </si>
  <si>
    <t>MOLIA (P1)
JIMMY (P54)</t>
  </si>
  <si>
    <t>BREADNUT ISLAND PEN
EGYPT ESTATE</t>
  </si>
  <si>
    <t>L3 
L1</t>
  </si>
  <si>
    <t>E17</t>
  </si>
  <si>
    <t>IMG 125, P.120</t>
  </si>
  <si>
    <t>July 26, 1770</t>
  </si>
  <si>
    <t>"Found Coobah had got her collar loose, so took it off her for good: once more."</t>
  </si>
  <si>
    <t>E557</t>
  </si>
  <si>
    <t>IMG 188, P.184</t>
  </si>
  <si>
    <t>December 6, 1756</t>
  </si>
  <si>
    <t>"Jenny at home spinning cotton wick (Gave her a new baskett)</t>
  </si>
  <si>
    <t>JENNY
THE OVERSEER</t>
  </si>
  <si>
    <t>P104
P43</t>
  </si>
  <si>
    <t>"Plato, London &amp; Coffee out yet after Quacoo &amp; Hazat, at night watchman Daniel brought me Quacoo &amp; Hazat's basketts [sic], he found in the morass, one of them full of plantains they had stole."</t>
  </si>
  <si>
    <t xml:space="preserve">PLATO
LONDON
COFFEE
QUACOO
HAZAT [MR. MOULD'S]
DANIEL
</t>
  </si>
  <si>
    <t>P208
P249
P353
P298
P424
P42</t>
  </si>
  <si>
    <t>"Jackie &amp; johnie leading copeprwood with 2 carts and 8 cattle in both. Job, Princess, Achilles &amp; Cukor filling one whilst the other is going home."</t>
  </si>
  <si>
    <t>JACKIE
JOHNIE
JOB
WANGA
ACHILLES
CUKOR</t>
  </si>
  <si>
    <t>P102
P84
P29
P192
P110</t>
  </si>
  <si>
    <t>IMG 189, P.185</t>
  </si>
  <si>
    <t>December 7, 1756</t>
  </si>
  <si>
    <t>"Pain all in my bones, feverish, head ache, etc. Running caruncles sore and urine burns them. Applied the bougie at night. Get no sleep."</t>
  </si>
  <si>
    <t>IMG 191, P.187</t>
  </si>
  <si>
    <t>December 11, 1756</t>
  </si>
  <si>
    <t>"Felt more healthful than before, only running and caruncles continues."</t>
  </si>
  <si>
    <t>IMG 193, P.189</t>
  </si>
  <si>
    <t>December 13, 1756</t>
  </si>
  <si>
    <t>"PM Made Lincoln angle in the Styx, he got as many Congo fish as Mr. Antributs, gave him a Bitt for, and few after."</t>
  </si>
  <si>
    <t>LINCOLN
THE OVERSEER</t>
  </si>
  <si>
    <t>"One of Captain Forest's Negroes brought home Quacoo and at night, Coffee, London, Plato brought home Charles. Secured them well."</t>
  </si>
  <si>
    <t>ENSLAVED PERSON [ARTHUR FOREST'S]
QUACOO
COFFEE
LONDON
PLATO
CHARLES</t>
  </si>
  <si>
    <t xml:space="preserve">P502
P298
P353
P249
P208
P302
</t>
  </si>
  <si>
    <t>December 14, 1756</t>
  </si>
  <si>
    <t>"Wrote to Mr. Cunningham  &amp; sent Quacoo &amp; Charles by Plato to Salt River to be chain'd toegther. PM Flogg'd &amp; pickl'd them well."</t>
  </si>
  <si>
    <t>MR CUNNINGHAM [SALT RIVER]
THE OVERSEER
QUACOO
CHARLES
PLATO</t>
  </si>
  <si>
    <t>P503
P43
P298
P302
P208</t>
  </si>
  <si>
    <t>E543</t>
  </si>
  <si>
    <t>IMG 195, P.191</t>
  </si>
  <si>
    <t>December 18, 1756</t>
  </si>
  <si>
    <t>"About 5 AM Mr. Cope came home, made House Franke fetch him Abba. I was up when she came out of the Great House and saw her."</t>
  </si>
  <si>
    <t>JOHN COPE
HOUSE FRANKE
ABBA
THE OVERSEER</t>
  </si>
  <si>
    <t>P44
P194
P6
P43</t>
  </si>
  <si>
    <t>img 198, p.194</t>
  </si>
  <si>
    <t>December 23, 1756</t>
  </si>
  <si>
    <t>"AM Finish'd leading home all the copperwood we have cutt and at night throw it up."</t>
  </si>
  <si>
    <t>IMG 199, P.195</t>
  </si>
  <si>
    <t>December 25, 1756</t>
  </si>
  <si>
    <t>"Gave Lincoln one of my strip'd shirts."</t>
  </si>
  <si>
    <t>E523</t>
  </si>
  <si>
    <t>IMG 200, P.196</t>
  </si>
  <si>
    <t>December 26, 1756</t>
  </si>
  <si>
    <t>"In the morning serv'd our Negroes 6 herrings, rivers 12 each children, some two, some three, did not take a barrell."</t>
  </si>
  <si>
    <t>P43
P315</t>
  </si>
  <si>
    <t>E524</t>
  </si>
  <si>
    <t>IMG 202, P.198</t>
  </si>
  <si>
    <t>December 31, 1756</t>
  </si>
  <si>
    <t>"Old Sharper &amp; Celia watch at Hill. Morris, Cloe &amp; Big Mimber and Doll there with the yaws. Daniel and Old Phibbah watch at the sand ground. Tony watch at his gate, Old Sarah at her gate. Harry and Kent with her of the ywas. Cyrus and Pero watch corn. Hazat watch cane. Mr. Mould's Hazat run away. Mason Quashe hired to Mr. Cook, Nanny to Mr. Green, Bacchus and Doer with the cattle. Humphrey with Salt Rier cooper. Old Phibbah lame, Lydde also lame and Rachel. Betty lame. Benjamin, Abraham, &amp; Dover with the cattle."</t>
  </si>
  <si>
    <t>OLD SHARPER
CELIA
MORRIS
CLOE
CLARA
BIG MIMBER
DOLL
DANIEL
OLD PHIBBAH
TONY
OLD SARAH
HARRY
KENT
CYRUS
PERO
HAZAT
MR. MOULD'S HAZAT
MASON QUASHE
EGYPT NANNY
BACCHUS
DOVER
HUMPHREY
OLD PHIBBAH
LYDDE
RACHEL
BETTY
BENJAMIN
ABRAHAM
DOVER</t>
  </si>
  <si>
    <t>P74
P412
P226
P101
P129
P362
P225
P42
P96
P411
P370
P347
P329
P210
P336
P87
P424
P25
P316
P425
P89
P139
P213
P96
P255
P426
P134
P413
P360</t>
  </si>
  <si>
    <t>E367</t>
  </si>
  <si>
    <t>IMG 8, P.3</t>
  </si>
  <si>
    <t>January 3, 1757</t>
  </si>
  <si>
    <t>"Gave warning for the Negroes to be upon the Road next Monday morning."</t>
  </si>
  <si>
    <t>E366</t>
  </si>
  <si>
    <t>January 6, 1757</t>
  </si>
  <si>
    <t>"Gave Phibbah the Bay, Thimbles and flower."</t>
  </si>
  <si>
    <t>IMG 10, P.5</t>
  </si>
  <si>
    <t>January 10, 1757</t>
  </si>
  <si>
    <t>"Had Ambo &amp; 16 other hands upon the road, began at the Styx Bridge, mended toward Whitehall. Thomas Trindall Waywarden with me, seems to be a fool and madman both. He breakfasted with me and Mr. Mordimer."</t>
  </si>
  <si>
    <t>THE OVERSEER
AMBO
EGYPT FIELDHANDS
THOMAS TRINDALL WAYWARDEN
MR. MORDIMER</t>
  </si>
  <si>
    <t>P43
P170
P427
P438
P135</t>
  </si>
  <si>
    <t>January 11, 1757</t>
  </si>
  <si>
    <t>"Ambo, 16 hands upon the road again, was there partly much myself also."</t>
  </si>
  <si>
    <t>THE OVERSEER
AMBO
EGYPT FIELDHANDS</t>
  </si>
  <si>
    <t>P43
P170
P315</t>
  </si>
  <si>
    <t>January 12, 1757</t>
  </si>
  <si>
    <t>"Ambo, 16 hands and myself upon the road, finish'd."</t>
  </si>
  <si>
    <t>AMBO
EGYPT FIELDHANDS</t>
  </si>
  <si>
    <t>P170
P315</t>
  </si>
  <si>
    <t>IMG 11, P.6</t>
  </si>
  <si>
    <t>January 13, 1757</t>
  </si>
  <si>
    <t>"Thatching the North side of the millhouse, three rafters broke, got new ones and put them up. Clean'd teh curing house trench of weeds. Fetch'd stones out of teh inntervals, to the well side,."</t>
  </si>
  <si>
    <t>IMG 12, P.7</t>
  </si>
  <si>
    <t>January 14, 1757</t>
  </si>
  <si>
    <t>"Thatching North side of Millhouse."</t>
  </si>
  <si>
    <t>January 15, 1757</t>
  </si>
  <si>
    <t>"Finish'd thatching North side of the millhouse, all but ridging. PM Clean'd the yard, horse stables."</t>
  </si>
  <si>
    <t>January 17, 1757</t>
  </si>
  <si>
    <t>"Fill'd the stillhouse cisterns, throw the water out of the well, and all the water over the dam, at the curing house trench adn raised the mill house with dirt, heaped bushes in the apstures and burnt them."</t>
  </si>
  <si>
    <t>E697</t>
  </si>
  <si>
    <t>IMG 14, P.9</t>
  </si>
  <si>
    <t>"Wrote to Mr. Beltfield, sent Jackie and Cyrus with a cart and 8 cattle."</t>
  </si>
  <si>
    <t>THE OVERSEER
MR. BELTFIELD
JACKIE
CYRUS</t>
  </si>
  <si>
    <t xml:space="preserve">P43
P523
P102
P210
</t>
  </si>
  <si>
    <t>E699</t>
  </si>
  <si>
    <t>"Wrote to Mr. Beltfield. Sent Jackie &amp; Cyrus with a cart and 8 cattle."</t>
  </si>
  <si>
    <t>P43
P523
P102
P210</t>
  </si>
  <si>
    <t>January 18, 1757</t>
  </si>
  <si>
    <t>"Wrote to Mr. Crookshanks, sent him some cowshorn, sent oer Port Royal &amp; Cyrus, rec'd by them 7 mules which with Little mules that is here, makes a spell."</t>
  </si>
  <si>
    <t>THE OVERSEER
WILLIAM CROOKSHANKS
PORT ROYAL
CYRUS</t>
  </si>
  <si>
    <t>P43
P210
P212
P189</t>
  </si>
  <si>
    <t>January 20, 1757</t>
  </si>
  <si>
    <t>"Had 2 canoe loads of sand fetch'd from Hill and lime fetch'd from the hogstyes:diggin the trench tot he well as yesterday adn the rest of teh hands houghing up the wire grass in the pasture."</t>
  </si>
  <si>
    <t>IMG 16, P.11</t>
  </si>
  <si>
    <t>January 21, 1757</t>
  </si>
  <si>
    <t>"Finish'd digging  the trench to the well: Mr. Blanch and 4 hands finish'd leading the coppers, employ'd afterwards about teh well. Moved the bricks, temper, lime, sand, etc from the trench end to the well as also the flagg stones. Raised hte Millhouse with Earth where wanting (hoed the garden for Mrs. Cope). Clean'd curing &amp;boiling houses as much as convenient, houghed up the wire grass in the Pasture,."</t>
  </si>
  <si>
    <t>IMG 290, P.3</t>
  </si>
  <si>
    <t>January 22, 1757</t>
  </si>
  <si>
    <t>"In the morning a fresh north [wind], some small showers of rain afterwards, at times cloudy and moderate breezes."</t>
  </si>
  <si>
    <t>q</t>
  </si>
  <si>
    <t>IMG 17, P.12</t>
  </si>
  <si>
    <t>"Cyrus, Coffee and Port Royal, Little Quashe, Johnie &amp; Mountain Susannah with 3 carts leading home cane &amp; cane tops. Rest of the hands cutting cane in the Papah tree piece. Ratoons, but suffr'd greatly by cattle. 30 cutters."</t>
  </si>
  <si>
    <t>CYRUS
COFFEE
PORT ROYAL
LITTLE QUASHE [EGYPT DRIVER]
JOHNIE
MOUNTAIN SUSANAH
EGYPT FIELDHANDS</t>
  </si>
  <si>
    <t>P315
P210
P212
P359
P84
P254</t>
  </si>
  <si>
    <t>January 23, 1757</t>
  </si>
  <si>
    <t>"A moderate north [wind] and at times cloudy."</t>
  </si>
  <si>
    <t>IMG 18, P.13</t>
  </si>
  <si>
    <t>January 24, 1757</t>
  </si>
  <si>
    <t>"22 cutters in the papah tree piece, carts employ'd as before."</t>
  </si>
  <si>
    <t>"Moderate breeezes at times cloudy, PM cloudy and somewhat squally with a pretty good shower of rain."</t>
  </si>
  <si>
    <t>January 25, 1757</t>
  </si>
  <si>
    <t>"A moderate north [wind] and for the most parts cloudy. PM cloudy and drizzling rain."</t>
  </si>
  <si>
    <t>IMG 19, P.14</t>
  </si>
  <si>
    <t>"21 cutters in the papah tree piece &amp; 3 carts as usual at sunrise. 12 potts pull'd and at sunset. Make very good sugar. Thomas Fewkes in the boiling house last night and is to be every night, adn to have the day to rest himself."</t>
  </si>
  <si>
    <t>EGYPT FIELDHANDS
THOMAS FEWKES</t>
  </si>
  <si>
    <t>P315
P524</t>
  </si>
  <si>
    <t>January 26, 1757</t>
  </si>
  <si>
    <t>"Moderate breezes, towards noon, cloudy. PM cloudy, some drizzling rain, thunder, far off, in the evening lightning."</t>
  </si>
  <si>
    <t>"Feel to have got a very bad cold."</t>
  </si>
  <si>
    <t>"23 cutters in the field, 3 carts as before at sunrise. 2 potts pulled and at sunset 44."</t>
  </si>
  <si>
    <t>E232</t>
  </si>
  <si>
    <t>"As my Nanny begins to be big, sent her to Paradise to lye in, as Mrs. Cope is so good as promises to take care of any I send."</t>
  </si>
  <si>
    <t>NANNY
THE PLANTER'S WIFE</t>
  </si>
  <si>
    <t>P15
P45</t>
  </si>
  <si>
    <t>"Mod. breezes, NE and at times cloudy. * ANorth so soon in the year &amp; continuing all day forebodes bad weather." [IMG 40, p.35]</t>
  </si>
  <si>
    <t>January 27, 1757</t>
  </si>
  <si>
    <t>"Moderate breezes at times cloudy, about Noon, some drizzling rain and afterwards cloudy."</t>
  </si>
  <si>
    <t>"Aguish and feverish etc, a clamminess continues."</t>
  </si>
  <si>
    <t>E92</t>
  </si>
  <si>
    <t>July 13, 1766</t>
  </si>
  <si>
    <t>"Last night, our Eve, brought to bed of a girl at Paradise."</t>
  </si>
  <si>
    <t>EVE (P128)</t>
  </si>
  <si>
    <t>January 28, 1757</t>
  </si>
  <si>
    <t>"In the morning, a mdoerate North [wind] and fair weather, towards noon cloudy, some few drops off. Rain afterwards cloudy in the evening about 2 hours moderate rain."</t>
  </si>
  <si>
    <t>IMG 20, P.15</t>
  </si>
  <si>
    <t>January 29, 1757</t>
  </si>
  <si>
    <t>"Clamminess continues, about the middle of the day, had the ague and fever."</t>
  </si>
  <si>
    <t>IMG 291, P.4</t>
  </si>
  <si>
    <t>"Cool and raw in the morning, afterwards light winds, fair weather. PM moderate breezes, cloudy, in the evening about an hour and half hard rain."</t>
  </si>
  <si>
    <t>"Clamminess continues, about teh middle of the day, had hte ague and fever."</t>
  </si>
  <si>
    <t>IMG 21, P.16</t>
  </si>
  <si>
    <t>January 30, 1757</t>
  </si>
  <si>
    <t>"Princess,  alias Wanga brought to bed of a boy."</t>
  </si>
  <si>
    <t>PRINCESS
WANGA</t>
  </si>
  <si>
    <t>"Strong gales north, easterly and for the most part fair weather. PM At times cloudy."</t>
  </si>
  <si>
    <t>IMG 22, P.17</t>
  </si>
  <si>
    <t>"Had a touch of the ague and fever and a violent head ache all day: a abd cough, pains in all my bones, etc and indeed all over my body."</t>
  </si>
  <si>
    <t>January 31, 1757</t>
  </si>
  <si>
    <t>"Had a touch of the ague and fever and aviolent head ache all dayy: a bad cough, pains in all my bones etc and indeed, all over my body."</t>
  </si>
  <si>
    <t>IMG 23, P.18</t>
  </si>
  <si>
    <t>February 2, 1757</t>
  </si>
  <si>
    <t>"Had the ague and fever violently today, pain in my leggs, thighs, groinsm, back, sides, etc and a violent vomitting in the forenoon."</t>
  </si>
  <si>
    <t xml:space="preserve">P43
</t>
  </si>
  <si>
    <t>IMG 24, P.19</t>
  </si>
  <si>
    <t>February 3, 1757</t>
  </si>
  <si>
    <t>"Weak and faint etc all day: in the evenikng feverish. A clamminess continues."</t>
  </si>
  <si>
    <t>IMG 25, P.20</t>
  </si>
  <si>
    <t>February 4, 1757</t>
  </si>
  <si>
    <t>"Had the ague and fever again tofay, bad enough, though not so bad as on Wednesday (when the fever bean to abate, sweat violently)</t>
  </si>
  <si>
    <t>E368</t>
  </si>
  <si>
    <t>IMG 26, P.21</t>
  </si>
  <si>
    <t>February 6, 1757</t>
  </si>
  <si>
    <t>"Mary, the late John Edmond's Negroe wife, died last week, but come to life again."</t>
  </si>
  <si>
    <t>February 7, 1757</t>
  </si>
  <si>
    <t>"In the morning, at turn-out time, put the mill about. Was to have put about at the rising of the morning star, but did not [though I] strictly ordered Ambo to do so for which gave him a good flogging, also one to his wife Agnes for her impudence."</t>
  </si>
  <si>
    <t>THE OVERSEER
AMBO
AGNES</t>
  </si>
  <si>
    <t>P43
P124
P170</t>
  </si>
  <si>
    <t>"Pain in all my bones, head ache betimes, weariness, etc."</t>
  </si>
  <si>
    <t>E580</t>
  </si>
  <si>
    <t>IMG 27, P.22</t>
  </si>
  <si>
    <t>February 8, 1757</t>
  </si>
  <si>
    <t>"The canes in the Old Curing House Piece have turn'd out very bad. Short, dry, sticky, full of trash, bash'd, etc. Altho we work but 4 coppers, stand still great part of the time for want of liquor, etc."</t>
  </si>
  <si>
    <t>"Continue dropping, weariness all over me, etc."</t>
  </si>
  <si>
    <t>February 9, 1757</t>
  </si>
  <si>
    <t>"Pains all over me, weariness, etc."</t>
  </si>
  <si>
    <t>IMG 292, P.5</t>
  </si>
  <si>
    <t>February 13, 1757</t>
  </si>
  <si>
    <t>"A strong North [wind] at times cloudy, some few drops fo rain."</t>
  </si>
  <si>
    <t>E544</t>
  </si>
  <si>
    <t>IMG 29, P.24</t>
  </si>
  <si>
    <t>February 14, 1757</t>
  </si>
  <si>
    <t>"Ambo sick of the fever."</t>
  </si>
  <si>
    <t>"Sent for Dr. Gorse and he come. Bloody water and comes away by dribbles with pain, suppos'd stone or gravel, also violent pain in my bowels, proceeding from the dry belly ache, took electuary, drank spinard tea, etc, buyt no easier. Took 26 drops of Laudanum at night, gave me a little ease."</t>
  </si>
  <si>
    <t>THE OVERSEER
DR. GORSE</t>
  </si>
  <si>
    <t xml:space="preserve">P43
P228
</t>
  </si>
  <si>
    <t>"A strong North [wind], fair weather. PM a great deal of hard Rain."</t>
  </si>
  <si>
    <t>IMG 32, P.27</t>
  </si>
  <si>
    <t>February 15, 1757</t>
  </si>
  <si>
    <t>"Ambo yet sick. 22 cutters in teh field. 3 carts employ'd. Finish'd cutting down the Old Negroes house piece. Very wett afternoonS."</t>
  </si>
  <si>
    <t>P315
P170</t>
  </si>
  <si>
    <t>IMG 30, P.25</t>
  </si>
  <si>
    <t>"Continue in mighty pain. Took Electuary, drank spikenard tea etc. PM Had 2 turpentine glysters given me this afternoon (by Mulatto Will) and Dr. Gorse orders had some small effect. At night took 26 drops of laudanum."</t>
  </si>
  <si>
    <t>THE OVERSEER
DR. GORSE
MULATTO WILL</t>
  </si>
  <si>
    <t xml:space="preserve">P43
P228
P448
</t>
  </si>
  <si>
    <t>February 16, 1757</t>
  </si>
  <si>
    <t>"Rec'd from Dr. Gorse a vial of Balsam capivi and a purging drought for tomorrow. Took balsam capivi, also took 25 drops of laudanum at night and 8 in the night afterwards, hot bricks constantly applied to my belly, urine much the same."</t>
  </si>
  <si>
    <t>P43
P228</t>
  </si>
  <si>
    <t>February 16</t>
  </si>
  <si>
    <t>"Middle of the day sprung up a strong North [wind]. PM, Most aprt hard rain."</t>
  </si>
  <si>
    <t>IMG 31, P.26</t>
  </si>
  <si>
    <t>February 17, 1757</t>
  </si>
  <si>
    <t>"23 cutters in the field, Ambo out again."</t>
  </si>
  <si>
    <t>EGYPT FIELD HANDS
AMBO</t>
  </si>
  <si>
    <t>"Took a purge of manna, work'd very well, and gave me a great deal of ease. Continue to take calsam capivi drops 35 at a time, in a little sangori 4 times a day. Took 25+8=3 laudanjum drops, rested indifferently."</t>
  </si>
  <si>
    <t>IMG 293, P.6</t>
  </si>
  <si>
    <t>"Sprung up a North [wind] as usual and PM, a great deal of Rain."</t>
  </si>
  <si>
    <t>February 18, 1757</t>
  </si>
  <si>
    <t>"Pain in making water continues, continue to take Balsam capivi drops as before and laudanum at night, seem somewhat easier."</t>
  </si>
  <si>
    <t>IMG 31, P.2</t>
  </si>
  <si>
    <t>February 20, 1757</t>
  </si>
  <si>
    <t>"Don't go out yet, but better. Eat heartily, etc. Make water more easily by continue to take Balsam capivi drops."</t>
  </si>
  <si>
    <t>February 21, 1757</t>
  </si>
  <si>
    <t>"Walk'd out a little in the heat of the day. Faint and weak. Pains not all gonem urine continues high colouerd and pains in my groins. Take balsam capivi &amp; laudanum every night."</t>
  </si>
  <si>
    <t>February 22, 1757</t>
  </si>
  <si>
    <t>"Was about the works a little, etc. Rode into the field etc, took Balsam capivi, weak and out of order yet. Pains not quite gone yet, took laudanum."</t>
  </si>
  <si>
    <t>E692</t>
  </si>
  <si>
    <t>"Weeding the Old Scotch grass cane piece canes (grinding off rum canes till Middle of the Afternoon; all the sugar cane liquor being boil'd off and the sugar pull'd, vizt 17 potts.
* Paradise and Salt Ricver not about about, can't make good sugar (ours very good yet, thank God)</t>
  </si>
  <si>
    <t>E685</t>
  </si>
  <si>
    <t>IMG 33, P.28</t>
  </si>
  <si>
    <t>February 23, 1757</t>
  </si>
  <si>
    <t>"New Negroe Quacoo seen in the morning, but wanting all day."</t>
  </si>
  <si>
    <t>"rode over the estate, weak, faiknt, and some pains yet. Mighty weakness of the parts. Took some Balsam capivi, feverish at night, etc."</t>
  </si>
  <si>
    <t>IMG 39, P.34</t>
  </si>
  <si>
    <t>March 5, 1757</t>
  </si>
  <si>
    <t>"Not well today, pain in my right groin."</t>
  </si>
  <si>
    <t>E686</t>
  </si>
  <si>
    <t>March 7, 1757</t>
  </si>
  <si>
    <t>"In the morning cum Egypt Susanah in the curing stans backwards."</t>
  </si>
  <si>
    <t>THE OVERSEER
EGYPT SUSANAH</t>
  </si>
  <si>
    <t>E690</t>
  </si>
  <si>
    <t>IMG 43, P.38</t>
  </si>
  <si>
    <t>March 13, 1757</t>
  </si>
  <si>
    <t>"Mrs. Blake's Doll here to see Phibbah, Old Harry the cook's daughter with her and Cubbah show'd me some curious darning off [sic] Cubbah's doing."</t>
  </si>
  <si>
    <t>MRS. BLAKE'S DOLL
PHIBBAH
OLD HARRY THE COOK'S DAUGHTER
ACCUBAH</t>
  </si>
  <si>
    <t>P160
P7
P16
P517</t>
  </si>
  <si>
    <t>E546</t>
  </si>
  <si>
    <t>IMG 48, P.43</t>
  </si>
  <si>
    <t>March 23, 1757</t>
  </si>
  <si>
    <t>"Make very indifferent sugar today our canes so worm eaten."</t>
  </si>
  <si>
    <t>IMG 49, P.44</t>
  </si>
  <si>
    <t>March 26, 1757</t>
  </si>
  <si>
    <t>"Made 119 potts this week, some of it very indifferent the canes so worm eaten, tho not about a score of potts."</t>
  </si>
  <si>
    <t>IMG 51, P.46</t>
  </si>
  <si>
    <t>March 31, 1757</t>
  </si>
  <si>
    <t>"In the evening, headache, feverish."</t>
  </si>
  <si>
    <t>April 1, 1757</t>
  </si>
  <si>
    <t>"Had the ague, fever and headache middle of the day."</t>
  </si>
  <si>
    <t>E687</t>
  </si>
  <si>
    <t>April 2, 1757</t>
  </si>
  <si>
    <t>"Eve absconded."</t>
  </si>
  <si>
    <t>IMG, 53, P.48</t>
  </si>
  <si>
    <t>April 4, 1757</t>
  </si>
  <si>
    <t>"In the morning, Eve come home. I tyed her up to the oven post and gave her a little correction."</t>
  </si>
  <si>
    <t>THE OVERSEER
EVE</t>
  </si>
  <si>
    <t>P43
P128</t>
  </si>
  <si>
    <t>April 12, 1757</t>
  </si>
  <si>
    <t>"In the morning put about 20 cutters in the field, finish'd the Old Sheep Pen cane piece (the last we have to cut this crop) by Negroe Breakfast time and all the cane ground off, by about 10 at night. Finish'd cutting this year with 1037 cutt in 50 days, which about 20 37/50 per day."</t>
  </si>
  <si>
    <t>l1-s</t>
  </si>
  <si>
    <t>April 13, 1757</t>
  </si>
  <si>
    <t>"Finish'd our crop this forenoon, have made since yesterady morning 12 potts: this piece has produced 225 potts. Makes 991 potts of whole crop."</t>
  </si>
  <si>
    <t>"Have a pain in my back, etc. Proceeds I take it from getting cold where I slept on Monday night."</t>
  </si>
  <si>
    <t>E369</t>
  </si>
  <si>
    <t>IMG 60, P.55</t>
  </si>
  <si>
    <t>April 14, 1757</t>
  </si>
  <si>
    <t>"Mason Quashe and Egypt Lucy, caught by Daniel her husband."</t>
  </si>
  <si>
    <t>EGYPT LUCY
MASON QUASHE
DANIEL</t>
  </si>
  <si>
    <t>P3
P42
P25</t>
  </si>
  <si>
    <t>"My back very much pains me. Seems quite sore."</t>
  </si>
  <si>
    <t>April 15, 1757</t>
  </si>
  <si>
    <t>"My back very sore in the flesh between the shoulders, seems cold &amp; very odd."</t>
  </si>
  <si>
    <t>IMG 61, P.56</t>
  </si>
  <si>
    <t>April 16, 1757</t>
  </si>
  <si>
    <t>"My back pains me as yesterday, and my breasts alos much in the same manner."</t>
  </si>
  <si>
    <t>E698</t>
  </si>
  <si>
    <t>IMG 62, P.57</t>
  </si>
  <si>
    <t>April 17, 1757</t>
  </si>
  <si>
    <t>"Thomas Fewkes very abusive tonight, swore he would set fire to the plantation, great house, etc. and that he would see my eharts bleed in the morning, etc. Continued to threaten, and swear in such a state, most of the night as thus! "Damn ye, damn ye I will etc."</t>
  </si>
  <si>
    <t>THE OVERSEER
THOMAS FEWKES</t>
  </si>
  <si>
    <t>P43
P524</t>
  </si>
  <si>
    <t>April 18, 1757</t>
  </si>
  <si>
    <t>"In the morning put Thomas in the bilboes, his insolence was so great. Rode to Col. Rickett's, breakfasted with him and Mrs. Ricketts, he advised taking thomas down to the Bay, before him and Mr. Lewis."</t>
  </si>
  <si>
    <t>THE OVERSEER
THOMAS FEWKES
 COLONEL RICKETT
MRS. RICKETT</t>
  </si>
  <si>
    <t>P43
P524
P512
P525</t>
  </si>
  <si>
    <t>IMG 64, P.59</t>
  </si>
  <si>
    <t>April 19, 1757</t>
  </si>
  <si>
    <t>"My back and breasts sore seeminfgly, tho nothing to see to them, chaf'd with riding. Weary, etc."</t>
  </si>
  <si>
    <t>IMG 63, P.58</t>
  </si>
  <si>
    <t>"Rode to Mr. Bosley's &amp; he granted me a warrant against Thomas, rode to the Bay and gave 2 bitts with to the Jew constable at Mr. David Lopez'
PM rode with the Constable to Egypt. He served the warrant upon Thom in the bilboes, let him out and discharg'd him [from] the plantation. the constable commanded Samuel Matthews in the King's name, to aid and assist him. Mr. Cope would not let Thomas have a mule so he walk'd. We call'd at Col. Barclay's, tho could not get security sufficient, so the Col. advised our going to Mr. Bosley's, we went, not at home, from thence to Mr. Lewis where found Col. Rickett, etc etc. where upon thomas submitting himself in an extraordinary manner and desiring the gentlemen to beg for him, etc. I forgave him, upon pursuing the charges (going home) Sam with me."</t>
  </si>
  <si>
    <t xml:space="preserve">THE OVERSEER
MR. BOSLEY
DAVID LOPEZ
THOMAS FEWKES
COLONEL RICKETT
SAM MATHEWS
JOHN COPE
</t>
  </si>
  <si>
    <t>P43
P512
P141
P79
P524</t>
  </si>
  <si>
    <t>E370</t>
  </si>
  <si>
    <t>IMG 65, P.60</t>
  </si>
  <si>
    <t>April 21, 1757</t>
  </si>
  <si>
    <t>"Egypt Lucy's feet put in steep."</t>
  </si>
  <si>
    <t>E688</t>
  </si>
  <si>
    <t>IMG 66, P.61</t>
  </si>
  <si>
    <t>April 23, 1757</t>
  </si>
  <si>
    <t>"Gave the Negroes today. Many went to the Mountain to work. Sam Mathews gone there also."</t>
  </si>
  <si>
    <t>EGYPT FIELDHANDS
SAM(UEL) MATHEWS</t>
  </si>
  <si>
    <t>P315
P79</t>
  </si>
  <si>
    <t>"Eve wanting since last night."</t>
  </si>
  <si>
    <t>IMG 68, P.63</t>
  </si>
  <si>
    <t>April 26, 1757</t>
  </si>
  <si>
    <t>"Back &amp; breasts seemingly sore, as beforem, many little boils on the back of my thighs &amp; itch very much over all over."</t>
  </si>
  <si>
    <t>IMG 69, P.64</t>
  </si>
  <si>
    <t>April 28, 1757</t>
  </si>
  <si>
    <t>"As before and a large boil on my left leg."</t>
  </si>
  <si>
    <t>April 29, 1757</t>
  </si>
  <si>
    <t>"As before, much as may be, the Boil on my leg very painful &amp; vastly swell'd."</t>
  </si>
  <si>
    <t>IMG 70, P.65</t>
  </si>
  <si>
    <t>April 30, 1757</t>
  </si>
  <si>
    <t>"Soreness of my back and breasts somewhat abated, Boil on my leg vastly painful and makes my leg swell very much, several small boils about me in other places.:"</t>
  </si>
  <si>
    <t>E371</t>
  </si>
  <si>
    <t>IMG 71, P.66</t>
  </si>
  <si>
    <t>May 1, 1757</t>
  </si>
  <si>
    <t>"Gave Mason Quashe my old hatt &amp; began to wear my new one every day."</t>
  </si>
  <si>
    <t>MASON QUASHE
THE OVERSEER</t>
  </si>
  <si>
    <t>P43
25</t>
  </si>
  <si>
    <t>IMG 72, P.67</t>
  </si>
  <si>
    <t>May 3, 1757</t>
  </si>
  <si>
    <t>"Am not nigh well today, ehad ache, pain in my Bones."</t>
  </si>
  <si>
    <t>IMG 73, P.68</t>
  </si>
  <si>
    <t>May 5, 1757</t>
  </si>
  <si>
    <t>"Am much troubl'd with boils not on my left legg and thigh. Head ache, fevrish, etc."</t>
  </si>
  <si>
    <t>May 6, 1757</t>
  </si>
  <si>
    <t>"The boils I have are exceedingly troublesome."</t>
  </si>
  <si>
    <t>IMG 74, P.69</t>
  </si>
  <si>
    <t>May 7, 1757</t>
  </si>
  <si>
    <t>"No news of Hazat, Quacoo, Jackie, Eve or Rachael."</t>
  </si>
  <si>
    <t>HAZAT
QUACOO
JACKIE
EVE
RACHAEL</t>
  </si>
  <si>
    <t>P87
P298
P102
P128
P426</t>
  </si>
  <si>
    <t>"The potato and break ax canes begin to be very much eaetn by Negroes along against the road. Hazat watches poorly."</t>
  </si>
  <si>
    <t xml:space="preserve">P87
</t>
  </si>
  <si>
    <t>May 9, 1757</t>
  </si>
  <si>
    <t>"Lewie brought home Rachael, had her whipp'd. Also whipp'd Hazat for letting the canes be eat.
Mason Quashe, Plato &amp; Quamina gone to look [for] the runaways."</t>
  </si>
  <si>
    <t>LEWIE
RACHAEL
HAZAT
THE OVERSEER
MASON QUASHE
PLATO
QUAMINA</t>
  </si>
  <si>
    <t>P317
P426
P87
P43
P25
P208
P354</t>
  </si>
  <si>
    <t>May 10, 1757</t>
  </si>
  <si>
    <t>"Quashe, Plato &amp; Quamina out yet looking [for] runaways."</t>
  </si>
  <si>
    <t>MASON QUASHE
PLATO
QUAMINA</t>
  </si>
  <si>
    <t>P25
P208
P354</t>
  </si>
  <si>
    <t>IMG 76, P.71</t>
  </si>
  <si>
    <t>May 11, 1757</t>
  </si>
  <si>
    <t>"In the evening one of Mr. Barnard Senior's Negroe Men brought home Jackie with a letter from him to Mr. Cope."</t>
  </si>
  <si>
    <t>ENSLAVED MAN [MR. BARNARD SENIOR]
JACKIE</t>
  </si>
  <si>
    <t>P519
P102</t>
  </si>
  <si>
    <t>May 12, 1757</t>
  </si>
  <si>
    <t>"Gave Jackie about 150 lashes, pickl'd him well and made him confess who harboured him, then sent him in the field.":</t>
  </si>
  <si>
    <t>THE OVERSEER
JACKIE</t>
  </si>
  <si>
    <t>P43
P102</t>
  </si>
  <si>
    <t>E374</t>
  </si>
  <si>
    <t>IMG 77, P.72</t>
  </si>
  <si>
    <t>May 13, 1757</t>
  </si>
  <si>
    <t>"Spoke to Dr. Cutling about Kendal, etc."</t>
  </si>
  <si>
    <t>THE OVERSEER
DR. CUTLING</t>
  </si>
  <si>
    <t>P43
P520</t>
  </si>
  <si>
    <t>"My boils are now pretty well."</t>
  </si>
  <si>
    <t>IMG 78, P.71</t>
  </si>
  <si>
    <t>May 14, 1757</t>
  </si>
  <si>
    <t>"Eve brought home, whipp'd, chain'd."</t>
  </si>
  <si>
    <t>May 15, 1757</t>
  </si>
  <si>
    <t>"In the morning Paradise Dover come sent Plato and Quamina out with him, to look for Hazat &amp; Quacoo."</t>
  </si>
  <si>
    <t>PARADISE DOVER
PLATO
QUAMINA
HAZAT
QUACOO</t>
  </si>
  <si>
    <t>P494
P208
P354
P87
P298</t>
  </si>
  <si>
    <t>LO</t>
  </si>
  <si>
    <t>IMG 80, P.75</t>
  </si>
  <si>
    <t>May 19, 1757</t>
  </si>
  <si>
    <t>"Paradise Dover, Plato and Quamina yet out."</t>
  </si>
  <si>
    <t>PARADISE DOVER
PLATO
QUAMINA</t>
  </si>
  <si>
    <t>P494
P208
P354</t>
  </si>
  <si>
    <t>IMG 81, P.76</t>
  </si>
  <si>
    <t>May 20, 1757</t>
  </si>
  <si>
    <t>"Dover, Plato and Quamina yet out after runaways."</t>
  </si>
  <si>
    <t xml:space="preserve">PARADISE DOVER
PLATO
QUAMINA
</t>
  </si>
  <si>
    <t>E545</t>
  </si>
  <si>
    <t>IMG 82, P.77</t>
  </si>
  <si>
    <t>May 22, 1757</t>
  </si>
  <si>
    <t>"This morning a flood, has been so much rain the country."</t>
  </si>
  <si>
    <t>May 23, 1757</t>
  </si>
  <si>
    <t>"Mr. John Hutt here all day and night."</t>
  </si>
  <si>
    <t>IMG 83, P.78</t>
  </si>
  <si>
    <t>May 24, 1757</t>
  </si>
  <si>
    <t>"A small flood continues, disagreeable weather."</t>
  </si>
  <si>
    <t>May 25, 1757</t>
  </si>
  <si>
    <t>"Paradise Dover, Plato, &amp; Quamina come home, without Quacoo or Hazat."</t>
  </si>
  <si>
    <t>PARADISE DOVER
PLATO
QUAMINA
QUACOO
HAZAT</t>
  </si>
  <si>
    <t>P494
P208
P354
P298
P87</t>
  </si>
  <si>
    <t>"this evening a pretty large flood, tho nothing to what I have seen [before]."</t>
  </si>
  <si>
    <t>May 26, 1757</t>
  </si>
  <si>
    <t>"The waters higher this morning than they were last night, but about 8 am began to fall: have known much more water."</t>
  </si>
  <si>
    <t>IMG 84, P.79</t>
  </si>
  <si>
    <t>May 27, 1757</t>
  </si>
  <si>
    <t>"the water much abated."</t>
  </si>
  <si>
    <t>E373</t>
  </si>
  <si>
    <t>IMG 86, P.81</t>
  </si>
  <si>
    <t>May 30, 1757</t>
  </si>
  <si>
    <t>"Negroes ought to be burn mark'd at five years old."</t>
  </si>
  <si>
    <t>May 31, 1757</t>
  </si>
  <si>
    <t>"AM cyrus leading out dung with 2 carts to Top Hill. Old Phibbah, Rachael, Little Doll &amp; Cukor filling the carts."</t>
  </si>
  <si>
    <t>CYRUS
OLD PHIBBAH
RACHAEL
LITTLE DOLL
CUKOR</t>
  </si>
  <si>
    <t>P210
P96
P426
P247
P110</t>
  </si>
  <si>
    <t>E700</t>
  </si>
  <si>
    <t>IMG 87, P.832</t>
  </si>
  <si>
    <t>June 1, 1757</t>
  </si>
  <si>
    <t>"About 11 AM Cum ellin, sup terr in the Old Boiling House cane piece, Paradise."</t>
  </si>
  <si>
    <t>IMG 88, P.83</t>
  </si>
  <si>
    <t>June 2, 1757</t>
  </si>
  <si>
    <t>"PM rode to the Old Hope and spoke with Mrs. Katy about Kendal, she promises fair."</t>
  </si>
  <si>
    <t>THE OVERSEER
MRS. KATY</t>
  </si>
  <si>
    <t>P43
P521</t>
  </si>
  <si>
    <t>E581</t>
  </si>
  <si>
    <t>IMG 90, P.85</t>
  </si>
  <si>
    <t>June 5, 1757</t>
  </si>
  <si>
    <t>"Sophy or Sophia, a pretty name for a Negroe wench."</t>
  </si>
  <si>
    <t>IMG 93, P.88</t>
  </si>
  <si>
    <t>June 10, 1757</t>
  </si>
  <si>
    <t>"It is said that in this last flood, dry-River has overflowed its Banks and done a mighty deal of damage."</t>
  </si>
  <si>
    <t>June 11, 1757</t>
  </si>
  <si>
    <t>"Doctor Cutting called to see me, discoursed about Kendall."</t>
  </si>
  <si>
    <t>DR. CUTLING
THE OVERSEER</t>
  </si>
  <si>
    <t>E372</t>
  </si>
  <si>
    <t>IMG 94, P.89</t>
  </si>
  <si>
    <t>June 12, 1757</t>
  </si>
  <si>
    <t>"If Negroes are the seed of Cain, how were they preserved in the universal deluge."</t>
  </si>
  <si>
    <t>E364</t>
  </si>
  <si>
    <t>"Accubah come home, to stay a week, etc.
At night cum Phibbah."</t>
  </si>
  <si>
    <t>ACCUBAH</t>
  </si>
  <si>
    <t>IMG 97, P.92</t>
  </si>
  <si>
    <t>June 18, 1757</t>
  </si>
  <si>
    <t>"In the morning rode to Paul Island and agreed with Mr. John Parkinson to live at Kendal. Am to have one hundred per ann. the first year and afterwards to have my wages raised. 4 Barrells of Beff, one of flower [sic], 2 firkins of butter, a box of soap, a box of candles, rum, sugar, plantains, etc. and to raise fowls--got home before noon."</t>
  </si>
  <si>
    <t>THE OVERSEER
JOHN PARKINSON</t>
  </si>
  <si>
    <t>P43
P83</t>
  </si>
  <si>
    <t>IMG 98, P.93</t>
  </si>
  <si>
    <t>June 19, 1757</t>
  </si>
  <si>
    <t>"Phibbah grieves very much, and last night I could not sleep, but vastly uneasy, etc."</t>
  </si>
  <si>
    <t>June 20, 1757</t>
  </si>
  <si>
    <t>"Accubbah gone to school again."</t>
  </si>
  <si>
    <t>ACCUBBAH</t>
  </si>
  <si>
    <t>"Mr. Cope won't consent to advance my wages at all."</t>
  </si>
  <si>
    <t>June 21, 1757</t>
  </si>
  <si>
    <t>"Don't concern muyself with the Field today."</t>
  </si>
  <si>
    <t>IMG 99, P.94</t>
  </si>
  <si>
    <t>June 22, 1757</t>
  </si>
  <si>
    <t>"Begg'd hard of Mrs. Cope to sell or hire Phibbah to me, but she would not: he was willing.</t>
  </si>
  <si>
    <t>THE OVERSEER
THE PLANTER
THE PLANTER'S WIFE</t>
  </si>
  <si>
    <t>P43
P44
P45</t>
  </si>
  <si>
    <t>E622</t>
  </si>
  <si>
    <t>IMG 100, P.95</t>
  </si>
  <si>
    <t>"Gave 8 bitts for Little Quaw, 4 to Damsel, 2 to Silvia, 4 to Ambo, to Mazarine, and 8 to Nancy."</t>
  </si>
  <si>
    <t>THE OVERSEER
LITTLE QUAW
DAMSEL
EGYPT SILVIA [ADULT]
AMBO
MAZARINE
NANCY</t>
  </si>
  <si>
    <t>P43
P476
P34
P122
P170
P123
P8</t>
  </si>
  <si>
    <t>IMG 101, P.96</t>
  </si>
  <si>
    <t>June 23, 1757</t>
  </si>
  <si>
    <t>Phibbah gave me a gold ring to keepf or her sake.</t>
  </si>
  <si>
    <t>P7
P4</t>
  </si>
  <si>
    <t>"Mr. cope laid in bed till almost 10 o'clock, wanted to settle with him which I did thus:
Egypt Westmoreland, June the 23, 1757
I promise to pay Mr. Thistlewood or order the sum of seventy pounds, currency with Lawful interest on demand for value received by me.
John Cope."</t>
  </si>
  <si>
    <t>THE OVERSEER
JOHN COPE</t>
  </si>
  <si>
    <t>June 24, 1757</t>
  </si>
  <si>
    <t>"In the morning parted with Phibbah and set off for Kendal, but Dick mule (which Mr. Cope lent me for Lincoln to ride) was very wilg and threw him so he was forced to change for MArk, which huindered us and made it past sunrise a good while before we got out of the estate. Got to Valley Tavern about 10 AM. Spent 2 bitts and got to Kendal before noon a good while. Dr. Cutting was out shipping sugar and come home about 4 PM. A strange confusion on the estate not above a dozen Negroes in the fields, rest carrying sugar, etc. Nobody about the house to take care of any thing that I seek, the works in slovenly order, etc."</t>
  </si>
  <si>
    <t xml:space="preserve">THE OVERSEER
PHIBBAH
LINCOLN
</t>
  </si>
  <si>
    <t>P43
P7
P24</t>
  </si>
  <si>
    <t>E139</t>
  </si>
  <si>
    <t>IMG, 106, P.101</t>
  </si>
  <si>
    <t>July 2, 1757</t>
  </si>
  <si>
    <t>"In the evening Sam Mathews come, rode on Mark Mule and Phibbah with him, rode on Sam's mare a good while after sunset. Came vastly unexpected, was sent to persuade me back to Egypt. At night cum illa."</t>
  </si>
  <si>
    <t>THE OVERSEER
SAM MATHEWS
PHIBBAH</t>
  </si>
  <si>
    <t>P43
P7
P79</t>
  </si>
  <si>
    <t>IMG 107, P.102</t>
  </si>
  <si>
    <t>July 3, 1757</t>
  </si>
  <si>
    <t>"In morning walk'd about and show'd Sam and Phibbah garden, all the works, etc. etc. 
PM walked with Phibbah to Negroe houses, plantane walk etc etc and discussed enought about various affairs, etc."</t>
  </si>
  <si>
    <t>THE OVERSEER
PHIBBAH
SAM</t>
  </si>
  <si>
    <t>P43
P7
P181</t>
  </si>
  <si>
    <t>E142</t>
  </si>
  <si>
    <t>"Nancy brought to bed of a girl about a week ago, had a very hard labour: child dead."</t>
  </si>
  <si>
    <t>E144</t>
  </si>
  <si>
    <t>IMG 108, P.103</t>
  </si>
  <si>
    <t>July 4, 1757</t>
  </si>
  <si>
    <t>"Lent Phibbah my horse ort ride home on, she set out before sunrise, made Lincoln go with her, he carryed some plantanes in a baskettand afew French beans for her to plant. Sent Mrs. Cope some roses. I wihs they could sell her to me. (She had Nancy's side saddle)</t>
  </si>
  <si>
    <t>THE OVERSEER
PHIBBAH
LINCOLN
MRS. COPE
NANCY</t>
  </si>
  <si>
    <t>P43
P7
P24
P45
P8</t>
  </si>
  <si>
    <t>L20
L1</t>
  </si>
  <si>
    <t>IMG 120, P.115</t>
  </si>
  <si>
    <t>July 25, 1757</t>
  </si>
  <si>
    <t>"About 7 AM Phibbah set forward for Westmoreland, wrote by her to Mr. Cope that I would return provided he would give one hundred pounds per annum as I have here."</t>
  </si>
  <si>
    <t>PHIBBAH
THE OVERSEER
JOHN COPE</t>
  </si>
  <si>
    <t>P7
P43
P44</t>
  </si>
  <si>
    <t>E181</t>
  </si>
  <si>
    <t>IMG 7, P.2</t>
  </si>
  <si>
    <t>January 3, 1758</t>
  </si>
  <si>
    <t>"To Mr. Samuel Dume for a silver mark, 15. Thus!"
[Drawing of TT brand]</t>
  </si>
  <si>
    <t>THE OVERSEER
SAMUEL DUME</t>
  </si>
  <si>
    <t>P43
P227</t>
  </si>
  <si>
    <t>E405</t>
  </si>
  <si>
    <t>January 4, 1758</t>
  </si>
  <si>
    <t>"Phibbah told me of Old Sambo's persuasions at Kendal to Lincoln and his walKing round Cabaritta upper bridge with a white man who promised to carry him to his country and that he should wear shoes, stockings, etc."</t>
  </si>
  <si>
    <t>THE OVERSEER
PHIBBAH
OLD SAMBO
LINCOLN</t>
  </si>
  <si>
    <t xml:space="preserve">P43
P7
P364
P24
</t>
  </si>
  <si>
    <t>E406</t>
  </si>
  <si>
    <t>January 9, 1758</t>
  </si>
  <si>
    <t>"Eve miscarried tonight."</t>
  </si>
  <si>
    <t>E468</t>
  </si>
  <si>
    <t>IMG 9, P.4</t>
  </si>
  <si>
    <t>January 12, 1758</t>
  </si>
  <si>
    <t>"Boiling house on Fire, but I happily soon stopp'd it."</t>
  </si>
  <si>
    <t>E407</t>
  </si>
  <si>
    <t>January 16, 1758</t>
  </si>
  <si>
    <t>"At night in bed a centipede bit or stung th forefinger of my left hand, laid awake 4 or 5 hours with the anguish."</t>
  </si>
  <si>
    <t xml:space="preserve">P43
</t>
  </si>
  <si>
    <t>E408</t>
  </si>
  <si>
    <t>January 18, 1758</t>
  </si>
  <si>
    <t>"A mighty alligator lioes every day with this mouth wide open a little below hill. Shot at him today but so many Black snakes upon the mongroves and so impudent, would not let me set still as I ought."</t>
  </si>
  <si>
    <t>E409</t>
  </si>
  <si>
    <t>January 26, 1758</t>
  </si>
  <si>
    <t>"Mr. John Parkinson says that sugar now bought at 25 currencuy ought to fetch 36 sterling in England to answer, insurance per Conasy."</t>
  </si>
  <si>
    <t>E562</t>
  </si>
  <si>
    <t>January 29, 1758</t>
  </si>
  <si>
    <t>"Gave Lincoln an old Jacket."</t>
  </si>
  <si>
    <t>E75</t>
  </si>
  <si>
    <t>February 4, 1758</t>
  </si>
  <si>
    <t>"About 1/4 before 6 AM felt an earthquake."</t>
  </si>
  <si>
    <t>E467</t>
  </si>
  <si>
    <t>IMG 13, P.26</t>
  </si>
  <si>
    <t>February 18, 1758</t>
  </si>
  <si>
    <t>"In the morning (about 7 o'clock) rode in company with Mr. Cope to Salt River: was in the Boiling house etc, they make Bad sugar. From thence to Paradise amongst the canes etc, also was in the Boiling house, Still house, etc. They make very good sugar."</t>
  </si>
  <si>
    <t>L4
L2</t>
  </si>
  <si>
    <t>SALT RIVER ESTATE
PARADISE ESTATE</t>
  </si>
  <si>
    <t>E48</t>
  </si>
  <si>
    <t>February 19, 1758</t>
  </si>
  <si>
    <t>"Sam Mathews got Phibbah's Cubbah into the Boilinghouse by strategem, attempted to ravish her, stopp'd a handkercheif into her mouth, etc. Beat his wife Franke, was in liquor and seem'd a madman."</t>
  </si>
  <si>
    <t>COOBAH (P16)
SAM MATHEWS (P79)</t>
  </si>
  <si>
    <t>COOBAH
SAM MATHEWS</t>
  </si>
  <si>
    <t>P16
P79</t>
  </si>
  <si>
    <t>CUBBAH/ACCUBAH/JENNY YOUNG</t>
  </si>
  <si>
    <t>E56</t>
  </si>
  <si>
    <t>February 21, 1758</t>
  </si>
  <si>
    <t>"Bought of Mr. John Parkinson two New Negroe men at 51 pounds each, and a New Negroe girl at 46 pounds = 148 pounds. Mr. Parkinson would have no note or Bond."</t>
  </si>
  <si>
    <t>ABBA (P6)
THE OVERSEER (P43)
JOHN PARKINSON (P83)
JOHNIE (P84)
SIMON (P85)</t>
  </si>
  <si>
    <t>ABBA
THE OVERSEER
JOHN PARKINSON
JOHNIE
SIMON</t>
  </si>
  <si>
    <t>P6
P43
P83
P84
P85</t>
  </si>
  <si>
    <t>February 22, 1758</t>
  </si>
  <si>
    <t>"My 2 New Negroe men carrying cane and the girl in the cookroom with Phibbah."</t>
  </si>
  <si>
    <t xml:space="preserve">ABBA (P6)
JOHNIE (P84)
SIMON (P85)
PHIBBAH (P7)
</t>
  </si>
  <si>
    <t>ABBA 
JOHNIE 
SIMON
 PHIBBAH</t>
  </si>
  <si>
    <t>P6 
P84 
P85 
P7</t>
  </si>
  <si>
    <t>February 24 ,1758</t>
  </si>
  <si>
    <t>"My new Negroes as before."</t>
  </si>
  <si>
    <t xml:space="preserve">ABBA (P6)
JOHNIE (P84)
SIMON (P85)
</t>
  </si>
  <si>
    <t>ABBA
JOHNIE
SIMON</t>
  </si>
  <si>
    <t>P6
P84
P85</t>
  </si>
  <si>
    <t>February 25 ,1758</t>
  </si>
  <si>
    <t>February 27, 1758</t>
  </si>
  <si>
    <t>"My two New Negroes in Egypt field: the one I have named Johnie lives with Samuel Mathews, the other nam'd Simon with Cuffee &amp; the girl Abba in the cookroom."</t>
  </si>
  <si>
    <t>ABBA (P6)
JOHNIE (P84)
SIMON (P85)
CUFFEE (P86)</t>
  </si>
  <si>
    <t>ABBA
JOHNIE
SIMON
CUFFEE</t>
  </si>
  <si>
    <t>P6
P84
P85
P86</t>
  </si>
  <si>
    <t>E308</t>
  </si>
  <si>
    <t>March 9, 1758</t>
  </si>
  <si>
    <t>"To cure the jaundice: contrive to steal some of the afflicted person's urine in which boil an egg hard. Which pill and put in an Ant's nest and as the ants consume the egg, the person will gradually recover.
John Dorward, from Jeremiah Meyler from Dr. Robinson."</t>
  </si>
  <si>
    <t xml:space="preserve">
JOHN DORWARD
DR. ROBINSON
JEREMIAH MEYLER</t>
  </si>
  <si>
    <t>P159
P188
P282</t>
  </si>
  <si>
    <t>E638</t>
  </si>
  <si>
    <t>IMG 28, P.23</t>
  </si>
  <si>
    <t>March 21, 1758</t>
  </si>
  <si>
    <t>"Write a Memorandum, how Mulatto Will's goods are to be disposed of at his death. His wife's shipmate Silvia to have his his cow; her daughter Hester, the heifer; Damsel his wife (Jimmy Haye's wife) the. filly &amp; rest of what he has. He desires to be buried at Salt River at his mother Dinah's right hand and that no Negroes should sing.</t>
  </si>
  <si>
    <t>MULATTO WILL
SILVIA [SHIPMATE OF WIFE OF MULATTO WILL]
HESTER
DAMSEL [WIFE OF MULATTO WILL]
DINAH [MULATTO WILL'S MOTHER]</t>
  </si>
  <si>
    <t>P488
P489
P490
P492</t>
  </si>
  <si>
    <t>IMG 37, P.32</t>
  </si>
  <si>
    <t>April 3, 1758</t>
  </si>
  <si>
    <t>"At night cum Phibbah/ Little Cubbah there."</t>
  </si>
  <si>
    <t>THE OVERSEER
PHIBBAH
ACCUBAH</t>
  </si>
  <si>
    <t xml:space="preserve">P43
P7
P16
</t>
  </si>
  <si>
    <t>E348</t>
  </si>
  <si>
    <t>IMG 34, P.29</t>
  </si>
  <si>
    <t>April 4, 1758</t>
  </si>
  <si>
    <t>"Sent my Simon to live at Egypt with Old Bella, who will make him stir about.</t>
  </si>
  <si>
    <t>SIMON
OLD BELLA</t>
  </si>
  <si>
    <t>P365
P85</t>
  </si>
  <si>
    <t>IMG 35, P.30</t>
  </si>
  <si>
    <t>April 9, 1758</t>
  </si>
  <si>
    <t>"Mark'd my Negroes."</t>
  </si>
  <si>
    <t>THE OVERSEER
ABBA
JOHNIE
SIMON</t>
  </si>
  <si>
    <t>P43
P6
 P84
 P85</t>
  </si>
  <si>
    <t>E410</t>
  </si>
  <si>
    <t>April 10, 1758</t>
  </si>
  <si>
    <t>"Wrote to Mr. Tom Tomlinson Jnr, Mr. James Hayes, and Mr. Richard Hungerford. Rec'd 300 double tin nails, silver mark for Negroes and marking iron."</t>
  </si>
  <si>
    <t>THE OVERSEER
TOM TOMLINSON
JAMES HAYES
RICHARD HUNGERFORD</t>
  </si>
  <si>
    <t>P43
P111
P367
P366</t>
  </si>
  <si>
    <t>April 19, 1758</t>
  </si>
  <si>
    <t>"About 2 pm cum mia Abba sup lect (sed non bene)"</t>
  </si>
  <si>
    <t>ABBA (P6)
THE OVERSEER (P43)</t>
  </si>
  <si>
    <t>ABBA
THE OVERSEER</t>
  </si>
  <si>
    <t xml:space="preserve">P6
P43
</t>
  </si>
  <si>
    <t>E324</t>
  </si>
  <si>
    <t>IMG 45, P.40</t>
  </si>
  <si>
    <t>May 9, 1758</t>
  </si>
  <si>
    <t>"London stabbed himself at Egypt (not mortal/being ill used by Sam Mathews)</t>
  </si>
  <si>
    <t>LONDON
SAM MATHEWS</t>
  </si>
  <si>
    <t>P249
P79</t>
  </si>
  <si>
    <t>IMG 47, P.42</t>
  </si>
  <si>
    <t>May 18, 1758</t>
  </si>
  <si>
    <t>"At night Phibbah came and her Accubah with her, who slept on the far side in the same bed. * House Franke sent me 3 bottles of porter."</t>
  </si>
  <si>
    <t>PHIBBAH (P7)
COOBAH (P16)</t>
  </si>
  <si>
    <t>PHIBBAH
COOBAH</t>
  </si>
  <si>
    <t>P7
P16</t>
  </si>
  <si>
    <t>IMG 50, P.45</t>
  </si>
  <si>
    <t>May 26, 1758</t>
  </si>
  <si>
    <t>"About 5 AM felt a slight shock of an earthquake."</t>
  </si>
  <si>
    <t>E411</t>
  </si>
  <si>
    <t>IMG 56, P.51</t>
  </si>
  <si>
    <t>June 12, 1758</t>
  </si>
  <si>
    <t xml:space="preserve">"The Measure of Egypt Cane Pieces According to Blythe, Etc. 1754
Corner Piece 0:1:13
Dogwood Tree Piece 0:2:26
Hannibals Piece 0:2:26
Coshoe Tree Piece 2:2:32
Fig Tree Piece 6:2:27 -- pond 2:29
Old Cow Penn Piece 3:1: 18--pond 2:26
Yams Piece 2:3:0
Thatch Tree Piece 3:2:13
Congo Hold Pond Piece 2:2:05
Breadnutt Tree Piece 4:2:16
Stoopace Piece 4:0:18
Mulatto Ground Path Piece 2:3:20
Marlepitt Piece 1:1:0
Old Scotch Grass Piece 6:1:24--pond 1:35
Tophill Piece 7:0:22
Papah Tree Piece 6:3:05 (now 7:1:19)
Coffee Ground Path Piece 9:1:13 (upper 5:0:0, lower 4:1:13)
Coffee Ground 2:3:0
Old Negroe House 6:2:0
Old Negroe Ground 8:1:16
Plum Tree Piece 5:2:13
Brok Ax Piece 4:0:21
Potato Piece 9:2:16--pond 3:14
Home Breadnutt Tree 2:0:16
Old Sheep Pen Piece 8:3:25
Old Curing House Piece 4:0:24
Milkwood Tree or Jude House Pond Piece 7:1:31, pond 1:1:25
Pimento Tree Piece 6:2:04
Home Calabash Tree Piece 3:1:36
Old Boiling House Piece 2:0:25
Orange Tree Piece 3:3:0
Cotton Tree Piece 8:1:26
Calabash Tree Piece 5:1:20
Pasture 65:0:0
Great Pond 2:0:18 </t>
  </si>
  <si>
    <t>E57</t>
  </si>
  <si>
    <t>June 18, 1758</t>
  </si>
  <si>
    <t>"Suspect Abba with Mould's Hazat, as they came together she broke the gourd, and he fetched another gourd of water, etc etc."</t>
  </si>
  <si>
    <t>ABBA (P6)
HAZAT (P87)
THE OVERSEER (P43)</t>
  </si>
  <si>
    <t>ABBA
HAZAT
THE OVERSEER</t>
  </si>
  <si>
    <t>P6
P87
P43</t>
  </si>
  <si>
    <t>IMG 59, P. 54</t>
  </si>
  <si>
    <t>June 20, 1758</t>
  </si>
  <si>
    <t>"Shot a Blackbird, of which made a bait for the alligator, which comes upon the wharfe every night. He came right under it, or by it, but would not take the bait. Must have eggs thereabouts."</t>
  </si>
  <si>
    <t>IMG 59, P.54</t>
  </si>
  <si>
    <t>June 22, 1758</t>
  </si>
  <si>
    <t>"About 11 pm was waked by a vast noice preceding an earthquake immediately came a hard shock which made my house crack and the Birds perched in the woods and Morass cry out."</t>
  </si>
  <si>
    <t xml:space="preserve">"Last night the alligator took the bait, but broke the hook, Sancho lent me. HAd a rope sat for him also. </t>
  </si>
  <si>
    <t>THE OVERSEER
SANCHO</t>
  </si>
  <si>
    <t>P43
P195</t>
  </si>
  <si>
    <t>June 25, 1758</t>
  </si>
  <si>
    <t>"Sat a rope or spring, by the wharfe for the alligator, which so frequently comes out there. About 9 PM being just gone to bed, heard the spring fly and the alligator struggl'd. Immediately run out and by the light of a crabwood torch. Shott him with 2 bolls. Sent for Old Sharper and by his assistance and the wharfe Negroes (having put another rope about him also). Hook'd him to my house, and fastened him to the Piazza posts, he struggled hard in the night, made sometimes a sort of snorting, and at others, a hissing noise, towards morning died."</t>
  </si>
  <si>
    <t>IMG 61-62, P.56-57</t>
  </si>
  <si>
    <t>June 26, 1758</t>
  </si>
  <si>
    <t>"In the morning mad eOld Sharper cutt up the alligator. He was veyr fat yet had nothing in his maw but a few crabbs, shills, and all and 8 stones, some of them very small. I preserv'd the largest one. He was long, 8 feet 7 inches and girth 3 feet inch, tho' so empty. Told 68 teeth, 12 of which are long. Has a sort of tongue fast between and her teeth for about 11 1/2 inches of that way, sone of which teeth are an inch long fron the gum. He can open his mouth very wide.
I took only half the teeth, half the mush and part of the tail. Gave Old Sharper and hte wharfe Negroes the rest. This was shie one."</t>
  </si>
  <si>
    <t>June 28, 1758</t>
  </si>
  <si>
    <t>"PM Having rec'd a line from Mr. Cpe, made Lincoln and Pluto row me up t Egypt; he agreed to give me 120 per annum certain and 20 s per hhs for all above 120, he is also to hire my Negroes. My time to commence tomorrow or as soon as I can move."</t>
  </si>
  <si>
    <t xml:space="preserve">THE OVERSEER
JOHN COPE
LINCOLN
PLUTO
</t>
  </si>
  <si>
    <t>P43
P45
P24
P276</t>
  </si>
  <si>
    <t>June 29, 1758</t>
  </si>
  <si>
    <t>E412</t>
  </si>
  <si>
    <t>June 30, 1758</t>
  </si>
  <si>
    <t xml:space="preserve">"Account of Last Crop According to Mr.Cope
Coffee Ground Path, Upper Piece Finished
 Cutting JAnuary 9th and Made 219 Potts
Coffee Ground- Jan. 13th.- 85
Potato- Feb. 11th--464
Break Axe-Feb. 25th--276
Papa Tree-March 13th--198
Marle Pitt--March 16th--61
Plum Tree-March 31--299
Old Scotch grass-April 18th-283
Coffee Ground Path Piee (Lower)-May 5th-68
Old Negroe House Piece-May 1st-132
Home Calabash Tree--May 11th-123
Pimento Tree-May 18th-139
Old Curing House Piece--May 23rd--65
Milkwood Tree-125
Old Sheep Pen-132
26669 Potts
</t>
  </si>
  <si>
    <t>E413</t>
  </si>
  <si>
    <t xml:space="preserve">"The Best Account of Each Week's Work, that I Can Gather
1st week--61
2nd--143
3rd--133
4th--134
5th--139
6th--x
7th--148
8th--123
9th--147
10th--107
=1135
11th--84
12th--106
13th--131
14th--148
15th--137
16th--105
17th--30
18th--120
=861
19th--111
20th--126
21st--140
22nd--40
23rd--45
24th--42
25th--64
=560
560+861+1135=2564
which is up by 105 potts, than the Truth, a bad account was kept of the potts made for 5 or 6 of the last weeks."
</t>
  </si>
  <si>
    <t>E414</t>
  </si>
  <si>
    <t>"Mr. Cope shipp'd this year aboard:
The Westmoreland, Capt William Hoar
Ashstead Galley, Lawrence Papphton
Earl of Effingham, Joseph Bellamy
Ruby, Thomas Poole
Ruby, McMillan
Apollo, William Blankett
Speedwell, Thomas Loke
Boyd, Daniel Henderson
Dursley Galley, Magnus Watson
dursley Galley, Prescott
Tartar, Thomason
William, Walein
Most of them had 15 tierces."</t>
  </si>
  <si>
    <t>E415</t>
  </si>
  <si>
    <t>July 1, 1758</t>
  </si>
  <si>
    <t>"Last night I laid with Mr. Weech and we were quite eat up with mosquitos."</t>
  </si>
  <si>
    <t>THE OVERSEER
MR. WEECH</t>
  </si>
  <si>
    <t>P43
P202</t>
  </si>
  <si>
    <t>July 2, 1758</t>
  </si>
  <si>
    <t>"At night Mr. Mould and I were eat up with mosquitos in Bed."</t>
  </si>
  <si>
    <t xml:space="preserve">THE OVESEER
</t>
  </si>
  <si>
    <t>P43
P252</t>
  </si>
  <si>
    <t>E58</t>
  </si>
  <si>
    <t>July 8, 1758</t>
  </si>
  <si>
    <t>"This morning Mr. and Mrs. Cope go to live at Paradise. The following Negroes also goe [sic] Paradise: tom, Bacchus (Mr. Mould's Nancy) Damsell, Little Mimber, Coobah, Eve, House Franke, Abba, Flora."</t>
  </si>
  <si>
    <t>THE PLANTER (P44)
THE PLANTER'S WIFE (P45)
TOM (P88)
BACCHUS (P89)
MR. MOULD'S NANCY (P90)
DAMSELL
LITTLE MIMBER (P80)
COOBAH (P16)
EVE (P128)
HOUSE FRANKE (P10)
ABBA (P6)
FLORA (P91)</t>
  </si>
  <si>
    <t>THE PLANTER
THE PLANTER'S WIFE
TOM
BACCHUS
MR. MOULD'S NANCY
DAMSELL
LITTLE MIMBER
COOBAH
EVE
HOUSE FRANKE
ABBA
FLORA</t>
  </si>
  <si>
    <t xml:space="preserve">P44
P45
P88
P89
P90
P80
P16
P128
P10
P6
P91
</t>
  </si>
  <si>
    <t>L1 , L2</t>
  </si>
  <si>
    <t>E268</t>
  </si>
  <si>
    <t>July 13, 1758</t>
  </si>
  <si>
    <t>"Driver Hazat wanting."</t>
  </si>
  <si>
    <t>IMG 72-73, P.67-68</t>
  </si>
  <si>
    <t>July 14, 1758</t>
  </si>
  <si>
    <t>"Driver Hazat and Doll come again.
Had Driver Hazat well flogg'd for being away 2 days this week."</t>
  </si>
  <si>
    <t>HAZAT
DOLL</t>
  </si>
  <si>
    <t>P87
P225</t>
  </si>
  <si>
    <t>July 15, 1758</t>
  </si>
  <si>
    <t>"In the evening had Easter, Hazat's wife, fetched from the Negroe house and flogg'd for harbouring him, at her house (Mr. Appleby's) last week."</t>
  </si>
  <si>
    <t>P87
P267</t>
  </si>
  <si>
    <t>E67</t>
  </si>
  <si>
    <t>July 16, 1758</t>
  </si>
  <si>
    <t>"Betimes this morning, Cloe brought to bed of a girl."</t>
  </si>
  <si>
    <t>CLOE (P101)</t>
  </si>
  <si>
    <t>E59</t>
  </si>
  <si>
    <t>IMG 75, P.70</t>
  </si>
  <si>
    <t>July 17, 1758</t>
  </si>
  <si>
    <t>"Had my Abba to Mr. Emotson, to learn to wash, etc, in about 2 years and I am to give ten pounds to be paid at taking her away. Mrs. Emotson is to feed her, only I gave her some plantanes this week."</t>
  </si>
  <si>
    <t>ABBA (P6)
MR. EMOTSON (P92)
MRS. EMOTSON (P93)</t>
  </si>
  <si>
    <t>ABBA
MR. EMOTSON
MRS. EMOTSON</t>
  </si>
  <si>
    <t>P6
P92
P93</t>
  </si>
  <si>
    <t>E416</t>
  </si>
  <si>
    <t>"Sam Mathews says Hazat threatening him a Saturday night by the turkey porch, has put him in fear of his life, but he is an intolerable lyar."</t>
  </si>
  <si>
    <t>SAM MATHEWS
HAZAT</t>
  </si>
  <si>
    <t>P79
P87</t>
  </si>
  <si>
    <t>E128</t>
  </si>
  <si>
    <t>IMG 79, P.74</t>
  </si>
  <si>
    <t>July 23, 1758</t>
  </si>
  <si>
    <t>"About break of Day this morning Mountain Lucy brought to bed of a boy."</t>
  </si>
  <si>
    <t>MOUNTAIN LUCY
MOUNTAIN LUCY'S CHILD/SON#3</t>
  </si>
  <si>
    <t>P30
P175</t>
  </si>
  <si>
    <t>July 24, 1758</t>
  </si>
  <si>
    <t>"Rec'd by Jackie from Paradise a cattle mark, silver mark for Negroes, cloaths for Cloe's child etc, a note from Mrs. Sarah Wheatle, 2 doses of manna, some anniseed, fennell seeds, etc."</t>
  </si>
  <si>
    <t>JACKIE (P102)
CLOE (101)
SARAH WHEATLE (P103)</t>
  </si>
  <si>
    <t>JACKIE
CLOE
SARAH WHEATLE</t>
  </si>
  <si>
    <t>P102
P101
P103</t>
  </si>
  <si>
    <t>July 25, 1758</t>
  </si>
  <si>
    <t>"When Cloe was in labour, she cried out, God damn my back &amp; arse, God damn my back &amp; roose, etc."</t>
  </si>
  <si>
    <t>July 27, 1758</t>
  </si>
  <si>
    <t>"About break of day Mountain Lucy's child died, Jaw fallen."</t>
  </si>
  <si>
    <t>MOUNTAIN LUCY'S CHILD/SON#2</t>
  </si>
  <si>
    <t>July 28, 1758</t>
  </si>
  <si>
    <t>"Whipped Bella and Old Phibbah for neglecting Mn. Lucy's child."</t>
  </si>
  <si>
    <t>THE OVERSEER
BELLA
OLD PHIBBAH</t>
  </si>
  <si>
    <t>P43
P96
P176</t>
  </si>
  <si>
    <t>E417</t>
  </si>
  <si>
    <t>July 29, 1758</t>
  </si>
  <si>
    <t>"Had Old Sarah whipp'd for harboring Lewie in her hutt, and him also."</t>
  </si>
  <si>
    <t>OLD SARAH
LEWIE</t>
  </si>
  <si>
    <t>P317
P370</t>
  </si>
  <si>
    <t>E418</t>
  </si>
  <si>
    <t>IMG 87,P.82</t>
  </si>
  <si>
    <t>August 3, 1758</t>
  </si>
  <si>
    <t>"About 3 PM Anjaw brought to bed of a boy."</t>
  </si>
  <si>
    <t>E45</t>
  </si>
  <si>
    <t>August 5, 1758</t>
  </si>
  <si>
    <t>"About 4 pm Egypt Lucy brought to bed of a boy."</t>
  </si>
  <si>
    <t>EGYPT LUCY (P3)</t>
  </si>
  <si>
    <t>August 9, 1758</t>
  </si>
  <si>
    <t>"PM Anjaw's child died--jaw fallen."</t>
  </si>
  <si>
    <t>ANJAW
ANJAW'S FIRST CHILD</t>
  </si>
  <si>
    <t>P166
P371</t>
  </si>
  <si>
    <t>IMG 91, P.86</t>
  </si>
  <si>
    <t>August 10, 1758</t>
  </si>
  <si>
    <t>"About noon Coromantee Toby (for whom Mr, Cope gave 60 pounds to Mr. John Weech died. And at night, Egypt Lucy's child died."</t>
  </si>
  <si>
    <t>"Discharg'd Sam Mathews for false locking the still house door last night, edging the Negroes on to mischief. I told Mr. Cope all about him etc. He went to COl. Barclay's. Let Driver Hazat out of the Bilboes."</t>
  </si>
  <si>
    <t>SAM MATHEWS
HAZAT
THE OVERSEER
JOHN COPE
COLONEL BARCLAY</t>
  </si>
  <si>
    <t>P79 P87 P43 P44 P369</t>
  </si>
  <si>
    <t>E548</t>
  </si>
  <si>
    <t>IMG 92, P.87</t>
  </si>
  <si>
    <t>August 11, 1758</t>
  </si>
  <si>
    <t>"At night flogg'd Cyrus for starving his boy Sawney. Search'd his house &amp; gave Sawney dome provisions."</t>
  </si>
  <si>
    <t>THE OVERSEER
CYRUS
SAWNEY</t>
  </si>
  <si>
    <t xml:space="preserve">P43
P210
</t>
  </si>
  <si>
    <t>E547</t>
  </si>
  <si>
    <t>August 14, 1758</t>
  </si>
  <si>
    <t>"Mountain Lucy and Cloe go in the field."</t>
  </si>
  <si>
    <t>MOUNTAIN LUCY
CLOE</t>
  </si>
  <si>
    <t>P30
P101</t>
  </si>
  <si>
    <t>E419</t>
  </si>
  <si>
    <t>September 14, 1758</t>
  </si>
  <si>
    <t xml:space="preserve">"PM Daniel brought Job home from Kirkpatrick Negroe houses with a pretended sore under one of his hands: gave him a good 100 lashes." </t>
  </si>
  <si>
    <t>DANIEL
JOB</t>
  </si>
  <si>
    <t>P42
P29</t>
  </si>
  <si>
    <t>E422</t>
  </si>
  <si>
    <t>IMG 116, P.111</t>
  </si>
  <si>
    <t>September 30,1758</t>
  </si>
  <si>
    <t>"AM Cum Mountain Lucy, sup terr: Hill Negroe Ground by morass side. Gave d^0 2 bitts."</t>
  </si>
  <si>
    <t>E68</t>
  </si>
  <si>
    <t>IMG 121, P.116</t>
  </si>
  <si>
    <t>October 9, 1758</t>
  </si>
  <si>
    <t>"Jenny &amp; Dido laid up very big. Abba of the yaws."</t>
  </si>
  <si>
    <t>JENNY (P104)
DIDO (P105)
ABBA (P6)</t>
  </si>
  <si>
    <t>JENNY
DIDO
ABBA</t>
  </si>
  <si>
    <t>P104
P105
P6</t>
  </si>
  <si>
    <t>IMG 123, P.118</t>
  </si>
  <si>
    <t>October 11, 1758</t>
  </si>
  <si>
    <t>"Jenny bad, going to be brought to bed or miscarry, Sarah tending to her etc."</t>
  </si>
  <si>
    <t>JENNY (P104)
SARAH (P106)</t>
  </si>
  <si>
    <t>JENNY
SARAH</t>
  </si>
  <si>
    <t>P104
P106</t>
  </si>
  <si>
    <t>"In the evening Old Daphne come to Jenny."</t>
  </si>
  <si>
    <t>JENNY (P104)
OLD DAPHNE (P11)</t>
  </si>
  <si>
    <t>JENNY
OLD DAPHNE</t>
  </si>
  <si>
    <t>P104
P11</t>
  </si>
  <si>
    <t>IMG 124, P.119</t>
  </si>
  <si>
    <t>October 14, 1758</t>
  </si>
  <si>
    <t>"In the morning rode beyond Rumbald's, and met Drs. Graham and Wedderburn, the latter coming to see Jenny. He bled her etc and sent some things for her."</t>
  </si>
  <si>
    <t>JENNY (P104)
DR. GRAHAM (P108)
DR. WEDDERBURN (P107)</t>
  </si>
  <si>
    <t>JENNY
DR. GRAHAM
DR. WEDDERBURN</t>
  </si>
  <si>
    <t>P104
P108
P107</t>
  </si>
  <si>
    <t>October 15, 1758</t>
  </si>
  <si>
    <t>"Abba come home from Mr. Emotson's  having several bone ach [sic] sores on her legs; that we may try to care for her."</t>
  </si>
  <si>
    <t>ABBA (P6)</t>
  </si>
  <si>
    <t>October 16, 1758</t>
  </si>
  <si>
    <t>"Jenny ill yet."</t>
  </si>
  <si>
    <t>JENNY (P104)</t>
  </si>
  <si>
    <t>IMG 126, P.121</t>
  </si>
  <si>
    <t>October 17, 1758</t>
  </si>
  <si>
    <t>"This morning about 1/2 past 6 o'clock. Dido brought to bed of a girl."</t>
  </si>
  <si>
    <t>DIDO (P105)</t>
  </si>
  <si>
    <t>IMG 127, P.122</t>
  </si>
  <si>
    <t>October 18, 1758</t>
  </si>
  <si>
    <t>"Cloe at home suckling Dido's child.</t>
  </si>
  <si>
    <t>CLOE (P101)
DIDO'S CHILD</t>
  </si>
  <si>
    <t>CLOE
DIDO'S CHILD</t>
  </si>
  <si>
    <t>October 19, 1758</t>
  </si>
  <si>
    <t>"Cloe suckling Dido's child."</t>
  </si>
  <si>
    <t>IMG 131, P.126</t>
  </si>
  <si>
    <t>October 28, 1758</t>
  </si>
  <si>
    <t>"Dr. Wedderburn call'd to see Jenny: rec'd some things from him for her."</t>
  </si>
  <si>
    <t>DR. JAMES WEDDERBURN
JENNY</t>
  </si>
  <si>
    <t>P95
P104</t>
  </si>
  <si>
    <t>November 6, 1758</t>
  </si>
  <si>
    <t>"PM wrote to Dr. Wedderburn per Kent and rec'd a vial of julep for Jenny."</t>
  </si>
  <si>
    <t>DR. JAMES WEDDERBURN
KENT
JENNY</t>
  </si>
  <si>
    <t>P329
P95
P104</t>
  </si>
  <si>
    <t>IMG 136, P.131</t>
  </si>
  <si>
    <t>"About 10 o'clock at night, Negro Jenny brought to bed of a boy."</t>
  </si>
  <si>
    <t>IMG 140, P.135</t>
  </si>
  <si>
    <t>November 13, 1758</t>
  </si>
  <si>
    <t>"Dido's month up tomorrow. She went in the field today."</t>
  </si>
  <si>
    <t>E60</t>
  </si>
  <si>
    <t>IMG 142, P.137</t>
  </si>
  <si>
    <t>November 16, 1758</t>
  </si>
  <si>
    <t>"My Abba and Lincoln have each many ringworms."</t>
  </si>
  <si>
    <t>ABBA (P6)
LINCOLN (P24)</t>
  </si>
  <si>
    <t>ABBA
LINCOLN</t>
  </si>
  <si>
    <t>P6
P24</t>
  </si>
  <si>
    <t>E549</t>
  </si>
  <si>
    <t>IMG 144, P.139</t>
  </si>
  <si>
    <t>November 19, 1758</t>
  </si>
  <si>
    <t>"Gave one of Mr. Barclay's Negroes, nam'd Sam leave to have Ellin."</t>
  </si>
  <si>
    <t>THE OVERSEER
COLONEL BARCLAY
SAM [MR. BARCLAY'S]
ELLIN</t>
  </si>
  <si>
    <t>P43
P369
P432
P33</t>
  </si>
  <si>
    <t>E421</t>
  </si>
  <si>
    <t>November 20, 1758</t>
  </si>
  <si>
    <t>"Put the New Negroe Venus with Ellin, Daphne with Egypt Lucy, Margaretta with Mould's Franke, Solinda with Coffee, Moll with Quasheba."</t>
  </si>
  <si>
    <t>VENUS
ELLIN
DAPHNE [EGYPT]
EGYPT LUCY
MARAGRETTA
MOULD'S FRANKE
SOLINDA
EGYPT COFFEE
MOLL
QUASHEBA</t>
  </si>
  <si>
    <t>P193
P33
P3
P345
P235
P346
P353
P125
P240</t>
  </si>
  <si>
    <t>E423</t>
  </si>
  <si>
    <t>IMG 149, P.144</t>
  </si>
  <si>
    <t>November 30, 1758</t>
  </si>
  <si>
    <t>"AM Cum Princess sup terr in the yams cane piece."</t>
  </si>
  <si>
    <t>WONGA
THE OVERSEER</t>
  </si>
  <si>
    <t>P27
P43</t>
  </si>
  <si>
    <t>E425</t>
  </si>
  <si>
    <t>IMG 156, P.151</t>
  </si>
  <si>
    <t>December 4, 1758</t>
  </si>
  <si>
    <t>"Hope in the hothouse off a bubo, Rhadamanthus with a sore nose. Beside Mountain Lucy and Quacoo."</t>
  </si>
  <si>
    <t>HOPE
RHADAMANTHUS
MOUNTAIN LUCY
EGYPT QUACOO</t>
  </si>
  <si>
    <t>P373
P374
P30
P298</t>
  </si>
  <si>
    <t>E424</t>
  </si>
  <si>
    <t>IMG 154, P.149</t>
  </si>
  <si>
    <t>December 11, 1758</t>
  </si>
  <si>
    <t>"Gave Old Bella cotton to pick. Mrs. Bennett's Sarah sewing for Mr. Weech at 12 bitts per week."</t>
  </si>
  <si>
    <t>OLD BELLA
MRS. BENNETT'S SARAH
MR. WEECH
THE OVERSEER</t>
  </si>
  <si>
    <t>P365
P372
P202
P43</t>
  </si>
  <si>
    <t>E420</t>
  </si>
  <si>
    <t>IMG 155, P.150</t>
  </si>
  <si>
    <t>December 12, 1758</t>
  </si>
  <si>
    <t>"Jenny has the clap very badly, Rec'd physick from Dr. Gorse for her., etc."</t>
  </si>
  <si>
    <t>P104
P228</t>
  </si>
  <si>
    <t>E426</t>
  </si>
  <si>
    <t>IMG 157, P.152</t>
  </si>
  <si>
    <t>December 15, 1758</t>
  </si>
  <si>
    <t>"Had Sarah's Cubbah flogg'd and put in the field, took Lydde's Fortune in her stead. She is so lazy and such a lyar, that she is of little service."</t>
  </si>
  <si>
    <t>SARAH'S CUBBAH
LYDDE'S FORTUNE</t>
  </si>
  <si>
    <t>P376
P377</t>
  </si>
  <si>
    <t>IMG 158, P.153</t>
  </si>
  <si>
    <t>December 18, 1758</t>
  </si>
  <si>
    <t>"AM Dr. Gorse here to [see]  the sick. In the hotbouse Quacoo, sore leg, Mountain Lucy, sore leg, Hope, bubo, London ____, Rhadamanthus pox in his nose, Jenny, clap, Toby and Abba, yaws, Lydde (Mould's) palsy, Betty, manger, Juno, yaws, Cubbenna, toothache, Morris, pain in side."</t>
  </si>
  <si>
    <t>DR. GORSE
EGYPT QUACOO
MOUNTAIN LUCY
HOPE
LONDON
RHADAMANTHUS
JENNY
TOBY
ABBA
MOULD'S LYDDE
BETTY
JUNO
CUBBENA
MORRIS</t>
  </si>
  <si>
    <t>P228
P298
P30
P373
P374
P250
P104
P375
P6
P255
P134
P294
P237
P226</t>
  </si>
  <si>
    <t>E78</t>
  </si>
  <si>
    <t>IMG 163, P.158</t>
  </si>
  <si>
    <t>December 28, 1758</t>
  </si>
  <si>
    <t>"Flogged Rosanna for eating dirt."</t>
  </si>
  <si>
    <t>ROSANNA (P115)</t>
  </si>
  <si>
    <t>E427</t>
  </si>
  <si>
    <t>"Gave Phibbah's Accubbah 4 bitts."</t>
  </si>
  <si>
    <t>THE OVERSEER
ACCUBAH</t>
  </si>
  <si>
    <t>P43
P16</t>
  </si>
  <si>
    <t>E385</t>
  </si>
  <si>
    <t>IMG, 7, P.3</t>
  </si>
  <si>
    <t>January 1, 1759</t>
  </si>
  <si>
    <t>35 of our hands upon the Road
fourteen of our best hands with Mr. cook</t>
  </si>
  <si>
    <t>EGYPT FIELD HANDS
MR. COOK</t>
  </si>
  <si>
    <t>P315
P316</t>
  </si>
  <si>
    <t>"35 of our best hands upon the road.
fourteeen best of our hands with Mr. Cook.'</t>
  </si>
  <si>
    <t>EGYPT FIELDHANDS
MR. COOK</t>
  </si>
  <si>
    <t>January 3, 1759</t>
  </si>
  <si>
    <t>"35 hands upon the Road again."</t>
  </si>
  <si>
    <t>IMG 10, P.6</t>
  </si>
  <si>
    <t>January 4, 1759</t>
  </si>
  <si>
    <t xml:space="preserve">"this year past, Mr, Cope, Sam Mathews and Sam Springett were surveyors off the road from Whitehall to the River Styx. Negroes as follows: *But Mr. Springett and I acted.
Sarah Bennett: 28
Jacob Henriquez: 4
Richard Hayward Estate: 3
Thomas Emotson: 4
Majs. MandigMonssonto: 4
Kirkpatrick Estate: 50
Aaron Torro: 4
Jacob Pefsoa: 3
140 in all"
</t>
  </si>
  <si>
    <t>EGYPT FIELDHANDS
SARAH BENNETT
JACOB HENRIQUEZ 
RICHARD HAYWARD
THOMAS EMOTSON
MANDIGMONSSONTO
KIRKPATRICK ESTATE
AARON TORRO
JACOB PEFSOA
THE OVERSEER
THE PLANTER
SAM MATTHEWS
SAM SPRINGETT</t>
  </si>
  <si>
    <t>P315
P50
P92
P330
P331
P332
P333
P79
P334</t>
  </si>
  <si>
    <t>January 5, 1759</t>
  </si>
  <si>
    <t>"Billy and 6 hands ramming the posts. At night, all hands 35 hands upon the Road.
*Col. Barclay's Negroes would not obey me, left them."</t>
  </si>
  <si>
    <t>EGYPT FIELDHANDS
BILLY
THE OVERSEER
COL BARCLAY'S NEGROES</t>
  </si>
  <si>
    <t>P315
P335
P43
P322</t>
  </si>
  <si>
    <t>January 8, 1759</t>
  </si>
  <si>
    <t>"Gave dung basketts to the following NEgroes, Cambridge, Dover, Hazat, Job, London, NEptune, Pero, Peter, Philip, Port Royal, Sawny, Simon, Cylvia, Ellin, Emelia, Egypt Lucy, Lydde, Mazarine, Quasheba, Rosanna, Egypt Susannah, Mountain Susannah, Violet, Anjaw, L. Doll, Franke, L. Phibbah, L. Coffee, Dago, Syphox. Equals 30</t>
  </si>
  <si>
    <t xml:space="preserve">CAMBRIDGE
DOVER
HAZAT
JOB
LONDON
NEPTUNE
PERO
PETER
PHILIP
PORT ROYAL
SAWNY
SIMON
EGYPT SILVIA [ADULT]
ELLIN
AMELIA
EGYPT LUCY
LYDDE
MAZARINE
QUASHEBA [EGYPT]
ROSANNA
EGYPT SUSANNAH
MOUNTAIN SUSANNAH
VIOLET
ANJAW
LITTLE DOLL
FRANKE
EGYPT LITTLE PHIBBAH
LITTLE COFFEE
DAGO
SYPHOX
</t>
  </si>
  <si>
    <t>P337
P139
P87
P29
P249
P107
P336
P338
P339
P212
P85
P122
P33
P340
P3
P255
P254
P123
P185
P238
P296
P117
P166
P247
P194
P325
P341
P121
P62</t>
  </si>
  <si>
    <t>E157</t>
  </si>
  <si>
    <t>IMG 13, P.9</t>
  </si>
  <si>
    <t>January 9, 1759</t>
  </si>
  <si>
    <t>"Gave Egypt Lucy a new bill."</t>
  </si>
  <si>
    <t>THE OVERSEER
EGYPT LUCY</t>
  </si>
  <si>
    <t>P43
P3</t>
  </si>
  <si>
    <t>E498</t>
  </si>
  <si>
    <t>"Flogg'd Ambo for not heaping a cart employ'd with above 50 hands, turn's him in the field, made him fell wood, gave the whip to Lewie."</t>
  </si>
  <si>
    <t>THE OVERSEER
AMBO
LEWIE</t>
  </si>
  <si>
    <t>P43
P170
P317</t>
  </si>
  <si>
    <t>E612</t>
  </si>
  <si>
    <t>IMG 12, P.9</t>
  </si>
  <si>
    <t>"Pero, Hazat and Quashe hanging the still, etc, also had many small jobbs done about the curing house, great house, cookroom, oven, hothouse, etc. Cutting copperwood as yesterday, rec'd home 13 loads."</t>
  </si>
  <si>
    <t>PERO
HAZAT
QUASHE</t>
  </si>
  <si>
    <t>P284
P336
P87</t>
  </si>
  <si>
    <t>IMG 16, P.12</t>
  </si>
  <si>
    <t>January 13, 1759</t>
  </si>
  <si>
    <t>"Flogg'd Ambo well for other days work, we got 15 loads the next forenoon. Put him in the Bilboes."</t>
  </si>
  <si>
    <t>IMG 17, P. 13</t>
  </si>
  <si>
    <t>January 15, 1759</t>
  </si>
  <si>
    <t>"Pero, Hazat and Sarah about the mortar, Silvia fetches them water.
Millhouse wall foundation, without mortar, 7 of our hands carrying stone to them."</t>
  </si>
  <si>
    <t>PERO
HAZAT
SARAH
SILVIA
EGYPT FIELDHANDS</t>
  </si>
  <si>
    <t>P87
P336
P106
P122
P315</t>
  </si>
  <si>
    <t>January 16, 1759</t>
  </si>
  <si>
    <t>"Mason Quashe, Luthe, and Joase began the millhouse wall, also Christopher the Mulatto, his son and 3 Negroes &amp; PM another NEgroe come to him. Pero, Hazat, Sarah, Princess, Silvia, Adam, Cubbah, L. Phibbah, Eve, Sawny, Simon, Minor, Pluto, PEter attending the Masons."</t>
  </si>
  <si>
    <t>MASON QUASHE
LUTHE
JOASE
CHRISTOPHER
PERO
HAZAT
SARAH
PRINCESS
SILVIA
ADAM
CUBBAH
EGYPT L. PHIBBAH
EVE
SAWNY
SIMON
MINOR
PLUTO
PETER</t>
  </si>
  <si>
    <t>P25
P349
P350
P351
P336
P87
P106
P27
P122
P209
P352
P325
P128
P339
P85
P191
P276
P338</t>
  </si>
  <si>
    <t>E497</t>
  </si>
  <si>
    <t>"Our drinking water is now so Brackish we are obliged to fetch our drinking water from Mr. Hall's river."</t>
  </si>
  <si>
    <t>January 17, 1759</t>
  </si>
  <si>
    <t>"The same masons at work as yesterday...the same 15 hands gtending them as yesterday. Note! before 8 AM they finished the panes they began yesterday morning. Gave them a great deal of rum. Rest of our hands cutting copper wood."</t>
  </si>
  <si>
    <t>IMG 16, P.16</t>
  </si>
  <si>
    <t>January 18, 1759</t>
  </si>
  <si>
    <t>"Ambo in the Bilboes yet."</t>
  </si>
  <si>
    <t>E155</t>
  </si>
  <si>
    <t>January 20, 1759</t>
  </si>
  <si>
    <t>"At night lent Phibbah my horse to Paradises, to Nancy's ball."</t>
  </si>
  <si>
    <t>PHIBBAH
NANCY
THE OVERSEER</t>
  </si>
  <si>
    <t>P7
P8
P43</t>
  </si>
  <si>
    <t>IMG 21, P.17</t>
  </si>
  <si>
    <t>"Let Ambo out of the Bilboes, and took off his hand cuffs."</t>
  </si>
  <si>
    <t>January 21, 1759</t>
  </si>
  <si>
    <t>"Betimes this morning, Phibbah come home, brought me a bottle of wine."</t>
  </si>
  <si>
    <t>P7
P433</t>
  </si>
  <si>
    <t>IMG 29, P.25</t>
  </si>
  <si>
    <t>January 29, 1759</t>
  </si>
  <si>
    <t>"Put Ambo with the cattle boys, to make them mind their business, and had the cattle over the styx to feed."</t>
  </si>
  <si>
    <t>"In the morning cow Juba run upon me in the pen &amp; knock'd me down."</t>
  </si>
  <si>
    <t>IMG 30, P.26</t>
  </si>
  <si>
    <t>January 30, 1759</t>
  </si>
  <si>
    <t>"Ambo, Abraham, Benjamin, Punch, Sawny, &amp; Neptune with the cattle."</t>
  </si>
  <si>
    <t>AMBO
ABRAHAM
BENJAMIN
PUNCH
SAWNY
NEPTUNE</t>
  </si>
  <si>
    <t>P170
P360
P413
P348
P339
P107</t>
  </si>
  <si>
    <t>"Our Negroes destroy half our canes."</t>
  </si>
  <si>
    <t>IMG 32, P.28</t>
  </si>
  <si>
    <t>February 1, 1759</t>
  </si>
  <si>
    <t>"PM Made all hands fetch 4 tons of stone, on their heads, to the millhouse."</t>
  </si>
  <si>
    <t>"Coffee broke the tongue of the last new cart."</t>
  </si>
  <si>
    <t>E496</t>
  </si>
  <si>
    <t>IMG 34, P.30</t>
  </si>
  <si>
    <t>February 2, 1759</t>
  </si>
  <si>
    <t>"Gave Quasheba a new Bill. Gave Agnes &amp; Egypt Lucy each of them are of the last rec'd new potts, and had a small pott from eahc of them, one of which I gave to Pluto &amp; Minor, the other to Primus and Dido."</t>
  </si>
  <si>
    <t>THE OVERSEER
QUASHEBA
AGNES
EGYPT LUCY
PLUTO
MINOR
PRIMUS
DIDO</t>
  </si>
  <si>
    <t>P43
P185
P124
P3
P276
P191
P342
P105</t>
  </si>
  <si>
    <t>IMG 33, P.29</t>
  </si>
  <si>
    <t>"Cartman Coffee run away."</t>
  </si>
  <si>
    <t>February 3, 1759</t>
  </si>
  <si>
    <t>"Gave Quasheba a new bill. Gave Agnes and Egypt Lucy each of them one of the last. Rec'd new potts and had a small pott from each of them one of which I gave to Pluto &amp; Minor, the other to Primus and Dido. Had some tons of stone brought home on the Negroes heads.:"</t>
  </si>
  <si>
    <t>QUASHEBA [EGYPT]
AGNES
EGYPT LUCY
PLUTO
MINOR
PRIMUS
DIDO</t>
  </si>
  <si>
    <t>P185
P124
P3
P276
P191
P342
P105</t>
  </si>
  <si>
    <t>"Cartman Coffee &amp; Rhadamanthus yet away."</t>
  </si>
  <si>
    <t>EGYPT COFFEE
RHADAMANTHUS</t>
  </si>
  <si>
    <t>P353
P374</t>
  </si>
  <si>
    <t>E243</t>
  </si>
  <si>
    <t>IMG 35, P.31</t>
  </si>
  <si>
    <t>February 4, 1759</t>
  </si>
  <si>
    <t>"In evening sup chest lid in my room (Phib habit menses) gave Mazarine a bitt."</t>
  </si>
  <si>
    <t>MAZARINE
THE OVERSEER
PHIBBAH</t>
  </si>
  <si>
    <t>P123
P43
P7</t>
  </si>
  <si>
    <t>"The Masons finished tonight completely. Gave rum to all the Tradesmen etc, an abundance.
Mason Quashe gone to work at Paradise"</t>
  </si>
  <si>
    <t>EGYPT FIELDHANDS
MASON QUASHE</t>
  </si>
  <si>
    <t>P315
P25</t>
  </si>
  <si>
    <t>"Cartman Coffee return'd this evening."</t>
  </si>
  <si>
    <t>IMG 36, P.32</t>
  </si>
  <si>
    <t>February 6, 1759</t>
  </si>
  <si>
    <t>"Gave Mountian Lucy a new baskett."</t>
  </si>
  <si>
    <t>"The wheelwrights, etc at work about the carts as yesterday."</t>
  </si>
  <si>
    <t>February 7, 1759</t>
  </si>
  <si>
    <t>"Serv'd the Negroes more cloath again and thread."</t>
  </si>
  <si>
    <t>EGYPT FIELDHANDS
THE OVERSEER</t>
  </si>
  <si>
    <t>P315
P43</t>
  </si>
  <si>
    <t>IMG 37, P.33</t>
  </si>
  <si>
    <t>February 8, 1759</t>
  </si>
  <si>
    <t>"The wheelwright etc finish'd and went away."</t>
  </si>
  <si>
    <t>IMG 38, P. 34</t>
  </si>
  <si>
    <t>February 10, 1759</t>
  </si>
  <si>
    <t>"Began to cutt the Old Negroe ground cane piece, plants. About 25 butters in the field by times."</t>
  </si>
  <si>
    <t>E310</t>
  </si>
  <si>
    <t>IMG 40, P.36</t>
  </si>
  <si>
    <t>February 12, 1759</t>
  </si>
  <si>
    <t>"Mr. Weech complains that everything done here, by him in particular is immediately known at Paradise."</t>
  </si>
  <si>
    <t>"Mason Quashe is come home from Paradise and takes this negroe's spell in the Boating house. 
Part of forenoon, about 24 cutters in the Old Negroe ground piece. 
PM carrying dung into the cattle penn from the old trash heap."</t>
  </si>
  <si>
    <t>MASON QUASHE
EGYPT FIELDHANDS</t>
  </si>
  <si>
    <t>P25
P315</t>
  </si>
  <si>
    <t>IMG 40, P. 37</t>
  </si>
  <si>
    <t>"Three carts employ'd *Coffee, Johnie and 6 cattle leading cane. Port Royal, Mountain Susanah and 6 cattle leading cane. Syphox, Sawny, and 4 cattle leading cane tops."</t>
  </si>
  <si>
    <t xml:space="preserve">EGYPT COFFEE
JOHNIE
PORT ROYAL
MOUNTAIN SUSANAH
SYPHOX
SAWNY  </t>
  </si>
  <si>
    <t>P353
P20
P212
P254
P62
P339</t>
  </si>
  <si>
    <t>E613</t>
  </si>
  <si>
    <t>IMG 43, P.39</t>
  </si>
  <si>
    <t>February 18, 1759</t>
  </si>
  <si>
    <t>"Cooper Flanders at wor all today, to mend a bad week's work."</t>
  </si>
  <si>
    <t>E386</t>
  </si>
  <si>
    <t>IMG 44, P.40</t>
  </si>
  <si>
    <t>February 19, 1759</t>
  </si>
  <si>
    <t>"Had Mountain Lucy flogged for chopping Luvie's whip in pieces and saucy language."</t>
  </si>
  <si>
    <t>MOUNTAIN LUCY
LEWIE</t>
  </si>
  <si>
    <t>P30
P317</t>
  </si>
  <si>
    <t>E387</t>
  </si>
  <si>
    <t>"Wrote to Mrs. Emotson (sent her a land turtle Phibbah gave me) per Abba, who is now pretty well and going to make another trial: gave her 42 plantains, etc. with her."</t>
  </si>
  <si>
    <t>MRS. EMOTSON
ABBA
PHIBBAH</t>
  </si>
  <si>
    <t>P9
P93
P7</t>
  </si>
  <si>
    <t>"Rec'd from Paradise per Worsoe 12 suitts of Negroe cloaths, 6 for men, and 6 for women. Gave them to Eve, Daphne, Magaretta, Moll, Solinda, Venus, Adam, Harry, Neptune, Sawny, Punch and Port Royal."</t>
  </si>
  <si>
    <t>WORSOE
EVE
DAPHNE
MARGARETTA
MOLL
SOLINDA
VENUS
ADAM
HARRY
NEPTUNE
SAWNY
PUNCH
PORT ROYAL</t>
  </si>
  <si>
    <t>P343
P128
P344
P345
P125
P346
P193
P209
P347
P107
P339
P348
P212</t>
  </si>
  <si>
    <t>"About 21 cutters in the field, finished cutting up Old Negroe ground piece by Noon. PM cutting the upper coffee ground path piece (2 ratoons)."</t>
  </si>
  <si>
    <t>L1
L1-D</t>
  </si>
  <si>
    <t>EGYPT ESTATE
EGYPT OLD NEGROE GROUND CANE PIECE</t>
  </si>
  <si>
    <t>E121</t>
  </si>
  <si>
    <t>IMG 46, P.42</t>
  </si>
  <si>
    <t>February 21, 1759</t>
  </si>
  <si>
    <t>"This morning Dido's child (Joan) dead, without any sickness or the mother knowing anything was matter with it."</t>
  </si>
  <si>
    <t>JOAN [DIDO'S CHILD]
DIDO</t>
  </si>
  <si>
    <t>P168
P105</t>
  </si>
  <si>
    <t>E388</t>
  </si>
  <si>
    <t>"Note! Driver Hazat is in Salt River dungeon and there may he stay."</t>
  </si>
  <si>
    <t>"About 23 cutters in the field. At sunset 49 potts pilled. Continue to burn trash as much as possible.
PM made the field negroes heap up over try trash, move the suga rpotts, etc out of the curing house, to clear the North side, etc, etc. then cutting canes again."</t>
  </si>
  <si>
    <t>IMG 47, P.43</t>
  </si>
  <si>
    <t>February 23, 1759</t>
  </si>
  <si>
    <t>"Billy, Davie and 3 hands at work. Hazat tending them."</t>
  </si>
  <si>
    <t>BILLY
DAVIE
HAZAT</t>
  </si>
  <si>
    <t>P87
P217
P318</t>
  </si>
  <si>
    <t>IMG 48, P.44</t>
  </si>
  <si>
    <t>February 24, 1759</t>
  </si>
  <si>
    <t xml:space="preserve">"About 21 cutters in the field, finishe cutting down the upper coffee ground paths piece before noon. </t>
  </si>
  <si>
    <t>L1
L1-E</t>
  </si>
  <si>
    <t>EGYPT ESTATE
EGYPT COFFEE GROUND PIECE</t>
  </si>
  <si>
    <t>IMG 49, P.45</t>
  </si>
  <si>
    <t>February 25, 1759</t>
  </si>
  <si>
    <t>"*Had not done potting sugar til seven o'clock this morning, have made 147 potts this week, equals 271 made in all.
Old Negroe ground piece (plants has made 185 potts. Upper coffee ground: potato piece 2 ratoons/has made 86 potts.
271 potts."</t>
  </si>
  <si>
    <t>L1
L1-E
L1-F</t>
  </si>
  <si>
    <t>EGYPT ESTATE COFFEE PIECE
EGYPT ESTATE POTATO PIECE</t>
  </si>
  <si>
    <t>"All hands (about 32 cutters in the home Breadnut tree cane piece. 1st ratoon til noon we put about then about 23 cutters only."</t>
  </si>
  <si>
    <t>IMG 50, P.46</t>
  </si>
  <si>
    <t>February 27, 1759</t>
  </si>
  <si>
    <t>"About 9 AM finished cutting the home Breadnut tree piece. 
About noon done grinding the Breadnut tree piece canes, cooled the copper with water, finished potting late at night, this piece has made only 28 potts."</t>
  </si>
  <si>
    <t>IMG 51, P.47</t>
  </si>
  <si>
    <t>"Ambo and Primus in the still house, stilling off liquor in the South still, run it off twice, got about 7 small jars of low wines each time (equals about 20 gallons) but doubt if we run it off near enough, this still shrunk the cistern about 35 potts each time (equals about 180 gallons) to within about 8 inches of the top edge."</t>
  </si>
  <si>
    <t>AMBO
PRIMUS</t>
  </si>
  <si>
    <t>P170
P342</t>
  </si>
  <si>
    <t>IMG 52, P.48</t>
  </si>
  <si>
    <t>February 28, 1759</t>
  </si>
  <si>
    <t>"AM 34 cutters in the calabash tree cane piece, Paradise. PM but 22."</t>
  </si>
  <si>
    <t>IMG 53, P.49</t>
  </si>
  <si>
    <t>March 1, 1759</t>
  </si>
  <si>
    <t>"Finish cutting the calabash tree piece, Paradise, about 21 cutters in the field."</t>
  </si>
  <si>
    <t>E244</t>
  </si>
  <si>
    <t>IMG 54, P. 50</t>
  </si>
  <si>
    <t>March 4, 1759</t>
  </si>
  <si>
    <t>"At night cum Phibbah *habit menses"</t>
  </si>
  <si>
    <t>P7
P4307</t>
  </si>
  <si>
    <t>IMG 57, P.53</t>
  </si>
  <si>
    <t>March 8, 1759</t>
  </si>
  <si>
    <t>"20 hands cutting cane in the cotton tree piece over the bridge."</t>
  </si>
  <si>
    <t>IMG 58, P.54</t>
  </si>
  <si>
    <t>March 10, 1759</t>
  </si>
  <si>
    <t>"Finished cutting the cotton tree piece by Negro breakfast time then began to cut the Old Boiling house and orange tree pieces, plants which are now in one. 19 cutters in the field."</t>
  </si>
  <si>
    <t>L1-I
L1-J
L1-K</t>
  </si>
  <si>
    <t>EGYPT COTTON TREE PIECE
EGYPT OLD NEGROE GROUND CANE PIECE
EGYPT ORANGE TREE PIECE</t>
  </si>
  <si>
    <t>IMG 61, P. 57</t>
  </si>
  <si>
    <t>March 15, 1759</t>
  </si>
  <si>
    <t xml:space="preserve">"Cutting cane over the Bridge on the lefthand side, about 18 cutters."
</t>
  </si>
  <si>
    <t xml:space="preserve">
*Many Negroes in the hot house sick. AM Dr. Gorse here.
</t>
  </si>
  <si>
    <t xml:space="preserve">EGYPT FIELD HANDS
DR. GORSE
</t>
  </si>
  <si>
    <t xml:space="preserve">P315
P228
</t>
  </si>
  <si>
    <t>IMG 61, P.57</t>
  </si>
  <si>
    <t>"At dinnertime had words with Phibbah. At night House Franke here."</t>
  </si>
  <si>
    <t>THE OVERSEER
PHIBBAH
HOUSE FRANKE</t>
  </si>
  <si>
    <t>P43
P7
P10</t>
  </si>
  <si>
    <t>IMG 62, P.58</t>
  </si>
  <si>
    <t>"About nine at night perceived the North side roller bottom gudgronsnapt clear off. Cool'd copper with water."</t>
  </si>
  <si>
    <t>IMG 66, P. 61B</t>
  </si>
  <si>
    <t>March 21, 1759</t>
  </si>
  <si>
    <t>"3 carts employed x about 22 cutters in the potato piece.
*Silvia and Abba chopping cane tops."</t>
  </si>
  <si>
    <t>EGYPT FIELDHANDS
EGYPT SILVIA [ADULT]
ABBA</t>
  </si>
  <si>
    <t>P315
P122
P6</t>
  </si>
  <si>
    <t>IMG 67, P.62</t>
  </si>
  <si>
    <t>March 22, 1759</t>
  </si>
  <si>
    <t>"Silvia and Abba chopping cane tops. 3 carts employed.
*Part of the forenoon supplying in the Old Negroe house cane piece. Rest of the day cutting in the potato piece etc, about 24 cutters.
PM Moved about 54 potts of sugar into the curing house."</t>
  </si>
  <si>
    <t>L1-D
L1-F</t>
  </si>
  <si>
    <t>EGYPT OLD NEGROE GROUND CANE PIECE
EGYPT POTATO PIECE</t>
  </si>
  <si>
    <t>March 23, 1759</t>
  </si>
  <si>
    <t>"PM finished cutting the potato piece with about 20 cutters by the middle of the afternoon, then supplying the Old Negroe house piece."</t>
  </si>
  <si>
    <t>E342</t>
  </si>
  <si>
    <t>March 24, 1759</t>
  </si>
  <si>
    <t>"My pocket whip is broke and wore out."</t>
  </si>
  <si>
    <t>"My Simon almost dead, broken his heart for fear of work, etc. Put him with Cyprus, fisherman. (He is a grande man's son."</t>
  </si>
  <si>
    <t>SIMON
CYRUS</t>
  </si>
  <si>
    <t>P85
P210</t>
  </si>
  <si>
    <t>E591</t>
  </si>
  <si>
    <t>March 25, 1759</t>
  </si>
  <si>
    <t>"Our pump brass sucker is broke, wrote to Mr. Samuel Hayward."</t>
  </si>
  <si>
    <t>THE OVERSEER
SAMUEL HAYWARD</t>
  </si>
  <si>
    <t>P43
P161</t>
  </si>
  <si>
    <t>April 2, 1759</t>
  </si>
  <si>
    <t>"AM 28 cutters in the plum tree cane piece (1st ratoons)
PM about 24 cutters."</t>
  </si>
  <si>
    <t>IMG 73, P.69</t>
  </si>
  <si>
    <t>"Saw a large comet this morning to the Eastward."</t>
  </si>
  <si>
    <t>April 3, 1759</t>
  </si>
  <si>
    <t>"In the morning observed the comett."</t>
  </si>
  <si>
    <t>April 4, 1759</t>
  </si>
  <si>
    <t>"About 24 cutters in the field, finish'd cutting the plum tree piece before noon, then began the Old Scotch piece."</t>
  </si>
  <si>
    <t>L1-L
L1-M</t>
  </si>
  <si>
    <t>April 9, 1759</t>
  </si>
  <si>
    <t>"About 24 cutters in the Papah tree piece."</t>
  </si>
  <si>
    <t>"observed the comet, whose tail rather increases I think, it rises about 2 hours before the sun, its course is retrograde, moves to the Southward."</t>
  </si>
  <si>
    <t>April 10, 1759</t>
  </si>
  <si>
    <t>"Ambo and Primus junking up the Old Millhouse rafterd etc for copperwood.":</t>
  </si>
  <si>
    <t>April 13, 1759</t>
  </si>
  <si>
    <t>"Done potting before noon, have made 97 potts this week, equals 1030 potts made in all. The papah tree piece has made 96 potts."</t>
  </si>
  <si>
    <t>E590</t>
  </si>
  <si>
    <t>"Cyrus put in the field. Sancho fisherman."</t>
  </si>
  <si>
    <t>CYRUS
SANCHO</t>
  </si>
  <si>
    <t>P210
P195</t>
  </si>
  <si>
    <t>April 18, 1759</t>
  </si>
  <si>
    <t>"About 9 AM began to hole the Old Curing House Piece."</t>
  </si>
  <si>
    <t>IMG 85, P.80</t>
  </si>
  <si>
    <t>April 21, 1759</t>
  </si>
  <si>
    <t>"AM finished holing the Old curing house piece. PM planting in d^0 piece."</t>
  </si>
  <si>
    <t>IMG 87, P.82</t>
  </si>
  <si>
    <t>April 26, 1759</t>
  </si>
  <si>
    <t>"Finished planting the Old Curing House Piece, weeding the Old Negroe house piece plants."</t>
  </si>
  <si>
    <t>L1-O
L1-D</t>
  </si>
  <si>
    <t>EGYPT OLD CURING HOUSE PIECE
EGYPT OLD NEGROE GROUND CANE PIECE</t>
  </si>
  <si>
    <t>April 28, 1759</t>
  </si>
  <si>
    <t>"Observed the comet about 8 in the evening to the South about 25 degrees with a bushy tail to the Eastward."</t>
  </si>
  <si>
    <t xml:space="preserve">"AM went in the canoe to the Bay. Carried Mr. Meyler 4 tierces of sugar.
4172 lap by 370 equals 3802 lb.
rec'd signed, James Stokes
also shipped 3 tines of sugar on Board the St. Elizabeth, Cap'n John Brown
3402 lp by 310 equals 3092 lb.
rec'd by signed, Christopher Quarton.
*we were aboard the St. Elizabeth almost an hour, got home one PM.
"PM Coffee, Quamina, Cubbenna and Flanders rowed, Mason Quashe steer'd."
</t>
  </si>
  <si>
    <t>THE OVERSEER
JEREMIAH MEYLER
COFFEE
QUAMINA
CUBBENNA
FLANDERS
MASON QUASHE</t>
  </si>
  <si>
    <t>P43
P159
P353
P354
P355
P356
P25</t>
  </si>
  <si>
    <t>E499</t>
  </si>
  <si>
    <t>"Abraham and Benjamin having many cattler and mules get away are runaway themselves."</t>
  </si>
  <si>
    <t>ABRAHAM
BENJAMIN</t>
  </si>
  <si>
    <t>P360
P413</t>
  </si>
  <si>
    <t>IMG 89, P.85</t>
  </si>
  <si>
    <t>April 30, 1759</t>
  </si>
  <si>
    <t>"The comet resplendent tonight making its way to the westward of the North, somewhat about 50 degrees high in the South before 8 pm. Trail about 20 degrees."</t>
  </si>
  <si>
    <t>IMG 90, P. 85</t>
  </si>
  <si>
    <t>May 1, 1759</t>
  </si>
  <si>
    <t>"Abraham brought home 2 of the mules that got away."</t>
  </si>
  <si>
    <t>May 2, 1759</t>
  </si>
  <si>
    <t>"Went in the canoe with sugars. deliver'd  2 hogshead to Mr, Meyler at his wharf.
3360 lb, 230 Tare = 3130 lb.
Rec'd signed James Stokes
Had put on board the Polly King, belonging to Capt. Hous, commanded by Peter Long
5 tierces of sugar, mark'd
7350 lb-566 tare = 6784 lb
rec'd Peter Long</t>
  </si>
  <si>
    <t xml:space="preserve">THE OVERSEER
JEREMIAH MEYLER
</t>
  </si>
  <si>
    <t>"At night Benjamin come home, brought a note from Mr. Hungerford."</t>
  </si>
  <si>
    <t>BENJAMIN
RICHARD HUNGERFORD</t>
  </si>
  <si>
    <t>P413
P111</t>
  </si>
  <si>
    <t>May 4, 1759</t>
  </si>
  <si>
    <t xml:space="preserve">"Went in the canoe to Savanna la Mar, delivr'd 2 hogshead sugar at Meyler's Wharf
3430-230=3200
Rec'd signed James Stokes
carried on board the ship, William
Capt Edmond Walton
Five tierces of sugar
7434-566=6868
Rec'd signed Charles Allger"
</t>
  </si>
  <si>
    <t>P43
P159</t>
  </si>
  <si>
    <t>IMG 92-93, P.87-88</t>
  </si>
  <si>
    <t>May 5, 1759</t>
  </si>
  <si>
    <t>"Cutting wood till about Negroe breakfast time, then began to cutt the home calabash tree piece canes (2 ratoons) about 40 cutters in the field."</t>
  </si>
  <si>
    <t>May 7, 1759</t>
  </si>
  <si>
    <t>"About 26 cutters in the home calabash tree piece. PM finished and began the pimento tree piece (2 ratoons).  2 carts employed."</t>
  </si>
  <si>
    <t>May 8, 1759</t>
  </si>
  <si>
    <t>"About 24 cutters in the pimento tree piece. 2 carts leading home cane,etc."</t>
  </si>
  <si>
    <t>"In the morning went in the canoe with sugar to Meyler's Wharf for Mr. Meyler.
9808-763 =9135 lb
rec'd James Stokes"</t>
  </si>
  <si>
    <t>THE OVERSEER
JEREMIAH MEYLER</t>
  </si>
  <si>
    <t>May 9, 1759</t>
  </si>
  <si>
    <t>"About 24 cutters in the pimento tree piece. Finish'd it. 2 carts employed."</t>
  </si>
  <si>
    <t>IMG 95, P.90</t>
  </si>
  <si>
    <t>May 10, 1759</t>
  </si>
  <si>
    <t>"About 26 cutters in the field, cutting the Milkwood Tree Piece (2 ratoons) 2 carts employed."</t>
  </si>
  <si>
    <t>May 11, 1759</t>
  </si>
  <si>
    <t>"2 carts employ'd. About 24 cutters in the field. AM Finished milkwood piece."</t>
  </si>
  <si>
    <t>IMG 96, P.91</t>
  </si>
  <si>
    <t>May 12, 1759</t>
  </si>
  <si>
    <t>"Done potting this morning, have made 84 potts this week: the Milk tree piece has made 22 potts but a good deal of the canes had been drawn for plants. Whole crop 1114 potts of sugar.
PM gave our Negroes for themselves."</t>
  </si>
  <si>
    <t>E247</t>
  </si>
  <si>
    <t>May 15, 1759</t>
  </si>
  <si>
    <t>"About 8 PM saw comet again in Southwest, about 60 degrees high (faint). This evening some clouds in West of a greenish colour."</t>
  </si>
  <si>
    <t>"Light winds at times cloudy PM several hours hard rain with thunder and lightning, at night lightning." [IMG 424, P.13]</t>
  </si>
  <si>
    <t>"Weeding the old Negroe ground cane piece."</t>
  </si>
  <si>
    <t>May 16, 1759</t>
  </si>
  <si>
    <t>"Saw comet again as last night."</t>
  </si>
  <si>
    <t>"Light airs, fair. PM, cloudy, a hard dhower of rain, with Thunder and lightning: evening clouds." [img 425, p.14]</t>
  </si>
  <si>
    <t>"Saw the comet again last night."</t>
  </si>
  <si>
    <t>May 17, 1759</t>
  </si>
  <si>
    <t>"Finished weeding the Old Negroe ground piece: afterwards weeding Top Hill Canes."</t>
  </si>
  <si>
    <t>L1-D
L55</t>
  </si>
  <si>
    <t>EGYPT OLD NEGROE GROUND CANE PIECE
TOP HILL CANES</t>
  </si>
  <si>
    <t>E390</t>
  </si>
  <si>
    <t>"At night flogged Lewie for letting the Negroes be idle yesterday afternoon."</t>
  </si>
  <si>
    <t>THE OVERSEER
LEWIE</t>
  </si>
  <si>
    <t>P43
P357</t>
  </si>
  <si>
    <t>IMG 100</t>
  </si>
  <si>
    <t>May 18, 1759</t>
  </si>
  <si>
    <t>"Ambo &amp; Coffee put up stakes and rails against that part of the fence Quamina and London has cut down."</t>
  </si>
  <si>
    <t>AMBO
COFFEE
QUAMINA
LONDON</t>
  </si>
  <si>
    <t>P170
P353
P354
P249</t>
  </si>
  <si>
    <t>IMG 102, P.97</t>
  </si>
  <si>
    <t>May 22, 1759</t>
  </si>
  <si>
    <t>"Saw comet, at night faint."</t>
  </si>
  <si>
    <t>"Light winds at times cloudy...some small showers of rain, thunder at a distance." [IMG 425, P.14]</t>
  </si>
  <si>
    <t>"Saw comet at night, faint."</t>
  </si>
  <si>
    <t>May 23, 1759</t>
  </si>
  <si>
    <t>"Employ'd weeding as yesterday. PM cut rails etc, dug port holes and put up a pen in the Milkwood tree piece."</t>
  </si>
  <si>
    <t>May 24, 1759</t>
  </si>
  <si>
    <t>"Finish'd making the pen : AM had the hands carrying trash from off the home calabash tree piece into the pen."</t>
  </si>
  <si>
    <t>L1-Q
L1-H</t>
  </si>
  <si>
    <t>EGYPT MILKWOOD TREE PIECE
EGYPT CALABASH TREE PIECE</t>
  </si>
  <si>
    <t>IMG 103, P.98</t>
  </si>
  <si>
    <t>May 25, 1759</t>
  </si>
  <si>
    <t>"Finish'd weeding the canes on the right hand side, over Cabaritta Bridge, began to weed the other side."</t>
  </si>
  <si>
    <t>IMG 104, P.99</t>
  </si>
  <si>
    <t>May 26, 1759</t>
  </si>
  <si>
    <t>"Gave our Negroes today. AM Cum Mountain Lucy, sup terr in Hyne's land by hill path side, gave d^0 2 bitts."</t>
  </si>
  <si>
    <t>E347</t>
  </si>
  <si>
    <t>May 27, 1759</t>
  </si>
  <si>
    <t>"At night a white man begg'd lodgin [sic] etc. when I was at supper he came, let him lie in thomas' house and sent him supper with Thomas, it seems he had a Negroe woman with him! Don't like them."</t>
  </si>
  <si>
    <t>IMG 106, P.101</t>
  </si>
  <si>
    <t>May 31, 1759</t>
  </si>
  <si>
    <t>"Sent Hazat to Salt River to be salivated for the pox in his throat."</t>
  </si>
  <si>
    <t>IMG 106, P. 101</t>
  </si>
  <si>
    <t>"Went in canoe on board the Earl of Effingham, Capt. Joseph Bellamy. Carried 3 tines of sugar 
4368 : 339 Tare =4129 lb.
rec'd signed William Clapperson."</t>
  </si>
  <si>
    <t>June 8, 1759</t>
  </si>
  <si>
    <t>"In the morning carried on board of the Earl of Effingham, Capt. Bellamy.
six____ of sugar mark'd 9016-681= 8335 lb
rec'd signed William Clapperton</t>
  </si>
  <si>
    <t>IMG 113, P.108</t>
  </si>
  <si>
    <t>June 12, 1759</t>
  </si>
  <si>
    <t>"Our sugar this year, including the 13 potts clay'd and 6 potts saved equals about 83659 pounds neat. At 30 per hundred pounds, equals:
whole crop 1622:10: 8 1/4"</t>
  </si>
  <si>
    <t>IMG 114, P.109</t>
  </si>
  <si>
    <t>June 13, 1759</t>
  </si>
  <si>
    <t>"The same hands cutting fences supplying the Old Curing House piece young canes.
About a day in hands with pails carrying dander out of the dander pond and threw over the penns, soak'd them enough at once. Rest of hands carrying Earth out of the intervals into the new penn in the milkwood tree piece. 
*clear'd the garden."</t>
  </si>
  <si>
    <t>L1-O
L1-Q</t>
  </si>
  <si>
    <t>EGYPT OLD CURING HOUSE PIECE
EGYPT MILKWOOD TREE PIECE</t>
  </si>
  <si>
    <t>June 14, 1759</t>
  </si>
  <si>
    <t>"Carrying earth into the new pen, finished supplying. The same hands cutting fences. Burn't logwood and trash between the pasture &amp; Old Curing House Piece, etc."</t>
  </si>
  <si>
    <t>IMG 117, P.112</t>
  </si>
  <si>
    <t>June 19, 1759</t>
  </si>
  <si>
    <t>"Dido at home sick, like to miscarry...and did miscarry."</t>
  </si>
  <si>
    <t>E341</t>
  </si>
  <si>
    <t>"Abba run away."</t>
  </si>
  <si>
    <t>"The same hands cutting fences. Finish'd clearing bush and cutting the young logwood fence round coffee ground, etc. Began to supply d^0 with logwood seed."</t>
  </si>
  <si>
    <t>June 20, 1759</t>
  </si>
  <si>
    <t>"Sent Job out to look for Abba.:"</t>
  </si>
  <si>
    <t>ABBA
JOB</t>
  </si>
  <si>
    <t>P6
P29</t>
  </si>
  <si>
    <t>IMG 119, P.114</t>
  </si>
  <si>
    <t>June 21, 1759</t>
  </si>
  <si>
    <t>"Miss Polly Cope christened today at Paradise, in the morning Phibbah went over to help cook dinner."</t>
  </si>
  <si>
    <t>POLLY COPE
PHIBBAH</t>
  </si>
  <si>
    <t>P318
P7</t>
  </si>
  <si>
    <t>June 22, 1759</t>
  </si>
  <si>
    <t>"Sancho returned from Paradise and Job from looking [for] Abba."</t>
  </si>
  <si>
    <t>SANCHO
JOB
ABBA</t>
  </si>
  <si>
    <t>P195
P29
P6</t>
  </si>
  <si>
    <t>July 2, 1759</t>
  </si>
  <si>
    <t>"Employ'd holing the Papah tree piece. AM 12 loads of dung carried out into the home calabash tree piece."</t>
  </si>
  <si>
    <t>L1-N
L1-H</t>
  </si>
  <si>
    <t>EGYPT PAPAH TREE PIECE
EGYPT CALABASH TREE PIECE</t>
  </si>
  <si>
    <t>July 6, 1759</t>
  </si>
  <si>
    <t>"This week 61 loads of dung carried out so that are now 136 loads upon the home calabash tree piece. 
Gave Dido a new hoe."</t>
  </si>
  <si>
    <t>EGYPT FIELDHANDS
THE OVERSEER
DIDO</t>
  </si>
  <si>
    <t>P315
P43
P105</t>
  </si>
  <si>
    <t>E154</t>
  </si>
  <si>
    <t>IMG 128, P.123</t>
  </si>
  <si>
    <t>July 8, 1759</t>
  </si>
  <si>
    <t>"House Franke sent me 2 bottles of liquor, per Egypt Lucy."</t>
  </si>
  <si>
    <t>HOUSE FRANKE
EGYPT LUCY
THE OVERSEER</t>
  </si>
  <si>
    <t>P10
P3
P43</t>
  </si>
  <si>
    <t>E122</t>
  </si>
  <si>
    <t>IMG 130, P.125</t>
  </si>
  <si>
    <t>July 12, 1759</t>
  </si>
  <si>
    <t>"In morning Little Agnes died (ambo &amp; Betty's child). Flogged Ambo for starving it and not giving Betty a place to live."</t>
  </si>
  <si>
    <t>THE OVERSEER
LITTLE AGNES
AMBO
BETTY</t>
  </si>
  <si>
    <t>P134
P169
P170</t>
  </si>
  <si>
    <t>"Employ'd cleaning and stacking up the home calabash tree piece. 
AM 12 loads of dung carried out.
*Gave Princess a new hoe and Hector a new bill.)</t>
  </si>
  <si>
    <t>EGYPT FIELDHANDS
WONGA/PRINCESS
HECTOR
THE OVERSEER</t>
  </si>
  <si>
    <t>P315
P43
P27
P358</t>
  </si>
  <si>
    <t>July 14, 1759</t>
  </si>
  <si>
    <t>"AM Loads of dung carried out, equals 69 loads in all, and 205 in the whole."</t>
  </si>
  <si>
    <t>IMG 132, P.127</t>
  </si>
  <si>
    <t>July 16, 1759</t>
  </si>
  <si>
    <t>"Little Hazat come home from Salt River from being salivated."</t>
  </si>
  <si>
    <t>July 17, 1759</t>
  </si>
  <si>
    <t>"AM 13 loads of dung lead out. Finish'd cleaning trenches and about Negroe breakfast time began to hole the calabash tree cane piece, the ground excessive hard."</t>
  </si>
  <si>
    <t>July 23, 1759</t>
  </si>
  <si>
    <t>"Gave our Negroes a herring a piece as usual when holing."</t>
  </si>
  <si>
    <t>E99</t>
  </si>
  <si>
    <t>IMG 141, P.136</t>
  </si>
  <si>
    <t>July 26, 1759</t>
  </si>
  <si>
    <t>"Some observations from a Treatise Upon Husbnadry or Planting in Barbados; and May Be of Great Use to the Planters of All the West India Islands (Belgrove, William; Drax Henry) 
March: This is a good month for the making of sugar, therefore do nothing else whilst oyu can keep at work."</t>
  </si>
  <si>
    <t>IMG 159, P.154</t>
  </si>
  <si>
    <t>July 28, 1759</t>
  </si>
  <si>
    <t>"AM loads of dung carried out equalls 76 this week, and 346 in all. Employ'd carrying Earth out of the intervalls etc into the penn in Jude house pond piece."</t>
  </si>
  <si>
    <t>E123</t>
  </si>
  <si>
    <t>July 29, 1759</t>
  </si>
  <si>
    <t>"This morning Princess' Little Dick died; bad of yaws."</t>
  </si>
  <si>
    <t>LITTLE DICK
PRINCESS</t>
  </si>
  <si>
    <t>P27
P171</t>
  </si>
  <si>
    <t>IMG 160, P.155</t>
  </si>
  <si>
    <t>July 30, 1759</t>
  </si>
  <si>
    <t>"Employ'd holing as last week Little Quashe and gang carrying Earth out of the intervals into Jude house pond piece pen."</t>
  </si>
  <si>
    <t>EGYPT FIELDHANDS
LITTLE QUASHE [EGYPT DRIVER]</t>
  </si>
  <si>
    <t>P315
P359</t>
  </si>
  <si>
    <t>E694</t>
  </si>
  <si>
    <t>"Employ'd holing as last week. AM Lead out 12 loads of dung upon the pimento tree piece."</t>
  </si>
  <si>
    <t>E695</t>
  </si>
  <si>
    <t>"Cyrus getting plantain bark to make poddo: brought home abundance, a bundle.\"</t>
  </si>
  <si>
    <t>IMG 161, P.156</t>
  </si>
  <si>
    <t>August 2, 1759</t>
  </si>
  <si>
    <t>"Gave Sarah a new hoe."</t>
  </si>
  <si>
    <t>THE OVERSEER
SARAH</t>
  </si>
  <si>
    <t>P43
P106</t>
  </si>
  <si>
    <t>August 6, 1759</t>
  </si>
  <si>
    <t>"13 loads of dung carried out. Weeding in the Old Negroe ground cane piece. Cleared the logwood round hte garden, etc."</t>
  </si>
  <si>
    <t>August 7, 1759</t>
  </si>
  <si>
    <t>"Finished weeding the Old Negroe ground cane piece. Clearing back part of the morass to the East of the pimento, etc tree piece to plant in canes, as Mr. Cope is so desirious we should. Little Quashe and a good many hands weeding the canes on the right hand side of the road over Cabaritta bridge and PM the rest of the hands with him.
AM 12 Loads of dung carried out. At night carried trash into cattle pen."</t>
  </si>
  <si>
    <t>L1-D
L8-B</t>
  </si>
  <si>
    <t>EGYPT OLD NEGROE GROUND CANE PIECE
CABARITTA BRIDGE</t>
  </si>
  <si>
    <t>IMG 164, P.159</t>
  </si>
  <si>
    <t>August 8, 1759</t>
  </si>
  <si>
    <t>"Employ'd weeding right hand side over the Bridge. More carts go along and use our Road now in a week then used before in all the time I have been here, all together (since one in a year formerly.)
AM carried out 10 loads of dung (which is all in the cattle penn) lead 5 of them upon the Milkwood tree piece (35 loads this week) so that the cattle pen has yeidled 432, 427 of them which are upon the home calabash and pimento tree pieces, and 5 upon the milkwood piece. 
Gave our field negroes each a new dung baskett
At night carried trash into the cattle pen."</t>
  </si>
  <si>
    <t xml:space="preserve">L8-B
L1-Q
</t>
  </si>
  <si>
    <t>CABARITTA BRIDGE
EGYPT MILKWOOD TREE PIECE</t>
  </si>
  <si>
    <t>IMG 164-165, P.159-160</t>
  </si>
  <si>
    <t>August 9, 1759</t>
  </si>
  <si>
    <t>"Employ'd weeding as yesterday.
Carried in the forenoon about 1400 gallons of dander on molasses hogshead in coots, at 7 times and let run out upon the pen in the Milkwood tree piece.
Achilles fill'd up the pails, the 2 Susannahs handled them up, and Dago poured in."</t>
  </si>
  <si>
    <t>EGYPT FIELDHANDS
ACHILLES
EGYPT SUSANNAH
MOUNTAIN SUSANNAH</t>
  </si>
  <si>
    <t>P254
P296</t>
  </si>
  <si>
    <t>IMG 165, P.160</t>
  </si>
  <si>
    <t>August 10, 1759</t>
  </si>
  <si>
    <t>"Employ'd holing in the Pimento tree piece. Little Quashe &amp; gang made up dung heaps. Planted 4 rows do Black eyed peas in the East part of the garden, then 3 rows of cuckolds = increase, and some cucumber seed.
At night carried trash into the cattle pen.
AM Lead out 10 loads of dung upont he milkwood treet piece out upon the Mole pen, equals 15 loads upon the milkwood tree piece nad 442 loads carried outr in all."</t>
  </si>
  <si>
    <t>EGYPT FIELDHANDS
LITTLE QUASHE [DRIVER]</t>
  </si>
  <si>
    <t>L1-P
L1-Q</t>
  </si>
  <si>
    <t>EGYPT PIMENTO TREE PIECE
EGYPT MILKWOOD TREE PIECE</t>
  </si>
  <si>
    <t>IMG 166, P.161</t>
  </si>
  <si>
    <t>August 12, 1759</t>
  </si>
  <si>
    <t>"Diffr'd with Phibbah, who is too impudent."</t>
  </si>
  <si>
    <t>August 13, 1759</t>
  </si>
  <si>
    <t>"Last night Phibbah slept at the Negroe house * And tonight."</t>
  </si>
  <si>
    <t>"Finish'd holing the pimento tree piece. torn'd up the pen in the milkwood tree piece. Quashe &amp; gang weeding plum tree piece. Repair'd fence around Top Hill. AM 11 loads of dung lead out upon the milkwood tree piece."</t>
  </si>
  <si>
    <t>L1-P
L1-Q
L1-L
L55</t>
  </si>
  <si>
    <t>EGYPT PIMENTO TREE PIECE
EGYPT MILKWOOD TREE PIECE
PLUM TREE PIECE
TOP HILL CANES</t>
  </si>
  <si>
    <t>E343</t>
  </si>
  <si>
    <t>IMG 167, P.162</t>
  </si>
  <si>
    <t>August 1759</t>
  </si>
  <si>
    <t>"Dr. Wedderburn (it seems) call'd to see Cloe's child."</t>
  </si>
  <si>
    <t>JAMES WEDDERBURN
CLOE'S CHILD</t>
  </si>
  <si>
    <t>P95
P319</t>
  </si>
  <si>
    <t>IMG 166-167, P.161-162</t>
  </si>
  <si>
    <t>August 14, 1759</t>
  </si>
  <si>
    <t>"AM lead out about 1400 galls of dander and threw upon the pen in the Milkwood Tree piece. At night carried trash. Finish'd repairing t he fence around Top Hill,.
Began atg the bottom of Top Hill Piece to cut canes for planting. At Negroe Breakfast Time began to plant the Papah tree piece at the bottom of the crop intervall.
Put Ambo help mind the Negroe planting.
Cyrus and Job carryign canes with miules each. Little Quashe and gang weeding as before."q</t>
  </si>
  <si>
    <t>EGYPT FIELDHANDS
LITTLE QUASHE [DRIVER]
AMBO
CYRUS</t>
  </si>
  <si>
    <t>P315
P359
P170
P210</t>
  </si>
  <si>
    <t>L1-N
L1-Q
L55</t>
  </si>
  <si>
    <t>EGYPT MILKWOOD TREE PIECE
TOP HILL CANES
EGYPT PAPAH TREE PIECE</t>
  </si>
  <si>
    <t>August 15, 1759</t>
  </si>
  <si>
    <t>"Phibbah last night at Negroe house.
Phibbah sleeps in great house,  I take it."</t>
  </si>
  <si>
    <t>"Lead out in the Forenoon about 1600 galls of dander upon the Milkwood Tree Piece as before. Employ'd planting as yesterday. Little Quashe &amp; gang weeding in the Old Scotch grass piece. At night carried trash into cattle pen.</t>
  </si>
  <si>
    <t>L1-Q
L1-M</t>
  </si>
  <si>
    <t>EGYPT MILKWOOD TREE PIECE
EGYPT OLD SCOTCHGRASS PIECE</t>
  </si>
  <si>
    <t>IMG 168, P.163</t>
  </si>
  <si>
    <t>August 16, 1759</t>
  </si>
  <si>
    <t>"Phibbah yet away."</t>
  </si>
  <si>
    <t>"Employ'd planting upon the papah tree piece as before. L. Quashe &amp; gang weeding the plum tree piece finished and then int he Old Scotch grass piece. AM About 1800 gallons of dander lead out again upon the pen in the Milkwood tree piece. About 6200 in all to this time."</t>
  </si>
  <si>
    <t>L1-Q
L1-M
L1-N
L1-L</t>
  </si>
  <si>
    <t>EGYPT PAPAH TREE PIECE
EGYPT PLUM TREE PIECE
EGYPT OLD SCOTCH GRASS PIECE
EGYPT MILKWOOD TREE PIECE</t>
  </si>
  <si>
    <t>IMG 169, P.164</t>
  </si>
  <si>
    <t>August 17, 1759</t>
  </si>
  <si>
    <t>"At night cum Mountain Susanah sup me: lect, gave d^0 2 bitts.
Phibbah I don't know where, at the Negroe house, in the cookroom or great house, etc, with Dago, etc."</t>
  </si>
  <si>
    <t>MOUNTAIN SUSANAH
THE OVERSEER
PHIBBAH
DAGO</t>
  </si>
  <si>
    <t>P254
P43
P7
P121</t>
  </si>
  <si>
    <t>August 18, 1759</t>
  </si>
  <si>
    <t>IMG 170, P.165</t>
  </si>
  <si>
    <t>August 21, 1759</t>
  </si>
  <si>
    <t>"Phibbah sleeps yet in the cookroom or great house, Dago also."</t>
  </si>
  <si>
    <t>PHIBBAH
DAGO</t>
  </si>
  <si>
    <t>P7
P121</t>
  </si>
  <si>
    <t>IMG 171, P.166</t>
  </si>
  <si>
    <t>August 22, 1759</t>
  </si>
  <si>
    <t>"This forenoon was stung or bit very badly by a scorpion or centipede in my right leg just above the shoe. Pain'd me veyr much."</t>
  </si>
  <si>
    <t>August 23, 1759</t>
  </si>
  <si>
    <t>"Phib I don't know where."</t>
  </si>
  <si>
    <t>IMG 173, P.168</t>
  </si>
  <si>
    <t>August 24, 1759</t>
  </si>
  <si>
    <t>"PM cum Mould's Lydde in the curing house, stans! Backward.
*Made Phib run for her impudence."</t>
  </si>
  <si>
    <t>MOULD'S LYDDE
THE OVERSEER</t>
  </si>
  <si>
    <t>P326
P43
P7</t>
  </si>
  <si>
    <t>E350</t>
  </si>
  <si>
    <t>IMG, 173, P.1678</t>
  </si>
  <si>
    <t>August 28, 1759</t>
  </si>
  <si>
    <t>"In the evening, Mr and Mrs. Cope had a few words and Mr. Cope called for his horse and rode away."</t>
  </si>
  <si>
    <t>THE PLANTER
THE PLANTER'S WIFE</t>
  </si>
  <si>
    <t>August 29, 1759</t>
  </si>
  <si>
    <t>"AM Mrs. Cope went out, so that now, both are out. Miss Polly, Dinah, Cubbah, etc. here."</t>
  </si>
  <si>
    <t>THE PLANTER'S WIFE
POLLY COPE
DINAH
ACCUBAH</t>
  </si>
  <si>
    <t>P45
P16
P328
P318</t>
  </si>
  <si>
    <t>August 30, 1759</t>
  </si>
  <si>
    <t>"AM Mr. and Mrs. Cope come home. Mr. Cope went to the Bay agaub in the evening and did not come home."</t>
  </si>
  <si>
    <t>P45
P44</t>
  </si>
  <si>
    <t>L1, L11</t>
  </si>
  <si>
    <t>EGYPT ESTATE
BLUEFIELDS BAY</t>
  </si>
  <si>
    <t>E345</t>
  </si>
  <si>
    <t>IMG 174, P.169</t>
  </si>
  <si>
    <t>August 31, 1759</t>
  </si>
  <si>
    <t>"PM Rode to the Bay, spent at Emotson's a bitt and gave their Eve 6 bitts for dressing Abba's sores."</t>
  </si>
  <si>
    <t>THE OVERSEER
EMOTSON'S EVE
ABBA</t>
  </si>
  <si>
    <t>P43
P320
P6</t>
  </si>
  <si>
    <t>"Phibbah yet away, very saucy and impudent."</t>
  </si>
  <si>
    <t>"About midnight Mr. Cope come home. Mr Cope at Jack Milligan's Birthday fast and at age."</t>
  </si>
  <si>
    <t>IMG 176, P.171</t>
  </si>
  <si>
    <t>September 2, 1759</t>
  </si>
  <si>
    <t>"Mrs. Cope din'd at Jo Williams' Longpond, brought home a sweet lime tree, which I planted in the garden.
Mr. Cope din'd out and supp'd out, come home in the night."</t>
  </si>
  <si>
    <t>THE PLANTER
THE PLANTER'S WIFE
THE OVERSEER</t>
  </si>
  <si>
    <t>L44
L1</t>
  </si>
  <si>
    <t>LONGPOND ESTATE
EGYPT ESTATE</t>
  </si>
  <si>
    <t>September 3, 1759</t>
  </si>
  <si>
    <t>"AM Mr. and Mrs. Cope etc all went away again for Paradise. *Had Dago to carry a bed and Kent to carry sundries, etc."</t>
  </si>
  <si>
    <t xml:space="preserve">THE PLANTER
THE PLANTER'S WIFE
DINAH
ACCUBAH
POLLY COPE
DAGO
KENT
</t>
  </si>
  <si>
    <t>P45
P45
P328
P318
P121
P329</t>
  </si>
  <si>
    <t>"Employ'd drawing cane in the Old Sharp Pen PieCe (Job and Cyrus carrying) and planting in the homer calabash tree piece as before.
AM 12 loads of dung carried out."</t>
  </si>
  <si>
    <t>EGYPT FIELDHANDS
JOB
CYRUS</t>
  </si>
  <si>
    <t>P315
P29
P210</t>
  </si>
  <si>
    <t>L56
L1-H</t>
  </si>
  <si>
    <t>OLD SHARP PEN PIECE
EGYPT CALABASH TREE PIECE</t>
  </si>
  <si>
    <t>E332</t>
  </si>
  <si>
    <t>IMG 177, P.172</t>
  </si>
  <si>
    <t>September 4, 1759</t>
  </si>
  <si>
    <t>"In evening cum Egypt Susanah sup me: lect: gave d^0 2 bitts. Sent word by her to Phib: she might come if she would and accordingly, she did. At night, cum Phib.</t>
  </si>
  <si>
    <t>EGYPT SUSANAH
THE OVERSEER
PHIBBAH</t>
  </si>
  <si>
    <t>P296
P43
P7</t>
  </si>
  <si>
    <t>"At night cum Phib."</t>
  </si>
  <si>
    <t>"Planting in home calabash piece &amp; pimento tree piece as before. (Job &amp; Port Royal carrying canes)
AM 12 loads of dung lead out at night carried trash into the pen."</t>
  </si>
  <si>
    <t xml:space="preserve">EGYPT FIELDHANDS
JOB
PORT ROYAL
</t>
  </si>
  <si>
    <t>P315
P29
P212</t>
  </si>
  <si>
    <t>L1-H
L1-P</t>
  </si>
  <si>
    <t>EGYPT CALABASH TREE PIECE
EGYPT PIMENTO TREE PIECE</t>
  </si>
  <si>
    <t>E391</t>
  </si>
  <si>
    <t>IMG 178, P.173</t>
  </si>
  <si>
    <t>September 5, 1759</t>
  </si>
  <si>
    <t>"Abraham broke plants, flogg'd him well."</t>
  </si>
  <si>
    <t>ABRAHAM
THE OVERSEER</t>
  </si>
  <si>
    <t>P360
P43</t>
  </si>
  <si>
    <t>September 6, 1759</t>
  </si>
  <si>
    <t>"Gave our Negroes some Bevridge to heaten them up."</t>
  </si>
  <si>
    <t xml:space="preserve">P315
P43
</t>
  </si>
  <si>
    <t>E702</t>
  </si>
  <si>
    <t>IMG 439, P.28</t>
  </si>
  <si>
    <t>"Light air, very hott and sultry, towards Noon cloudy. PM a very hard shower of rain, somewhat."</t>
  </si>
  <si>
    <t>September 7, 1759</t>
  </si>
  <si>
    <t>"Close, cloudy, sultry and excessive hott, thunder remote. PM a few drops of Rain, at night a small shower."</t>
  </si>
  <si>
    <t>IMG 179, P.174</t>
  </si>
  <si>
    <t>September 8, 1759</t>
  </si>
  <si>
    <t>"AM Mr. Cope came, din'd here and PM went away. Suspevt Phib sup lect in Maj. domo with him."</t>
  </si>
  <si>
    <t>THE PLANTER
PHIBBAH</t>
  </si>
  <si>
    <t>P44
P7</t>
  </si>
  <si>
    <t>"Light airs, close and cloudy and vastly sultry. PM A modest shower of rain. thunder at a distance. At night an abundance of lightning and thunder remote."</t>
  </si>
  <si>
    <t>September 9, 1759</t>
  </si>
  <si>
    <t>"Moderate breezes, fair, towards Noon, cloudy. PM Cloudy, most part drizzling rain, thunder far off."</t>
  </si>
  <si>
    <t>E346</t>
  </si>
  <si>
    <t>IMG. 180, P.175</t>
  </si>
  <si>
    <t>September 10, 1759</t>
  </si>
  <si>
    <t>"Barnett's Nancy catch'd by Col. Barclay's Negroes, gave them half a crown, Flogg'd her well, wrote to John Cunnignham and sent her per Daniel to put in salt River dungeon."</t>
  </si>
  <si>
    <t>BARNETT'S NANCY
COL. BARCLAY'S NEGROES
THE OVERSEER
JOHN CUNNINGHAM
DANIEL</t>
  </si>
  <si>
    <t>P321
P322
P164
P42
P43</t>
  </si>
  <si>
    <t>IMG 180, P.175</t>
  </si>
  <si>
    <t>"AM 12 loads of dung carried out equals 138 loads carried out of this pen and about 55 may be left in it which we shall carry out in basketts at round, equals 193 loads of whole pen.
the cattle pen yielded 432 loads
Mule Pen 113
New Pen 193
738 loads
Laid upon the calabash tree piece 427
Inde House Pond Piece 311
738 loads"</t>
  </si>
  <si>
    <t>"Light wind at times cloudy. At noon, a squall of wind. PM some drizzling rain, thunder a a distance. At ngiht, lightning and a small shower of rain."</t>
  </si>
  <si>
    <t>September 11, 1759</t>
  </si>
  <si>
    <t>"Moderate breezes, fair. PM cloudy, a small shower of rain, thunder at a distance, at night lightning."</t>
  </si>
  <si>
    <t>IMG 181, P.176</t>
  </si>
  <si>
    <t>September 12, 1759</t>
  </si>
  <si>
    <t>" AM Finished planting the pimento tree piece and PM planted it and the home calabash tree piece with corn.
Made up some dung heaps in Jude house pond piece etc.
At night gave our Negroes some hott punch, all having been wett."</t>
  </si>
  <si>
    <t>L1-H
L1-R</t>
  </si>
  <si>
    <t>EGYPT CALABASH TREE PIECE
EGYPT JUDE HOUSE POND PIECE</t>
  </si>
  <si>
    <t>"Light winds at times, cloudy, abotu 10 am sprung up, a fresh gale about SE, with frequent hard squalls of wind, adn rain which continued all the afternoon and night following no thunder or lightning but a very suspicious look."</t>
  </si>
  <si>
    <t>IMG 440, P.29</t>
  </si>
  <si>
    <t>September 13, 1759</t>
  </si>
  <si>
    <t>"Until about sunrise, fresh gales, with squalls of wind and rain, then almost calm, cloudy, thunder far off abotu 10 am sprung up a fresh gale, cloudy and continue until night, then hard squalls of wind with an abundance of rain and lightning and thunder at a distance."</t>
  </si>
  <si>
    <t>September 14, 1759</t>
  </si>
  <si>
    <t>"Moderate breeezes, cloudy, Middle of the day, fresh breezes, cloudy. Evening. Light winds."</t>
  </si>
  <si>
    <t>IMG 183, P.178</t>
  </si>
  <si>
    <t>September 15, 1759</t>
  </si>
  <si>
    <t>"At night Cyrus made a feast for LittLe Dick who died some time ago."</t>
  </si>
  <si>
    <t>CYRUS
LITTLE DICK</t>
  </si>
  <si>
    <t>P210
P171</t>
  </si>
  <si>
    <t>"Fresh breezes, most part fair weather."</t>
  </si>
  <si>
    <t>E124</t>
  </si>
  <si>
    <t>IMG 184, P.179</t>
  </si>
  <si>
    <t>September 16, 1759</t>
  </si>
  <si>
    <t>"About suppertime Ellin delivr'd of a girl in the Negroe house by herself."</t>
  </si>
  <si>
    <t>ELLIN
ELLIN'S CHILD</t>
  </si>
  <si>
    <t>P33
P172</t>
  </si>
  <si>
    <t>"Fresh breezes, at times cloudy."</t>
  </si>
  <si>
    <t>September 17, 1759</t>
  </si>
  <si>
    <t>"Sent Ellin rum, sugar, herrings, flower [sic], lamp oyl [sic], wick, etc."</t>
  </si>
  <si>
    <t>IMG 185, P.180</t>
  </si>
  <si>
    <t>September 18, 1759</t>
  </si>
  <si>
    <t>"AM Dr. Gorse here."</t>
  </si>
  <si>
    <t>IMG 186, P.181</t>
  </si>
  <si>
    <t>September 19, 1759</t>
  </si>
  <si>
    <t>"Employ'd holing Jude House Pond Piece. L. Quashe and gang weeding the Old Curing House Piece.
Put Ambo to dig cane holes again."</t>
  </si>
  <si>
    <t>EGYPT FIELDHANDS
LITTLE QUASHE [DRIVER]
AMBO</t>
  </si>
  <si>
    <t>P170
P315
P359</t>
  </si>
  <si>
    <t>L1-O
L1-R</t>
  </si>
  <si>
    <t>EGYPT OLD CURING HOUSE PIECE
EGYPT JUDE HOUSE POND PIECE</t>
  </si>
  <si>
    <t>E136</t>
  </si>
  <si>
    <t>IMG 187, P.182</t>
  </si>
  <si>
    <t>September 21, 1759</t>
  </si>
  <si>
    <t>"It is said that in Windward islands, they give a newborn child a teaspoonful of oyl nutt oyl [sic] with a little sugar which entirely purges of meconium and hinders child from jaw falling, afterwards giving it sweet oyl and sugar as customary here."
Meconium, a thick black excrement gath'rd in intestines of a child during the time of genstation. In colour and consistence it resembled pulp of cassia. It is also found to resemble meconium or juice of poppy, whence it takes its name.
Gestation, the t ime of a woman's going with child, or interval between conception and delivery."</t>
  </si>
  <si>
    <t>IMG 188, P.183</t>
  </si>
  <si>
    <t>September 22, 1759</t>
  </si>
  <si>
    <t>"About break of day Ellin's child died, it is said of hurt it received when it fell from her, the time she brought it, which broke its naval string off short also."</t>
  </si>
  <si>
    <t>ELLIN
ELLIN'S CHILD</t>
  </si>
  <si>
    <t>P33
P172</t>
  </si>
  <si>
    <t>"Gave Abigail a new hoe! Those hoes of Mrs. Wheatley's are good for little, commonly soon break off at the eye."</t>
  </si>
  <si>
    <t>THE OVERSEER
ABIGAIL
MRS. WHEATLEY</t>
  </si>
  <si>
    <t>P43
P118
P323</t>
  </si>
  <si>
    <t>IMG 190, P.185</t>
  </si>
  <si>
    <t>September 24, 1759</t>
  </si>
  <si>
    <t>"Employ'd holing the Milkwood Tree Piece. L. Quashe and gang d^0.
AM Lead earth out of the interval between the Old Sharp Penn Pieve and Old Curing House Piece."</t>
  </si>
  <si>
    <t>L1-Q
L1-O
L56</t>
  </si>
  <si>
    <t>EGYPT MILKWOOD TREE PIECE
EGYPT OLD CURING HOUSE PIECE
OLD SHARP PENN PIECE</t>
  </si>
  <si>
    <t>E392</t>
  </si>
  <si>
    <t>"PM Having ordered Lewie to flog the Negroes that were holing because they did not work. Robert Lawrence told him not to regard me, in my hearing, which he obey'd, therefore seized him, flogg'd him well, put him to holing and made Ambo driver. Robert afterwards was submissive, suppose he was in linquor."</t>
  </si>
  <si>
    <t>LEWIE
THE OVERSEER 
ROBERT LAWRENCE
AMBO</t>
  </si>
  <si>
    <t>P357
P43
P327
P170</t>
  </si>
  <si>
    <t>September 26, 1759</t>
  </si>
  <si>
    <t>"AM Lead 8 loads of Earth into the new pen again.
*Gave Agnes a new Bill."</t>
  </si>
  <si>
    <t>EGYPT FIELDHANDS
AGNES</t>
  </si>
  <si>
    <t>P315
P124</t>
  </si>
  <si>
    <t>September 27, 1759</t>
  </si>
  <si>
    <t>"Second gang finished that piece. 
AM lead 8 loads of Earth into the pen."</t>
  </si>
  <si>
    <t>IMG 191, P.186</t>
  </si>
  <si>
    <t>September 28, 1759</t>
  </si>
  <si>
    <t>"AM 8 loads of earth lead into the pen, equals 38 loads. Employ'd weeding of papah tree piece plants.
Little Quashe &amp; clearing around the Old Negroe House Piece canes.
Robert (our white man) has got the fever."</t>
  </si>
  <si>
    <t>EGYPT FIELDHANDS
LITTLE QUASHE [DRIVER]
ROBERT LAWRENCE</t>
  </si>
  <si>
    <t>P315
P327
P359</t>
  </si>
  <si>
    <t>L1-D
L1-N</t>
  </si>
  <si>
    <t>EGYPT PAPAH TREE PIECE
EGYPT OLD NEGROE HOUSE PIECE</t>
  </si>
  <si>
    <t>IMG 192, P.187</t>
  </si>
  <si>
    <t>September 29, 1759</t>
  </si>
  <si>
    <t>"Gave our Negroes today. AM I went to hill and walk'd over the Negroe grounds, etc. "</t>
  </si>
  <si>
    <t>E393</t>
  </si>
  <si>
    <t>"Cum Mountain Lucy, sup terr: by morass side, Negroe ground. Gave her 2 Bitts/"</t>
  </si>
  <si>
    <t>E120</t>
  </si>
  <si>
    <t>September 30, 1759</t>
  </si>
  <si>
    <t>"Wrote to Mr. John Cunningham, per Prince, for Old Daphne to come to Anjaw; about noon she come.
About 3 pm, Anjaw brought to bed of a boy."</t>
  </si>
  <si>
    <t>THE OVERSEER
PRINCE
JOHN CUNNINGHAM
OLD DAPHNE
ANJAW
ANJAW'S CHILD/SON</t>
  </si>
  <si>
    <t>P43
P11
P164
P165
P166
P167</t>
  </si>
  <si>
    <t>IMG 193, P.188</t>
  </si>
  <si>
    <t>October 1, 1759</t>
  </si>
  <si>
    <t>"Wrote to John Cope, Esp. received some sweet oyl [sic] in a bottle, a little fennel seed and a dose of Manna to give Anjaw's child: also a note from J.C.
Made Mould's Franke stay and wash in Anjaw's room.
AM DR. Gorse here."</t>
  </si>
  <si>
    <t>THE OVERSEER
JOHN COPE
ANJAW'S CHILD/SON
MOULD'S FRANKE
ANJAW
DR. GORSE</t>
  </si>
  <si>
    <t>P43
P44
P167
P235
P166
P228</t>
  </si>
  <si>
    <t>L2, L1</t>
  </si>
  <si>
    <t>"Employ'd all hands weeding the Papah tree piece canes.
At night carried trash into the cattle pen."</t>
  </si>
  <si>
    <t>IMG 194, P.189</t>
  </si>
  <si>
    <t>October 3, 1759</t>
  </si>
  <si>
    <t>"About suppertime Mr. Cope come (he and Mrs. Cope has quarrl'd). He had Mimber again."</t>
  </si>
  <si>
    <t>THE PLANTER
MIMBER</t>
  </si>
  <si>
    <t>P44
P80</t>
  </si>
  <si>
    <t>"Finish'd wedding the Papah tree piece. Supply'd the papah tree piece, which wanted very little.
At night carried trash into the pen."</t>
  </si>
  <si>
    <t>October 4, 1759</t>
  </si>
  <si>
    <t>"Wedding and supplying the home calabash tree piece plants etc."</t>
  </si>
  <si>
    <t>IMG 195, P.190</t>
  </si>
  <si>
    <t>"A large Mock sun this morning to the southward of the sun, when about half an hour length."</t>
  </si>
  <si>
    <t>October 5</t>
  </si>
  <si>
    <t>"Finish'd supplying the home calabash tree piece. Employ'd holing Jude House Pond Piece. At night carried trash.
Little Quashe and the gang weeding round the lower cattle ground path piece plants.""</t>
  </si>
  <si>
    <t>IMG 197, P.192</t>
  </si>
  <si>
    <t>October 6, 1759</t>
  </si>
  <si>
    <t>"The caterpillards have eat up the young cane in the papah tree piece by patches almost entirely."</t>
  </si>
  <si>
    <t>October 8, 1759</t>
  </si>
  <si>
    <t xml:space="preserve">"All hands picking caterpillards from the young canes etc in the papah tree piece, pick'd several bushells. Had hte Turkeys there also. The young canes dying for want of rain.
At night carried trash." </t>
  </si>
  <si>
    <t>E394</t>
  </si>
  <si>
    <t>October 8,1759</t>
  </si>
  <si>
    <t>*In the evening some clouds in the East off a fine sea green colour</t>
  </si>
  <si>
    <t>"Flogg'd Ambo for misdemeanors."</t>
  </si>
  <si>
    <t>October 9, 1759</t>
  </si>
  <si>
    <t>"Pick'd the caterpillars from the remainder of the papah tree piece canes, got a large pail full, many yet.
Holing in Jude House pond piece. 
Little Quashe and gang cleaning round the Old Negroe ground piece."</t>
  </si>
  <si>
    <t>L1-N
L1-R
L1-D</t>
  </si>
  <si>
    <t>EGYPT PAPAH TREE PIECE
EGYPT JUDE HOUSE POND PIECE
EGYPT OLD NEGROE GROUND PIECE</t>
  </si>
  <si>
    <t>IMG 198-199, P.193-194</t>
  </si>
  <si>
    <t>October 10, 1759</t>
  </si>
  <si>
    <t>"Finish'd holing Jude House Pond cane Piece before Noon and began to plant d^0 piece having drawn a good deal of cane in the morning in the Old Sharp Pen Piece.
Little Quashe and gang carrying out dung into the holes in Jude House piece.
Mr. Cope ordered Sancho and the Indians back to Paradise &amp; I put Cyrus fisherman again."</t>
  </si>
  <si>
    <t>EGYPT FIELDHANDS
LITTLE QUASHE [DRIVER]
THE PLANTER
SANCHO
CYRUS</t>
  </si>
  <si>
    <t>P315
P359
P44
P195
P210</t>
  </si>
  <si>
    <t>L1-R
L56</t>
  </si>
  <si>
    <t>OLD SHARP PEN PIECE
EGYPT JUDE HOUSE POND PIECE</t>
  </si>
  <si>
    <t>October 11, 1759</t>
  </si>
  <si>
    <t>"Employ'd planting in Jude house pond piece as yesterday.
Little Quashe and gang carrying out the dung, etc."</t>
  </si>
  <si>
    <t>EGYPT FIELD HANDS
LITTLE QUASHE [DRIVER]</t>
  </si>
  <si>
    <t>E395</t>
  </si>
  <si>
    <t>IMG 199, P.194</t>
  </si>
  <si>
    <t>"AM Dr. Gorse here: sent Mrs. Gorse some green pease per Little Phibbah, who went for medicines for gthe Negroes."</t>
  </si>
  <si>
    <t>DR. GORSE
EGYPT LITTLE PHIBBAH</t>
  </si>
  <si>
    <t>P325
P228</t>
  </si>
  <si>
    <t>E125</t>
  </si>
  <si>
    <t>"AM wrote to John Cunningham at Salt River for Old Daphne (per Jackie) about suppertime Mountain Lucy was brought to bed of a boy."</t>
  </si>
  <si>
    <t>JOHN CUNNINGHAM
OLD DAPHNE
MOUNTAIN LUCY
MOUNTAIN LUCY'S CHILD</t>
  </si>
  <si>
    <t xml:space="preserve">
P30
P164
P173
P11</t>
  </si>
  <si>
    <t>IMG 200, P.195</t>
  </si>
  <si>
    <t>October 12, 1759</t>
  </si>
  <si>
    <t>"Rec'd per Worsoe a dose of manna for Mn. Lucy's child and some fennel seeds. About noon Old Daphne came."</t>
  </si>
  <si>
    <t>WORSOE
MOUNTAIN LUCY'S CHILD
OLD DAPHNE</t>
  </si>
  <si>
    <t>P173
P11
P343</t>
  </si>
  <si>
    <t>E396</t>
  </si>
  <si>
    <t>"Shot 2 very large diver birds in the great pond. Their nails are almost like a person's fingernails."</t>
  </si>
  <si>
    <t>October 15, 1759</t>
  </si>
  <si>
    <t>"Drew cane in the Old Sheep Pen Peice, finished it. Then planting in Jude house Pond Peice. Jackie, Job &amp; Port Royal mule men.
Gave Cambridge a new hoe, which broke, then gave him another.""</t>
  </si>
  <si>
    <t>EGYPT FIELD HANDS
JACKIE
JOB
PORT ROYAL
CAMBRIDGE</t>
  </si>
  <si>
    <t>P315
P102
P29
P212
P337</t>
  </si>
  <si>
    <t>L1-S
L1-R</t>
  </si>
  <si>
    <t>E365</t>
  </si>
  <si>
    <t>IMG 202, P.197</t>
  </si>
  <si>
    <t>October 16, 1759</t>
  </si>
  <si>
    <t>"Employed planting as yesterday."</t>
  </si>
  <si>
    <t>IMG 203, P.198</t>
  </si>
  <si>
    <t>October 18, 1759</t>
  </si>
  <si>
    <t>"AM Dr. Gorse here. Mountain Lucy's child bad."</t>
  </si>
  <si>
    <t>MOUNTAIN LUCY
DR. GORSE</t>
  </si>
  <si>
    <t>P173
P228</t>
  </si>
  <si>
    <t>E397</t>
  </si>
  <si>
    <t>"The reefs out in the sea have roar'd prodigiously these several nights past, so that I could scarce sleep. So they did before the hurricane in 1757."</t>
  </si>
  <si>
    <t>October 19, 1759</t>
  </si>
  <si>
    <t>"About noon, Mountain Lucy's child died, owning to her catching cold I take it."</t>
  </si>
  <si>
    <t>MOUNTAIN LUCY
MOUNTAIN LUCY'S CHILD</t>
  </si>
  <si>
    <t>P30
P173</t>
  </si>
  <si>
    <t>"Little Quashe and gang carrying out the dung."</t>
  </si>
  <si>
    <t>IMG 204, P.199</t>
  </si>
  <si>
    <t>October 20, 1759</t>
  </si>
  <si>
    <t>"About 4 pm finished planting jude house pond cane piece except about half a score holes which had too much water in them. Note! The Negroes planted all dinner time, I gave them hot punch when they had done."</t>
  </si>
  <si>
    <t>IMG 204-205, P.199-200</t>
  </si>
  <si>
    <t>"About 4 pm finish'd planting Jude house pond cane piece, except about half a score holes, which had too much water in them. 
Note! the Negroes planted all dinnertime, I gave them hot punch when they had done."</t>
  </si>
  <si>
    <t>IMG 205, P.200</t>
  </si>
  <si>
    <t>October 22, 1759</t>
  </si>
  <si>
    <t>"Phibbah says, she suspects she is breeding."</t>
  </si>
  <si>
    <t>"Planted the few holes in Jude house pond piece left on Saturday. Also planted d^0 piece with corn. Cutt up the dung in the Old Sheep Pen cane piece, and gave it a fresh covering of trash.
Supply'd the young logwood fences between the pasture, home calabash tree piece and old curing house piece with young logwood seeds, also round the garden."</t>
  </si>
  <si>
    <t>L1-R
L1-S
L1-H
L1-O</t>
  </si>
  <si>
    <t>EGYPT JUDE HOUSE POND PIECE
EGYPT OLD SHEEP PEN CANE PIECE
EGYPT CALABASH TREE PIECE
EGYPT OLD CURING HOUSE PIECE</t>
  </si>
  <si>
    <t>October 23, 1759</t>
  </si>
  <si>
    <t>"Finsh'd the pimento tree cane piece. Stacking up the sheep pen cane piece. L. Quashe and gang weeding the home Breadnut tree piece. "</t>
  </si>
  <si>
    <t>L1-P
L1-S
L1-G</t>
  </si>
  <si>
    <t>EGYPT PIMENTO TREE CANR PIECE
EGYPT SHEEP PEN CANE PIECE
EGYPT BREADNUT TREE PIECE</t>
  </si>
  <si>
    <t>E398</t>
  </si>
  <si>
    <t>October 23,1759</t>
  </si>
  <si>
    <t>"This week has been more than usually hott, for many months past."</t>
  </si>
  <si>
    <t>IMG 206, P.201</t>
  </si>
  <si>
    <t>October 24, 1759</t>
  </si>
  <si>
    <t>"Little Quashe and gang weeding the home Breadnut tree piece."</t>
  </si>
  <si>
    <t>IMG 207, P.202</t>
  </si>
  <si>
    <t>"Same as before; perceived canes took out of some of the holes, of the last planted peiece, can't make out by whom, supply'd the plows."</t>
  </si>
  <si>
    <t>EGYPT PIMENTO TREE CANR PIECE
EGYPT SHEEP PEN CANE PIECE
EGYPT BREADNUT TREE CANE PIECE</t>
  </si>
  <si>
    <t>E210</t>
  </si>
  <si>
    <t>IMG 203, P.203</t>
  </si>
  <si>
    <t>October 25, 1759</t>
  </si>
  <si>
    <t>"Phibbah behaved oddly tonight, confessions of guilt in great house with JC this afternoon."</t>
  </si>
  <si>
    <t>"Finish'd stacking up the old sheep pen piece, also finish'd weeding the home Breadnut tree piece; then weeding coffee ground, etc. Filling up the Old Sheep pen piece, cleaning the other trenches out."</t>
  </si>
  <si>
    <t>L1-E
L1-S
L1-G</t>
  </si>
  <si>
    <t xml:space="preserve">EGYPT OLD SHEEP PEN PIECE
EGYPT BREADNUT TREE CANE PIECE
EGYPT COFFEE GROUNDS
</t>
  </si>
  <si>
    <t>IMG 209, P.204</t>
  </si>
  <si>
    <t>October 29, 1759</t>
  </si>
  <si>
    <t>"Employ'd holing in the Old Sheep pen piece, whenever the weather would permit! (Little Quashe and gang carrying the trash off)."</t>
  </si>
  <si>
    <t>IMG 210, P.205</t>
  </si>
  <si>
    <t>"This afternoon violent squalls of wind and rain from the South, tore large limbs from the trees, etc, Had it not thundr'd should been afraid of a hurricane coming."</t>
  </si>
  <si>
    <t>E399</t>
  </si>
  <si>
    <t>October 30, 1759</t>
  </si>
  <si>
    <t>"Many sick in the hothouse. Lewie, Quaco, Beck, Big Mimber, Big Doll, Cloe, etc."</t>
  </si>
  <si>
    <t>LEWIE
QUACO
BECK
BIG MIMBER
BIG DOLL
CLOE</t>
  </si>
  <si>
    <t>P317
P298
P361
P362
P363
P101</t>
  </si>
  <si>
    <t>IMG 211, P.206</t>
  </si>
  <si>
    <t>November 1, 1759</t>
  </si>
  <si>
    <t>"Little Quashe and gang carrying teh trash off, and others helped them also, as they could not get it off fast enough. Many of our Negroes sick."</t>
  </si>
  <si>
    <t>"Little Quashe and gang carrying the trash and the others help'd them also as they could not get it off fast enough. Many of our Negroes sick."</t>
  </si>
  <si>
    <t>E349</t>
  </si>
  <si>
    <t>IMG 212, P.208</t>
  </si>
  <si>
    <t>November 3, 1759</t>
  </si>
  <si>
    <t>"Robert had Quasheba."</t>
  </si>
  <si>
    <t>ROBERT LAWRENCE
EGYPT QUASHEBA</t>
  </si>
  <si>
    <t>P327
P240</t>
  </si>
  <si>
    <t>IMG 213, P.209</t>
  </si>
  <si>
    <t>November 5, 1759</t>
  </si>
  <si>
    <t>"Robert was somewhat in liquor last night seemingly had hte hiccough exceedingly. Sent for Quasheba who could not come, her husband being in the way, he sat up most of the night sobbing and mourning and today pretends to be ill."</t>
  </si>
  <si>
    <t>IMG 213, P.208</t>
  </si>
  <si>
    <t>"Employ'd holing in the Old Sheep Pen piece as last week. L. Quashe and gang carrying trash as before the holing."</t>
  </si>
  <si>
    <t>IMG 214, P.209</t>
  </si>
  <si>
    <t>November 6, 1759</t>
  </si>
  <si>
    <t>"Four turkey hens, 2 turkey cocks, 8 young fowls, and 2 guinea hens all sent away provatwly this morning by Mrs. Cope, unknowst to her husband; to sell."</t>
  </si>
  <si>
    <t>IMG 214, p.209</t>
  </si>
  <si>
    <t>November 7, 1759</t>
  </si>
  <si>
    <t>"Employ'd holing (Little Quashe and gang as before)</t>
  </si>
  <si>
    <t>IMG 218, P.213</t>
  </si>
  <si>
    <t>November 12, 1759</t>
  </si>
  <si>
    <t>"PM Began to plant the Old Sharp Pen piece (whichever the holes were not too full of water.) Many hands carrying the dung out.</t>
  </si>
  <si>
    <t>"AM Drew cane over Cabaritta Bridge. Began for and the lefthand side. 
PM Began to plant the Old Sheep Pen piece (whichever holes were not too full of water) Many hands carrying the dung out."</t>
  </si>
  <si>
    <t>L8-B
L1-S</t>
  </si>
  <si>
    <t>CABARITTA BRIDGE
EGYPT OLD SHEEP PEN PIECE</t>
  </si>
  <si>
    <t>E126</t>
  </si>
  <si>
    <t>IMG 219, P.214</t>
  </si>
  <si>
    <t>November 14, 1759</t>
  </si>
  <si>
    <t>"About or before break of day, Sarah brought to bed of a boy."</t>
  </si>
  <si>
    <t>SARAH
SARAH'S CHILD/SON</t>
  </si>
  <si>
    <t>P106
P174</t>
  </si>
  <si>
    <t>IMG 220, P.215</t>
  </si>
  <si>
    <t>November 15, 1759</t>
  </si>
  <si>
    <t>"*Rec'd some oyl nut oyl [sic] for Sarah's child."</t>
  </si>
  <si>
    <t>November 16, 1759</t>
  </si>
  <si>
    <t>"At dinnertime, Robert had Quasheba in his house, he laid up all the afternoon, drunk, etc."</t>
  </si>
  <si>
    <t>November 17, 1759</t>
  </si>
  <si>
    <t>"At noon had many words with Robert about Quasheba etc, reprimanded him. d^0 the field Negroes wanted him away, which I perceived, therefore kept him."</t>
  </si>
  <si>
    <t>THE OVERSEER
ROBERT LAWRENCE
EGYPT QUASHEBA</t>
  </si>
  <si>
    <t>P43
P327
P240</t>
  </si>
  <si>
    <t>IMG 221, P.216</t>
  </si>
  <si>
    <t>November 19, 1759</t>
  </si>
  <si>
    <t>"Robert laid up lame, he says."</t>
  </si>
  <si>
    <t>"Drawing cane over the bridge as last week, finish'd the left hand side. Employ'd planting in the  Old Sheep Pen Piece. L. Quashe and gang carrying out dung.
Gave Ellin a new hoe."</t>
  </si>
  <si>
    <t>EGYPT FIELD HANDS
LITTLE QUASHE [DRIVER]
ELLIN</t>
  </si>
  <si>
    <t>P315
P359
P33</t>
  </si>
  <si>
    <t>E400</t>
  </si>
  <si>
    <t>"Wrote to Dr. Gorse per Little Phibbah for medicine."</t>
  </si>
  <si>
    <t>P228
P325</t>
  </si>
  <si>
    <t>E65</t>
  </si>
  <si>
    <t>November 20, 1759</t>
  </si>
  <si>
    <t>"Employed planting as before. Having finished carrying out the dung pen had Little Quashe and his gang drawing cane on the right hand side over Cabaritta Bridge in the Calabash piece."</t>
  </si>
  <si>
    <t>IMG 222, P.217</t>
  </si>
  <si>
    <t>"Employ'd planting as before. Having finished carrying out the dung pen, had Little Quashe and his gang drawing cane on the right hand side over Cabaritta Bridge in the Calabash Tree Piece."</t>
  </si>
  <si>
    <t>L8-B
L1-H</t>
  </si>
  <si>
    <t>CABARITTA BRIDGE
EGYPT CALABASH TREE PIECE</t>
  </si>
  <si>
    <t>November 21, 1759</t>
  </si>
  <si>
    <t>"In morning Sarah's child died. Old Daphne not good for much."</t>
  </si>
  <si>
    <t>SARAH'S CHILD/SON
OLD DAPHNE</t>
  </si>
  <si>
    <t>P174
P11</t>
  </si>
  <si>
    <t>"Sent Egypt Lucy to Paradise to lye in."</t>
  </si>
  <si>
    <t>"Light air fair. PM at times cloudy" [IMG 448, P.37]</t>
  </si>
  <si>
    <t>IMG 223, P.218</t>
  </si>
  <si>
    <t>"Robert keeps in his house."</t>
  </si>
  <si>
    <t>IMG 225, P.220</t>
  </si>
  <si>
    <t>November 24, 1759</t>
  </si>
  <si>
    <t>"Robert yet in his house, as he has been all this week."</t>
  </si>
  <si>
    <t>November 25, 1759</t>
  </si>
  <si>
    <t>"Employ'd planting as before. *Negroe day by right, but wanted to hbave done planting as soon as possible the water  being set in dry."</t>
  </si>
  <si>
    <t>IMG 226, P.221</t>
  </si>
  <si>
    <t>November 26, 1759</t>
  </si>
  <si>
    <t>"Finished planting the Old Sheep Pen Piece, which completes this year's plant.
Weeding the papah tree piece canes. At night carried trash into the mule pen."</t>
  </si>
  <si>
    <t>L1-S
L1-N</t>
  </si>
  <si>
    <t>EGYPT OLD SHEEP PEN PIECE
EGYPT PAPAH TREE PIECE</t>
  </si>
  <si>
    <t>November 27, 1759</t>
  </si>
  <si>
    <t>"Planted the Old Sheep Pen piece with corn. Employ'd weeding the papah tree piece canes. 
At night carried trash into the Mule Pen."</t>
  </si>
  <si>
    <t>L1-N
L1-S</t>
  </si>
  <si>
    <t>November 28, 1759</t>
  </si>
  <si>
    <t>"Employ'd weeding the papah tree piece canes and supplied d^0 piece.
At night carrief trash into the pen."</t>
  </si>
  <si>
    <t>IMG 227, P.222</t>
  </si>
  <si>
    <t>November 29, 1759</t>
  </si>
  <si>
    <t>"Finish'd weeding the papah tree cane piece. Had parts and rails lead over Cabaritta Bridge into the pieces on the left hand side."</t>
  </si>
  <si>
    <t>L1-N
L8-B</t>
  </si>
  <si>
    <t>EGYPT PAPAH TREE PIECE
CABARITTA BRIDGE</t>
  </si>
  <si>
    <t>November 30, 1759</t>
  </si>
  <si>
    <t>"Weeding the home calabash and pimento tree pieces. At night carried trash into the mule pen."</t>
  </si>
  <si>
    <t>IMG 228, P.223</t>
  </si>
  <si>
    <t>December 1, 1759</t>
  </si>
  <si>
    <t>"Made our Negroes work til past sunrise, then gave them today."</t>
  </si>
  <si>
    <t>December 3, 1759</t>
  </si>
  <si>
    <t>"Laid out 2 seventy feet square pens on the left hand side pieces over Cabaritta Bridge.
8 hands digging holes. Weeding the home calabash and pimento tree pieces. Finsh'd them."</t>
  </si>
  <si>
    <t>L8-B
L1-H
L1-P</t>
  </si>
  <si>
    <t>CABARITTA BRIDGE
EGYPT CALABASH TREE PIECE
EGYPT PIMENTO TREE PIECES</t>
  </si>
  <si>
    <t>IMG 230, P.225</t>
  </si>
  <si>
    <t>December 4, 1759</t>
  </si>
  <si>
    <t>"Mr Peter Collgrave came din'd with me etc and PM he took his leave of me: he says the 3 essential qualifications of an overseer are Lenity, Industry and Honesty, supposing him ti have common sense also. That the warm suns and Blue skies in this country are all that is agreeable."</t>
  </si>
  <si>
    <t>PETER COLLGRAVE
THE OVERSEER</t>
  </si>
  <si>
    <t>P324
P43</t>
  </si>
  <si>
    <t>E401</t>
  </si>
  <si>
    <t>"Wrote to Dr. Gorse per L. Phib for medicines."</t>
  </si>
  <si>
    <t>"Employ'd weeding in the Milkwood tree piece, etc.:
Digging port holes for the penn over Cabaritta Brdige, set the posts down etc."</t>
  </si>
  <si>
    <t>L1-Q
L8</t>
  </si>
  <si>
    <t>EGYPT MILKWOOD TREE PIECE
CABARITTA BRIDGE</t>
  </si>
  <si>
    <t>IMG 231, P.226</t>
  </si>
  <si>
    <t>December 5, 1759</t>
  </si>
  <si>
    <t>"Employ'd gutting rails and making the penns over the bridge, carrying trash into them."</t>
  </si>
  <si>
    <t>December 6, 1759</t>
  </si>
  <si>
    <t>"The same hands cutting fences. Employ'd carrying trash into the 2 penns over Cabaritta Bridge lefthand side: also dug holes for a pen in the Calabash tree piece, Paradise, carried rails for it and fill'd it with trash from off the piece. (a 70ft square pen)</t>
  </si>
  <si>
    <t>December 7, 1759</t>
  </si>
  <si>
    <t>"Egypt Lucy brought a boy."</t>
  </si>
  <si>
    <t>EGYPT LUCY
LITTLE QUASHE</t>
  </si>
  <si>
    <t>P3
P5</t>
  </si>
  <si>
    <t>"Mod. breezes at times cloudy. PM. Most part cloudy." [IMG 450, P.39]</t>
  </si>
  <si>
    <t>"Employ'd weeding Jude House Pond Piece plants, The same hands cutting fences along against the Road as before."</t>
  </si>
  <si>
    <t>L12
L1-R</t>
  </si>
  <si>
    <t>EGYPT JUDE HOUSE POND PIECE
THE ROADS</t>
  </si>
  <si>
    <t>IMG 232, P.227</t>
  </si>
  <si>
    <t>December 8, 1759</t>
  </si>
  <si>
    <t>"Employ'd weeding the Old Curing House Curing Piece and Jude House Pond Piece."</t>
  </si>
  <si>
    <t>EGYPT OLD CURING HOUSE POND PIECE
EGYPT JUDE HOUSE POND PIECE</t>
  </si>
  <si>
    <t>December 10, 1759</t>
  </si>
  <si>
    <t>"Employ'd weeding the Milkwood tree piece.
Disease in many places, where the cane is pull'd out of the holes sat."</t>
  </si>
  <si>
    <t>IMG 233, P.228</t>
  </si>
  <si>
    <t>December 11, 1759</t>
  </si>
  <si>
    <t>"Finish'd weeding and supplying Jude House Pond Piece. Had cane drawn in the calabash tree piece for supplying Jude House Pond Piece."</t>
  </si>
  <si>
    <t>EGYPT JUDE HOUSE POND PIECE
EGYPT CALABASH TREE PIECE</t>
  </si>
  <si>
    <t>December 12, 1759</t>
  </si>
  <si>
    <t>"Fence cutting: finish'd supplying Jude House Pond Piece etc. PM Clean'd the garden."</t>
  </si>
  <si>
    <t>December 13, 1759</t>
  </si>
  <si>
    <t>"Clearing the Old Negroe House Cane Piece."</t>
  </si>
  <si>
    <t>IMG 234, P.229</t>
  </si>
  <si>
    <t>December 14, 1759</t>
  </si>
  <si>
    <t>"Finish'd weeding the Old Negroe cane house piece, lower coffee ground path piece, coffee ground and upper Coffee ground path piece."</t>
  </si>
  <si>
    <t>L1-D
L1-E</t>
  </si>
  <si>
    <t>EGYPT OLD NEGROE GROUND CANE PIECE
EGYPT COFFEE GROUND PIECE</t>
  </si>
  <si>
    <t>E402</t>
  </si>
  <si>
    <t>IMG 235, P.230</t>
  </si>
  <si>
    <t>December 15, 1759</t>
  </si>
  <si>
    <t>"Gave our Negroes today.
AM Cum Mountain Lucy, sup:terr by the morass side hill Negroe gorund, gave d^0 bits."</t>
  </si>
  <si>
    <t>"Many of the supplies in Jude House Pond Piece, pull'd up by the Negroes, and eat! Sad negroes."</t>
  </si>
  <si>
    <t>IMG 236, P.231</t>
  </si>
  <si>
    <t>December 17, 1759</t>
  </si>
  <si>
    <t>"Finish'd cutting the young logwood fences. AM Broke in the papah tree piece. Corn 38 1/2 carrt loads 
Weeding Top Hill Canes.
Note! I searched and took all the corn away from the Negroes when we had done: got a Bushel of fine corn."</t>
  </si>
  <si>
    <t>L1-N
L55</t>
  </si>
  <si>
    <t>EGYPT PAPAH TREE PIECE
TOP HILL CANES</t>
  </si>
  <si>
    <t>IMG 237, P.P232</t>
  </si>
  <si>
    <t>December 18, 1759</t>
  </si>
  <si>
    <t>"Robert Lawrence's time being up, gave him a letter to Mr. Cope to go get his wages (3 months at 25 per annum) in the evening he returned."</t>
  </si>
  <si>
    <t>ROBERT LAWRENCE
THE OVERSEER
THE PLANTER</t>
  </si>
  <si>
    <t>P327
P43
P44</t>
  </si>
  <si>
    <t>"AM Put up a pen (70 feet by 100) in the calabash tree piece. Paradise, and carryed all the trash upon the piece into it. d^0 Bill'd that part of the pasture south of the Trench between the great house and cherry tree.
PM Finish'd the weeding Top Hill Canes, began upon the Old Scotch Grass Piece."</t>
  </si>
  <si>
    <t>L1-H
L1-M
L55</t>
  </si>
  <si>
    <t>EGYPT CALABASH TREE PIECE
TOP HILL CANES
EGYPT OLD SCOTCH GRASS PIECE</t>
  </si>
  <si>
    <t>December 20, 1759</t>
  </si>
  <si>
    <t>"Weeding the Old Negroe Ground Cane Piece.</t>
  </si>
  <si>
    <t>IMG 238, P.233</t>
  </si>
  <si>
    <t>December 21, 1759</t>
  </si>
  <si>
    <t>"Weeding the Plum Tree and Marl pitt Pieces."</t>
  </si>
  <si>
    <t>L1-L
L1-T</t>
  </si>
  <si>
    <t>EGYPT PLUM TREE PIECE
EGYPT MARL PITT PIECE</t>
  </si>
  <si>
    <t>E403</t>
  </si>
  <si>
    <t>December 23, 1759</t>
  </si>
  <si>
    <t>"Planted some cutting of the lilac, or whatever it is from Pacel Islanbd in our garden and morass."</t>
  </si>
  <si>
    <t>IMG 240, P.236</t>
  </si>
  <si>
    <t>December 24, 1759</t>
  </si>
  <si>
    <t>"Tonight in night, Julina very bad."</t>
  </si>
  <si>
    <t>IMG 239, P.235</t>
  </si>
  <si>
    <t>"Wrote to Dr. Gorse per Little Phib and rec'd sundrys for Julina. AM he also came to see her."</t>
  </si>
  <si>
    <t>THE OVERSEER
DR. GORSE
EGYPT LITTLE PHIBBAH
JULINA</t>
  </si>
  <si>
    <t>P43
P228
P4
P325</t>
  </si>
  <si>
    <t>"this morning Robert Lawrence went away, gave him a good discharge etc. Poor man, I am sorry for him."</t>
  </si>
  <si>
    <t>ROBERT LAWRENCE
THE OVERSEER</t>
  </si>
  <si>
    <t>"PM Robert Lawrence came to stay here til tomorrow."</t>
  </si>
  <si>
    <t>"Wrote to Dr. Gorse per L. Phib and rec'd sundrys for Julina. AM He also come to see her."</t>
  </si>
  <si>
    <t>THE OVERSEER
DR. GORSE
JULINA</t>
  </si>
  <si>
    <t>P43
P4
P228</t>
  </si>
  <si>
    <t>December 25, 1759</t>
  </si>
  <si>
    <t>"Wrote to Dr. Gorse and he come to Julina."</t>
  </si>
  <si>
    <t>DR. GORSE
JULINA</t>
  </si>
  <si>
    <t>P228
P4</t>
  </si>
  <si>
    <t>"Robert Lawrence went to Paradise again this morning."</t>
  </si>
  <si>
    <t>E404</t>
  </si>
  <si>
    <t>"Being Christmas Day, serv'd our Negroes 8 herrings each, etc. 
Ambo 16, Little Quashe 12, Children 6, 4, or 3 according to their age, etc.
Did not quite take a barrell."</t>
  </si>
  <si>
    <t>IMG 242, P.238</t>
  </si>
  <si>
    <t>December 28, 1759</t>
  </si>
  <si>
    <t>"Employ'd billing down the Mongroves into the pasture, back of the NEgroe House, etc."</t>
  </si>
  <si>
    <t>IMG 243, P.239</t>
  </si>
  <si>
    <t>December 29, 1759</t>
  </si>
  <si>
    <t xml:space="preserve">"Employ'd billing the pasture.
Warn'd the NEgroes upon the Road for next Monday, to begin at the Styx Bridge. 
Mr. Cope, myself, Valentine Roberts and Thomas Eddins survey on the Road
Sarah Bennett. 29
John Cope, 40
Jacob Hemingway, 3
Major Monday Monsonto, 4
David Lopez, 3
Aaron Toro, 4
Kirkpatrick Estate, 30
113
with their drivers and tool.
</t>
  </si>
  <si>
    <t>IMG 244, P.240</t>
  </si>
  <si>
    <t>December 31, 1759</t>
  </si>
  <si>
    <t>"In the morning bill'd bushes in the pasture then took 40 hands upon the Road. Began at the Styx Bridge with the rest of the Negroes.
Rest of our hands carrying trash into the penn, etc."</t>
  </si>
  <si>
    <t>L1
L12</t>
  </si>
  <si>
    <t>EGYPT ESTATE
THE ROAD(S)</t>
  </si>
  <si>
    <t>January 1, 1760</t>
  </si>
  <si>
    <t>"Job and Dago in the canoe cutting grass for the cattle, brought 94 bundles wild scotch grass at 3 times."</t>
  </si>
  <si>
    <t>JOB
DAGO</t>
  </si>
  <si>
    <t>P29
P241</t>
  </si>
  <si>
    <t>January 2, 1760</t>
  </si>
  <si>
    <t>"Job and Dago brought 100 bundles grass for the cattle."</t>
  </si>
  <si>
    <t>IMG 464, P1.</t>
  </si>
  <si>
    <t>January 6, 1760</t>
  </si>
  <si>
    <t>"Mod. breezes at times cloudy, in the morning northerly, afterawrds. PM Cloudy."</t>
  </si>
  <si>
    <t>January 7, 1760</t>
  </si>
  <si>
    <t>"Mod. breezes NEasterly, &amp; at times cloudy. About 8 at night saw a bearded comet, about ESE 20 degrees high or hereabouts."</t>
  </si>
  <si>
    <t>January 8, 1760</t>
  </si>
  <si>
    <t>"Egypt Lucy come home from lying in, at Paradise."</t>
  </si>
  <si>
    <t>EGYPT ESTATE
PARADISE ESTATE</t>
  </si>
  <si>
    <t>"About 8 o'clock this evening saw a hairy comett sbout SSE and about 20 degrees high. The nucleus scarce perceptible to the Naked Eye; below Orion's belt."</t>
  </si>
  <si>
    <t>"Mod breezes NEasterly, most part fair, evening cloudy."</t>
  </si>
  <si>
    <t>January 8. 1760</t>
  </si>
  <si>
    <t>E555</t>
  </si>
  <si>
    <t>January 9, 1760</t>
  </si>
  <si>
    <t>"At night, flogg'd Ambo and London"</t>
  </si>
  <si>
    <t>THE OVERSEER
AMBO
LONDON</t>
  </si>
  <si>
    <t>P170
P249
P43</t>
  </si>
  <si>
    <t>January 11, 1760</t>
  </si>
  <si>
    <t>"P.M. Reprimanded Phibbah for intermeddling with the Field Negroes business with me, etc."</t>
  </si>
  <si>
    <t>E140</t>
  </si>
  <si>
    <t>January 14, 1760</t>
  </si>
  <si>
    <t>"Gave Egypt Lucy a new tie cloth, yard and a half brown oznaburg,:</t>
  </si>
  <si>
    <t>EGYPT LUCY
THE OVERSEER</t>
  </si>
  <si>
    <t>P3
P43</t>
  </si>
  <si>
    <t>E107</t>
  </si>
  <si>
    <t>January 27, 1760</t>
  </si>
  <si>
    <t>"Phibbah sold her fille for 4:10:0 to William Rickett's slave, Coffee, and would force me to have 33 bitts of the money, which I being at present scarce of, accepted, but shall make myself debtor to her for it."</t>
  </si>
  <si>
    <t>PHIBBAH
THE OVERSEER
WILLIAM RICKETT'S CUFFEE</t>
  </si>
  <si>
    <t>P7
P43
P151</t>
  </si>
  <si>
    <t>January 30, 1760</t>
  </si>
  <si>
    <t>"Sent Job for the skimmer to Mr. Hayward,rec'd it with new handles."</t>
  </si>
  <si>
    <t>JOB
MR. HAYWARD</t>
  </si>
  <si>
    <t>P29
P161</t>
  </si>
  <si>
    <t>February 1, 1760</t>
  </si>
  <si>
    <t>"Sent Job to Paradise for nails, wrote to Mr. Cope."</t>
  </si>
  <si>
    <t>JOB
THE OVERSEER
JOHN COPE</t>
  </si>
  <si>
    <t>P29
P43
P44</t>
  </si>
  <si>
    <t>E277</t>
  </si>
  <si>
    <t>February 7, 1760</t>
  </si>
  <si>
    <t>"Flogged Lincoln and Violet for crminal conversation, to recompense Job."</t>
  </si>
  <si>
    <t>LINCOLN 
VIOLET
THE OVERSEER
JOB</t>
  </si>
  <si>
    <t>P24
P117
P43
P29</t>
  </si>
  <si>
    <t>"Flogg'd Lincoln and Violet, for criminal conversation, to recompense Job."</t>
  </si>
  <si>
    <t>THE OVERSEER
LINCOLN
VIOLET
JOB</t>
  </si>
  <si>
    <t>P43
P117
P24
P29</t>
  </si>
  <si>
    <t>February 8, 1760</t>
  </si>
  <si>
    <t>"Had Job molding up the peas in the gatden."</t>
  </si>
  <si>
    <t>April 28, 1760</t>
  </si>
  <si>
    <t>"Old Daphne come over from Salt River for Phib."</t>
  </si>
  <si>
    <t>OLD DAPHNE
PHIBBAH</t>
  </si>
  <si>
    <t>P11
P7</t>
  </si>
  <si>
    <t>April 29, 1760</t>
  </si>
  <si>
    <t>"Phibbah brought to bed of a boy, about 8 or 9 am. Sent Prince to Paradise, House Franke came over, sent Mrs. Cope to help look after Phibbah a few days. For Flowers for Phibbah, 2 bitts."</t>
  </si>
  <si>
    <t>PHIBBAH
JOHN
HOUSE FRANKE
THE PLANTER'S WIFE
PRINCE</t>
  </si>
  <si>
    <t>P7
P9
P10
P45
P234</t>
  </si>
  <si>
    <t>April 30, 1760</t>
  </si>
  <si>
    <t>"Phibbah has a bad looseness."</t>
  </si>
  <si>
    <t>May 1, 1760</t>
  </si>
  <si>
    <t>"Egypt Lucy at home, giving Phibbah's child suck."</t>
  </si>
  <si>
    <t>EGYPT LUCY
JOHN</t>
  </si>
  <si>
    <t>P3
P9</t>
  </si>
  <si>
    <t>E250</t>
  </si>
  <si>
    <t>"Began to wear my new hatt [sic] every day, which I bought of Mr. Parkinson when I lived at Lendall: gave Lincoln my Old one."</t>
  </si>
  <si>
    <t>THE OVERSEER
MR. PARKINSON
LINCOLN</t>
  </si>
  <si>
    <t>P43
P24
P83</t>
  </si>
  <si>
    <t>May 2, 1760</t>
  </si>
  <si>
    <t>"this morning (Mr. Mould's Franke in cookroom/House Franke went home to Paradise and had one of Phibbah's roasting piggs with her for Mrs. Cope. Phibbah is to have one of ours in payment. I gave Franke a Cuba Teal and a diver and sent Pince with her. She sent me a bottle madeira wine, tea, cheese."</t>
  </si>
  <si>
    <t>MR. MOULD'S FRANKE
HOUSE FRANKE
THE PLANTER'S WIFE
PHIBBAH
THE OVERSEER
PRINCE</t>
  </si>
  <si>
    <t>P7
P43
P45
P10
P235
P234</t>
  </si>
  <si>
    <t>IMG 89, P.84</t>
  </si>
  <si>
    <t>May 4, 1760</t>
  </si>
  <si>
    <t>"A pretty good rain this afternoon; my house leaks sadly."</t>
  </si>
  <si>
    <t>May 12, 1760</t>
  </si>
  <si>
    <t>"Old daphne went home to Salt River, gave her 4 bitts."</t>
  </si>
  <si>
    <t>OLD DAPHNE
THE OVERSEER</t>
  </si>
  <si>
    <t>P11
P43</t>
  </si>
  <si>
    <t xml:space="preserve">AM </t>
  </si>
  <si>
    <t>E87</t>
  </si>
  <si>
    <t>May 16, 1760</t>
  </si>
  <si>
    <t>"Agnes brought to bed of a boy at Paradise."</t>
  </si>
  <si>
    <t>AGNES (P124)</t>
  </si>
  <si>
    <t>E274</t>
  </si>
  <si>
    <t>May 22, 1760</t>
  </si>
  <si>
    <t>"2 of Capt. Forest's Negroes at ours come to see Jackie, Negroe houses."</t>
  </si>
  <si>
    <t>May 22,1760</t>
  </si>
  <si>
    <t>"2 of Captain Forest's Negroes come to see Jackie at our Negroe Houses."</t>
  </si>
  <si>
    <t>May 25, 1760</t>
  </si>
  <si>
    <t>"Rode through Dunbar ground adn South Savanna, to Paul Island, din'd with Mr. John Parkinson...about 4 pm Mr. Roberts came home from his mountain and brought news of a supposed insurrection to be tomorrow, when 3 Negroes men are to muster in a certain place from Hanover and this parish told him by a strange man who came to him in mountain."</t>
  </si>
  <si>
    <t>THE OVERSEER
JOHN PARKINSON
MR. ROBERTS</t>
  </si>
  <si>
    <t>P43
P83
P268</t>
  </si>
  <si>
    <t>L46
L47</t>
  </si>
  <si>
    <t>DUNABR GROUND
PAUL ISLAND</t>
  </si>
  <si>
    <t>IMG 102, P.103</t>
  </si>
  <si>
    <t>"About 9 PM heard a blast of a horn at our Negroe houses."</t>
  </si>
  <si>
    <t>E429</t>
  </si>
  <si>
    <t>IMG 139, P.134</t>
  </si>
  <si>
    <t>July 28, 1760</t>
  </si>
  <si>
    <t>"Had Daniel digging cane holes as he catches none of our runaways."</t>
  </si>
  <si>
    <t>July 29, 1760</t>
  </si>
  <si>
    <t>"Today Mr. Antrobus, Messrs Gallgher, Lister etc guarded Wager, the King of the rebels to Captain Forest's. He is to hang in chains in 3 days, then be took and brunt. I gave them grog. Asked Wager is he knew any of our Negroes. He said he knew Lewie &amp; wished him goodbye."</t>
  </si>
  <si>
    <t>MR. ANTROBUS
MR. GALLGHER
MR. LISTER
WAGER (APONGO)
THE CAPTAIN/ARTHUR FOREST
LEWIE
THE OVERSEER</t>
  </si>
  <si>
    <t>P466
P467
P468
P43
P47
P469</t>
  </si>
  <si>
    <t>E197</t>
  </si>
  <si>
    <t>September 5, 1760</t>
  </si>
  <si>
    <t>"Phibbah's child very ill of a griping looseness."</t>
  </si>
  <si>
    <t xml:space="preserve">JOHN
</t>
  </si>
  <si>
    <t>E158</t>
  </si>
  <si>
    <t>IMG 189, P.184</t>
  </si>
  <si>
    <t>October 23, 1760</t>
  </si>
  <si>
    <t>"Gave Egypt Lucy a new hoe."</t>
  </si>
  <si>
    <t>E311</t>
  </si>
  <si>
    <t>October 24, 1760</t>
  </si>
  <si>
    <t>"Mr. John Stuart call'd and din'd with me, he says there is an old saying, or Proverb which frights many people!
One Thousand seven hundred and sxity three Jamaica no more an island shall be (not for whites)</t>
  </si>
  <si>
    <t>JOHN STUART
THE OVERSEER</t>
  </si>
  <si>
    <t>P283
P43</t>
  </si>
  <si>
    <t>E159</t>
  </si>
  <si>
    <t>IMG 201, P.196</t>
  </si>
  <si>
    <t>November 3, 1760</t>
  </si>
  <si>
    <t>"Gave Egypt Lucy a new hoe as last being broke."</t>
  </si>
  <si>
    <t>E215</t>
  </si>
  <si>
    <t>December 8, 1760</t>
  </si>
  <si>
    <t>"John, Egypt Lucy, London and my Lincoln all sick of a fever, etc."</t>
  </si>
  <si>
    <t>JOHN
EGYPT LUCY
LONDON
LINCOLN</t>
  </si>
  <si>
    <t>P9
P3
P249
P24</t>
  </si>
  <si>
    <t>E221</t>
  </si>
  <si>
    <t>"Mountain Susanah took up in the country and flogg'd for not having a ticket."</t>
  </si>
  <si>
    <t>December 10, 1760</t>
  </si>
  <si>
    <t>"Phibbah's child has got the measles."</t>
  </si>
  <si>
    <t>JOHN
PHIBBAH</t>
  </si>
  <si>
    <t>P9
P7</t>
  </si>
  <si>
    <t>PHIBBAH'S CHILD</t>
  </si>
  <si>
    <t>E198</t>
  </si>
  <si>
    <t>December 11, 1760</t>
  </si>
  <si>
    <t>"Phibbah is at Negroe house with her child."</t>
  </si>
  <si>
    <t>PHIBBAH
JOHN</t>
  </si>
  <si>
    <t>P7
P9</t>
  </si>
  <si>
    <t>E616</t>
  </si>
  <si>
    <t>December 13, 1760</t>
  </si>
  <si>
    <t>"Dover catch'd eating cane by Lewie, flogg'd him &amp; gave Lewie a bottle of rum."</t>
  </si>
  <si>
    <t>DOVER
LEWIE
THE OVERSEER</t>
  </si>
  <si>
    <t>P139
P197
P43</t>
  </si>
  <si>
    <t>December 17, 1760</t>
  </si>
  <si>
    <t>"We have many Negroes sick."</t>
  </si>
  <si>
    <t>December 19, 1760</t>
  </si>
  <si>
    <t>"Many Negroes sick. Phibbah has a very bad cold, her son John the measles, London, Silvia, L. Quashe and Egypt Lucy of fever and pain, the stomach and side."</t>
  </si>
  <si>
    <t>PHIBBAH
JOHN
LONDON
EGYPT SILVIA [ADULT]
LITTLE QUASHE
EGYPT LUCY</t>
  </si>
  <si>
    <t>P7
P9
P249
P122
P5
P3</t>
  </si>
  <si>
    <t>"Derby catch'd by Lewie eating canes, flogg'd him well and gave Lewie a bottle of rum."</t>
  </si>
  <si>
    <t>DERBY
LEWIE
THE OVERSEER</t>
  </si>
  <si>
    <t>P197
P295
P43</t>
  </si>
  <si>
    <t>E199</t>
  </si>
  <si>
    <t>IMG 241, P.236</t>
  </si>
  <si>
    <t>December 29, 1760</t>
  </si>
  <si>
    <t>"Egypt Lucy's child has got measles."</t>
  </si>
  <si>
    <t>IMG 29, P.22</t>
  </si>
  <si>
    <t>February 2, 1761</t>
  </si>
  <si>
    <t>"Phibbah has the toothache badly and is weaning off John."</t>
  </si>
  <si>
    <t>E628</t>
  </si>
  <si>
    <t>July 6, 1761</t>
  </si>
  <si>
    <t>"[Rode to Salt River] and received 3 New Negroes Mr. Cope bought for me in Town, at 50 lbs a head, and 3 suits of clothes at 7s 1 1/2 = 151 9s 7/12 d. 
A girl which I named Nanny, one boy named Solon and the other Ceasar. Ceasar seems to be about 14, Solon 16, and Nanny 21 years old.
For 150 plantains 6 bitts to feed my New Negroes."</t>
  </si>
  <si>
    <t>THE OVERSEER
JOHN COPE
NANNY
SOLON
CAESAR</t>
  </si>
  <si>
    <t>P43
P44
P15
P26
P281</t>
  </si>
  <si>
    <t>"For 150 plantains. 6 bitts to feed my New Negroes."</t>
  </si>
  <si>
    <t>THE OVERSEER
NANNY
SOLON
CAESAR</t>
  </si>
  <si>
    <t>P43
P15
P26
P281</t>
  </si>
  <si>
    <t>July 13, 1761</t>
  </si>
  <si>
    <t>"Nanny and Cukor in the field today. Solon ill with the bellyache, gave each a new hoe and baskett."</t>
  </si>
  <si>
    <t>THE OVERSEER
NANNY
CUKOR
SOLON</t>
  </si>
  <si>
    <t>P43
P15
P26
P110</t>
  </si>
  <si>
    <t>July 14, 1761</t>
  </si>
  <si>
    <t>"All 3 New Negroes in the field today."</t>
  </si>
  <si>
    <t>NANNY
SOLON
CAESAR</t>
  </si>
  <si>
    <t>P15
P26
P281</t>
  </si>
  <si>
    <t>E626</t>
  </si>
  <si>
    <t>IMG 197, P.193</t>
  </si>
  <si>
    <t>August 3, 1761</t>
  </si>
  <si>
    <t>"Lett Agnes go to the Bay as a witness against Allen's Quamina, he is to be hang'd his head cutt off &amp; Body Burnt."</t>
  </si>
  <si>
    <t>AGNES
ALLEN'S QUAMINA</t>
  </si>
  <si>
    <t>P124
P478</t>
  </si>
  <si>
    <t>E205</t>
  </si>
  <si>
    <t>IMG 214, P.210</t>
  </si>
  <si>
    <t>August 24, 1761</t>
  </si>
  <si>
    <t>"It is said Phibbah's Coobah, Mrs. Cope's waiting maid att Paradise is with child; but whether for Mulatto Davie her husband or J.C. in my opinion is doubtful."</t>
  </si>
  <si>
    <t>COOBAH
THE PLANTER'S WIFE
THE PLANTER
DAVIE</t>
  </si>
  <si>
    <t>P16
P44
P45
P119</t>
  </si>
  <si>
    <t>PHIBBAH'S COOBAH
MRS. COPE, MOLLY COPE
J.C., JOHN COPE
MULATTO DAVIE</t>
  </si>
  <si>
    <t>E286</t>
  </si>
  <si>
    <t>IMG 216, P.212</t>
  </si>
  <si>
    <t>August 27, 1761</t>
  </si>
  <si>
    <t>"Mountain Lucy brought to bed of a girl at Paradise."</t>
  </si>
  <si>
    <t>MOUNTAIN LUCY
MOUNTAIN LUCY'S CHILD #3</t>
  </si>
  <si>
    <t>P30
P270</t>
  </si>
  <si>
    <t>E111</t>
  </si>
  <si>
    <t>IMG 218, P.211</t>
  </si>
  <si>
    <t>August 30, 1761</t>
  </si>
  <si>
    <t>"Sent some of my salt beef to sell in Leeward road to Negroes, by Egypt Lucy. Received 11:3, gave her a little beef for her trouble."</t>
  </si>
  <si>
    <t>EGYPT LUCY
THE OVERSEER</t>
  </si>
  <si>
    <t>IMG 224, P.220</t>
  </si>
  <si>
    <t>September 6, 1761</t>
  </si>
  <si>
    <t>"Egypt Lucy sold 15 worth of my salt beef today in the road, received the money, gave her some salt beef."</t>
  </si>
  <si>
    <t>E192</t>
  </si>
  <si>
    <t>IMG 231, P.227</t>
  </si>
  <si>
    <t>September 15, 1761</t>
  </si>
  <si>
    <t>"Hear Paradise Quacoo died this morning before day. Gave Egypt Lucy leave to go over in the evening, many others also went."</t>
  </si>
  <si>
    <t>EGYPT LUCY
PARADISE QUACOO</t>
  </si>
  <si>
    <t>P3
P232</t>
  </si>
  <si>
    <t>IMG 236, P.232</t>
  </si>
  <si>
    <t>September 20, 1761</t>
  </si>
  <si>
    <t>"Egypt Lucy sold remainder of Beef, 12 bitts, equals 91 made of it, 15 bitts more than t cost, besides teh salt and pickle. Some beef I gave my New Negroes, gave Egypt Lucy some for her trouble."</t>
  </si>
  <si>
    <t>E193</t>
  </si>
  <si>
    <t>IMG 237, P.233</t>
  </si>
  <si>
    <t>September 21, 1761</t>
  </si>
  <si>
    <t>"AM Rode to the Bay and spent atMr. Emotson's 2 bitts. 
*My Abba come to Mr. Emotson's this morning sick."</t>
  </si>
  <si>
    <t>THE OVERSEER
ABBA</t>
  </si>
  <si>
    <t>P43
P6</t>
  </si>
  <si>
    <t>September 23, 1761</t>
  </si>
  <si>
    <t>"Mountain Lucy come home from Paradise."</t>
  </si>
  <si>
    <t>E72</t>
  </si>
  <si>
    <t>October 3, 1761</t>
  </si>
  <si>
    <t>"Mr. Cope promises to get me a commission to be superceded that I may be quiet in regard to Militia. He also promises to free Phibbah's John."</t>
  </si>
  <si>
    <t>THE PLANTER (P44)
THE OVERSEER (43)
JOHN (P9)</t>
  </si>
  <si>
    <t>THE PLANTER
THE OVERSEER
JOHN</t>
  </si>
  <si>
    <t xml:space="preserve">P44
P43
P9
</t>
  </si>
  <si>
    <t>E160</t>
  </si>
  <si>
    <t>IMG 308, P.304</t>
  </si>
  <si>
    <t>December 5, 1761</t>
  </si>
  <si>
    <t>"Gave Egypt Lucy, Mountain Lucy, Minor and my Nanny each a new bill and Achilles a new hoe."</t>
  </si>
  <si>
    <t>THE OVERSEER
EGYPT LUCY
MOUNTAIN LUCY
MINOR
NANNY
ACHILLES</t>
  </si>
  <si>
    <t>P3
P30
P191
P192
P15
43</t>
  </si>
  <si>
    <t>E287</t>
  </si>
  <si>
    <t>December 6, 1761</t>
  </si>
  <si>
    <t>"Sent Ellin to Paradise to lie in as her belly is now big."</t>
  </si>
  <si>
    <t>E288</t>
  </si>
  <si>
    <t>IMG 309, P.305</t>
  </si>
  <si>
    <t>"My Abba over at Egypt today. Her belly is big."</t>
  </si>
  <si>
    <t>IMG 308-209, P.304-305</t>
  </si>
  <si>
    <t>"Rec'd a note per L. Beneba fropm Mr. John Thomson acquainting me to send Jenny to Paradise, as Thomas lies a dying.
Sent Jenny to Paradise to see Thomas."</t>
  </si>
  <si>
    <t>THE OVERSEER
LITTLE BENEBA
JOHN THOMSON
JENNY
THOMAS</t>
  </si>
  <si>
    <t xml:space="preserve">P43
P104
P271
P272
P273
</t>
  </si>
  <si>
    <t>E278</t>
  </si>
  <si>
    <t>IMG 311, P.307</t>
  </si>
  <si>
    <t>December 7, 1761</t>
  </si>
  <si>
    <t>"Bought of Mr. John Hutt:
Two Negroe men
One boy and 3 girls at 50 each.
112 + 200 = 312
Gave him an order on Mr. John Cope, and had Mr. John Hutt rec'd in full."</t>
  </si>
  <si>
    <t xml:space="preserve">THE OVERSEER
THE SLAVE TRADER
THE PLANTER
</t>
  </si>
  <si>
    <t>P43
P44
P51</t>
  </si>
  <si>
    <t>THOMAS THISTLEWOOD
JOHN COPE
JOHN HUTT</t>
  </si>
  <si>
    <t>IMG 312, P.308</t>
  </si>
  <si>
    <t>December 8, 1761</t>
  </si>
  <si>
    <t>"Mark'd my New Negroes on the right shoulder TT
Coobah, 4 feet 6 inches high, about 15 years of age, Country Name Molia, an Ebo. Lives with Princess
Sukey, 4 ft 8 inches high, about 14 years old. Lives with Job
Maria, 4 feet 11 inches high, about 15 years of age, Country Name Ogo, an Ebo. Lives with Egypt Lucy
Pompey, 4 feet 9 inches high, about 16 years olf, Country Name Oworria, a Coromante. Lives with Plato
Will, 5 feet 3 inches high, about 25 years old. Country name Abaje, an Ebo.
Dick, 5 feet 7 inches high, about 22 years of age, Country Name Sawno alias Dowotronny."</t>
  </si>
  <si>
    <t>THE OVERSEER
MOLIA
SUKEY
OGO
OWORRIA
ABAJE
SAWNO, DOWOTRONNNY</t>
  </si>
  <si>
    <t>P1
P13
P37
P38
P39
P40</t>
  </si>
  <si>
    <t>COOBAH
MARIA
POMPEY
WILL
DICK</t>
  </si>
  <si>
    <t>IMG 313, P.309</t>
  </si>
  <si>
    <t>December 9, 1761</t>
  </si>
  <si>
    <t>"Jenny not yet come home from Paradise."</t>
  </si>
  <si>
    <t>IMG 314, P.310</t>
  </si>
  <si>
    <t>December 12, 1761</t>
  </si>
  <si>
    <t>"Jenny returned from Paradise. * Mulatto Thomas died last Thursday."</t>
  </si>
  <si>
    <t>JENNY
THOMAS</t>
  </si>
  <si>
    <t>P104
P273</t>
  </si>
  <si>
    <t>L2
L1</t>
  </si>
  <si>
    <t>IMG 315, P.311</t>
  </si>
  <si>
    <t>"Note! I give my New Negroes 3 pints of Rice each per diem/ and allowing 3 pints for a Bitt. It is dearer than feeding them with plantains, if 10 bitts per hand and allowing them, 3 plantains each meal or 9 per day, but deaere than at 16 bitts per hand if only 6 plantains per day each."</t>
  </si>
  <si>
    <t>P43
P1
P13
P37
P38
P39
P40</t>
  </si>
  <si>
    <t>IMG 316, P.312</t>
  </si>
  <si>
    <t>December 13, 1761</t>
  </si>
  <si>
    <t>"For 400 plantains, 12 bitts for my New Negroes."</t>
  </si>
  <si>
    <t>P1 P13 P37 P38 P39 P40</t>
  </si>
  <si>
    <t>December 14, 1761</t>
  </si>
  <si>
    <t>"Put my New Negroes in the field."</t>
  </si>
  <si>
    <t>P1 P13 P37 P38 P39 P41</t>
  </si>
  <si>
    <t>IMG 321, P.317</t>
  </si>
  <si>
    <t>December 20, 1761</t>
  </si>
  <si>
    <t>"Phibbah went to see Mrs. Sarah Bennett, had John with her, Little Doll and Silvia."</t>
  </si>
  <si>
    <t>PHIBBAH
JOHN
LITTLE DOLL
EGYPT SILVIA
THE PROPRIETRESS</t>
  </si>
  <si>
    <t>P7
P9
P122
P247
P50</t>
  </si>
  <si>
    <t>MULATTO JOHN 
SARAH BENNETT</t>
  </si>
  <si>
    <t>"For plantains for my New Negroes, 4 hundred, 12 bitts."</t>
  </si>
  <si>
    <t>MOLIA 
SUKEY 
OGO 
OWORRIA 
ABAJE 
SAWNO, DOWOTRONNNY</t>
  </si>
  <si>
    <t>P1 P13 P37 P38 P39 P42</t>
  </si>
  <si>
    <t>IMG 324, P.320</t>
  </si>
  <si>
    <t>December 21, 1761</t>
  </si>
  <si>
    <t>"Gave Princess a new bill and Pluto."</t>
  </si>
  <si>
    <t>THE OVERSEER
PRINCESS
PLUTO</t>
  </si>
  <si>
    <t>P27
P276</t>
  </si>
  <si>
    <t>E261</t>
  </si>
  <si>
    <t>IMG 10, P.3</t>
  </si>
  <si>
    <t>January 1, 1762</t>
  </si>
  <si>
    <t>"Cutting copperwood in the morass by the Riverside."</t>
  </si>
  <si>
    <t>E263</t>
  </si>
  <si>
    <t>IMG 11, P4</t>
  </si>
  <si>
    <t>January 3, 1762</t>
  </si>
  <si>
    <t>"Last night Ellin brought to bed of a girl."</t>
  </si>
  <si>
    <t>E265</t>
  </si>
  <si>
    <t>IMG 15, P.8</t>
  </si>
  <si>
    <t>January 12, 1762</t>
  </si>
  <si>
    <t>"Hear Crookshanks is dead."</t>
  </si>
  <si>
    <t>E266</t>
  </si>
  <si>
    <t>"Abba, it seems is brought to bed of a girl, a Mulattp (*proves a Negroe) some time ago. Paid a pistole to th grannie and 6 bitts for flannell."</t>
  </si>
  <si>
    <t>ABBA
THE OVERSEER</t>
  </si>
  <si>
    <t>P6
P43</t>
  </si>
  <si>
    <t>E267</t>
  </si>
  <si>
    <t>IMG 19, P.12</t>
  </si>
  <si>
    <t>January 18, 1762</t>
  </si>
  <si>
    <t>"About noon 4 soldiers were hurrying London by privately but I being in the garden, he called out to me and I knew his voice, altho [sic] t hey endeavored to stop his mouth with a handkerchief, went to them. They held out their naked bayonets, said their pieces were loaded and they should make use of them if I ofer'd [sic] to use any force, etc. They seemed much in liquor, had wounded him barbarously and refused to deliver him to me under the pretense that he had stole a hatt [sic] from one of them some time ago and that they would take him to Captain Trelawny at Midgehorn. I called over white people for witnesses, desired them to take care what they did, lest they should have occasion to repent, and left them: but they loosed and let him go before they got to the Styx Bridge, which proves them guilty."</t>
  </si>
  <si>
    <t>LONDON
THE OVERSEER</t>
  </si>
  <si>
    <t>P249
P43</t>
  </si>
  <si>
    <t>E264</t>
  </si>
  <si>
    <t>IMG 20, P.13</t>
  </si>
  <si>
    <t>January 20, 1762</t>
  </si>
  <si>
    <t>"I have now a white Narcissus in full flower, in the garden a partly large bunch of 12 or 13 flowers in it (this is probably the first that was flower'd in this island: it opened about a week ago."</t>
  </si>
  <si>
    <t>E281</t>
  </si>
  <si>
    <t>"My johnie and Maria laid up."</t>
  </si>
  <si>
    <t>JOHNIE
OGO</t>
  </si>
  <si>
    <t>P84
P13</t>
  </si>
  <si>
    <t>IMG 23, P.16</t>
  </si>
  <si>
    <t>January 25, 1762</t>
  </si>
  <si>
    <t>"Phibbah's Coobah brought to bed of a girl last night at Paradise."</t>
  </si>
  <si>
    <t xml:space="preserve"> COOBAH
COOBAH'S FIRST DAUGHTER</t>
  </si>
  <si>
    <t>P16
P246</t>
  </si>
  <si>
    <t>PHIBBAH'S COOBAH</t>
  </si>
  <si>
    <t>E448</t>
  </si>
  <si>
    <t>"In the morning a Negroe Man from the Mint Estate, Bernard Senior Esq. come here, he is a famous boiler, Named Witte."</t>
  </si>
  <si>
    <t>IMG 27, P.20</t>
  </si>
  <si>
    <t>January 30, 1762</t>
  </si>
  <si>
    <t>"PM Phibbah, John and Little Doll went to Paradise."</t>
  </si>
  <si>
    <t>PHIBBAH
JOHN
LITTLE DOLL</t>
  </si>
  <si>
    <t>P7
P9
P247</t>
  </si>
  <si>
    <t>January 31, 1762</t>
  </si>
  <si>
    <t>"PM Phibbah come home: says Coobah's child is a real Mulatto &amp; not for Davie, however it died tonight."</t>
  </si>
  <si>
    <t>PHIBBAH
COOBAH'S FIRST DAUGHTER
DAVIE</t>
  </si>
  <si>
    <t>P7
P246
P119</t>
  </si>
  <si>
    <t>E262</t>
  </si>
  <si>
    <t>IMG 37, P.30</t>
  </si>
  <si>
    <t>February 13, 1762</t>
  </si>
  <si>
    <t>"Stopped mill about sunset, have ground off this week 55 coppers and made 136 potts of sugar."</t>
  </si>
  <si>
    <t>E253</t>
  </si>
  <si>
    <t>IMG 53, P.46</t>
  </si>
  <si>
    <t>March 18, 1762</t>
  </si>
  <si>
    <t>"AM Finished cutting the pimento and home calabash tree pieces and begun to cut the Milkwood tree piece."</t>
  </si>
  <si>
    <t>E254</t>
  </si>
  <si>
    <t>IMG 58, P.51</t>
  </si>
  <si>
    <t>March 28, 1762</t>
  </si>
  <si>
    <t>"For 200 plantains for my Negroes, 8 bitts."</t>
  </si>
  <si>
    <t>E109</t>
  </si>
  <si>
    <t>IMG 61, P.54</t>
  </si>
  <si>
    <t>April 1, 1762</t>
  </si>
  <si>
    <t>"Bought of Mr. Jeremiah Meyler a Congo girl, 9 or 10 years old. 4 feet adn 1 inch, gave 42 pounds cash. Had a receipt, named her Sally and intend her for a seamstress."</t>
  </si>
  <si>
    <t>THE OVERSEER
JEREMIAH MEYLER
SALLY</t>
  </si>
  <si>
    <t xml:space="preserve">P43
P17
P159
</t>
  </si>
  <si>
    <t>E302</t>
  </si>
  <si>
    <t>"Subscribed for the Kingston Journal, a pistole for six months, commencing the 10th: Instant: had Mr. Robert Baker's Reef."</t>
  </si>
  <si>
    <t>E110</t>
  </si>
  <si>
    <t>IMG 63, P.56</t>
  </si>
  <si>
    <t>April 3, 1762</t>
  </si>
  <si>
    <t>"Gave out oznabrig for my Negroes...Abba 8 yards, Lincoln 5 1.2 yards, Johnie 5 1/2, Dick 5 1/2, Will 5 1/2, Nanny 5 1/2, Cukor, Pompey, Solon, Maria, Cubbah &amp; Sukey 5 yards each and Sally 4 1/2 = 70 yards in all."</t>
  </si>
  <si>
    <t xml:space="preserve">ABBA
LINCOLN
SAWNO/DOWOTRONNY
ABASSE
NANNY
CUKOR
OWORIA
SOLON
OGO
MOLIA
SUKEY
SALLY
</t>
  </si>
  <si>
    <t>P6
P24
P38
P39
P40
P110
P26
P13
P1
P37
P17</t>
  </si>
  <si>
    <t>E79</t>
  </si>
  <si>
    <t>IMG 65, P.58</t>
  </si>
  <si>
    <t>April 7, 1762</t>
  </si>
  <si>
    <t>"Flogged my Cukor for eating dirt."</t>
  </si>
  <si>
    <t>CUKOR (P110)</t>
  </si>
  <si>
    <t>E101</t>
  </si>
  <si>
    <t>IMG 67, P.60</t>
  </si>
  <si>
    <t>April 13, 1762</t>
  </si>
  <si>
    <t>"Sent Egypt Lucy, Will and Dick into country to buy pine apples, only brought 8, which bought for 2 bitts (they are not full yet.)</t>
  </si>
  <si>
    <t>EGYPT LUCY
ABASSE
SAWNO/DOWOTRONNY</t>
  </si>
  <si>
    <t>P3
P38
P39</t>
  </si>
  <si>
    <t>E135</t>
  </si>
  <si>
    <t>April 14, 1762</t>
  </si>
  <si>
    <t>"Princess runaway last night from her spell, made Daniel look [for] her."</t>
  </si>
  <si>
    <t>PRINCESS
DANIEL</t>
  </si>
  <si>
    <t>P27
P42</t>
  </si>
  <si>
    <t>E275</t>
  </si>
  <si>
    <t>"Plato and Egypt Lucy in the hot house (more than on Monday) with bad cold."</t>
  </si>
  <si>
    <t>PLATO
EGYPT LUCY</t>
  </si>
  <si>
    <t>P208
P3</t>
  </si>
  <si>
    <t>E280</t>
  </si>
  <si>
    <t>IMG 68, P.61</t>
  </si>
  <si>
    <t>April 16, 1762</t>
  </si>
  <si>
    <t>"Cum Nanny mea/sup book chest lid, T.T. No2 in mea domo."</t>
  </si>
  <si>
    <t>NANNY
THE OVERSEER</t>
  </si>
  <si>
    <t>P15
P43</t>
  </si>
  <si>
    <t>IMG 77, P.70</t>
  </si>
  <si>
    <t>May 2, 1762</t>
  </si>
  <si>
    <t>"Sent Sally to Mrs. Blake's Doll to learn to be a seamstress. I am to feed her. She is to work for Doll whilst learning and am to give Doll a doubloon when learnt."</t>
  </si>
  <si>
    <t>SALLY
MRS. BLAKE'S DOLL</t>
  </si>
  <si>
    <t>P17
P160</t>
  </si>
  <si>
    <t>E80</t>
  </si>
  <si>
    <t>IMG 79, P.72</t>
  </si>
  <si>
    <t>May 7, 1762</t>
  </si>
  <si>
    <t>"Flogged Molia and Violet for eating dirt."</t>
  </si>
  <si>
    <t>MOLIA (P116)
VIOLET (P117)</t>
  </si>
  <si>
    <t>MOLIA
VIOLET</t>
  </si>
  <si>
    <t>P116
P117</t>
  </si>
  <si>
    <t>E335</t>
  </si>
  <si>
    <t>IMG 80, P.73</t>
  </si>
  <si>
    <t>"AM Cum Cubbah mea/in milkwood Tree piece, sup terr by Morass side."</t>
  </si>
  <si>
    <t>MOLIA
THE OVERSEER</t>
  </si>
  <si>
    <t>IMG 81, P.74</t>
  </si>
  <si>
    <t>May 9, 1762</t>
  </si>
  <si>
    <t>"Phibbah suspects Nanny to be with child."</t>
  </si>
  <si>
    <t>PHIBBAH
NANNY</t>
  </si>
  <si>
    <t>P7
P15</t>
  </si>
  <si>
    <t>E83</t>
  </si>
  <si>
    <t>IMG 84, P.77</t>
  </si>
  <si>
    <t>May 14, 1762</t>
  </si>
  <si>
    <t>"Gave Mason Quashe ten yards of osnaburg and 10 for Mulatto Davie, their year allowance."</t>
  </si>
  <si>
    <t>MASON QUASHE (P25)
MULATTO DAVIE (P119)</t>
  </si>
  <si>
    <t>MASON QUASHE
MULATTO DAVIE</t>
  </si>
  <si>
    <t>P25
P119</t>
  </si>
  <si>
    <t>E88</t>
  </si>
  <si>
    <t>IMG 85, P.78</t>
  </si>
  <si>
    <t>May 17, 1762</t>
  </si>
  <si>
    <t>"Sent Moll to Paradise to lye in by Old Sharper."</t>
  </si>
  <si>
    <t>MOLL (P125)</t>
  </si>
  <si>
    <t>L1, L2</t>
  </si>
  <si>
    <t>E81</t>
  </si>
  <si>
    <t>IMG 87, P.80</t>
  </si>
  <si>
    <t>May 20, 1762</t>
  </si>
  <si>
    <t>"Abigail and my Cukor catch'd eating dirt, had them well flogg'd."</t>
  </si>
  <si>
    <t>ABIGAIL (P118)
CUKOR (P110)</t>
  </si>
  <si>
    <t>ABIGAIL
CUKOR</t>
  </si>
  <si>
    <t>P118
P110</t>
  </si>
  <si>
    <t>E89</t>
  </si>
  <si>
    <t>"Sent Jenny to Paradise to lye in, made Chrishea go to see her safe there."</t>
  </si>
  <si>
    <t>JENNY (P104)
CHRISHEA (P126)</t>
  </si>
  <si>
    <t>JENNY
CHRISHEA</t>
  </si>
  <si>
    <t>P104
P126</t>
  </si>
  <si>
    <t>IMG 90, P.83</t>
  </si>
  <si>
    <t>May 25, 1762</t>
  </si>
  <si>
    <t>"In morning Mr. Richard Hungerford call'd and gave me the receipt for Mulatto John's manumission, which runs thus!
Rec'd this 3 of May 1762 a manumission from Copes to Thistlewood to be recorded in the Secretary's Office for which I have recieved 5/7 1/2 including this receipt. 5 7 1/2.
John McMillan, Secy."</t>
  </si>
  <si>
    <t>RICHARD HUNGERFORD (P111)
JOHN (P9)
THE OVERSEER (P43)</t>
  </si>
  <si>
    <t>RICHARD HUNGERFORD
JOHN
THE OVERSEER</t>
  </si>
  <si>
    <t>P111
P9
P43</t>
  </si>
  <si>
    <t>E96</t>
  </si>
  <si>
    <t>IMG 105, P.98</t>
  </si>
  <si>
    <t>June 17, 1762</t>
  </si>
  <si>
    <t>"My Nanny at home grinding cocoa."</t>
  </si>
  <si>
    <t>NANNY (P15)</t>
  </si>
  <si>
    <t>June 18, 1762</t>
  </si>
  <si>
    <t>"Nanny grinding cocoa as yesterday."</t>
  </si>
  <si>
    <t>IMG 108, P.101</t>
  </si>
  <si>
    <t>June 20, 1762</t>
  </si>
  <si>
    <t>"Jenny brought to bed of a girl Tuesday night"</t>
  </si>
  <si>
    <t>E90</t>
  </si>
  <si>
    <t>IMG  114, P.107</t>
  </si>
  <si>
    <t>June 29, 1762</t>
  </si>
  <si>
    <t>"Sent Rosanna and Princess to Paradise, as their bellys [sic] grow big and they say this month for them."</t>
  </si>
  <si>
    <t>ROSANNA (P115)
PRINCESS (P27)</t>
  </si>
  <si>
    <t>ROSANNA
PRINCESS</t>
  </si>
  <si>
    <t>P115
P27</t>
  </si>
  <si>
    <t>IMG 116, P.109</t>
  </si>
  <si>
    <t>July 1, 1762</t>
  </si>
  <si>
    <t>"Hear Moll is brought to bed of a dead child, forc'd to be took from her by the Doctor."</t>
  </si>
  <si>
    <t>E161</t>
  </si>
  <si>
    <t>IMG 117, P.110</t>
  </si>
  <si>
    <t>July 2, 1762</t>
  </si>
  <si>
    <t>"Phibbah took with a violent headache &amp; fainting about 9 AM."</t>
  </si>
  <si>
    <t>E102</t>
  </si>
  <si>
    <t>IMG 127, P.120</t>
  </si>
  <si>
    <t>July 17, 1762</t>
  </si>
  <si>
    <t>"Sent Egypt Lucy and Dover with a mule, to buy plantains."</t>
  </si>
  <si>
    <t>EGYPT LUCY
DOVER</t>
  </si>
  <si>
    <t>P3
P140</t>
  </si>
  <si>
    <t>IMG 128, P.121</t>
  </si>
  <si>
    <t>July 19, 1762</t>
  </si>
  <si>
    <t>"Four women...Jenny, Moll, Princeess, and Rosanna at Paradise."</t>
  </si>
  <si>
    <t>JENNY (P104)
MOLL (P125)
PRINCESS (P27)
ROSANNA (P115)</t>
  </si>
  <si>
    <t>JENNY
MOLL
PRINCESS
ROSANNA</t>
  </si>
  <si>
    <t>P104
P125
P27
P115</t>
  </si>
  <si>
    <t>IMG 134, P.127</t>
  </si>
  <si>
    <t>July 25, 1762</t>
  </si>
  <si>
    <t>"Jenny returned from lying-in at Paradise."</t>
  </si>
  <si>
    <t>JENNY (P014)</t>
  </si>
  <si>
    <t>IMG 136, P.129</t>
  </si>
  <si>
    <t>July 26, 1762</t>
  </si>
  <si>
    <t>"Moll, Princess &amp; Rosanna at Paradise."</t>
  </si>
  <si>
    <t>MOLL (P125)
PRINCESS (P27)
ROSANNA (P115)</t>
  </si>
  <si>
    <t>MOLL
PRINCESS
ROSANNA</t>
  </si>
  <si>
    <t>P125
P27
P115</t>
  </si>
  <si>
    <t>IMG 142, P.135</t>
  </si>
  <si>
    <t>August 5, 1762</t>
  </si>
  <si>
    <t>"Rosanna brought to bed of a boy."</t>
  </si>
  <si>
    <t>IMG 145, P.138</t>
  </si>
  <si>
    <t>August 12, 1762</t>
  </si>
  <si>
    <t>"Moll come home from Paradise, put her feet in steep for crab yaws."</t>
  </si>
  <si>
    <t>E103</t>
  </si>
  <si>
    <t>IMG 146, p.139</t>
  </si>
  <si>
    <t>August 13, 1762</t>
  </si>
  <si>
    <t>"Egypt Lucy last night &amp; Dover with a mule, at Colonel Rickett's &amp; bought plantains."</t>
  </si>
  <si>
    <t>IMG 155, P.148</t>
  </si>
  <si>
    <t>August 27, 1762</t>
  </si>
  <si>
    <t>"Rosanna's child died, at Paradise."</t>
  </si>
  <si>
    <t>E593</t>
  </si>
  <si>
    <t>IMG 157, P.150</t>
  </si>
  <si>
    <t>August 30, 1762</t>
  </si>
  <si>
    <t>"In the hothouse, Ellin, London, Big Doll, Philip, Warsoe, Kent, Pompey, Solon, Agnes and her child."</t>
  </si>
  <si>
    <t>ELLIN
LONDON
BIG DOLL
PHILIP
WARSOE
KENT
OWORIA [POMPEY]
SOLON
AGNES
AGNES' CHILD #3</t>
  </si>
  <si>
    <t>P33
P249
P363
P381
P329
P40
P26
P124
P461</t>
  </si>
  <si>
    <t>E617</t>
  </si>
  <si>
    <t>IMG 184, P.177</t>
  </si>
  <si>
    <t>October 11, 1762</t>
  </si>
  <si>
    <t>"Princess come home from Paradise."</t>
  </si>
  <si>
    <t>WONGA</t>
  </si>
  <si>
    <t>IMG 186, P.179</t>
  </si>
  <si>
    <t>October 13, 1762</t>
  </si>
  <si>
    <t>"Gave Princess a new tie cloth, a yard of half osnaburg"</t>
  </si>
  <si>
    <t>WONGA
THE OVERSEER</t>
  </si>
  <si>
    <t>P27
P43</t>
  </si>
  <si>
    <t>E615</t>
  </si>
  <si>
    <t>IMG 205, P.198</t>
  </si>
  <si>
    <t>November 7, 1762</t>
  </si>
  <si>
    <t>"Flogg'd Daniel last night and made him plant cane in the field as he will not mind and watch the canes."</t>
  </si>
  <si>
    <t>DANIEL
THE OVERSEER</t>
  </si>
  <si>
    <t>P43
P42</t>
  </si>
  <si>
    <t>E618</t>
  </si>
  <si>
    <t>"Flogg'd Ambo and Primus concerning the canes in Hynes land beingn so mash'd down and destroy'd."</t>
  </si>
  <si>
    <t>THE OVERSEER
AMBO
PRIMUS</t>
  </si>
  <si>
    <t>P43
P170
P342</t>
  </si>
  <si>
    <t>E614</t>
  </si>
  <si>
    <t>IMG 208, P.201</t>
  </si>
  <si>
    <t>November 13, 1762</t>
  </si>
  <si>
    <t>"In the morning flogg'd Clara for breaking and eting cane, &amp; Job for not bringing Agnes whom he catch'd eating canes &amp; let go."</t>
  </si>
  <si>
    <t>THE OVERSEER
EGYPT CLARA
JOB
AGNES</t>
  </si>
  <si>
    <t>P43
P129
P29
P124</t>
  </si>
  <si>
    <t>IMG 209, P.202</t>
  </si>
  <si>
    <t>November 15, 1762</t>
  </si>
  <si>
    <t>"Flogg'd Agnes for destroying and eating cane last Friday night."</t>
  </si>
  <si>
    <t>THE OVERSEER
AGNES</t>
  </si>
  <si>
    <t>P43
P124</t>
  </si>
  <si>
    <t>E619</t>
  </si>
  <si>
    <t>IMG 221, P.214</t>
  </si>
  <si>
    <t>November 29, 1762</t>
  </si>
  <si>
    <t>"In the hothouse, Ellin, Beck, Dido, Moll, Jenny, Agnes tending her child, Minor, Benjamin, etcc."</t>
  </si>
  <si>
    <t>ELLIN
BECK
DIDO
MOLL
JENNY
AGNES
AGNES' CHILD #3</t>
  </si>
  <si>
    <t>P33
P361
P105
P125
P104
P124
P461
P191
P413</t>
  </si>
  <si>
    <t>E137</t>
  </si>
  <si>
    <t>IMG 146, P.141</t>
  </si>
  <si>
    <t>June 18, 1763</t>
  </si>
  <si>
    <t>"Mr. George Mercy called in the afternoon, says he heard amongst the Negroes that Mr. Say's Vine is kept by Mr.s Bennett's dirver Sam, a Negroe, and that she went to his house lately, to see him (Mould's Lewis kept Mr. Smith's grace, brought her a coat, from Town when he came last)</t>
  </si>
  <si>
    <t>GEORGE MERCY
VINE
DRIVER SAM
LEWIS
GRACE</t>
  </si>
  <si>
    <t>P179
P180
P181
P182
P183</t>
  </si>
  <si>
    <t>E334</t>
  </si>
  <si>
    <t>IMG 263, P.258</t>
  </si>
  <si>
    <t>October 16, 1763</t>
  </si>
  <si>
    <t>"My Coobah has got a sore on her foot, which I am much afraid is the yaws."</t>
  </si>
  <si>
    <t>E201</t>
  </si>
  <si>
    <t>IMG 271, P.266</t>
  </si>
  <si>
    <t>October 27, 1763</t>
  </si>
  <si>
    <t>"This forenoon one of Longpond runaway Negroe women, whom Cubbena &amp; Rosanna, Quanina &amp; Quasheba had long harbored in theri houses stole 2 dung fowls, one for Egypt Lucy, the other for DAgo. I ordered Cubbeana &amp; Quamina to make them satisfaction."</t>
  </si>
  <si>
    <t>EGYPT LUCY
ABBA
LONGPOND RUNAWAY WOMAN
CUBBENA
ROSANNA
QUANINA
QUASHEBA
DAGO</t>
  </si>
  <si>
    <t xml:space="preserve">P3
P6
P236
P237
P238
P239
P240
P241
</t>
  </si>
  <si>
    <t>E248</t>
  </si>
  <si>
    <t>January 31, 1764</t>
  </si>
  <si>
    <t>"Phibbah gave me 3:5:0 as a present."</t>
  </si>
  <si>
    <t>E97</t>
  </si>
  <si>
    <t>IMG 40, P.35</t>
  </si>
  <si>
    <t>February 3, 1764</t>
  </si>
  <si>
    <t>"Last night, Mulatto John had the fever violently and was so bad that I did not think he could have lived till morning. Rec'd a note from Dr. James Wedderburn per Neptune &amp; some cooling powders for John. Wrote to Dr. wedderburn per Prince, whom I sent on my horse but Doctor not at homer. Had a glister put on John's neck."</t>
  </si>
  <si>
    <t>JOHN (P9)
DR. JAMES WEDDERBURN (P95)
NEPTUNE (P107)</t>
  </si>
  <si>
    <t>JOHN
DR. JAMES WEDDERBURN
NEPTUNE</t>
  </si>
  <si>
    <t>P9
P95
P107</t>
  </si>
  <si>
    <t>MULATTO JOHN, PHIBBAH'S JOHN</t>
  </si>
  <si>
    <t>E298</t>
  </si>
  <si>
    <t>IMG 41, P.36</t>
  </si>
  <si>
    <t>"At night, about 11 o'clock broke Job's banjar to pieces in the millhouse."</t>
  </si>
  <si>
    <t>THE OVERSEER
JOB</t>
  </si>
  <si>
    <t>P43
P29</t>
  </si>
  <si>
    <t>IMG 42, P.37</t>
  </si>
  <si>
    <t>February 5, 1764</t>
  </si>
  <si>
    <t>"Mulatto John continues bad yet with the fever, etc."</t>
  </si>
  <si>
    <t xml:space="preserve">P9
</t>
  </si>
  <si>
    <t>February 6, 1764</t>
  </si>
  <si>
    <t>"John took a purge, work'd a little but he has the fever come on."</t>
  </si>
  <si>
    <t>IMG 44, P.39</t>
  </si>
  <si>
    <t>February 7, 1764</t>
  </si>
  <si>
    <t>"Mulatto John had fever also, and very bad in the night."</t>
  </si>
  <si>
    <t>February 8, 1764</t>
  </si>
  <si>
    <t>"Phibbah bad with cold, swell'd gum, pain on side of neck, etc."</t>
  </si>
  <si>
    <t>PHIBBAH (P7)</t>
  </si>
  <si>
    <t>February 9, 1764</t>
  </si>
  <si>
    <t>"Mulatto John a little better, but has fever yet sometimes &amp; a bad cough. Phibbah very ill of a swell'd neck, sore throat, headache, etc."</t>
  </si>
  <si>
    <t>JOHN (P9)
PHIBBAH (P7)</t>
  </si>
  <si>
    <t>P9
P7</t>
  </si>
  <si>
    <t>MULATTO JOHN , PHIBBAH'S JOHN</t>
  </si>
  <si>
    <t>February 10, 1764</t>
  </si>
  <si>
    <t>"Mulatto John has fever again, etc. Phibbah ill yet, etc.:"</t>
  </si>
  <si>
    <t>E202</t>
  </si>
  <si>
    <t>May 5, 1764</t>
  </si>
  <si>
    <t>"Hear there is information against Mr. Samuel Say of Cabarittta Esate for permitting a Negro play (for Vine's mother who is lately dead) last Sunday afternoon."</t>
  </si>
  <si>
    <t>THE NEIGHBOR
VINE'S MOTHER</t>
  </si>
  <si>
    <t>P46
P242</t>
  </si>
  <si>
    <t>E195</t>
  </si>
  <si>
    <t>IMG 315, P.310</t>
  </si>
  <si>
    <t>December 6, 1764</t>
  </si>
  <si>
    <t>"Flogged Egypt Lucy for leaving Daniel &amp; going to Mason Quashe &amp; Quashe beat Daniel last night also about her."</t>
  </si>
  <si>
    <t>EGYPT LUCY
MASON QUASHE
DANIEL
THE OVERSEER</t>
  </si>
  <si>
    <t>P3
P25
P42
P43</t>
  </si>
  <si>
    <t>IMG 65, P.59</t>
  </si>
  <si>
    <t>March 20, 1765</t>
  </si>
  <si>
    <t>"Cut up osnaburg for my Negroes cloaths as follows, for Abba, Mary &amp; Creole johnie 12 yards. Sally 2 suits 10 yards, Pompey &amp; Colon 5 yards each, Lincoln, Johnie, Dick, Will, Solon, Nanny, Maria, Sukey &amp; Coobah 5 1/2 yards."</t>
  </si>
  <si>
    <t>THE OVERSEER
ABBA
MARY
JOHNIE
SALLY
OWORIA
CUKOR
LINCOLN
EGYPT DRIVER JOHNIE
ABASSE
SAWNO;DOWOTRONNY
NANNY
OGO
SUKEY
MOLIA</t>
  </si>
  <si>
    <t>P43
P6
P37
P38
P39
P40
P17
P15
P24
P84
P20
P21
P110</t>
  </si>
  <si>
    <t>COOBAH
MARIA
DICK
WILL
POMPEY</t>
  </si>
  <si>
    <t>E269</t>
  </si>
  <si>
    <t>IMG 104, P.97</t>
  </si>
  <si>
    <t>April 30, 1765</t>
  </si>
  <si>
    <t>"Cut up osnabrig for my New Negroes cloaths [sic], 50 yards, Phibbah began to make them."</t>
  </si>
  <si>
    <t>E231</t>
  </si>
  <si>
    <t>IMG 195, P.188</t>
  </si>
  <si>
    <t>August 9, 1765</t>
  </si>
  <si>
    <t>"My Cubbah is runaway."</t>
  </si>
  <si>
    <t>CUBBAH</t>
  </si>
  <si>
    <t>August 10, 1765</t>
  </si>
  <si>
    <t>"Hercules catched my Cubbah last night at Morris' hutt [sic]. She was in company with 2 other runaways (A man &amp; a woman). Flogged her &amp; put a collar and chain about her neck. Gave Hercules a bottle of rum."</t>
  </si>
  <si>
    <t>MOLIA
HERCULES</t>
  </si>
  <si>
    <t>P1
P261</t>
  </si>
  <si>
    <t>E282</t>
  </si>
  <si>
    <t>August 31, 1765</t>
  </si>
  <si>
    <t>"J. Hartnole is 18 years old this day, was born August 20, 1747"</t>
  </si>
  <si>
    <t>E336</t>
  </si>
  <si>
    <t>IMG 248, P.241</t>
  </si>
  <si>
    <t>October 28, 1765</t>
  </si>
  <si>
    <t>"AM cum Coobah/mi in ilpotato piece stans! Backwards. Gave a bitt."</t>
  </si>
  <si>
    <t>P1
P43</t>
  </si>
  <si>
    <t>E105</t>
  </si>
  <si>
    <t>IMG 264, p.257</t>
  </si>
  <si>
    <t>November 22, 1765</t>
  </si>
  <si>
    <t>"AM Meeting Mr. Sam Lea and David Lopez in road, before Styx Bridge, was warned by them to appear as a juror, upon an inquest of a Negroe man, at Ridgeland Estate. The Negro has been shot on Ftiday afternoon by one Jn. Richie, who lived as a bookkeeper upon Mountain Spring Estate but has been discharged thence, some days before the accident happened. We dined at Ridgeland, had Negroe dug up, but his body smelt so we could not come near him and several set a vomiting instantly. Held inquest about 4 PM. Mr. Sam Lea coroner, I was foreman of the Jury. Mr. Murdoch McLeod, Mr. William Golding, Mr. John Hawkins, Mr. Tho. Townsend, MR. James Brown, Mr. Whittaker, etc.
According to the evidence of Mr. Archer and the Pinkneys, it appeared to us, that the Negroe died of wound ___ from the shots of Richie's gun. for he pretended it seems the Negro was impudent and he striking him with gun, she went off and shot him. Note! In going I rode in company of McLeod, Mr. Gibson by Cabaritta Estate, thro [sic] Crawfords (it being the nearest way and had Neptune with me. Set off from Ridgeland for home, after sunsett [sic], got home in good time."</t>
  </si>
  <si>
    <t xml:space="preserve">THE OVERSEER
SAM LEA
DAVID LOPEZ
JN RICHIE
MURDOCH MCLEOD
WILLIAM GOLDING
JOHN HAWKINS
THOMAS TOWNSEND
JAMES BROWN
MR. WHITTAKER
MR. ARCHER
THE PINKNEYS
NEPTUNE
</t>
  </si>
  <si>
    <t xml:space="preserve">P43
P140
P141
P142
P143
P144
P145
P146
P147
P148
P149
P107
</t>
  </si>
  <si>
    <t xml:space="preserve">L12
L31
</t>
  </si>
  <si>
    <t>THE ROADS
RIDGELAND ESTATE</t>
  </si>
  <si>
    <t>E249</t>
  </si>
  <si>
    <t>IMG 273, P.266</t>
  </si>
  <si>
    <t>December 2, 1765</t>
  </si>
  <si>
    <t>"In morning my Cubbah &amp; Mr. Chamber's Jenny wanting come at Negroe breakfast time, gave each a flogging."</t>
  </si>
  <si>
    <t>MOLIA
MR. CHAMBER'S JENNY
THE OVERSEER</t>
  </si>
  <si>
    <t>P1
P266
P43</t>
  </si>
  <si>
    <t>E333</t>
  </si>
  <si>
    <t>IMG 275, P.268</t>
  </si>
  <si>
    <t>December 5, 1765</t>
  </si>
  <si>
    <t>"Great suppression of the Negroes intending to rise now abouts."</t>
  </si>
  <si>
    <t>E283</t>
  </si>
  <si>
    <t>IMG 276, P.269</t>
  </si>
  <si>
    <t>December 6, 1765</t>
  </si>
  <si>
    <t>"PM Egypt Lucy fetched from Paradise Pen some dry plantane trash to put in J. Hartnole's bed."</t>
  </si>
  <si>
    <t>EGYPT LUCY
JOHN HARTNOLE</t>
  </si>
  <si>
    <t>P3
P81</t>
  </si>
  <si>
    <t>E462</t>
  </si>
  <si>
    <t>IMG 78, P.72</t>
  </si>
  <si>
    <t>March 27, 1766</t>
  </si>
  <si>
    <t>"In looking ober my papers, find the produce of Egypt Estate since May Day 1754 that Mr. Cope has had it it nearly as follows. Have also left room to insert the present crop:
Potts Made.     Sugar (lb).   Rum (Gall).  Molasses (gall Sold)
1755 The crop, the beginning of this year made from a feq of the best canes that could be pick'd out of the ____. The rest left for plants. No plant put in since 1751, and the Negroes took off the estate as soon as crop 1752 was over.
114 lb.    83222 gall.      234 gall.
1756: Did not put about
1757:  991 potts.    72,343lb.     850 gall.  2816 gall sold
1758:   2669 potts.   194, 837 lb.   700 gall    7000 sold
1759: 1114 potts.  83,659 lb.   1417 gall.   2948 sold
1760: 947 potts.  71,800 lb.   1710 gall.  1161 gall sold
1761: 793 potts.  56,053 lb.   1240 gall.  1402 gall sold
1762: 2054 potts.  147,348 lb.   5700 gall.   ---
1763: 1945 potts   147,228 lb.   5000 gall.
1764: 2021 potts.  148,693 lb.   4800 gall.
1765: 884 potts.  58,546 lb.   2250 gall.
1766: 1381 potts.  100,192 lb.   2606 gall.  1003 gall sold</t>
  </si>
  <si>
    <t>E260</t>
  </si>
  <si>
    <t>May 29, 1766</t>
  </si>
  <si>
    <t>"Flogg'd Lincoln &amp; Plato for going on ship board yesterday when sent to Savanna la Mar and loitering their time away."</t>
  </si>
  <si>
    <t>LINCOLN
PLATO
THE OVERSEER</t>
  </si>
  <si>
    <t>P24
P208
P43</t>
  </si>
  <si>
    <t>E259</t>
  </si>
  <si>
    <t>May 30, 1766</t>
  </si>
  <si>
    <t>"This morning sent my Negroes to Pen and ordered them to be billing bushes about the houses upon the hill, etc. X Lincoln, Johnie, Dick, Will, Cukor, Cudjoe, Pompey, Maria, Cubbah, Sukey, Mirtilla, Franke, Damsel. NAnny &amp; Chub already there. Remains at Egypt, Jenny &amp; Bess."</t>
  </si>
  <si>
    <t xml:space="preserve">LINCOLN
JOHNIE
ABASSE
OWORIA
CUKOR
CUDJOE
SAWNO/DOWOTRONNY
OGO
MOLIA
DAMSEL
NANNY
CHUB
JENNY
BESS
</t>
  </si>
  <si>
    <t>P24
P20
P38
P39
P40
P110
P60
P13
P1
P34
P15
P57
P104
P41</t>
  </si>
  <si>
    <t>E245</t>
  </si>
  <si>
    <t>IMG 141, P.135</t>
  </si>
  <si>
    <t>June 2, 1766</t>
  </si>
  <si>
    <t>"Best of our hands gutting wood, where we cut copperwood for the still house use. Worst of our hands weeding teh garden Cow pen piece.
My Negroes at Paradise Penn billing the path from the King's road to House."</t>
  </si>
  <si>
    <t>L3
L12</t>
  </si>
  <si>
    <t>BREADNUT ISLAND PEN [PARADISE PEN
THE ROADS</t>
  </si>
  <si>
    <t>E285</t>
  </si>
  <si>
    <t>IMG 142-143</t>
  </si>
  <si>
    <t>June 3, 1766</t>
  </si>
  <si>
    <t xml:space="preserve">"About 4 PM Egypt Lucy, Phibbah &amp; my Pompey went to Paradise to see Mason Quashe who is very low &amp; weak and is going Northward very soon." </t>
  </si>
  <si>
    <t>EGYPT LUCY
PHIBBAH
OWORIA
MASON QUASHE</t>
  </si>
  <si>
    <t>P3
P7
P40
P25</t>
  </si>
  <si>
    <t>E238</t>
  </si>
  <si>
    <t>IMG 144, P.138</t>
  </si>
  <si>
    <t>June 4, 1766</t>
  </si>
  <si>
    <t>"Coobah &amp; Eve sewing for me. Coobah's husband, Nagua, also hear he is a free man."</t>
  </si>
  <si>
    <t>COOBAH
EVE
NAGUA</t>
  </si>
  <si>
    <t>P16
P128
P207</t>
  </si>
  <si>
    <t>E91</t>
  </si>
  <si>
    <t>June 16, 1766</t>
  </si>
  <si>
    <t>"Our Little Mimber brought to bed of a Mulatto boy, at Paradise: for Mr. Miller."</t>
  </si>
  <si>
    <t>LITTLE MIMBER (P80)
MR. MILLER (P127)</t>
  </si>
  <si>
    <t>LITTLE MIMBER
MR. MILLER</t>
  </si>
  <si>
    <t>P80
P127</t>
  </si>
  <si>
    <t>E299</t>
  </si>
  <si>
    <t>IMG 162, P.156</t>
  </si>
  <si>
    <t>June 23, 1766</t>
  </si>
  <si>
    <t>"Sent to Paradise by Julina 20 eggs &amp; 4 young pigeons."</t>
  </si>
  <si>
    <t>E331</t>
  </si>
  <si>
    <t>"In the hothouse, Jimmy, Juno, Abigail, Derby &amp; Phoebe, Peggy, Solon, Syphox, Johnie. But note: Peggy stays with Maria at the Pen. Phoebe is breaking out forth with the yaws."</t>
  </si>
  <si>
    <t>JIMMY
JUNO
ABIGAIL
DERBY
PHOEBE
PEGGY
SOLON
SYPHOX
JOHNIE
OGO</t>
  </si>
  <si>
    <t>P54
P294
P118
P295
P58
P19
P26
P62
P84
P13</t>
  </si>
  <si>
    <t>E236</t>
  </si>
  <si>
    <t>July 12, 1766</t>
  </si>
  <si>
    <t>"Last night our Eve brought to bed of a girl at Paradise."</t>
  </si>
  <si>
    <t>E179</t>
  </si>
  <si>
    <t>IMG 186, P.180</t>
  </si>
  <si>
    <t>July 16, 1766</t>
  </si>
  <si>
    <t>"Cum Maria, sup old piece of canoe in north Negroe house upon the hill at Penn. Don't seem right yet."</t>
  </si>
  <si>
    <t>THE OVERSEER
OGO</t>
  </si>
  <si>
    <t>P43
P13</t>
  </si>
  <si>
    <t>E295</t>
  </si>
  <si>
    <t>July 20, 1766</t>
  </si>
  <si>
    <t>"Last night towards morning, dreamed I saw my brother, that I scarce knew him. He looked so lean and sickly, with a sore lip and was very shy of me."</t>
  </si>
  <si>
    <t>E241</t>
  </si>
  <si>
    <t>IMG 190, P.184</t>
  </si>
  <si>
    <t>July 21, 1766</t>
  </si>
  <si>
    <t>"Flogg'd Ambo &amp; Johnie for permitting a singing etc at the Negroe houses last Saturday night. Also reprimanded Henry McCormick for frequenting the Negroe houses in the night, etc."</t>
  </si>
  <si>
    <t>THE OVERSEER
AMBO
JOHNIE [MALE DRIVER]
HENRY MCCORMICK</t>
  </si>
  <si>
    <t>P43
P170
P84
P264</t>
  </si>
  <si>
    <t>E239</t>
  </si>
  <si>
    <t>IMG 191, P.185</t>
  </si>
  <si>
    <t>July 22, 1766</t>
  </si>
  <si>
    <t>"Flogged Job for being impudent to Mr. Hartnole."</t>
  </si>
  <si>
    <t>JOB
THE OVERSEER
MR. HARTNOLE</t>
  </si>
  <si>
    <t>P29
P43
P81</t>
  </si>
  <si>
    <t>IMG 195, P.189</t>
  </si>
  <si>
    <t>July 28, 1766</t>
  </si>
  <si>
    <t>"Sent to Paradise by Julina 5 young pigeons &amp; 13 eggs."</t>
  </si>
  <si>
    <t>E312</t>
  </si>
  <si>
    <t>IMG 195, 189</t>
  </si>
  <si>
    <t>"Little Mulatto John, being got well of yaws, sent him to Mrs. Sarah Bennett's in Savanna to go to school to Mr. Daniel Hughes again. Bess &amp; Old Leandra went with him. 
Note! Mrs. Bennett being yet not well John is come to stay at home til she is better, which he is very glad of."</t>
  </si>
  <si>
    <t>JOHN
THE PROPRIETRESS
BESS
OLD LEANDRA</t>
  </si>
  <si>
    <t>P9
P50
P41
P28</t>
  </si>
  <si>
    <t>E234</t>
  </si>
  <si>
    <t>IMG 198, P.192</t>
  </si>
  <si>
    <t>July 30, 1766</t>
  </si>
  <si>
    <t>"Heart Mr. Robert Chambers, the lawyer, is arrived in Town, from North America."</t>
  </si>
  <si>
    <t>ROBERT CHAMBERS</t>
  </si>
  <si>
    <t>E235</t>
  </si>
  <si>
    <t>"A report of Savanna la Mar being made a free port but Mr. Cope who is just come down from Town (got home but last night) says not but that Kingston is."</t>
  </si>
  <si>
    <t>L10
L19</t>
  </si>
  <si>
    <t>SAVANNA LA MAR
KINGSTON</t>
  </si>
  <si>
    <t>IMG 206, P.200</t>
  </si>
  <si>
    <t>August 9, 1766</t>
  </si>
  <si>
    <t>"Wrote to Mrs. Emotson by Lincoln and sent for Sally home as she will by no means learn to be a seamstress."</t>
  </si>
  <si>
    <t>THE OVERSEER
MRS. EMOTSON
SALLY
LINCOLN</t>
  </si>
  <si>
    <t>P43
P93
P17
P24</t>
  </si>
  <si>
    <t>L26
L1</t>
  </si>
  <si>
    <t>EMOTSON'S TAVERN
EGYPT ESTATE</t>
  </si>
  <si>
    <t>IMG 207, P.201</t>
  </si>
  <si>
    <t>August 10, 1766</t>
  </si>
  <si>
    <t>"Sent Bess to Mrs. Emotson's this morning to learn to be a seamstrss, as Sally won't do."</t>
  </si>
  <si>
    <t>BESS
MRS. EMOTSON
SALLY
THE OVERSEER</t>
  </si>
  <si>
    <t>P41
P93
P17
P43</t>
  </si>
  <si>
    <t>IMG 212, P.206</t>
  </si>
  <si>
    <t>August 16, 1766</t>
  </si>
  <si>
    <t>"This evening, in the height of bad weather, my Nanny brought to bed of a girl at Paradise estate.
Yesterday and today, very suspicious of the weather. Much afraid of a hurricane and by 10 at night it blew very near one. Got up and sat up till near 1 AM."</t>
  </si>
  <si>
    <t>NANNY
LITTLE PHIBBAH</t>
  </si>
  <si>
    <t>P15
P22</t>
  </si>
  <si>
    <t>"In the morning calm, cloudy, thunder remote. AM light winds NE, cloudy with a few drops of rain &amp; thunder far off. PM Fresh breezes d^0 and heard the sea roar prodigiously. from sunset fresh gales encasing &amp; variable, to EAst, ESE, at times small rain anda. dreadful roaring of the sea or distant gale; about 10 pm blew very fresh with hard rain, which came in violent squalls, lightened a good deal and before midnight heard it thunder. Soon after mignight wind veered to SSE and became more moderate." [IMG 40-41, P.35-36]</t>
  </si>
  <si>
    <t>E621</t>
  </si>
  <si>
    <t>IMG 213, P.207</t>
  </si>
  <si>
    <t>August 18, 1766</t>
  </si>
  <si>
    <t>"In the hothouse Beck, Silvia, Margaritta, Phillis, Neptune, Egypt Lucy, etc. Syphox, Solon, Phoebe, Peggy, Franke, Coobah, etc."</t>
  </si>
  <si>
    <t xml:space="preserve">BECK
SILVIA
MARGARITTA
PHILLIS
NEPTUNE
EGYPT LUCY
SYPHOX
SOLON
PHOEBE
EGYPT FRANKE
MOLIA
</t>
  </si>
  <si>
    <t>P361
P122
P345
P475
P107
P3
P62
P26
P58
P19
P59
P1</t>
  </si>
  <si>
    <t>IMG 216, P.210</t>
  </si>
  <si>
    <t>August 21, 1766</t>
  </si>
  <si>
    <t>"Eve come home from Paradise with her young child."</t>
  </si>
  <si>
    <t>EVE
EVE'S DAUGHTER</t>
  </si>
  <si>
    <t>P128
P262</t>
  </si>
  <si>
    <t>E233</t>
  </si>
  <si>
    <t>August 23, 1766</t>
  </si>
  <si>
    <t>"Mrs. Cope sent by Julina some figgs [sic], guavas, plums &amp; 2 apple tarts."</t>
  </si>
  <si>
    <t>THE PLANTER'S WIFE
JULINA</t>
  </si>
  <si>
    <t>P45
P4</t>
  </si>
  <si>
    <t>E240</t>
  </si>
  <si>
    <t>August 24, 1766</t>
  </si>
  <si>
    <t>"house Franke here today."</t>
  </si>
  <si>
    <t>HOUSE FRANK</t>
  </si>
  <si>
    <t>IMG 225, P.219</t>
  </si>
  <si>
    <t>September 3, 1766</t>
  </si>
  <si>
    <t>"Phibbah gave me 3:0:0 all in silver."</t>
  </si>
  <si>
    <t>E237</t>
  </si>
  <si>
    <t>IMG 229, P.232</t>
  </si>
  <si>
    <t>September 12, 1766</t>
  </si>
  <si>
    <t>"Young Mr. Lesley, George Lesley's relation, drowned in a pond at Moreland's hooting coots."</t>
  </si>
  <si>
    <t>IMG 232, P.235</t>
  </si>
  <si>
    <t>September 18, 1766</t>
  </si>
  <si>
    <t>"My Nanny come home from Paradise."</t>
  </si>
  <si>
    <t>L2
L3</t>
  </si>
  <si>
    <t>PARADISE ESTATE
BREADNUT ISLAND PEN</t>
  </si>
  <si>
    <t>IMG 253, P.256</t>
  </si>
  <si>
    <t>October 10, 1766</t>
  </si>
  <si>
    <t>"Note: 2 rebel Negroes were tryed [sic] yesterday and one of them burnt by a slow fire/alive near the gallows at Savanna la Mar yesterday evening and the other this morning at Cross Path where they killed gardiner."</t>
  </si>
  <si>
    <t>IMG 256, P.259</t>
  </si>
  <si>
    <t>October 15, 1766</t>
  </si>
  <si>
    <t>"It is said that about 3 weeks ago old Mr. Tomlinson's Betty, who formerly worked on this estate, her husband being gone out, admitted another Negroe man to lie with her &amp; that they were found as dog &amp; bitch for the whole day in so much that a Doctor was obliged to be called."</t>
  </si>
  <si>
    <t>E639</t>
  </si>
  <si>
    <t>July 5, 1767</t>
  </si>
  <si>
    <t>"All last night &amp; today a vast company with singing etc at the Negro houses with Franke for the loss of her husband Quashe. She killed a heifer, several hogs etc to entertain her company. Delivered Franke a jug of rum, 8 gallons or more."</t>
  </si>
  <si>
    <t>EGYPT HOUSE FRANKE
EGYPT QUASHE
THE OVERSEER</t>
  </si>
  <si>
    <t xml:space="preserve">P194
P284
P43
</t>
  </si>
  <si>
    <t>E271</t>
  </si>
  <si>
    <t>July 27, 1767</t>
  </si>
  <si>
    <t>"My Will sick at Dr. Wedderburn's. Maria attending him."</t>
  </si>
  <si>
    <t>ABASSE
JAMES WEDDERBURN
OGO</t>
  </si>
  <si>
    <t>P39
P95
P13</t>
  </si>
  <si>
    <t>MARIA
WILL</t>
  </si>
  <si>
    <t>L45</t>
  </si>
  <si>
    <t>E357</t>
  </si>
  <si>
    <t>August 5, 1767</t>
  </si>
  <si>
    <t>"My Negroes clearing Phibbah's ground at the Penn, etc."</t>
  </si>
  <si>
    <t>August 7, 1767</t>
  </si>
  <si>
    <t>"PM Maria come home from Dr. Wedderburn's and acquainted me Will died, about b reakfast time this morning. Sent Solon &amp; Cudjoe to bury."</t>
  </si>
  <si>
    <t>OGO
ABASSE
SOLON
CUDJOE</t>
  </si>
  <si>
    <t>P13
P39
P26
P52</t>
  </si>
  <si>
    <t>WILL
MARIA</t>
  </si>
  <si>
    <t>E180</t>
  </si>
  <si>
    <t>September 5, 1767</t>
  </si>
  <si>
    <t>"Egypt Lucy come brought me a present of some potatoes &amp; a pineapple; Mulatto John come wiht he r &amp; stayed till the evening, then I sent him home by Jimmy."</t>
  </si>
  <si>
    <t>EGYPT LUCY
JOHN
JIMMY
THE OVERSEER</t>
  </si>
  <si>
    <t>P3
P9
P54
P43</t>
  </si>
  <si>
    <t>E337</t>
  </si>
  <si>
    <t>September 26, 1767</t>
  </si>
  <si>
    <t>"AM Cum Cubbah mea sup ter near my Negroes ground in Mr. Say's land, east side/ gave a bitt."</t>
  </si>
  <si>
    <t>September 27, 1767</t>
  </si>
  <si>
    <t>:For 100 plantains, 4 bitts."</t>
  </si>
  <si>
    <t>E71</t>
  </si>
  <si>
    <t>September 29, 1767</t>
  </si>
  <si>
    <t>"Served my Negroes 12 herrings each, also gave iron potts to the following Neg: 1.Abba &amp; Sally, 2. Lincoln &amp; Sukey, 3. Solon &amp; MAria, 4. Cudjoe &amp; Cukor, 5. Cubbah &amp; Peggy, 6. Pompey &amp; chub, 7. Mirtilla &amp; Franke, 8. Johnie, 9. Damsel, 11. Phoebe, 10. Nanny, 12. Jimmy, 
Not served til afternoon</t>
  </si>
  <si>
    <t>ABBA (P6)
SALLY(P17)
LINCOLN (P24)
SUKEY (P37)
SOLON (P26)
OGO (P13)
CUDJOE (P52)
CUKOR (P110)
MOLIA (P1)
PEGGY (P19)
POMPEY (P40)
CHUB (P57)
MIRTILLA (P32)
FRANKE (P59)
JOHNIE (P84)
DAMSEL (P34)
PHOEBE (P58)
NANNY (P15)
JIMMY (P54)</t>
  </si>
  <si>
    <t>ABBA
SALLY
LINCOLN
SUKEY
SOLON
OGO
CUDJOE
CUKOR
MOLIA
PEGGY
POMPEY
CHUB
MIRTILLA
FRANKE
JOHNIE
DAMSEL
PHOEBE
NANNY
JIMMY</t>
  </si>
  <si>
    <t>P6
P17
P24
P37
P26
P13
P52
P110
P1
P19
P40
P57
P32
P59
P84
P34
P58
P15
P54</t>
  </si>
  <si>
    <t>CUBBAH; MARIA; POMPEY</t>
  </si>
  <si>
    <t>October 5, 1767</t>
  </si>
  <si>
    <t>THE OVERSEER (P43) 
ARTHUR FOREST (P47)
DAVID KINLOCK</t>
  </si>
  <si>
    <t>THE OVERSEER
ARTHUR FOREST
DAVID KINLOCK</t>
  </si>
  <si>
    <t>P43
P47
P48</t>
  </si>
  <si>
    <t>E182</t>
  </si>
  <si>
    <t>February 4, 1768</t>
  </si>
  <si>
    <t>"Egypt Lucy lent me 10 pounds."</t>
  </si>
  <si>
    <t>P3
P43</t>
  </si>
  <si>
    <t>February 5, 1768</t>
  </si>
  <si>
    <t>"Egypt Negroes privately called me, Abaume Appea i.e. No For Play. Mr. John Hartnole they call Crahra Juba, i.e. crazy somebody."</t>
  </si>
  <si>
    <t>THE OVERSEER
JOHN HARTNOLE</t>
  </si>
  <si>
    <t>P43
P81</t>
  </si>
  <si>
    <t xml:space="preserve">THE OVERSEER
DAVID KINLOCK
SAWNO
OGO
MOLIA
NANNY
SILVIA
</t>
  </si>
  <si>
    <t>P43
P48
P39
P13
P1
P15
P2</t>
  </si>
  <si>
    <t>E351</t>
  </si>
  <si>
    <t>February 22, 1768</t>
  </si>
  <si>
    <t>"Cudjoe &amp; Sally hoeing in the garden, Nanny also."</t>
  </si>
  <si>
    <t>CUDJOE
SALLY
NANNY</t>
  </si>
  <si>
    <t>P15
P17
P52</t>
  </si>
  <si>
    <t>NANNY
SILVIA</t>
  </si>
  <si>
    <t>P15
P2</t>
  </si>
  <si>
    <t>DAVID KINLOCK
THE OVERSEER
MOLIA</t>
  </si>
  <si>
    <t>P48
P43
P1</t>
  </si>
  <si>
    <t>CUDJOE
NANNY
SALLY
PEGGY
MOLIA</t>
  </si>
  <si>
    <t>P52
P15
P17
P19
P1</t>
  </si>
  <si>
    <t>CUDJOE (P52)
NANNY (P15)
SALLY (P17)
PEGGY (P19)
MOLIA (P1)
THE NEIGHBOR (P46)</t>
  </si>
  <si>
    <t>CUDJOE
NANNY
SALLY
PEGGY
MOLIA
THE NEIGHBOR</t>
  </si>
  <si>
    <t>P52
P15
P17
P19
P1
P46</t>
  </si>
  <si>
    <t>E325</t>
  </si>
  <si>
    <t>March 23, 1768</t>
  </si>
  <si>
    <t>"Hear Job has cut his throat at Egypt, don't know if effectively. PM Phibbah went to Egypt in evening. She returned."</t>
  </si>
  <si>
    <t>JOB
PHIBBAH</t>
  </si>
  <si>
    <t>P29
P7</t>
  </si>
  <si>
    <t>E309</t>
  </si>
  <si>
    <t>April 4, 1768</t>
  </si>
  <si>
    <t>"Mrs. Bennett's Old Leandra here, gave her 8 yards of Brown osnabrig, as she looks after John a great deal."</t>
  </si>
  <si>
    <t>THE PROPRIETRESS
OLD LEANDRA
JOHN
THE OVERSEER</t>
  </si>
  <si>
    <t>P50
P28
P9
P43</t>
  </si>
  <si>
    <t>IMG 78, P.73</t>
  </si>
  <si>
    <t>May 2, 1768</t>
  </si>
  <si>
    <t>"Sukey at home also with a sore foot. so only 11 Negroes of mine at Masemure--AM Rode Mackey horse to Masemure to enquire [sic] about the Negroes laying up so much...staid at the house with the new overseer, a white, then rode into the field &amp; talked with Hannibal [driver]."</t>
  </si>
  <si>
    <t>SUKEY
THE OVERSEER
HANNIBAL</t>
  </si>
  <si>
    <t>P297
P43
P37</t>
  </si>
  <si>
    <t>E301</t>
  </si>
  <si>
    <t>May 14, 1768</t>
  </si>
  <si>
    <t>"Chub come home, sent by Hannical to acquaint me that Coobah is going to have the smallpox, wrote to Mr. Grant, the overseer, and sent Mackey horse for her."</t>
  </si>
  <si>
    <t>CHUB
MOLIA
MR. GRANT
THE OVERSEER</t>
  </si>
  <si>
    <t>P57
P1
P280
P43</t>
  </si>
  <si>
    <t>May 15, 1768</t>
  </si>
  <si>
    <t>"Cesar come home about 1/4 past 9 AM with Coobah, upon Mackey horse. She has got a good many smallpox upon her face."</t>
  </si>
  <si>
    <t>CESAR
MOLIA</t>
  </si>
  <si>
    <t>P281
P1</t>
  </si>
  <si>
    <t>E317</t>
  </si>
  <si>
    <t>IMG 89, P.83</t>
  </si>
  <si>
    <t>May 19, 1768</t>
  </si>
  <si>
    <t>"Mr. Burton says that Ripley has 2 or 3 Mulatto daughters, who still keep up the gaden, are very genteel and have had a good education, live all together in great harmony about 8 miles form Kingston and that young Horlock is one of their guardians."</t>
  </si>
  <si>
    <t xml:space="preserve">MR. BURTON
RIPLEY
YOUNG HORLOCK
RIPLEY'S DAUGHTERS
</t>
  </si>
  <si>
    <t>P285
P286
P287
P288
P289</t>
  </si>
  <si>
    <t>E428</t>
  </si>
  <si>
    <t>"A great flood from the ocuntry, AM bathed in the trench by the standing lime kiln."</t>
  </si>
  <si>
    <t>E206</t>
  </si>
  <si>
    <t>IMG 90, P.84</t>
  </si>
  <si>
    <t>May 20, 1768</t>
  </si>
  <si>
    <t>"Mr. Say's Vine here today, Mr. Lawrence Oliphant and his little boy dined with me. PM Mr. Sam Barton came, they staid til 9 PM and saw the mgic lanthorn show."</t>
  </si>
  <si>
    <t>THE OVERSEER
VINE
LAWRENCE OLIPHANT
SAM BARTON</t>
  </si>
  <si>
    <t>P43
P12
P306
P368</t>
  </si>
  <si>
    <t>May 23, 1768</t>
  </si>
  <si>
    <t>"Only 7 Negroes at Masemure as Solon, Sukey, Phoebe and Pompey are all at home with sore legs. Coobah has the smallpox and Cukor is attending her. Mirtilla laid up of a boil."</t>
  </si>
  <si>
    <t>SOLON
SUKEY
PHOEBE
OWORIA
MOLIA
CUKOR
MIRTILLA</t>
  </si>
  <si>
    <t>P26
P37
P58
P40
P1
P110
P32</t>
  </si>
  <si>
    <t>L6
L3</t>
  </si>
  <si>
    <t>MASEMURE ESTATE
BREADNUT ISLAND PEN</t>
  </si>
  <si>
    <t>IMG. 92, P.86</t>
  </si>
  <si>
    <t>May 24, 1768</t>
  </si>
  <si>
    <t>"Sent Jimmy to Capt. Forest's Estate on Mackey to inquire of Hannibal for an account of my Negroes for week's work."</t>
  </si>
  <si>
    <t>JIMMY
HANNIBAL</t>
  </si>
  <si>
    <t>P54
P297</t>
  </si>
  <si>
    <t>May 30, 1768</t>
  </si>
  <si>
    <t>"Phibbah told me of Bess stealing 3 cobbs from Egypt Lucy and of her denying it stiffly, but 15 bitts of it found upon her this morning being met by Abba &amp; searched when going to the Bay."</t>
  </si>
  <si>
    <t>PHIBBAH
BESS
EGYPT LUCY
ABBA</t>
  </si>
  <si>
    <t>P7
P41
P3
P6</t>
  </si>
  <si>
    <t>L3
L11</t>
  </si>
  <si>
    <t>BREADNUT ISLAND PEN
BLUEFIELDS BAY</t>
  </si>
  <si>
    <t>E145</t>
  </si>
  <si>
    <t>June 2, 1768</t>
  </si>
  <si>
    <t>"In morning Phibbah went to Egypt: PM returned."</t>
  </si>
  <si>
    <t>L1
L3</t>
  </si>
  <si>
    <t>E146</t>
  </si>
  <si>
    <t>June 5, 1768</t>
  </si>
  <si>
    <t>"Dined at Egypt, as did also Phibbah, rode home in the evening."</t>
  </si>
  <si>
    <t>P7
P43</t>
  </si>
  <si>
    <t>E76</t>
  </si>
  <si>
    <t>June 7, 1768</t>
  </si>
  <si>
    <t>"Mr. Say's Vine came this forenoon, to live at his new house."</t>
  </si>
  <si>
    <t>VINE (P12)</t>
  </si>
  <si>
    <t>E77</t>
  </si>
  <si>
    <t>IMG 109, P.103</t>
  </si>
  <si>
    <t>June 15, 1768</t>
  </si>
  <si>
    <t>"Lent Mr. Say's Vine Nelly mare to ride to Roaring River to see her husband Mr. McArthur."</t>
  </si>
  <si>
    <t>VINE (P12)
MR. MCARTHUR (P114)</t>
  </si>
  <si>
    <t>VINE
MR. MCARTHUR</t>
  </si>
  <si>
    <t>P12
P114</t>
  </si>
  <si>
    <t>E70</t>
  </si>
  <si>
    <t>June 28, 1768</t>
  </si>
  <si>
    <t>"Wrote to Mr. William Barnes and sent to gaol by Dick and Jimmy a Negroe man named Clorinda that wanted to pass into my morass. They are marked on right shoulder, SF, says their master name is Foster. Dick and Jimmy rec'd 6 bitts."</t>
  </si>
  <si>
    <t>WILLIAM BARNES (P109)
DICK (P38)
JIMMY (P54)
CLORINDA (P130)</t>
  </si>
  <si>
    <t>WILLIAM BARNES
DICK
JIMMY
CLORINDA</t>
  </si>
  <si>
    <t>P109
P38
P54
P130</t>
  </si>
  <si>
    <t>E74</t>
  </si>
  <si>
    <t>IMG 119, P.113</t>
  </si>
  <si>
    <t>June 29, 1768</t>
  </si>
  <si>
    <t>"Phibbah and me sat up til past 10 o'clock to see the moon totally eclipsed. Could still perceive her dark parts through my achromatic telescope."</t>
  </si>
  <si>
    <t>THE OVERSEER (P43)
PHIBBAH (P7)</t>
  </si>
  <si>
    <t>E203</t>
  </si>
  <si>
    <t>IMG 121, P.115</t>
  </si>
  <si>
    <t>July 2, 1768</t>
  </si>
  <si>
    <t>"Hear Stompe, the mial [sic] man ws burnt alive this evening and his wife, Dr. Frazier's Polly, a Mulatto, hang'd."
She was Rob Parker's daughter, hwo lived with Billy Cunningham"</t>
  </si>
  <si>
    <t>STOMPE
POLLY</t>
  </si>
  <si>
    <t>P243
P244</t>
  </si>
  <si>
    <t>E257</t>
  </si>
  <si>
    <t>July 4, 1768</t>
  </si>
  <si>
    <t>"Made a match between Chub and Sally."</t>
  </si>
  <si>
    <t>SALLY
CHUB</t>
  </si>
  <si>
    <t>P17
P57</t>
  </si>
  <si>
    <t>E258</t>
  </si>
  <si>
    <t>"Negroes went to work at Masemure again."</t>
  </si>
  <si>
    <t>IMG 134, P.128</t>
  </si>
  <si>
    <t>July 24, 1768</t>
  </si>
  <si>
    <t>"Fire shocks of an earthquake about 2 in morning. Come from southward."</t>
  </si>
  <si>
    <t>E94</t>
  </si>
  <si>
    <t>IMG 145, P.139</t>
  </si>
  <si>
    <t>August 10, 1768</t>
  </si>
  <si>
    <t>"Rec'd from Mr. Say's Vine, she gave me from Roaring River a ripe cocoa pod. 6 inches and a half long. 9 inches round in middle and contained 21 nutts. [sic]."</t>
  </si>
  <si>
    <t>VINE (P12)
THE OVERSEER (P43)</t>
  </si>
  <si>
    <t>VINE
THE OVERSEER</t>
  </si>
  <si>
    <t>P12
P43</t>
  </si>
  <si>
    <t>E73</t>
  </si>
  <si>
    <t>IMG 149, P.143</t>
  </si>
  <si>
    <t>August 19, 1768</t>
  </si>
  <si>
    <t>"Rec'd a note from Mr. Daniel Hughes with an account enclosed of John's schooling, etc. wrote to Mr. Hughes by Billy Lowther and sent 5:11 10 1/2 in full to 5th of this month."</t>
  </si>
  <si>
    <t>DANIEL HUGHES (P112)
BILLY LOWTHER (P113)
JOHN (P9)</t>
  </si>
  <si>
    <t>DANIEL HUGHES
BILLY LOWTHER
JOHN</t>
  </si>
  <si>
    <t>P112
P113
P9</t>
  </si>
  <si>
    <t>"Paid Egypt Lucy 10.0.0. pounds she lent me many months ago."</t>
  </si>
  <si>
    <t>E93</t>
  </si>
  <si>
    <t>IMG 158, P.152</t>
  </si>
  <si>
    <t>September 5, 1768</t>
  </si>
  <si>
    <t>"Hear Egypt Clara is brought to bed of a boy today at Paradise."</t>
  </si>
  <si>
    <t>EGYPT CLARA (P129)</t>
  </si>
  <si>
    <t>E86</t>
  </si>
  <si>
    <t>IMG 159, p.153</t>
  </si>
  <si>
    <t>September 6, 1768</t>
  </si>
  <si>
    <t>"Doctor Graham took away a child from Mazarine today, dead: a boy, said to be a Mulatto (Drummond)."</t>
  </si>
  <si>
    <t>DR. GRAHAM (P108)
MAZARINE (P123)</t>
  </si>
  <si>
    <t>DR. GRAHAM
MAZARINE</t>
  </si>
  <si>
    <t>P108
P123</t>
  </si>
  <si>
    <t>E112</t>
  </si>
  <si>
    <t>IMG 170, P.164</t>
  </si>
  <si>
    <t>September 14, 1768</t>
  </si>
  <si>
    <t>"For fish Coobah sold of Johnie &amp; Solon catching, 6 bitts."</t>
  </si>
  <si>
    <t>MOLIA
JOHNIE
SOLON</t>
  </si>
  <si>
    <t>P3
P26
P20</t>
  </si>
  <si>
    <t>IMG 164, P.158</t>
  </si>
  <si>
    <t>"Showed Vine the magic Lanthorn this evening, etc."</t>
  </si>
  <si>
    <t>VINE
THE OVERSEER</t>
  </si>
  <si>
    <t>P12
P43</t>
  </si>
  <si>
    <t>IMG 165, P.159</t>
  </si>
  <si>
    <t>September 16, 1768</t>
  </si>
  <si>
    <t>"By Coobah, 5 for mudfish sold. Wrote to Mr. Hayward and sent him 6 mudfish by Coobah."</t>
  </si>
  <si>
    <t>MOLIA
THE OVERSEER
MR. HAYWARD</t>
  </si>
  <si>
    <t>P1
P43
P161</t>
  </si>
  <si>
    <t xml:space="preserve">L12
L33
</t>
  </si>
  <si>
    <t>IMG 167, P.161</t>
  </si>
  <si>
    <t>September 17, 1768</t>
  </si>
  <si>
    <t>"Phibbah's Coiobah still at Penn. Mr. Say's Vine told many diverting Nancy stories (as Negroes call them) this evening at my house, she tells them very cleverly."</t>
  </si>
  <si>
    <t>COOBAH
VINE</t>
  </si>
  <si>
    <t>P16
P12</t>
  </si>
  <si>
    <t>IMG 169, P.163</t>
  </si>
  <si>
    <t>September 20, 1768</t>
  </si>
  <si>
    <t>"Sent Coobah to Savanna la Mar, received from Mr. Hayward 3 yards yarn, says at 4 bitts per yard and a cutterhead, for which he paid 6 bitts, equals 10 bitts, advanced for me."</t>
  </si>
  <si>
    <t>MOLIA
MR. HAYWARD
THE OVERSEER</t>
  </si>
  <si>
    <t>"In evening Phibbah's Coobah here. Vine told many Nancy stories."</t>
  </si>
  <si>
    <t>September 21, 1768</t>
  </si>
  <si>
    <t>"At night, Vine and Abba told Nancy stories, etc."</t>
  </si>
  <si>
    <t>VINE
ABBA</t>
  </si>
  <si>
    <t>P12
P6</t>
  </si>
  <si>
    <t>September 23, 1768</t>
  </si>
  <si>
    <t>"Received by Coobah 5 bitts for fish."</t>
  </si>
  <si>
    <t>"Vine here this evening, and told Nancy stories, etc."</t>
  </si>
  <si>
    <t>IMG 171, P.165</t>
  </si>
  <si>
    <t>September 24, 1768</t>
  </si>
  <si>
    <t>"Vine here, told Nancy stories, entertaining enough,"</t>
  </si>
  <si>
    <t>September 27, 1768</t>
  </si>
  <si>
    <t>"Vine t old Nancy stories, etc."</t>
  </si>
  <si>
    <t>September 28, 1768</t>
  </si>
  <si>
    <t>"Also received by Coobah 6 bitts for fish."</t>
  </si>
  <si>
    <t>IMG 175, P.169</t>
  </si>
  <si>
    <t>September 30, 1768</t>
  </si>
  <si>
    <t>"Received for fish Coobah sold, 6 bitts = 450 bitts."</t>
  </si>
  <si>
    <t>E84</t>
  </si>
  <si>
    <t>IMG 176, P.170</t>
  </si>
  <si>
    <t>October 1, 1768</t>
  </si>
  <si>
    <t>"Phibbah's Coobah marked on Silvia's smock bosom DTSJH for Dago, her husband, Mr. Meyler's Tom her sweetheart, and John Hartnole, whom she is supposed to love best, and other ornaments. 
DTSJH (all that heart love best)
Here's meat for money 
If you're fit, I'm ready
But take care you don't flash in the pan."</t>
  </si>
  <si>
    <t>COOBAH (P16)
SILVIA[ADULT] (P122)
DAGO (P121)
MR. MEYLER'S TOM (P120)
JOHN HARTNOLE (P81)</t>
  </si>
  <si>
    <t>COOBAH
SILVIA [ADULT]
DAGO
MR. MEYLER'S TOM
JOHN HARTNOLE</t>
  </si>
  <si>
    <t xml:space="preserve">P16
P122
P121
P120
P81
</t>
  </si>
  <si>
    <t>PHIBBAH'S COOBAH/JENNY YOUNG</t>
  </si>
  <si>
    <t>E273</t>
  </si>
  <si>
    <t>IMG 205, P.199</t>
  </si>
  <si>
    <t>November 7, 1768</t>
  </si>
  <si>
    <t>"Mr. Say's Vine sent me a fine shaddock (pomelo). I sent her some peas to plant."</t>
  </si>
  <si>
    <t>E162</t>
  </si>
  <si>
    <t>IMG 211-212, P.205-206</t>
  </si>
  <si>
    <t>November 18, 1768</t>
  </si>
  <si>
    <t>"About midnight last night, Phibbah was so restless and violent ill of the pain in her left elbow etc that I thought she would have died. I got up and tended her, had her arm rubbed with British oil &amp; I got no rest this night past."</t>
  </si>
  <si>
    <t>November 20, 1768</t>
  </si>
  <si>
    <t>"Many Negroes come to see Phibbah. House Franke came in afternoon and staid all night with her. She had a bad restless night. Vine is very good in assiting about Phibbah etc.:</t>
  </si>
  <si>
    <t>PHIBBAH
HOUSE FRANKE
VINE</t>
  </si>
  <si>
    <t xml:space="preserve">P7
P10
P12
</t>
  </si>
  <si>
    <t>November 21, 1768</t>
  </si>
  <si>
    <t>"PM House Franke went home to Paradise, and Dido come to tend Phib, rec'd a note from Mrs. Cope. Gave Franke a mess of green peas &amp; a roast duck."</t>
  </si>
  <si>
    <t>HOUSE FRANKE
PHIBBAH
THE PLANTER'S WIFE
DIDO
THE OVERSEER</t>
  </si>
  <si>
    <t>P10
P7
P45
P105
P43</t>
  </si>
  <si>
    <t>November 22, 1768</t>
  </si>
  <si>
    <t>"Shot 5 red-headed coots in the great pond north of my house. Gave Vine 2, Ellen and Venus who were come to see  Phib both each one."</t>
  </si>
  <si>
    <t>THE OVERSEER
VINE
ELLEN
VENUS
PHIBBAH</t>
  </si>
  <si>
    <t>P43
P12
P33
P193</t>
  </si>
  <si>
    <t>IMG 215, p.209</t>
  </si>
  <si>
    <t>"Phibbah had a rather better night last night, than usual."</t>
  </si>
  <si>
    <t>November 23, 1768</t>
  </si>
  <si>
    <t>"Phibbah somewhat easier, rested rarher better last night than before but laid still in hammock in the Red or Mahagony coloured room."</t>
  </si>
  <si>
    <t>IMG 217, P.211</t>
  </si>
  <si>
    <t>November 24, 1768</t>
  </si>
  <si>
    <t>"Cum Phib sup lect: John's room."</t>
  </si>
  <si>
    <t>December 5, 1768</t>
  </si>
  <si>
    <t>"Broke Lincoln from his drivership and made him weed with the rest! He is notorious headstrong and Rouguish, etc."</t>
  </si>
  <si>
    <t>AM'</t>
  </si>
  <si>
    <t>E200</t>
  </si>
  <si>
    <t>IMG 232, P.226</t>
  </si>
  <si>
    <t>December 14, 1768</t>
  </si>
  <si>
    <t>"Egypt Lucy's Little Quashe being very ill. PM Phibbah and Vine went over to Egypt to see him and in the evening, they returned."</t>
  </si>
  <si>
    <t>EGYPT LUCY
LITTLE QUASHE
PHIBBAH
VINE</t>
  </si>
  <si>
    <t>P3
P5
P7
P12</t>
  </si>
  <si>
    <t>E338</t>
  </si>
  <si>
    <t>"PM Cum Cubbah mia/sup terr: among the logwood south of the morass duck pond side, gave d^0 a bitt."</t>
  </si>
  <si>
    <t>E54</t>
  </si>
  <si>
    <t>December 16, 1768</t>
  </si>
  <si>
    <t>"Sent Little Lucy (Maria's pickaninny) to EGypt, to Hagar to wean from the breast."</t>
  </si>
  <si>
    <t>LUCY (P14)
OGO (P13)
HAGAR (P82)</t>
  </si>
  <si>
    <t>LUCY
OGO
HAGAR</t>
  </si>
  <si>
    <t>P14
P13
P82</t>
  </si>
  <si>
    <t>E47</t>
  </si>
  <si>
    <t>January 9, 1769</t>
  </si>
  <si>
    <t>"Put up a lookout upon the hill behind my house, 20 feet and a half high: 3 button wood poles in a Triangle."</t>
  </si>
  <si>
    <t>E303</t>
  </si>
  <si>
    <t>"Put up a lookout upon the hill, behind my house, 20 feet and a half high: 3 button wood poles in a triangle."</t>
  </si>
  <si>
    <t>January 23, 1769</t>
  </si>
  <si>
    <t>"AM Rode into the Savanna. Calkled at Mr. Stone's. He says as he expects to make but a short crop shall not want ot hire Negroes: thence rode to Mr. Weech's and from thence to Three Mile River where saw Mr. Carr and spoke to him in respect of running the lines between me and Kirkpatrick, which he says shall be seen about when Mr. Rankin the surveyor comes down this way. I rode to Bluecastle Estate and greed with Dr. James Wedderburn about my Negroes fort he crop at 3 bitts per diem."</t>
  </si>
  <si>
    <t xml:space="preserve">THE OVERSEER
MR. STONE
MR. WEECH
MR. CARR
MR. RANKIN
JAMES WEDDERBURN
</t>
  </si>
  <si>
    <t>P43
P64
P202
P390
P391
P95</t>
  </si>
  <si>
    <t>IMG 26, P. 21</t>
  </si>
  <si>
    <t>January 28, 1769</t>
  </si>
  <si>
    <t>"Gave Solon, Cudjoe, Sukey, Maria, Cubbah &amp; Franke each a new bill and Dick, Johnie, Cubbah and Mirtilla each a new hoe."</t>
  </si>
  <si>
    <t>THE OVERSEER
SOLON
CUDJOE
OGO
MOLIA
FRANKE
SAWNO
JOHNIE
MIRTILLA</t>
  </si>
  <si>
    <t>P43
P26
P52
P13
P37
P1
P59
P38
P20
P32</t>
  </si>
  <si>
    <t>"Wrote to James Wedderburn Esqr. and about 4 pm sent my Negroes to his estate (Bluecastle) to work, visit Lincoln, Dick, Solon, Cudjoe, Johnie, Cukor, Sukey, Franke, Sally, Maria, Nanny, Cubbah, Mirtilla and Peggy = 14."</t>
  </si>
  <si>
    <t xml:space="preserve">THE OVERSEER
JAMES WEDDERBURN
LINCOLN
SAWNO
SOLON
CUDJOE
JOHNIE
CUKOR
SUKEY
FRANKE
SALLY
OGO
NANNY
MOLIA
MIRTILLA
PEGGY
</t>
  </si>
  <si>
    <t>P43
P95
P24
P26
P38
P52
P20
P110
P37
P59
P17
P13
P15
P1
P32
P19</t>
  </si>
  <si>
    <t>February 4, 1769</t>
  </si>
  <si>
    <t>"AM I rode to Bluecastle Estate and left 20 bitts with the overseer for my NEgroes next week allowance."</t>
  </si>
  <si>
    <t>THE OVERSEER
BLUECASTLE OVERSEER</t>
  </si>
  <si>
    <t>P43
P392</t>
  </si>
  <si>
    <t>February 5, 1769</t>
  </si>
  <si>
    <t>"Many of my Negroes over from Bluecastle, praise it much, being easy worked."</t>
  </si>
  <si>
    <t>JOHN
PHIBBAH</t>
  </si>
  <si>
    <t>February 9, 1769</t>
  </si>
  <si>
    <t>"It seems Abba's Little Johnie has certainly got the yaws."</t>
  </si>
  <si>
    <t>JOHNIE (P20)
ABBA (P6)</t>
  </si>
  <si>
    <t>JOHNIE
ABBA</t>
  </si>
  <si>
    <t>P20
P6</t>
  </si>
  <si>
    <t>E204</t>
  </si>
  <si>
    <t>February 12, 1769</t>
  </si>
  <si>
    <t>"Phibah's Coobah over here today and her Mulatto child, a girl named Nancy."</t>
  </si>
  <si>
    <t>COOBAH
LITTLE NANCY</t>
  </si>
  <si>
    <t>P16
P230</t>
  </si>
  <si>
    <t>PHIBBAH'S COOBAH, JENNY YOUNG</t>
  </si>
  <si>
    <t>E95</t>
  </si>
  <si>
    <t>IMG 36, P.31</t>
  </si>
  <si>
    <t>February 17, 1769</t>
  </si>
  <si>
    <t>"It seems last night, Little Mimber came from the Bay to stay with Mr. Hartnole."</t>
  </si>
  <si>
    <t>LITTLE MIMBER (P80)
JOHN HARTNOLE (P81)</t>
  </si>
  <si>
    <t>LITTLE MIMBER
JOHN HARTNOLE</t>
  </si>
  <si>
    <t>P80
P81</t>
  </si>
  <si>
    <t>IMG 38, P.33</t>
  </si>
  <si>
    <t>February 21, 1769</t>
  </si>
  <si>
    <t>"This morning took a dose of salts. Worked pretty well. And gave my Nanny a Ward's Red Pill, she come home yesterday afternoon, with sore eyes, which her child has also."</t>
  </si>
  <si>
    <t>THE OVERSEER
NANNY
LITTLE PHIBBAH</t>
  </si>
  <si>
    <t>February 24, 1769</t>
  </si>
  <si>
    <t>"Gave Nanny, Phoebe, Damsel, each a Ward's Red Pill."</t>
  </si>
  <si>
    <t>NANNY
PHOEBE
DAMSEL</t>
  </si>
  <si>
    <t>P15
P34
P58</t>
  </si>
  <si>
    <t>"This evening Dick and Solon come home lame."</t>
  </si>
  <si>
    <t>SAWNO
SOLON</t>
  </si>
  <si>
    <t>P38
P26</t>
  </si>
  <si>
    <t>E292</t>
  </si>
  <si>
    <t>February 25, 1769</t>
  </si>
  <si>
    <t>"A play this evening, made by Daniel, to throw water for his boy, Farlane, killed by Paradise mill wheel, last crop."</t>
  </si>
  <si>
    <t>DANIEL
FARLANE</t>
  </si>
  <si>
    <t>P42
P278</t>
  </si>
  <si>
    <t>"Gave Dick and Solon each a Ward's Red Pill."</t>
  </si>
  <si>
    <t>E322</t>
  </si>
  <si>
    <t>February 28, 1769</t>
  </si>
  <si>
    <t>"Borrowed 12 pounds of Phibbah!"</t>
  </si>
  <si>
    <t>March 3, 1769</t>
  </si>
  <si>
    <t>"At noon my Sally come home ill off[sic] a pain in her side, etc. I wrote a line to Mr. Hartnole and sent Jimmy with her to Egypt to get a little Blood took from her."</t>
  </si>
  <si>
    <t>SALLY
JOHN HARTNOLE
THE OVERSEER
JIMMY</t>
  </si>
  <si>
    <t>P17
P81
P43
P54</t>
  </si>
  <si>
    <t>March 4, 1769</t>
  </si>
  <si>
    <t>"Gave Sally a dose of salts."</t>
  </si>
  <si>
    <t>SALLY
THE OVERSEER</t>
  </si>
  <si>
    <t>P17
P43</t>
  </si>
  <si>
    <t>March 6, 1769</t>
  </si>
  <si>
    <t>"Phoebe yet at home lame, also Dick and Solon. Sukey at home with sore eyes, gave her a dose of salts."</t>
  </si>
  <si>
    <t>PHOEBE
SAWNO
SOLON
SUKEY
THE OVERSEER</t>
  </si>
  <si>
    <t>P58
P38
P26
P37
P43</t>
  </si>
  <si>
    <t>E456</t>
  </si>
  <si>
    <t>"Being correcting Phoebe for letting the fowles scratch in the garden the dog Ranger come slyly and suddenly bitt my left ankle. Fetched a gun and shot him dead."</t>
  </si>
  <si>
    <t>E55</t>
  </si>
  <si>
    <t>March 8, 1769</t>
  </si>
  <si>
    <t>"Note! Abba has got a fever, and a pain in her right side. Gave her a sweat in the evening."</t>
  </si>
  <si>
    <t>March 9, 1769</t>
  </si>
  <si>
    <t>"Gave Dick, Solon and Phoebe each a Ward's Red Pill."</t>
  </si>
  <si>
    <t>SAWNO
SOLON
PHOEBE</t>
  </si>
  <si>
    <t>P58
P38
P26
P43</t>
  </si>
  <si>
    <t>March 10, 1769</t>
  </si>
  <si>
    <t>"Abba rather easier, gave her 3 spoonfuls of oil nutt oil beat up with one spoonful of Rum, and a little sugar. Worked her well."</t>
  </si>
  <si>
    <t>March 11, 1769</t>
  </si>
  <si>
    <t>"Abba hope rather mending."</t>
  </si>
  <si>
    <t>"PM Wrote to Cukor by John Wedderburn, overseer of Bluecastle Estate and rec'd an answer."</t>
  </si>
  <si>
    <t>THE OVERSEER
CUKOR
JOHN WEDDERBURN</t>
  </si>
  <si>
    <t>P43
P110
P95</t>
  </si>
  <si>
    <t>March 13, 1769</t>
  </si>
  <si>
    <t>"Phoebe, Dick, and Solon still at home lame."</t>
  </si>
  <si>
    <t>SAWNO
PHOEBE
SOLON</t>
  </si>
  <si>
    <t>E452</t>
  </si>
  <si>
    <t>March 16, 1769</t>
  </si>
  <si>
    <t>"Hear Old Moll died last night at Paradise."</t>
  </si>
  <si>
    <t>LINCOLN
MOLIA</t>
  </si>
  <si>
    <t>P24
P1</t>
  </si>
  <si>
    <t>March 22, 1769</t>
  </si>
  <si>
    <t>"Egypt Lucy acquainted Phibbah privately that the Myal dance has been had twice in Phibbah's Coobah's house, at Paradise esate by negroes from Long Pond Estate as also Egypt Dago and Job, who are both myal men, attend these dancings."</t>
  </si>
  <si>
    <t>EGYPT LUCY
PHIBBAH
COOBAH
DAGO
JOB</t>
  </si>
  <si>
    <t>P3
P16
P7
P241
P29</t>
  </si>
  <si>
    <t>L2
L44
L3</t>
  </si>
  <si>
    <t>PARADISE ESTATE
LONGPOND ESTATE
BREADNUT ISLAND PEN</t>
  </si>
  <si>
    <t>"Note! Solon, Bess and Phoebe's mouths are sore with the solution."</t>
  </si>
  <si>
    <t>SOLON
BESS
PHOEBE</t>
  </si>
  <si>
    <t>P26
P58
P41</t>
  </si>
  <si>
    <t>E50</t>
  </si>
  <si>
    <t>"Nanny's child sick, kept her at home and gave it a dose of physick: it is feverish."</t>
  </si>
  <si>
    <t>NANNY (P15)
LITTLE PHIBBAH (P22)</t>
  </si>
  <si>
    <t>NANNY
LITTLE PHIBBAH</t>
  </si>
  <si>
    <t>P15
P22</t>
  </si>
  <si>
    <t>March 31, 1769</t>
  </si>
  <si>
    <t>"Rec'd of Phibbah 27 bitts for sewing work done by her, etc."</t>
  </si>
  <si>
    <t>E51</t>
  </si>
  <si>
    <t>April 2, 1769</t>
  </si>
  <si>
    <t>"Gave Nanny a good flogging as she only went ot work last Wednesday upon acct of her pickaninny being sick, and now has got a great sore on her leg, said to be cutt with a hoe, purposely to lay up and have complaints that she will not work."</t>
  </si>
  <si>
    <t>E246</t>
  </si>
  <si>
    <t>"Gave Nanny a good flogging, as she only went to Work last Wednesday upon account of her pickaninny being sick, and now she has got a gerat sore on her leg said to be cut with a hoe."</t>
  </si>
  <si>
    <t>NANNY
LITTLE PHIBBAH
THE OVERSEER</t>
  </si>
  <si>
    <t>P15
P22
P43</t>
  </si>
  <si>
    <t>E52</t>
  </si>
  <si>
    <t>April 3, 1769</t>
  </si>
  <si>
    <t>"Solon, Dick and Nanny all at home lame: besides Pompey and Chub, who is at Egypt."</t>
  </si>
  <si>
    <t>NANNY (P15)
SOLON (P26)
SAWNO/DOWOTRONNY (P38)
OWORIA (P40)
CHUB (P57)</t>
  </si>
  <si>
    <t>NANNY
SOLON
SAWNO/DOWOTRONNY
OWORIA
CHUB</t>
  </si>
  <si>
    <t>P15
P26
P38
P40
P57</t>
  </si>
  <si>
    <t>DICK
POMPEY</t>
  </si>
  <si>
    <t>BREADNUT ISLAND PEN
EGYPT ESTATE</t>
  </si>
  <si>
    <t>L3 AND L1</t>
  </si>
  <si>
    <t>April 9, 1769</t>
  </si>
  <si>
    <t>"Flogg'd Lincoln for loss of Time, etc, at Bluecastle last week.
Cut off allowance from seven of my Negroes, as last time did not come for it."</t>
  </si>
  <si>
    <t>THE OVERSEER
LINCOLN</t>
  </si>
  <si>
    <t>P43
P24</t>
  </si>
  <si>
    <t>E53</t>
  </si>
  <si>
    <t>April 10, 1769</t>
  </si>
  <si>
    <t>"Nanny, Solon and Phobe at home lame still."</t>
  </si>
  <si>
    <t>NANNY (P15)
SOLON (P26)
PHOEBE (P58)</t>
  </si>
  <si>
    <t>NANNY
SOLON
PHOEBE</t>
  </si>
  <si>
    <t>P15
P26
P58</t>
  </si>
  <si>
    <t>E62</t>
  </si>
  <si>
    <t>April 12, 1769</t>
  </si>
  <si>
    <t>"AM Rode to Bluecastle Estate and into the field with Mr. Wedderburn the overseer to see my Negroes. Sally not at work, nor in the houthouse, therefore, did not see her."</t>
  </si>
  <si>
    <t>SALLY (P17)
JAMES WEDDERBURN (P95)
THE OVERSEER (P43)</t>
  </si>
  <si>
    <t>SALLY
JAMES WEDDERBURN
THE OVERSEER</t>
  </si>
  <si>
    <t>P17
P95
P43</t>
  </si>
  <si>
    <t>April 16, 1769</t>
  </si>
  <si>
    <t>"House Franke and Phibbah's Coobah over here today. Reprimanded Coobah severely about the Myal affair."</t>
  </si>
  <si>
    <t xml:space="preserve">HOUSE FRANKE
COOBAH
THE OVERSEER
</t>
  </si>
  <si>
    <t>P10
P16
P43</t>
  </si>
  <si>
    <t>April 20, 1769</t>
  </si>
  <si>
    <t>"Gave Solon, Pompey and Nanny  each a Ward's Red Pill."</t>
  </si>
  <si>
    <t>THE OVERSEER
SOLON
OWORIA
NANNY</t>
  </si>
  <si>
    <t xml:space="preserve">P43
P26
P40
P15
</t>
  </si>
  <si>
    <t>E454</t>
  </si>
  <si>
    <t>April 22, 1769</t>
  </si>
  <si>
    <t>"A report that Mrs. Marin has catch'd her husband breaking the marriage vow with a Negress upon the floor by the bedside."</t>
  </si>
  <si>
    <t xml:space="preserve">MRS. MARIN
MR. MARIN
ENSLAVED WOMAN [MARIN'S]
</t>
  </si>
  <si>
    <t>P397
P398
P399</t>
  </si>
  <si>
    <t>IMG 78, P. 73</t>
  </si>
  <si>
    <t>April 24, 1769</t>
  </si>
  <si>
    <t>"As Phoebe's sore is well at last, sent her to Bluecastle with the other Negroes. Solon and Nanny at home lame: put Nanny in the Bilbboes this morning, as she does not want to do anything if she can help it; nor Solon either I believe. Damsel and Pompey also lame, Damsel very bad indeed. Pompey I believe id going to have big legs and feet."</t>
  </si>
  <si>
    <t>PHOEBE
SOLON
NANNY
DAMSEL
OWORIA
THE OVERSEER</t>
  </si>
  <si>
    <t xml:space="preserve">
P58
P34
P40
P15
P26
P43
</t>
  </si>
  <si>
    <t>April 26, 1769</t>
  </si>
  <si>
    <t>"In the evening my Sally come home with a sore on her foot."</t>
  </si>
  <si>
    <t>IMG 84, p.79</t>
  </si>
  <si>
    <t>May 1, 1769</t>
  </si>
  <si>
    <t>"Sally and Solon at home lame. Pompey and Damsel d^0."</t>
  </si>
  <si>
    <t>SALLY
SOLON
OWORIA
DAMSEL</t>
  </si>
  <si>
    <t>P17
P26
P40
P34</t>
  </si>
  <si>
    <t>May 7, 1769</t>
  </si>
  <si>
    <t>"Crop over at Bluecastle."</t>
  </si>
  <si>
    <t xml:space="preserve">IMG 91, P. 86 </t>
  </si>
  <si>
    <t>May 8, 1769</t>
  </si>
  <si>
    <t>"Phoebe's sore is broke out quite bad again, therefore was obliged to keep her at home. Put her in the bilboes and let Sally out, but she stayed at home also, as her sore is not near well yet. Solon, Pompey, Chub as before. In the morning, wrote to Jamew Wedderburn Esqr. by Jimmy anf sent him with Damsel on Mackie horse to Bluecastle, as he has promised to look at her sore and have it dressed for a week, to see which dressing best agrees with it."</t>
  </si>
  <si>
    <t>PHOEBE
THE OVERSEER
SALLY
SOLON
OWORIA
CHUB
DR. JAMES WEDDERBURN
JIMMY 
DAMSEL</t>
  </si>
  <si>
    <t>P58
P26
P40
P17
P34
P43
P57
P95
P54</t>
  </si>
  <si>
    <t>E453</t>
  </si>
  <si>
    <t>"Hear House Franke at Paradise is about making a match with a carpenter named Jack, who has worked with Mr. Charles Cook a good while; to free herself from being toubled by driver Quashe and Mulatto Davie, etc."</t>
  </si>
  <si>
    <t>HOUSE FRANKE
PARADISE JACK
CHARLES COOK
EGYPT QUASHE
MULATTO DAVIE</t>
  </si>
  <si>
    <t>P10
P35
P284
P119
P396</t>
  </si>
  <si>
    <t>May 10, 1769</t>
  </si>
  <si>
    <t>"Let Phoebe out of the bilboes, as sore is very bad."</t>
  </si>
  <si>
    <t xml:space="preserve">PHOEBE
THE OVERSEER
</t>
  </si>
  <si>
    <t>P58
P43</t>
  </si>
  <si>
    <t>May 13, 1769</t>
  </si>
  <si>
    <t>"Gave Cudjoe, Solon, Phoebe and Sally each a Ward Red Pill."</t>
  </si>
  <si>
    <t>CUDJOE
SOLON
PHOEBE
SALLY
THE OVERSEER</t>
  </si>
  <si>
    <t xml:space="preserve">
P52
P26
P58
P17
P43</t>
  </si>
  <si>
    <t>May 15, 1769</t>
  </si>
  <si>
    <t>"Cudjoe, Solon, Pompey, and Sally weeding in the garden. Phoebe laid up very lame. Damsel at Bluecastle yet."</t>
  </si>
  <si>
    <t>CUDJOE
SOLON
PHOEBE
SALLY</t>
  </si>
  <si>
    <t>P52
P26
P58
P17
P34
P43</t>
  </si>
  <si>
    <t>L3 &amp; L14</t>
  </si>
  <si>
    <t>BREADNUT ISLAND PEN &amp; BLUECASTLE ESTATE</t>
  </si>
  <si>
    <t>E455</t>
  </si>
  <si>
    <t>May 16, 1769</t>
  </si>
  <si>
    <t>"At night Egypt Lucy come over to acquaint us, Mr. Hartnole has put L. Quashie's chain about his neck."</t>
  </si>
  <si>
    <t>EGYPT LUCY
MR. HARTNOLE
LITTLE QUASHE [EGYPT DRIVER]</t>
  </si>
  <si>
    <t>P3
P359
P381</t>
  </si>
  <si>
    <t>May 21, 1769</t>
  </si>
  <si>
    <t>"this morning flogg'd every field Negroe I could find at home for not getting to work til 8 o'clock Monday mornings."</t>
  </si>
  <si>
    <t>THE OVERSEER
BREADNUT ISLAND PEN FIELDHANDS</t>
  </si>
  <si>
    <t>P43
P393</t>
  </si>
  <si>
    <t>May 22, 1769</t>
  </si>
  <si>
    <t>"Sally, Solon, Pompey weeding int he garden. Note! Cudjoe, Dick, Sally, Solon, Phoebe, Pompeyt, Chub all at home lame etc. so as not to be fit to go to Bluecastle to work. And Damsel at Bluecastle lame."</t>
  </si>
  <si>
    <t>SALLY
SOLON
SAWNO
CUDJOE
OWORIA
CHUB
DAMSEL
PHOEBE</t>
  </si>
  <si>
    <t>P17
P26
P38
P40
P57
P60
P34
P52</t>
  </si>
  <si>
    <t>May 29, 1769</t>
  </si>
  <si>
    <t>"Solon and Pompey hoeing in the garden. Dick and Phoebe laid up lame; and Damsel in Bluecastle hot house. Rest at work at Bluecastle."</t>
  </si>
  <si>
    <t>SOLON
SAWNO
OWORIA
PHOEBE
DAMSEL
BREADNUT ISLAND PEN FIELDHANDS</t>
  </si>
  <si>
    <t>P26
P38
P34
P40
P52
P393</t>
  </si>
  <si>
    <t>June 1, 1769</t>
  </si>
  <si>
    <t>"About 8 o'clock my Nanny came home, with a complaint. Flogg'd her, wrote to the overseerof Bluecastle, tyed her hands behind her and sent her back by Cumberland."</t>
  </si>
  <si>
    <t>NANNY
THE OVERSEER
CUMBERLAND</t>
  </si>
  <si>
    <t>P15
P269
P43</t>
  </si>
  <si>
    <t>June 4, 1769</t>
  </si>
  <si>
    <t>"My Negroes come home from Bluecastle having done there for the present."</t>
  </si>
  <si>
    <t>June 5, 1769</t>
  </si>
  <si>
    <t>"Damsel at Blueastle in the hothouse. Dick and Phoebe lame."</t>
  </si>
  <si>
    <t>DAMSEL
SAWNO
PHOEBE</t>
  </si>
  <si>
    <t>P52
P38
P34</t>
  </si>
  <si>
    <t>E255</t>
  </si>
  <si>
    <t>IMG 148, P.143</t>
  </si>
  <si>
    <t>August 21, 1769</t>
  </si>
  <si>
    <t>"Gave Egypt Lucy 2 bottles of porter for Daniel who is very ill and longs for porter."</t>
  </si>
  <si>
    <t>EGYPT LUCY
THE OVERSEER
DANIEL</t>
  </si>
  <si>
    <t>P3
P43
P42</t>
  </si>
  <si>
    <t>September 3, 1769</t>
  </si>
  <si>
    <t>"Returned to Phibbah 27:2:6 money I boirrowed out of her in crop time, out of her own, House Franke and Egypt Lucy money. House Franke at Pen today, AM her and Phibbah walked over to Egypt."</t>
  </si>
  <si>
    <t>PHIBBAH
THE OVERSEER
HOUSE FRANKE
EGYPT LUCY</t>
  </si>
  <si>
    <t>P7
P43
P10
P3</t>
  </si>
  <si>
    <t>L3
L1</t>
  </si>
  <si>
    <t>E451</t>
  </si>
  <si>
    <t>October 2, 1769</t>
  </si>
  <si>
    <t>"Betimes this morning, 14 of my Negroes vzit Lincoln, Dick, Cudjoe, Johnie, Cukor, Sukey, Franke, Mirtilla, Phoebe, Maria, Nanny, Peggy, Cubbah, &amp; Sally set out for Cabaritta Estate with 12 of Mr. Hayward's Negroes...I met them at Cabaritta Estate and put their provisions in the still house then set forward for Peter's Plain."</t>
  </si>
  <si>
    <t>LINCOLN
SAWNO
CUDJOE
JOHNIE
CUKOR
SUKEY
FRANKE
MIRTILLA
PHOEBE
OGO
NANNY
PEGGY
MOLIA
SALLY</t>
  </si>
  <si>
    <t>P24
P38
P52
P20
P110
P37
P59
P32
P58
P13
P15
P1
P17
P19</t>
  </si>
  <si>
    <t>IMG 196, P. 191</t>
  </si>
  <si>
    <t>October 26, 1769</t>
  </si>
  <si>
    <t>"This evening saw the comet again nearly due west. It might be about 23 degrees behind the sun and sat about 26 minutes past 7. It's tail diverges something thus &amp; inclines [picture drawn]"</t>
  </si>
  <si>
    <t>l3</t>
  </si>
  <si>
    <t>October 28, 1769</t>
  </si>
  <si>
    <t>"Saw the comet, it rises to the eastward slowly. Thursday evening in respect to 3 bright stars, it was thus: [picture drawn]</t>
  </si>
  <si>
    <t>November 2, 1769</t>
  </si>
  <si>
    <t>"Saw the comet again tonight, it keeps going to the Eastward."</t>
  </si>
  <si>
    <t>November 6, 1769</t>
  </si>
  <si>
    <t>"Between 7 and 8 o'clock last night saw the comet, it moves to the Eastward yet. It looks something like a candle. Cloudy this evening, so could not see it."</t>
  </si>
  <si>
    <t>E457</t>
  </si>
  <si>
    <t>November 11, 1769</t>
  </si>
  <si>
    <t>"Dr. Lightfoot observes the bones are brittle when a person is taking mercury."</t>
  </si>
  <si>
    <t>November 13, 1769</t>
  </si>
  <si>
    <t>"This evening Solon come home to let me know Coobah runaway this afternoon."</t>
  </si>
  <si>
    <t>SOLON
MOLIA
THE OVERSEER</t>
  </si>
  <si>
    <t>P26
P1
P43</t>
  </si>
  <si>
    <t>IMG 212, P.207</t>
  </si>
  <si>
    <t>November 15, 1769</t>
  </si>
  <si>
    <t>"This evening saw the comet, I think it is a little higher than when I saw it last."</t>
  </si>
  <si>
    <t>November 17, 1769</t>
  </si>
  <si>
    <t>"Yesterday evening and this evening saw the comet."</t>
  </si>
  <si>
    <t>IMG 215, P.210</t>
  </si>
  <si>
    <t>November 18, 1769</t>
  </si>
  <si>
    <t>"About 4 pm our Negroes come home having finished Peter's Plain. Wrote to Mr. Hayward by Dick. Negroes' labor as follows:
1st week from Sunday Oct 1-8th
2nd week from Sunday Oct 8th-15th 
3rd week from Sunday 15th--22nd
4th week from Sunday 22nd--29th
5th week from Sunday 29th to November 5th
6th from Sunday November 5th to 12th
7th from Sunday 12th to 19th
The whole of the fencing 65 chain and a half, much as laid down. 2 trenches 4 feet wide each and a foot deep. Space between 8 feet, on which is made the bank &amp; planbted with penguins."</t>
  </si>
  <si>
    <t>BREADNUT ISLAND PEN FIELD HANDS
THE OVERSEER
MR. HAYWARD</t>
  </si>
  <si>
    <t>P393
P43
P161</t>
  </si>
  <si>
    <t>IMG 216, P.211</t>
  </si>
  <si>
    <t>"Copy of Acct with Mr. Meyler
Jeremiah Meyler, Esqr.
1769 to Samuel Hayward and Thomas Thistlewood
November 18: to 65 1/2 chain of a double ditch and Banke planted with penguin on PEter's Plain Esate a 30 ft chain  90:5:0
To 49 1/2 days labor on Cabaritta Estate at 10 1/2  4:12:6
102:17:6
By cash [already] received on acct of the Above: 60
Balance due. S. Hayward &amp; Thomas Thistlewood
42:17:6
Jeremiah Meyler
Note! Our Negroes have just earned us 3 bitts 2 pence or 2 shillings and a halfpenny per day each."</t>
  </si>
  <si>
    <t>IMG 217, P.212</t>
  </si>
  <si>
    <t>November 20, 1769</t>
  </si>
  <si>
    <t>"No news of Coobah yet, sent Lincoln out with a ticket to look for her."</t>
  </si>
  <si>
    <t>MOLIA
LINCOLN
THE OVERSEER</t>
  </si>
  <si>
    <t>P1
P24
P43</t>
  </si>
  <si>
    <t>img 217, P.212</t>
  </si>
  <si>
    <t>"About half past 7 o'clock this evening saw the comet, it rises slowly."</t>
  </si>
  <si>
    <t>IMG 218, P. P.213</t>
  </si>
  <si>
    <t>November 21, 1769</t>
  </si>
  <si>
    <t>"Lincoln out looking Coobah."</t>
  </si>
  <si>
    <t>LINCOLN
MOLIA</t>
  </si>
  <si>
    <t>P24
P1</t>
  </si>
  <si>
    <t>November 23, 1769</t>
  </si>
  <si>
    <t>"Lincoln home, can't find Coobah."</t>
  </si>
  <si>
    <t>IMG 221, P. 216</t>
  </si>
  <si>
    <t>November 27, 1769</t>
  </si>
  <si>
    <t>"Gave Solon a ticket and sent him out to look Coobah, whom I hear nothing of yet."</t>
  </si>
  <si>
    <t>SOLON
MOLIA</t>
  </si>
  <si>
    <t>P26
P1</t>
  </si>
  <si>
    <t>November 29, 1769</t>
  </si>
  <si>
    <t>"Solon can hear nothing of Coobah, gave him a fresh tickett and sent him out again."</t>
  </si>
  <si>
    <t>December 1, 1769</t>
  </si>
  <si>
    <t>"Solon did not come home this evening."</t>
  </si>
  <si>
    <t>IMG 224, P.219</t>
  </si>
  <si>
    <t>December 3, 1769</t>
  </si>
  <si>
    <t>"This morning Solon come home (without hearing anything of Coobah), he has bene at Glasgow Estate having been out 4 days since I last sent him out! Suspect he has loitered his time away etc. Received a note from Dr. David Fraill, overseer of the Old Hope Estate, by a Negroe man named Adam, who brought Coobah home, she having been catched at the Old Hope. Put her in the bilboes! Wrote to Dr. Trail and gave Adam a cobb for his trouble."</t>
  </si>
  <si>
    <t>SOLON
MOLIA
THE OVERSEER
DAVID FRAILL
ADAM [OLD HOPE ESTATE]</t>
  </si>
  <si>
    <t>P26
P1
P43
P394
P395</t>
  </si>
  <si>
    <t>L3
L7
L58</t>
  </si>
  <si>
    <t>BREADNUT ISLAND PEN
OLD HOPE ESTATE
GLASGOW ESTATE</t>
  </si>
  <si>
    <t>December 4, 1769</t>
  </si>
  <si>
    <t>"Coobah in the bilboes."</t>
  </si>
  <si>
    <t>IMG 228, P. 223</t>
  </si>
  <si>
    <t>December 8, 1769</t>
  </si>
  <si>
    <t>"This morning let Coobah out of the bilboes, branded each cheek &amp; left shoulder (the rught one being marked before with TT) Flogg'd well and put her in the field."</t>
  </si>
  <si>
    <t>E326</t>
  </si>
  <si>
    <t>January 1, 1770</t>
  </si>
  <si>
    <t>"Hear Mr. Hayward's Sam hung'd himself last night, in his house."</t>
  </si>
  <si>
    <t>E270</t>
  </si>
  <si>
    <t>January 2, 1770</t>
  </si>
  <si>
    <r>
      <rPr>
        <sz val="10"/>
        <color theme="1"/>
        <rFont val="Georgia"/>
      </rPr>
      <t xml:space="preserve">"Gave John </t>
    </r>
    <r>
      <rPr>
        <i/>
        <sz val="10"/>
        <color theme="1"/>
        <rFont val="Georgia"/>
      </rPr>
      <t xml:space="preserve">A True Tale of Robinhood </t>
    </r>
    <r>
      <rPr>
        <sz val="10"/>
        <color theme="1"/>
        <rFont val="Georgia"/>
      </rPr>
      <t xml:space="preserve">and </t>
    </r>
    <r>
      <rPr>
        <i/>
        <sz val="10"/>
        <color theme="1"/>
        <rFont val="Georgia"/>
      </rPr>
      <t>The History of The Children in the Wood</t>
    </r>
    <r>
      <rPr>
        <sz val="10"/>
        <color theme="1"/>
        <rFont val="Georgia"/>
      </rPr>
      <t>."</t>
    </r>
  </si>
  <si>
    <t>JOHN
THE OVERSEER</t>
  </si>
  <si>
    <t>P9
P43</t>
  </si>
  <si>
    <t>E272</t>
  </si>
  <si>
    <t>January 4, 1770</t>
  </si>
  <si>
    <t>"Very uneasie [sic] last night. Headache, feverish, ugly dreams. Carbuncle sore, a running, or clamminess, etc."</t>
  </si>
  <si>
    <t>January 7, 1770</t>
  </si>
  <si>
    <t>"Last night I took a mercurial pill, Phib also, as both have a running which stains and symptoms."</t>
  </si>
  <si>
    <t>January 8, 1770</t>
  </si>
  <si>
    <t>"Last night Phib and me took each a mercurial pill, and this morning a dose of salts. I had an involuntary emission last night in my sleep,"</t>
  </si>
  <si>
    <t>January 15, 1770</t>
  </si>
  <si>
    <t>"Both me and Phib much not well. I have a great running which stains very much."</t>
  </si>
  <si>
    <t>January 16, 1770</t>
  </si>
  <si>
    <t>"Gave Phib a merc. pill but I was yoo much disordered to take any."</t>
  </si>
  <si>
    <t>January 18, 1770</t>
  </si>
  <si>
    <t>"Last night Phib and me took each a mercurial pill and each, a dose of salts this morning."</t>
  </si>
  <si>
    <t>January 19, 1770</t>
  </si>
  <si>
    <t>"Ran abundantly and uretha orifice a good deal inflamed. *Phib also very indifferent."</t>
  </si>
  <si>
    <t>January 20, 1770</t>
  </si>
  <si>
    <t>"I took a merc pill last night but not Phib: her mouth rather inflamed to be sore. Rest badly both her and me, and sadly out of order. However took each one, this evening."</t>
  </si>
  <si>
    <t>January 22, 1770</t>
  </si>
  <si>
    <t>"Took a mercury pill last night &amp; a dose of salts this morning. Had something of a chordee last night &amp; run prodigiously. As Phibbah's mouth is soreish could not give her mercury yet but gave her a dose of purging powder this morning."</t>
  </si>
  <si>
    <t>E289</t>
  </si>
  <si>
    <t>"Hear Jack (Paradise Franke's husband) has got yaws. She has never had them."</t>
  </si>
  <si>
    <t>HOUSE FRANKE
PARADISE JACK</t>
  </si>
  <si>
    <t>P10
P35</t>
  </si>
  <si>
    <t>E279</t>
  </si>
  <si>
    <t>February 4, 1770</t>
  </si>
  <si>
    <t>"Gae Vine some cooper's nails for her house, which Cumberland etc. is building."</t>
  </si>
  <si>
    <t>VINE
THE OVERSEER
CUMBERLAND</t>
  </si>
  <si>
    <t>P12
P43
P269</t>
  </si>
  <si>
    <t>E152</t>
  </si>
  <si>
    <t>February 6, 1770</t>
  </si>
  <si>
    <t>"My Maria sick, likely to miscarry, they say."</t>
  </si>
  <si>
    <t>March 20, 1770</t>
  </si>
  <si>
    <t>"Cum Maria, mea sup terr in Mr. Say's land, SE of old negro ground. Gave a bitt."</t>
  </si>
  <si>
    <t>OGO
THE OVERSEER</t>
  </si>
  <si>
    <t>P13
P43</t>
  </si>
  <si>
    <t>May 3, 1770</t>
  </si>
  <si>
    <t>"Maria not well, suspect going to miscarry. Had her bled in the foot by Mr. Say's Vine."</t>
  </si>
  <si>
    <t>OGO
VINE</t>
  </si>
  <si>
    <t>P13
P12</t>
  </si>
  <si>
    <t>E620</t>
  </si>
  <si>
    <t>May 31, 1770</t>
  </si>
  <si>
    <t>"It is said Commodore forest died last Friday or Saturday."</t>
  </si>
  <si>
    <t>June 11, 1770</t>
  </si>
  <si>
    <t>"Maria laid up, complains of her belly."</t>
  </si>
  <si>
    <t>June 14, 1770</t>
  </si>
  <si>
    <t>"Maria in the garden, rest of Negroes as yesterday. (cutting fence/clearing provision grounds."</t>
  </si>
  <si>
    <t>June 25, 1770</t>
  </si>
  <si>
    <t>"Maria in the garden, Chub fishing."</t>
  </si>
  <si>
    <t>OGO
CHUB</t>
  </si>
  <si>
    <t>P13
P57</t>
  </si>
  <si>
    <t>June 26, 1770</t>
  </si>
  <si>
    <t>"Maria d^0....PM cum Maria [mea] sup illa lect in Solon's house."</t>
  </si>
  <si>
    <t>June 27, 1770</t>
  </si>
  <si>
    <t>"Maria d^0"</t>
  </si>
  <si>
    <t>June 28, 1770</t>
  </si>
  <si>
    <t>"Maria laid up of the toothache."</t>
  </si>
  <si>
    <t>June 29, 1770</t>
  </si>
  <si>
    <t>"Maria laid up yet."</t>
  </si>
  <si>
    <t>E191</t>
  </si>
  <si>
    <t>"Little Nancy (Paradise Coobah) with a vomiting last night. Phib staid in the ciookroom ti assist Little Catalina with her, all night."</t>
  </si>
  <si>
    <t>LITTLE NANCY
PHIBBAH
LITTLE CATALINA</t>
  </si>
  <si>
    <t>P7
P230
P231</t>
  </si>
  <si>
    <t>MOLIA
SOLON</t>
  </si>
  <si>
    <t>P1
P26</t>
  </si>
  <si>
    <t>E100</t>
  </si>
  <si>
    <t>"Mirtilla dropped down int he field about 1/2 past 10 AM. Imagine she fainted for more want of victuals by what I can hear.
*She was drunk I understand having stolen Dick's rum."</t>
  </si>
  <si>
    <t>E242</t>
  </si>
  <si>
    <t>IMG 110, P.105</t>
  </si>
  <si>
    <t>July 1, 1770</t>
  </si>
  <si>
    <t>"Heard of my Coobah's robbing a Negroe wench of Mr. Bossley's of rice &amp; young piegons about a fortnight ago in the road underpretence of carrying her load for her, marched away with it."</t>
  </si>
  <si>
    <t>MOLIA
MR. BOSSLEY'S ENSLAVED WOMAN</t>
  </si>
  <si>
    <t>P1
P265</t>
  </si>
  <si>
    <t>"Maria laid up of her belly."</t>
  </si>
  <si>
    <t>MOLIA
JIMMY
DAMSEL</t>
  </si>
  <si>
    <t>P1
P54
P34</t>
  </si>
  <si>
    <t>July 9, 1770</t>
  </si>
  <si>
    <t>"Maria at Negro house, big bellied."</t>
  </si>
  <si>
    <t>E115</t>
  </si>
  <si>
    <t>IMG 177, P.112</t>
  </si>
  <si>
    <t>July 10, 1770</t>
  </si>
  <si>
    <t>"Mr. George Lesley, it seems has bought the square at Savanna la Mar and is now enclosing it with tall hardwood posts and two rails, great part of them already put up."</t>
  </si>
  <si>
    <t>MOLIA
JIMMY</t>
  </si>
  <si>
    <t xml:space="preserve">P1
P54
</t>
  </si>
  <si>
    <t>July 15, 1770</t>
  </si>
  <si>
    <t>"AM cum Maria mea sup terr in path near standing lime kiln trench."</t>
  </si>
  <si>
    <t>July 16, 1770</t>
  </si>
  <si>
    <t>"Maria laid up big bellied as before ."</t>
  </si>
  <si>
    <t>July 23, 1770</t>
  </si>
  <si>
    <t>"Dick laid up sick yet. Maria laid up, big bellied.</t>
  </si>
  <si>
    <t>SAWNO; DOWOTRONNY
OGO</t>
  </si>
  <si>
    <t>P13
P38</t>
  </si>
  <si>
    <t>"PM cum Maria mea sup terr: by morass near morass duck pond. gave d^0 a bitt."</t>
  </si>
  <si>
    <t>E18</t>
  </si>
  <si>
    <t>IMG 130, p.125</t>
  </si>
  <si>
    <t>August 3, 1770</t>
  </si>
  <si>
    <t>"Coobah not in the fields this morning, came about 7 o'clock. I put a collar and  chain about her neck again."</t>
  </si>
  <si>
    <t>MOLIA (P1)
THE OVERSEER (P43)</t>
  </si>
  <si>
    <t>MOLIA
THE OVERSEER</t>
  </si>
  <si>
    <t>"Moderate breezes variable and at times cloudy, Thunder remote." *Img 353, p.30)</t>
  </si>
  <si>
    <t>E19</t>
  </si>
  <si>
    <t>August 6, 1770</t>
  </si>
  <si>
    <t>"Coobah runaway, gave Lincoln a ticket &amp; sent him to look [for] her."</t>
  </si>
  <si>
    <t>MOLIA (P1)
LINCOLN (P24)
THE OVERSEER (P43)</t>
  </si>
  <si>
    <t>MOLIA
LINCOLN
THE OVERSEER</t>
  </si>
  <si>
    <t>P1
P24
P43</t>
  </si>
  <si>
    <t>"Light winds, variable and at times cloudy. P.M. small shower of rain, thunder at a distance, at night lightning." (Img 353, p. 30)</t>
  </si>
  <si>
    <t>"AM Maria being supposed to be going to be took in Labour, sent ot Kirkpatrick for the grande, but she could not come so wrote to Mr. Hartnole for Chrishea who came at noon. about 1/2 past 5 in the evening, Maria was brough to bed of a boy."</t>
  </si>
  <si>
    <t>OGO
MR. [JOHN] HARTNOLE
CHRISHEA</t>
  </si>
  <si>
    <t>P13
P81
P126</t>
  </si>
  <si>
    <t>Img 353, p. 30</t>
  </si>
  <si>
    <t>August 7, 1770</t>
  </si>
  <si>
    <t xml:space="preserve">"Light winds, variable and at times cloudy, Thuder far off, at night lightning." </t>
  </si>
  <si>
    <t>Img 354, p.31</t>
  </si>
  <si>
    <t>August 8, 1770</t>
  </si>
  <si>
    <t>"Light winds, variable and at times cloudy. P.M. cloudy in the evening, an abundance of lightning and thunder remote."</t>
  </si>
  <si>
    <t>E297</t>
  </si>
  <si>
    <t>"An abundance of lightning, about SWB for 2 or 3 hours this evening, commonly 6 or 8 and sometimes flashes in a minute. Thunder a great way off, but some of the flashes of lightning very large and forked."</t>
  </si>
  <si>
    <t>img 354, p.31</t>
  </si>
  <si>
    <t>August 9, 1770</t>
  </si>
  <si>
    <t>"Light wind, variable and most part cloudy. PM cloudy, some few drops of rain, lightning and thunder at a distance."</t>
  </si>
  <si>
    <t>IMG 138, P.133</t>
  </si>
  <si>
    <t>August 13, 1770</t>
  </si>
  <si>
    <t>"Last night Maria's child died, jaw fallen, had it buried."</t>
  </si>
  <si>
    <t>OGO
MARIA'S CHILD</t>
  </si>
  <si>
    <t>P13
P186</t>
  </si>
  <si>
    <t>"Maria and Solon laid up. Phoebe at work in Egypt field to pay for Chrishea's last week, that she was with Maria."</t>
  </si>
  <si>
    <t>OGO
SOLON
PHOEBE
CHRISHEA</t>
  </si>
  <si>
    <t>P13
P26
P58
P126</t>
  </si>
  <si>
    <t>August 19, 1770</t>
  </si>
  <si>
    <t>"PM Old Pompey (Vine's Father) belonging to Mr. Meyler, come to see Phib."</t>
  </si>
  <si>
    <t>OLD POMPEY
JEREMIAH MEYLER
PHIBBAH</t>
  </si>
  <si>
    <t>P36
P159
P7</t>
  </si>
  <si>
    <t>E108</t>
  </si>
  <si>
    <t>IMG 153, P.148</t>
  </si>
  <si>
    <t>September 3, 1770</t>
  </si>
  <si>
    <t>"About 4 pm called at Kirkpatrick Pen and was there upon an inquest of a Negroe man named Quashe belonging to Mr. George Lesley who has had a montha go a severe flogging and died yesterday at Lesley's wharfe. He was said its most perverse, ill-minded NEgroe. X brought in a natural death. Mr. Lea Coroner, Mr,. Jeff, Mr. John Collon, Mr. Richard Dobson, Mr. Anthony Watkins Tomlinson, Mr, John Fry...Mr, Robinson, Mr. Neil, etc.:</t>
  </si>
  <si>
    <t>THE OVERSEER
QUASHE [MR. LESLEY]
GEORGE LESLEY
SAM LEA
MR. JEFF
JOHN COLLON
RICHARD DOBSON
ANTHONY WATKINS TOMLINSON
JOHN FRY
MR. ROBINSON
MR. NEIL</t>
  </si>
  <si>
    <t xml:space="preserve">P43
P49
P148
P140
P151
P152
P153
P154
P155
P156
P157
</t>
  </si>
  <si>
    <t>E20</t>
  </si>
  <si>
    <t>IMG 156, P. 151</t>
  </si>
  <si>
    <t>September 8, 1770</t>
  </si>
  <si>
    <t>"Let Coobah out of bilboes &amp; took off her chain, but secured her collart about her neck; in evening gave her a merc. pill."</t>
  </si>
  <si>
    <t>P1
P43</t>
  </si>
  <si>
    <t>E113</t>
  </si>
  <si>
    <t>September 23, 1770</t>
  </si>
  <si>
    <t>"For corn, and plantains 12 bitts corn 3, and plantains 4 bitts per hundred today: but Abba is a veyr negligent market woman."</t>
  </si>
  <si>
    <t xml:space="preserve">P6
</t>
  </si>
  <si>
    <t>E149</t>
  </si>
  <si>
    <t>November 1, 1770</t>
  </si>
  <si>
    <t>"As my Coobah has took a great many mercury pills, gave her a Ward's Red Pill today, which worked her well."</t>
  </si>
  <si>
    <t>E21</t>
  </si>
  <si>
    <t>IMG 215, p.210</t>
  </si>
  <si>
    <t>November 27, 1770</t>
  </si>
  <si>
    <t>"At night Solon acquainted me that Coobah has not been at work this week, is ran away."</t>
  </si>
  <si>
    <t>MOLIA (P1)
THE OVERSEER (P43)
SOLON (P26)</t>
  </si>
  <si>
    <t>MOLIA
THE OVERSEER
SOLON</t>
  </si>
  <si>
    <t>P1
P43
P26</t>
  </si>
  <si>
    <t>"Light winds, variable, at times cloudy." (Img 372, p.49)</t>
  </si>
  <si>
    <t>November 29, 1770</t>
  </si>
  <si>
    <t>"Sent Jimmy to Friendship with a ticket for Solon to goe [sic] look [for] Coobah tomorrow."</t>
  </si>
  <si>
    <t>MOLIA (P1)
JIMMY (P54)
SOLON (P26)
THE OVERSEER (P43)</t>
  </si>
  <si>
    <t>MOLIA
JIMMY
SOLON
THE OVERSEER</t>
  </si>
  <si>
    <t>P1
P54
P26
P43</t>
  </si>
  <si>
    <t>BREADNUT ISLAND PEN
FRIENDSHIP ESTATE</t>
  </si>
  <si>
    <t>L3, L5</t>
  </si>
  <si>
    <t>"Light wind, variable and at times cloudy. P.M. cloudy in the evening, a shower of rain." (Img 372, p.49)</t>
  </si>
  <si>
    <t>Img 219, p.214</t>
  </si>
  <si>
    <t>December 3, 1770</t>
  </si>
  <si>
    <t>"Coobah still away, sent Solon with a ticket to look [for] her. So only 9 at Friendship."</t>
  </si>
  <si>
    <t>MOLIA (P1)
SOLON (P26)
THE OVERSEER (P43)</t>
  </si>
  <si>
    <t>MOLIA
SOLON
THE OVERSEER</t>
  </si>
  <si>
    <t>P1
P26
P43</t>
  </si>
  <si>
    <t xml:space="preserve">BREADNUT ISLAND PEN
FRIENDSHIP ESTATE
</t>
  </si>
  <si>
    <t>"Light wind, about NE and at times cloudy." (Img 372)</t>
  </si>
  <si>
    <t>Img 373, p.50</t>
  </si>
  <si>
    <t>December 4, 1770</t>
  </si>
  <si>
    <t>"NE and at times cloudy and in the morning and evening some drizzling."</t>
  </si>
  <si>
    <t>December 6, 1770</t>
  </si>
  <si>
    <t>"In the evening Solon came home, but no news of Coobah, suspect he misused his time. had him floged, then gave him a fresh ticket &amp; sent him out again."</t>
  </si>
  <si>
    <t>"Mod breezes, about NE  and at times cloudy." (IMG 373)</t>
  </si>
  <si>
    <t>E323</t>
  </si>
  <si>
    <t>December 7 1770</t>
  </si>
  <si>
    <t>"Borrowed of Phibbah 2 five pound pieces &amp; 2 doubloons, wequals 19:10:0 of Franke's money."</t>
  </si>
  <si>
    <t>December 8, 1770</t>
  </si>
  <si>
    <t>"At night Solon brought home Coobah, he catch'd her near the cave, going to Bluefields, where she says she has a shipmate. Secured her feeet in the bilboes, in the stable, allowed no fire."</t>
  </si>
  <si>
    <t>MOLIA (P1)
SOLON (P26)
SHIPMATE (P23)
THE OVERSEER (P43)</t>
  </si>
  <si>
    <t>MOLIA
SOLON
THE OVERSEER
SHIPMATE</t>
  </si>
  <si>
    <t>P1
P26
P23
P43</t>
  </si>
  <si>
    <t>BLUEFIELDS BAY
BREADNUT ISLAND PEN</t>
  </si>
  <si>
    <t>L11, L3</t>
  </si>
  <si>
    <t>"Light winds easterly and at times cloudy. P.M., variable, some shower of rain." (Img 373, p.50)</t>
  </si>
  <si>
    <t>December 9, 1770</t>
  </si>
  <si>
    <t>"Put a chain to Coobah's collar and delivered a padlock &amp; key to Solon to fasten her every dinner time &amp; night and sent her to work with the rest."</t>
  </si>
  <si>
    <t>E321</t>
  </si>
  <si>
    <t>December 20, 1770</t>
  </si>
  <si>
    <t>"Mr. Parker and Julina has made a match, I find."</t>
  </si>
  <si>
    <t>MR. PARKER
JULINA</t>
  </si>
  <si>
    <t>P69
P4</t>
  </si>
  <si>
    <t>E22</t>
  </si>
  <si>
    <t>img 233, p.228</t>
  </si>
  <si>
    <t>December 24, 1770</t>
  </si>
  <si>
    <t>"It seems my Coobah got away from Mr, Hayward Negroes, but they catched her again, in Mr. Say logwood, but she cost them 5 bitts for assistance, which I paid Dick and gave him 5 bitts more for his Christmas."</t>
  </si>
  <si>
    <t>MOLIA (P1)
THE OVERSEER (P43)
THE NEIGHBOR (P46)</t>
  </si>
  <si>
    <t>BREADNUTISLAND PEN
CABARITTA ESTATE</t>
  </si>
  <si>
    <t>L3, L8</t>
  </si>
  <si>
    <t>"Light winds, variable most part fair." (Img 375, p.52)</t>
  </si>
  <si>
    <t>E318</t>
  </si>
  <si>
    <t>December 30, 1770</t>
  </si>
  <si>
    <t>"Abba's new sweetheart Cudjoe at the Pen today and asked me leave to have her, which I consented to."</t>
  </si>
  <si>
    <t>ABBA
CUDJOE
THE OVERSEER</t>
  </si>
  <si>
    <t>P6
P43
P52</t>
  </si>
  <si>
    <t>December 31, 1770</t>
  </si>
  <si>
    <t>"In the morning cum Abba (mea) sup: floor, in Blue room, mea dom: sed non bene."</t>
  </si>
  <si>
    <t>"Borrowed off Franke's money 7:2:6."</t>
  </si>
  <si>
    <t>THE OVERSEER
HOUSE FRANKE</t>
  </si>
  <si>
    <t>P43
P10</t>
  </si>
  <si>
    <t>E147</t>
  </si>
  <si>
    <t>IMG 30-31, P.23-24</t>
  </si>
  <si>
    <t>January 30, 1771</t>
  </si>
  <si>
    <t>"About 3 o'clock this morning Phibbah, John &amp; Damsel with Vine etc set out for the Race. Phib rode Nelly and Jimmy carried John on Mackey as far as Cabaritta Estate (gave Phib &amp; John 5 bitts to spend)
Phibbah, Vine &amp; John etc at the Retrieve also with Mimber: but they went to Vine's house at Cabaritta to sleep, only left John with James at the Retrieve. Vine rode her horse, Powder Tail. A great number of people at the Race and many plenty among the sportsmen however scarce at other times."</t>
  </si>
  <si>
    <t xml:space="preserve">PHIBBAH
JOHN
DAMSEL
JIMMY
VINE
MIMBER
</t>
  </si>
  <si>
    <t>P7
P9
P34
P54
P12
P80</t>
  </si>
  <si>
    <t>L22
L8</t>
  </si>
  <si>
    <t>THE RETRIEVE
CABARITTA ESTATE</t>
  </si>
  <si>
    <t>IMG 32, P.25</t>
  </si>
  <si>
    <t>January 31, 1771</t>
  </si>
  <si>
    <t>"Phibbah and Vine, weary of the race, come home this morning."</t>
  </si>
  <si>
    <t>PHIBBAH
VINE</t>
  </si>
  <si>
    <t>P7
P12</t>
  </si>
  <si>
    <t>E23</t>
  </si>
  <si>
    <t>IMG 45, P. 38</t>
  </si>
  <si>
    <t>February 24, 1771</t>
  </si>
  <si>
    <t>"Took off Coobah's collar and put it on Lincoln, gave him a good flogging and ordered him to his work with the rest."</t>
  </si>
  <si>
    <t>E150</t>
  </si>
  <si>
    <t>IMG 49, P.42</t>
  </si>
  <si>
    <t>March 5, 1771</t>
  </si>
  <si>
    <t>"Gave Coobah a Ward Red Pill."</t>
  </si>
  <si>
    <t>E24</t>
  </si>
  <si>
    <t>IMG 56, P.49</t>
  </si>
  <si>
    <t>March 18, 1771</t>
  </si>
  <si>
    <t>"Coobah to Friendship, so 13 hands there."</t>
  </si>
  <si>
    <t>IMG 396, P.11</t>
  </si>
  <si>
    <t>March 23, 1771</t>
  </si>
  <si>
    <t>"Mod breezes South, and at times cloudy. P.M. Light winds variable cloudy, about 5 pm in the evening some mod. rain."</t>
  </si>
  <si>
    <t>March 24, 1771</t>
  </si>
  <si>
    <t>"Coobah did not go to work last Monday (18th) therefore put a chain and collar upon her neck again."</t>
  </si>
  <si>
    <t>"Mod breezes and at times cloudy, evening cloudy." (Img 396, p.11)</t>
  </si>
  <si>
    <t>E85</t>
  </si>
  <si>
    <t>IMG 70, P.63</t>
  </si>
  <si>
    <t>April 8. 1771</t>
  </si>
  <si>
    <t>"To Egypt Lucy for a land turtle, 4 bitts."</t>
  </si>
  <si>
    <t>EGYPT LUCY (P3)
THE OVERSEER (P43)</t>
  </si>
  <si>
    <t>E290</t>
  </si>
  <si>
    <t>April 19, 1771</t>
  </si>
  <si>
    <t>"Gave Phibbah's Coobah a pistole! She is going to England soon."</t>
  </si>
  <si>
    <t>THE OVERSEER
COOBAH</t>
  </si>
  <si>
    <t>E319</t>
  </si>
  <si>
    <t>April 22, 1771</t>
  </si>
  <si>
    <t>"In the morning sent John to school."</t>
  </si>
  <si>
    <t>E25</t>
  </si>
  <si>
    <t>April 23, 1771</t>
  </si>
  <si>
    <t>"In the evening, Solon came to acquaint me that Myrtilla and Coobah runaway yesterday, that Myrtilla is catched again but not Coobah, gave Solon a ticket to look [for] her."</t>
  </si>
  <si>
    <t>MOLIA (P1)
SOLON (P26)
MYRTILLA (P32)
THE OVERSEER (P43</t>
  </si>
  <si>
    <t>MOLIA
SOLON
MYRTILLA
THE OVERSEER</t>
  </si>
  <si>
    <t>P1
P26
P32
P43</t>
  </si>
  <si>
    <t>COOBAH, MIRTILLA</t>
  </si>
  <si>
    <t>"Morning and evening light wins variable, middle of the day very fresh breezes and at times cloudy." (IMG 401)</t>
  </si>
  <si>
    <t>"Delivered to Phibbah 6 pair shoes &amp; 12 pair stockings for John."</t>
  </si>
  <si>
    <t>JOHN
PHIBBAH
THE OVERSEER</t>
  </si>
  <si>
    <t>P9
P7
P43</t>
  </si>
  <si>
    <t>IMG 401</t>
  </si>
  <si>
    <t>April 24, 1771</t>
  </si>
  <si>
    <t>Light winds, most part SE and at times cloudy in the evening, lightning and thunder at a distance."</t>
  </si>
  <si>
    <t>April 25, 1771</t>
  </si>
  <si>
    <t>"Light winds variable, &amp; at times cloudy, P.M. cloudy, thunder at a distance and in the evening a shower of rain."</t>
  </si>
  <si>
    <t>April 26, 1771</t>
  </si>
  <si>
    <t>"Moderate breezes SE and at times cloudy. PM cloudy, some shower of rain, thunder at a distance, in the evening lightning."</t>
  </si>
  <si>
    <t>IMG 402</t>
  </si>
  <si>
    <t>April 27, 1771</t>
  </si>
  <si>
    <t>"Mod. breezes and at times cloudy, P.M. cloudy most part mod. rain, thunder at a distance, in the evening lightning."</t>
  </si>
  <si>
    <t>April 28, 1771</t>
  </si>
  <si>
    <t>"Light winds southerly and at times cloudy. PM cloudy, some drizzling rain, thunder at a distance."</t>
  </si>
  <si>
    <t>IMG 83, P.76</t>
  </si>
  <si>
    <t>"Having received a letter from Mr. John Stone, overseer at Roaring River by Solon who brought home Coobah, he having found her at Roaring River on Thursday last, where she had broken open a house."</t>
  </si>
  <si>
    <t>MOLIA (P1)
JOHN STONE (P64)
SOLON (P26)
THE OVERSEER (P43)</t>
  </si>
  <si>
    <t>MOLIA
JOHN STONE
SOLON
THE OVERSEER</t>
  </si>
  <si>
    <t>P1
P64
P26
P43</t>
  </si>
  <si>
    <t>ROARING RIVER ESTATE
BREADNUT ISLAND PEN</t>
  </si>
  <si>
    <t>L3, L21</t>
  </si>
  <si>
    <t>IMG 867, P. 80</t>
  </si>
  <si>
    <t>April 29, 1771</t>
  </si>
  <si>
    <t>"Wrote to Mr. Hayward by Jimmy and sent coobah to have a collar and pothooks put on her. Received a note from Mr. Hayward when they come back &amp; PM sent her to Friendship by Jimmy"</t>
  </si>
  <si>
    <t>MOLIA (P1)
THE NEIGHBOR (P46)
JIMMY (P54)
THE OVERSEER (P43)</t>
  </si>
  <si>
    <t>MOLIA
THE NEIGHBOR
JIMMY
THE OVERSEER</t>
  </si>
  <si>
    <t>P1
P46
P54
P43</t>
  </si>
  <si>
    <t>CABARITTA ESTATE
FRIENDSHIP ESTATE</t>
  </si>
  <si>
    <t>L8, L5</t>
  </si>
  <si>
    <t>"Light winds, south and attimes cloudy, PM cloudy, a hard shower of rain with thunder and lightning." (IMG 402)</t>
  </si>
  <si>
    <t>E26</t>
  </si>
  <si>
    <t>IMG 95, P.88</t>
  </si>
  <si>
    <t>May 13, 1771</t>
  </si>
  <si>
    <t>"At night, Solon came to acquaint me that Coobah is runaway. Gave him a ticket to go and look her."</t>
  </si>
  <si>
    <t>"Light winds, southerly and at times cloudy. PM variable and at times clloudy." (IMG 404)</t>
  </si>
  <si>
    <t>Wearing collar, chain and pothook.</t>
  </si>
  <si>
    <t>IMG 404</t>
  </si>
  <si>
    <t>May 14, 1771</t>
  </si>
  <si>
    <t>"Light winds south and at times cloudy, thunder at distance. PM most part cloudy, thunder at distance."</t>
  </si>
  <si>
    <t>IMG 405</t>
  </si>
  <si>
    <t>May 15, 1771</t>
  </si>
  <si>
    <t>"Light winds variable and most part cloudy, some small shower of rain, thunder at a distance."</t>
  </si>
  <si>
    <t>May 16, 1771</t>
  </si>
  <si>
    <t>"Light winds, variable &amp; at times cloudy. PM Thunder at a distance."</t>
  </si>
  <si>
    <t>May 17, 1771</t>
  </si>
  <si>
    <t>"Light winds variable and at times cloudy. PM cloudy, a hard shower of rain with thunder and lightning."</t>
  </si>
  <si>
    <t>IMG 98, p.91</t>
  </si>
  <si>
    <t>May 18, 1771</t>
  </si>
  <si>
    <t>"At night, soon after I was gone to bed, Solon brought Coobah. She was catched at Bluecastle Estate....I got up and secured Coobah in the bilboes."</t>
  </si>
  <si>
    <t>BREADNUT ISLAND PEN
BLUECASTLE ESTATE</t>
  </si>
  <si>
    <t>L3, L14</t>
  </si>
  <si>
    <t>"Light wind, variable, at times cloudy. PM cloudy, some shower of rain, with thunder and lightning, at night lightning." (IMG 405)</t>
  </si>
  <si>
    <t>IMG 105, p.98</t>
  </si>
  <si>
    <t>May 29, 1771</t>
  </si>
  <si>
    <t>"Took off Coobah's collar &amp; chain; her pothook still remains."</t>
  </si>
  <si>
    <t>E216</t>
  </si>
  <si>
    <t>IMG 120, P.113</t>
  </si>
  <si>
    <t>June 23, 1771</t>
  </si>
  <si>
    <t>"PM Phibbah went to Egypt to see Egypt Lucy, who is very ill."</t>
  </si>
  <si>
    <t>PHIBBAH
EGYPT LUCY</t>
  </si>
  <si>
    <t>P7
P3</t>
  </si>
  <si>
    <t>E229</t>
  </si>
  <si>
    <t>IMG 146, P. 139</t>
  </si>
  <si>
    <t>August 2, 1771</t>
  </si>
  <si>
    <t>"Gave L. Phibbah this evening a small merc. pill, as she is troubled with worms."</t>
  </si>
  <si>
    <t>LITTLE PHIBBAH
THE OVERSEER</t>
  </si>
  <si>
    <t>P22
P43</t>
  </si>
  <si>
    <t>IMG 149, P.142</t>
  </si>
  <si>
    <t>August 8. 1771</t>
  </si>
  <si>
    <t>"This morning gave L. Phibbah 2 spoonfuls of wormwater as she has voided some lately by the mouth. And about 2 pm Nanny borught her to me with her belly swelled monstrously. Wrote Dr. Panton and sent her immediately by Nanny. They did not return this night."</t>
  </si>
  <si>
    <t>NANNY
LITTLE PHIBBAH
THE OVERSEER
DR. PANTON</t>
  </si>
  <si>
    <t>P15
P22
P43
P260</t>
  </si>
  <si>
    <t>L3
L35</t>
  </si>
  <si>
    <t>BREADNUT ISLAND PEN
DR. PANTON'S</t>
  </si>
  <si>
    <t>"Light winds, variable and at times cloudy. Evening cloudy, lightning and thusnder at a distance." (IMG 419, P.54)</t>
  </si>
  <si>
    <t>IMG 150, P.143</t>
  </si>
  <si>
    <t>August 9, 1771</t>
  </si>
  <si>
    <t>"This morning Nanny come home without seeing Dr. Panton and her child,  swelled rather worse if anything. Had it bathed in worm water &amp; oil."</t>
  </si>
  <si>
    <t>"Light winds, variable and at times cloudy, thunder far off. At night an abundance of lightning and thunder remote." [IMG 419, P.54]</t>
  </si>
  <si>
    <t>IMG 151, P.144</t>
  </si>
  <si>
    <t>August 10, 1771</t>
  </si>
  <si>
    <t>"Sent Nanny to Savanna-la-Mar  to Dr. Panton again this morning and I also rode down myself. The Dr. gave several things for Little Phibbah to take and I sent them home again."</t>
  </si>
  <si>
    <t>NANNY
LITTLE PHIBBAH
DR. PANTON
THE OVERSEER</t>
  </si>
  <si>
    <t>P15
P22
P260
P43</t>
  </si>
  <si>
    <t>"Mod. breezes SSE and at times clioudy. PM Light winds, variable and most part cloudy. some few drops of rain, thunder at a distance. At night lightning." [IMG 419, P.54]</t>
  </si>
  <si>
    <t>IMG 152, P.145</t>
  </si>
  <si>
    <t>August 12, 1771</t>
  </si>
  <si>
    <t>"Nanny nursing L. Phibbah yet."</t>
  </si>
  <si>
    <t>IMG 163, P.156</t>
  </si>
  <si>
    <t>September 1, 1771</t>
  </si>
  <si>
    <t>"Returned Franke's money to Phibbah 5 doubloons and 2 pistoles = 26:2:6 the money I had off her Dec. 7th and 21, 1770."</t>
  </si>
  <si>
    <t>September 2, 1771</t>
  </si>
  <si>
    <t>"Nanny attending L. Phibbah as before."</t>
  </si>
  <si>
    <t>IMG 166, P.159</t>
  </si>
  <si>
    <t>September 7, 1771</t>
  </si>
  <si>
    <t>"Wrote to Dr. Panton, by Nanny about L. Phibbah and received 4 papaws of powder to give her."</t>
  </si>
  <si>
    <t>THE OVERSEER
DR. PANTON
NANNY
LITTLE PHIBBAH</t>
  </si>
  <si>
    <t>E320</t>
  </si>
  <si>
    <t>"Coobah's husband Tom Canoe here today.
*Tom Boy his is: not Tom Canoe."</t>
  </si>
  <si>
    <t>IMG 167, P.160</t>
  </si>
  <si>
    <t>September 9, 1771</t>
  </si>
  <si>
    <t>"Nanny nursing L. Phib. Note! L. Phibbah died about 8 o'clock this evening."</t>
  </si>
  <si>
    <t>IMG 168, P.161</t>
  </si>
  <si>
    <t>September 10, 1771</t>
  </si>
  <si>
    <t>"PM Made Lincoln and Dick dig a grave and at night they buried L. Phibbah."</t>
  </si>
  <si>
    <t>LINCOLN
ABASSE
LITTLE PHIBBAH</t>
  </si>
  <si>
    <t>P39
P24
P43
P22</t>
  </si>
  <si>
    <t>IMG 169, P.162</t>
  </si>
  <si>
    <t>September 11, 1771</t>
  </si>
  <si>
    <t>"Nanny in the field."</t>
  </si>
  <si>
    <t>IMG 180, P.173</t>
  </si>
  <si>
    <t>September 28, 1771</t>
  </si>
  <si>
    <t>"Egypt Lucy slept upon the ironing table in cookroom last night. She is in a poor state of health yet."</t>
  </si>
  <si>
    <t>E27</t>
  </si>
  <si>
    <t>IMG 201, P.194</t>
  </si>
  <si>
    <t>November 1, 1771</t>
  </si>
  <si>
    <t>"Last night, Coobah was detected by Bess stealing cornm but negelcting to secure her, this morning, she is wanting."</t>
  </si>
  <si>
    <t>MOLIA (P1)
BESS (P41)</t>
  </si>
  <si>
    <t>MOLIA
BESS</t>
  </si>
  <si>
    <t>P1
P41</t>
  </si>
  <si>
    <t>"Mod Breezes variable, form NE to SEE and at times cloudy, PM a few drops of rain, at night lightning." (IMG 433)</t>
  </si>
  <si>
    <t>E252</t>
  </si>
  <si>
    <t>"Jimmy throwing the fire about the cookroom and being otherwise very impudent. Saying if this be living he did not care whether he lived or died., Put him in the bilboes."</t>
  </si>
  <si>
    <t>JIMMY
THE OVERSEER</t>
  </si>
  <si>
    <t>P54
P43</t>
  </si>
  <si>
    <t>IMG 433, p.68</t>
  </si>
  <si>
    <t>November 2, 1771</t>
  </si>
  <si>
    <t>"Light winds south and at times cloudy."</t>
  </si>
  <si>
    <t>IMG 203, P.196</t>
  </si>
  <si>
    <t>November 3, 1771</t>
  </si>
  <si>
    <t>"One of Kirkpatrick Negro men brought home Coobah this morning, made Bess give him 4 bitts, as she neglected at securing her and flogged Coobah very well."</t>
  </si>
  <si>
    <t>BREADNUT ISLAND PEN
KIRKPATRICK PEN</t>
  </si>
  <si>
    <t>L3, L9</t>
  </si>
  <si>
    <t>"Light wind, south, at times cloudy. PM most part cloudy, at night lightning." (IMG 433)</t>
  </si>
  <si>
    <t>IMG 210, P.203</t>
  </si>
  <si>
    <t>November 13, 1771</t>
  </si>
  <si>
    <t>"Hear Phibbah's Cooibah got herself christened at home."</t>
  </si>
  <si>
    <t>PHIBBAH'S COOBAH
JENNY YOUNG</t>
  </si>
  <si>
    <t>E28</t>
  </si>
  <si>
    <t>November 25, 1771</t>
  </si>
  <si>
    <t>"13 hands at Masemure as last week....hear my Coobah is runaway."</t>
  </si>
  <si>
    <t>"Light air, variable, all round and at times, cloudy. PM some small shower of rain, thunder remote, at night lightning."</t>
  </si>
  <si>
    <t>IMG 437</t>
  </si>
  <si>
    <t>November 26, 1771</t>
  </si>
  <si>
    <t>"Light winds variable &amp; at times cloudy, Evening calm, cloudy."</t>
  </si>
  <si>
    <t>November 27, 1771</t>
  </si>
  <si>
    <t>"Variable &amp; at times cloudy. Evening calm, cloudy."</t>
  </si>
  <si>
    <t>November 28, 1771</t>
  </si>
  <si>
    <t>"About 10 am gave Lincoln a ticket &amp; sent him to look [for] Coobah."</t>
  </si>
  <si>
    <t>"Morning calm &amp; cloudy, afterwards moderate breees, variable and at times cloudy, evening calm, cloudy."</t>
  </si>
  <si>
    <t>IMG 438</t>
  </si>
  <si>
    <t>November 29, 1771</t>
  </si>
  <si>
    <t>"Light winds, variable, and at times cloudy, evening calm, cloudy."</t>
  </si>
  <si>
    <t>December 1, 1771</t>
  </si>
  <si>
    <t>"Mod. breezes, variable, and at times cloudy. PM cloudy, a good shower of rain, at night lightning."</t>
  </si>
  <si>
    <t>December 2, 1771</t>
  </si>
  <si>
    <t>"Light winds, SSE and at times cloudy. PM Light Air variable and at times cloudy: in the evening."</t>
  </si>
  <si>
    <t>IMG 224-225, P. 217-218</t>
  </si>
  <si>
    <t>December 3, 1771</t>
  </si>
  <si>
    <t>"Lincoln was at a play, at a burial of a Negroe at Retrieve all Sunday night. He came on Monday morning to Egypt and told Mr. Parker he heard Coobah was at the Hope seaside and that he was going after her, but was coming home to me first. However, he never came to me, nor went after her but was seen going toward Savanna la Mar."
"Two of Mr. Charles Graham's Negroe men tell me, she was there sure enough all yesterday, pretending she was sick and come to walk in the sea. Spoke to Mr. Parker, Hartnole bout both to secure either of them."</t>
  </si>
  <si>
    <t>MOLIA (P1)
LINCOLN (P24)
MR PARKER (P69)
MR. HARTNOLE (P65)
CHARLES GRAHAM (P68)
THE OVERSEER (P43)</t>
  </si>
  <si>
    <t>MOLIA
LINCOLN
MR. PARKER
MR. HARTNOLE
CHARLES GRAHAM
THE OVERSEER</t>
  </si>
  <si>
    <t xml:space="preserve">P1
P24
P69
P68
P43
P81
</t>
  </si>
  <si>
    <t>BREADNUT ISLAND PEN
EGYPT
OLD HOPE ESTATE
SAVANNA LA MAR
THE ATLANTIC OCEAN</t>
  </si>
  <si>
    <t>L1, L3, L7, L10, L13</t>
  </si>
  <si>
    <t>"Mod. breezes, variable and at times cloudy. PM cloudy, a good shower of rain, thunder at a distance, at night lightning." (IMG 438)</t>
  </si>
  <si>
    <t>IMG 225, P.218</t>
  </si>
  <si>
    <t>December 4, 1771</t>
  </si>
  <si>
    <t>"About noon, a letter from Mr. Sam Say by Lincoln who brought home Coobah. She was catched among the Old Hope Canes by one of their wwatchmen and carried to Mr. Say."</t>
  </si>
  <si>
    <t>MOLIA (P1)
LINCOLN (P24)
THE NEIGHBOR (P46)
THE OVERSEER (P43)</t>
  </si>
  <si>
    <t>MOLIA
LINCOLN
THE NEIGHBOR
THE OVERSEER</t>
  </si>
  <si>
    <t>P1
P24
P46
P43</t>
  </si>
  <si>
    <t>OLD HOPE ESTATE
BREADNUT ISLAND PEN</t>
  </si>
  <si>
    <t>L7  L3</t>
  </si>
  <si>
    <t>"Light wind, variable, and at times cloudy. PM cloudy, a good shower of rain, thunder at a distance, at night lightning." (IMG 438)</t>
  </si>
  <si>
    <t>January 3, 1772</t>
  </si>
  <si>
    <t>"The Cranbrook, Cap'n Suttie come in the evening, Mr. Cope's 3 daughters &amp; Coobah come ashore."</t>
  </si>
  <si>
    <t>CAPTAIN SUTTIE
THE PLANTER'S DAUGHTERS
COOBAH</t>
  </si>
  <si>
    <t>P16
P274
P275</t>
  </si>
  <si>
    <t>E354</t>
  </si>
  <si>
    <t>January 9, 1772</t>
  </si>
  <si>
    <t>"A little before this morning, Pompey, Vine's father died.
Lent Vine Jimmy, to go acquaint her friends at Cabaritta Estate."</t>
  </si>
  <si>
    <t>OLD POMPEY
VINE</t>
  </si>
  <si>
    <t>P36
P12</t>
  </si>
  <si>
    <t>E151</t>
  </si>
  <si>
    <t>January 10, 1772</t>
  </si>
  <si>
    <t>"Gave Cubbah [sic] a Ward's Red Pill this morning, she has took many mercury pills lately, til her mouth began to be sore."</t>
  </si>
  <si>
    <t>January 11, 1772</t>
  </si>
  <si>
    <r>
      <rPr>
        <sz val="10"/>
        <color theme="1"/>
        <rFont val="Georgia"/>
      </rPr>
      <t>"</t>
    </r>
    <r>
      <rPr>
        <b/>
        <sz val="10"/>
        <color theme="1"/>
        <rFont val="Georgia"/>
      </rPr>
      <t>In the middle of last night</t>
    </r>
    <r>
      <rPr>
        <sz val="10"/>
        <color theme="1"/>
        <rFont val="Georgia"/>
      </rPr>
      <t>, Phibbah's Coobah come from Paradise to see her."</t>
    </r>
  </si>
  <si>
    <t>COOBAH
PHIBBAH</t>
  </si>
  <si>
    <t>P16
P7</t>
  </si>
  <si>
    <t>January 13, 1772</t>
  </si>
  <si>
    <t>"Jenny Young (Coobah) come here to see her mother today."</t>
  </si>
  <si>
    <t>JENNY YOUNG
PHIBBAH</t>
  </si>
  <si>
    <t>COOBAH
PHIBBAH'S COOBAH</t>
  </si>
  <si>
    <t>E352</t>
  </si>
  <si>
    <t>Wednesday January 29, 1772</t>
  </si>
  <si>
    <t>"Gave John 2 bitts and let him go to the horse race, he rode his young horse (which Kirkpatrick Quacoo lately broke) and went with Vine and Jenny Young (Coobah). They did not return today."</t>
  </si>
  <si>
    <t>JOHN
KIRKPATRICK QUACOO
VINE
JENNY YOUNG</t>
  </si>
  <si>
    <t>P9
P298
P12
P16</t>
  </si>
  <si>
    <t>COOBAH; PHIBBAH'S COOBAH</t>
  </si>
  <si>
    <t>E353</t>
  </si>
  <si>
    <t>February 2, 1772</t>
  </si>
  <si>
    <t>"In the evening Mr. Parker rode over and staid a while: rode home pretty late. * Vine suspected him troubling Sally."</t>
  </si>
  <si>
    <t>THE OVERSEER
MR. PARKER
VINE
SALLY</t>
  </si>
  <si>
    <t>P43
P69
P12
P17</t>
  </si>
  <si>
    <t>E356</t>
  </si>
  <si>
    <t>February 6, 1772</t>
  </si>
  <si>
    <t>"Phibbah took with an ague fitt [sic] about 1 pm, very bad.</t>
  </si>
  <si>
    <t xml:space="preserve">PHIBBAH
</t>
  </si>
  <si>
    <t>IMG 27, P.23</t>
  </si>
  <si>
    <t>February 7, 1772</t>
  </si>
  <si>
    <t>"All last night Phibbah had the headche most violently, and got no rest, nor me neither."</t>
  </si>
  <si>
    <t xml:space="preserve">PHIBBAH
THE OVERSEER
</t>
  </si>
  <si>
    <t>February 8, 1772</t>
  </si>
  <si>
    <t>"Phibbah easier &amp; rested middling,  last night."</t>
  </si>
  <si>
    <t>February 11, 1772</t>
  </si>
  <si>
    <t>"John at home, ill of the fever all day. Phibbah, also ill again."</t>
  </si>
  <si>
    <t>February 12, 1772</t>
  </si>
  <si>
    <t>"Phibba a little better, gave John Bark."</t>
  </si>
  <si>
    <t>E355</t>
  </si>
  <si>
    <t>February 26, 1772</t>
  </si>
  <si>
    <t>"AM Phibbah and Vine, went to Egypt to see Egypt Lucy. Return'd in the evening: Lincoln &amp; Chub carried them in the Battoe."</t>
  </si>
  <si>
    <t>PHIBBAH
VINE
EGYPT LUCY
LINCOLN
CHUB</t>
  </si>
  <si>
    <t>P7
P12
P3
P24
P57</t>
  </si>
  <si>
    <t>March 2, 1772</t>
  </si>
  <si>
    <t>"Gave Coobah a dose of physick, her mouth being sore with mercury."</t>
  </si>
  <si>
    <t>E164</t>
  </si>
  <si>
    <t>IMG 54, P.49</t>
  </si>
  <si>
    <t>March 21, 1772</t>
  </si>
  <si>
    <t>"Also served field negroes 10 bitts a piece to serve them 5 weeks till Sunday the 26 April= 140 bitts served them. Wrote a letter and sent by Lincoln to Mr. James Wedderburn, overseer to Mount Pleasant Estate, Orange Bay, Hanover, where they are going to work to assist in taking of crop, weeding young cane at 3 bitts per day., according to an agreement I made lasrt WEdnesday with James Wedderburn of Bluecastle estate. They set off at 10 AM. Lincoln, Dick, Chub, Cukor, Cudjoe, Solon, Sukey, Sally, Peggy, Anny, Mirtilla, Maria, Phoebe &amp; Franke."
"Did not send Coobah. She is so troublesome in running away."</t>
  </si>
  <si>
    <t>THE OVERSEER
LINCOLN
SAWNO/DOWOTRONNY
CHUB
CUKOR
CUDJOE
SOLON
SUKEY
SALLY
PEGGY
NANNY
MIRTILLA
OGO
PHOEBE
FRANKE
JAMES WEDDERBURN
MOLIA</t>
  </si>
  <si>
    <t>P43
P24
P13
P15
P17
P19
P26
P38
P52
P57
P58
P59
P60
P32
P95
P1</t>
  </si>
  <si>
    <t>DICK
MARIA
MOLIA</t>
  </si>
  <si>
    <t>March 22, 1772</t>
  </si>
  <si>
    <t>"For plantains for Coobah, 2 bitts."</t>
  </si>
  <si>
    <t>March 23, 1772</t>
  </si>
  <si>
    <t>"Negroes at Mount Pleasant Estate, Coobah weeding in the garden.</t>
  </si>
  <si>
    <t>THE OVERSEER 
LINCOLN 
SAWNO/DOWOTRONNY 
CHUB 
CUKOR
 CUDJOE 
SOLON 
SUKEY 
SALLY 
PEGGY 
NANNY 
MIRTILLA 
OGO 
PHOEBE 
FRANKE 
 MOLIA</t>
  </si>
  <si>
    <t>P43 P24 P13 P15 P17 P19 P26 P38 P52 P57 P58 P59 P60 P32 P1</t>
  </si>
  <si>
    <t>COOBAH
DICK</t>
  </si>
  <si>
    <t>L37
L3</t>
  </si>
  <si>
    <t>MOUNT PLEASANT ESTATE
BREADNUT ISLAND PEN</t>
  </si>
  <si>
    <t>E165</t>
  </si>
  <si>
    <t>March 28, 1772</t>
  </si>
  <si>
    <t>"PM Wrote to My. Hayward by Jimmy and Coobah, but coobah was not liked, so come back. Received an answer from Mr. Hayward (I would have let her go at 30 pounds)</t>
  </si>
  <si>
    <t>MOLIA
MR. HAYWARD
JIMMY</t>
  </si>
  <si>
    <t>P1
P161
P54</t>
  </si>
  <si>
    <t>March 29, 1772</t>
  </si>
  <si>
    <t>"Gave 2 bitts for 70 plantains for Coobah."</t>
  </si>
  <si>
    <t>P1
P4354</t>
  </si>
  <si>
    <t>E171</t>
  </si>
  <si>
    <t>"At the Governor's diner at Mr. Cope's today. I sent them by Bess a teal, a whitling duck, 2 Spanish snipes, 10 large broccoli about 3 quarts of English peas in the pods and a large calabsh full of asparagus; also 4 ripe figs, 3 sweet limes and flowers."</t>
  </si>
  <si>
    <t>THE PLANTER
THE GOVERNOR</t>
  </si>
  <si>
    <t>P44
P198</t>
  </si>
  <si>
    <t>March 30, 1772</t>
  </si>
  <si>
    <t>"Coobah in garden."</t>
  </si>
  <si>
    <t>E169</t>
  </si>
  <si>
    <t>img 59, p.54</t>
  </si>
  <si>
    <t>"For linen, oznabrig, etc for cloaths for John. 3.11.3."</t>
  </si>
  <si>
    <t>"AM rode to Savanna la Mar, a general master about 11 o'clock the governor (Sir William Trelawny, Baronet) came from Mr,. Haughton's and reviewed the soldiers and Militia by the thatch tree. Done soon after 12 o'clock. He sat under a tent to see the soldiers exercise but walked out to the militia. He is a plain man, seems to be between 50 adn 60 but nearing the last. His lady is a jolly woman, seems rto be merry and fine. Sister also. Din'd in the court house. A great deal of firing all the afternoon at the giving of eaxh health or toast. He went away about sunset, no guard or attendance. *Miss Trelawny his sister."</t>
  </si>
  <si>
    <t>THE GOVERNOR
THE GOVERNOR'S WIFE
TEH GOVERNOR'S SISTER
MR. HAUGHTON</t>
  </si>
  <si>
    <t xml:space="preserve">P198
P199
P200
P201
</t>
  </si>
  <si>
    <t>"Vine, Phibbah &amp; John to see the Governor etc. Mr. Hayward electrifyed them, gave them dinner, etc. Jimmy also."</t>
  </si>
  <si>
    <t>PHIBBAH
VINE
JOHN
MR. HAYWARD
JIMMY
THE GOVERNOR</t>
  </si>
  <si>
    <t>P7
P12
P9
P161
P54
P198</t>
  </si>
  <si>
    <t>March 31, 1772</t>
  </si>
  <si>
    <t>"Sent Mr. Weech some flowers in the evening, being Ball Night. The governor, his lady, and sister there, etc. Note! They din'd at Mr. Blake's hotel (near Bridgewater) today."</t>
  </si>
  <si>
    <t>MR. WEECH
THE GOVERNOR
THE GOVERNOR'S WIFE
THE GOVERNOR'S SISTER
MRS. BLAKE</t>
  </si>
  <si>
    <t>P198
P199
P200
P202
P203</t>
  </si>
  <si>
    <t>April 1, 1772</t>
  </si>
  <si>
    <t>"The governor etc slept last night after the ball at Mr. Stone's and din'd there today."</t>
  </si>
  <si>
    <t>THE GOVERNOR
THE GOVERNOR'S WIFE
THE GOVERNOR'S SISTER
MR. JOHN STONE</t>
  </si>
  <si>
    <t>P198
P199
P200
P64</t>
  </si>
  <si>
    <t>April 2, 1772</t>
  </si>
  <si>
    <t>"The governor etc. din'd at Mr. Senior at Salt River today."</t>
  </si>
  <si>
    <t>THE GOVERNOR
THE GOVERNOR'S WIFE
THE GOVERNOR'S SISTER
MR. SENIOR</t>
  </si>
  <si>
    <t>P198
P199
P200
P204</t>
  </si>
  <si>
    <t>April 3, 1772</t>
  </si>
  <si>
    <t>"Hear the Governor dines at Sweet River this day."</t>
  </si>
  <si>
    <t>THE GOVERNOR 
THE GOVERNOR'S WIFE
 THE GOVERNOR'S SISTER</t>
  </si>
  <si>
    <t>P198 
P199 
P200</t>
  </si>
  <si>
    <t>April 4, 1772</t>
  </si>
  <si>
    <t>"*Gov. dines at Mr. Houghton's.</t>
  </si>
  <si>
    <t>THE GOVERNOR 
THE GOVERNOR'S WIFE
 THE GOVERNOR'S SISTER
MR. HAUGHTON</t>
  </si>
  <si>
    <t>P198 
P199 
P200
P201</t>
  </si>
  <si>
    <t>April 5, 1772</t>
  </si>
  <si>
    <t>"Sent Mr. John Hartnole by a Mulatto boy he sent (for Mr. Haring, the gov, etc. being to dine there today, 12 haeds of fine broccoli, a large maess of English pear, d^0 of asparagus and flowers plenty."</t>
  </si>
  <si>
    <t>MR. JOHN HARTNOLE
MR. HARING
THE GOVERNOR 
THE GOVERNOR'S WIFE
 THE GOVERNOR'S SISTER</t>
  </si>
  <si>
    <t>P81
P205
P198
P199
P200</t>
  </si>
  <si>
    <t>E170</t>
  </si>
  <si>
    <t>April 6, 1772</t>
  </si>
  <si>
    <t>"Paradise Little Mimber, (or rather Egypt one) going this day to live with Mr Johhn Hartnole [at Retrieve Estate]. Suspect she is not yet clear fromt he clap as she had it very bad when she went to Paradise 2 or 3 months ago, sick. Mr and Mrs Cope also had it soon after. And Mr, John Hartnole clearly is in for it n now."</t>
  </si>
  <si>
    <t>LITTLE MIMBER
JOHN HARTNOLE</t>
  </si>
  <si>
    <t>P80
P81</t>
  </si>
  <si>
    <t>"14 hands as before at Mt. Pleasant Estate."</t>
  </si>
  <si>
    <t xml:space="preserve">THE OVERSEER 
LINCOLN 
SAWNO/DOWOTRONNY 
CHUB 
CUKOR
 CUDJOE 
SOLON 
SUKEY 
SALLY 
PEGGY 
NANNY 
MIRTILLA 
OGO 
PHOEBE 
FRANKE </t>
  </si>
  <si>
    <t>P43 P24 P13 P15 P17 P19 P26 P38 P52 P57 P58 P59 P60 P32</t>
  </si>
  <si>
    <t>l37</t>
  </si>
  <si>
    <t>April 7, 1772</t>
  </si>
  <si>
    <t>"*Gov. dines at Canaan estate today."</t>
  </si>
  <si>
    <t>April 9, 1772</t>
  </si>
  <si>
    <t>"Catch'd Coobah asleep in the garden, flogged her."</t>
  </si>
  <si>
    <t>April 10, 1772</t>
  </si>
  <si>
    <t>"Made Coobah get scotch grass for the horses."</t>
  </si>
  <si>
    <t>E166</t>
  </si>
  <si>
    <t>April 11, 1772</t>
  </si>
  <si>
    <t>"Paradise Coobah, alias Jenny Young here to see her mother. She, Vine, Sally, Sancho, Juba, Luvie, Neptune, Jimmy, My Coobah, Abba, Maria 8 fishing in the deep rock holes, but too much water for them yet. However, they got god-dammes etc.
Gave Coobah today."</t>
  </si>
  <si>
    <t>COOBAH
VINE
SALLY
SANCHO
JUBA
LUVIE
NEPTUNE
JIMMY
MOLIA
ABBA
OGO</t>
  </si>
  <si>
    <t>P16
P12
P17
P195
P196
P197
P107
P54
P1
P6
P13</t>
  </si>
  <si>
    <t>JENNY YOUNG
COOBAH
MARIA</t>
  </si>
  <si>
    <t>"Mr. Weech says the Governor and his lady several times express'd a great desire to come and see my garden, but were prevented by Mr. Haughton's representing the road to be so very rocky and bad."</t>
  </si>
  <si>
    <t>MR. WEECH
THE GOVERNOR
THE GOVERNOR'S WIFE
THE GOVERNOR'S SISTER
MR. HAUGHTON
THE OVERSEER</t>
  </si>
  <si>
    <t>P202
P198
P199
P200
P201
P43</t>
  </si>
  <si>
    <t>"Negroes at Mount Pleasant estate as before,"</t>
  </si>
  <si>
    <t>April 12, 1772</t>
  </si>
  <si>
    <t>"Coobah in the garden."</t>
  </si>
  <si>
    <t>E172</t>
  </si>
  <si>
    <t>April 13, 1772</t>
  </si>
  <si>
    <t>"AM rode to Savanna la Mar, to Mr. Hayward for a luvie of writing paper 4 bitts--I also paid Mr. William Pommells 8 bitts, I was debtor to him was ever since we qualified for Mr. Emotson's executors. took Jimmy and Coobah with me and made them carry up everything."</t>
  </si>
  <si>
    <t>THE OVERSEER
MR. HAYWARD
WILLIAM POMMELLS
MR. EMOTSON
JIMMY
MOLIA</t>
  </si>
  <si>
    <t xml:space="preserve">P43
P161
P206
P92
P54
P1
</t>
  </si>
  <si>
    <t>E173</t>
  </si>
  <si>
    <t>April 14, 1772</t>
  </si>
  <si>
    <t>"Gave Little Lucy a dose of Jallop, as she complains of her belly."</t>
  </si>
  <si>
    <t>LITTLE LUCY
THE OVERSEER</t>
  </si>
  <si>
    <t>P14
P43</t>
  </si>
  <si>
    <t>May 1, 1772</t>
  </si>
  <si>
    <t>"Coobah picking ripe logwood seed."</t>
  </si>
  <si>
    <t xml:space="preserve"> MOLIA</t>
  </si>
  <si>
    <t xml:space="preserve">E164 </t>
  </si>
  <si>
    <t>May 2, 1772</t>
  </si>
  <si>
    <t>"Coobah d^0 gave her afternoon."</t>
  </si>
  <si>
    <t>IMG 82, p.77</t>
  </si>
  <si>
    <t>May 4, 1772</t>
  </si>
  <si>
    <t>"Cubbah gathering logwood seed."</t>
  </si>
  <si>
    <t>May 9, 1772</t>
  </si>
  <si>
    <t>"Gave her afternoon"</t>
  </si>
  <si>
    <t>E167</t>
  </si>
  <si>
    <t>May 16, 1772</t>
  </si>
  <si>
    <t>"Found a fine swarm of bees in lime kilm provision ground, fine, hung to a logwood twig. Coobah first discovered them, but they flew away before I was ready to take them."</t>
  </si>
  <si>
    <t>E168</t>
  </si>
  <si>
    <t>May 18, 1772</t>
  </si>
  <si>
    <t>"Coobah carrying empty bottles to the Bay, weeding in the gardens."</t>
  </si>
  <si>
    <t>E189</t>
  </si>
  <si>
    <t>"Mr. Say's Vine very ill, wrote to Mr. Say acquainting him. I have her a vomit, 16 grams of ____."</t>
  </si>
  <si>
    <t>May 19, 1772</t>
  </si>
  <si>
    <t>"Vine still very ill of the fever and headache."</t>
  </si>
  <si>
    <t>May 21, 1772</t>
  </si>
  <si>
    <t>"Mr. Say's Vine has the fever very bad yet and her master, etc. takes but little notice of her."</t>
  </si>
  <si>
    <t>VINE
THE NEIGHBOR</t>
  </si>
  <si>
    <t>P12
P46</t>
  </si>
  <si>
    <t>May 24, 1772</t>
  </si>
  <si>
    <t>"Paradise Franke &amp; Coobah over today."</t>
  </si>
  <si>
    <t>HOUSE FRANKE
COOBAH</t>
  </si>
  <si>
    <t>P10
P16</t>
  </si>
  <si>
    <t>E190</t>
  </si>
  <si>
    <t>June 5, 1772</t>
  </si>
  <si>
    <t>"As Vine's hoggs [sic] makes sad work i the Rockhole provision ground, sent her word this morning and she is greatly affronted."</t>
  </si>
  <si>
    <t>June 27, 1772</t>
  </si>
  <si>
    <t>"Hear Egypt Lucy died at Egypt this evening, she has long been sick."</t>
  </si>
  <si>
    <t>June 28, 1772</t>
  </si>
  <si>
    <t>"PM Phibbah &amp; John went to Egypt to Lucy's burial."</t>
  </si>
  <si>
    <t>EGYPT LUCY
PHIBBAH
JOHN</t>
  </si>
  <si>
    <t>P7
P9
P3</t>
  </si>
  <si>
    <t>E224</t>
  </si>
  <si>
    <t>July 2, 1772</t>
  </si>
  <si>
    <t>"Coobah complains of a pain and sickness at her stomach. Gave her a vomit."</t>
  </si>
  <si>
    <t>IMG 122, P.117</t>
  </si>
  <si>
    <t>July 3, 1772</t>
  </si>
  <si>
    <t>"Gave Coobah 30 grams of jalop, as she is much bound, it seems."</t>
  </si>
  <si>
    <t>E227</t>
  </si>
  <si>
    <t>July 5, 1772</t>
  </si>
  <si>
    <t>"About 10 am Phoebe brought to bed of a boy: died, jaw fallen."</t>
  </si>
  <si>
    <t>PHOEBE
PHOEBE'S CHILD</t>
  </si>
  <si>
    <t>July 6, 1772</t>
  </si>
  <si>
    <t>"Nanny attending Phoebe."</t>
  </si>
  <si>
    <t>NANNY
PHOEBE</t>
  </si>
  <si>
    <t>P15
P58</t>
  </si>
  <si>
    <t>E220</t>
  </si>
  <si>
    <t>July 10, 1772</t>
  </si>
  <si>
    <t>"Pompey having got the fever, got Vine to bleed him."</t>
  </si>
  <si>
    <t>OWORIA
VINE</t>
  </si>
  <si>
    <t>P40
P12</t>
  </si>
  <si>
    <t>July 11, 1772</t>
  </si>
  <si>
    <t>"Phoebe's child died, jaw fallen. Gave Kirkpatrick grande Phib. half a pistole for her trouble, notwithstanding."</t>
  </si>
  <si>
    <t>PHOEBE'S CHILD
OLD PHIBBAH</t>
  </si>
  <si>
    <t>P258
P96</t>
  </si>
  <si>
    <t>E222</t>
  </si>
  <si>
    <t>July 12, 1772</t>
  </si>
  <si>
    <t>"Mr. Parker dined with me: but soon after dinner he rode home as Julina is about miscarrying they think."</t>
  </si>
  <si>
    <t>MR. PARKER
THE OVERSEER
JULINA</t>
  </si>
  <si>
    <t>P69
P43
P4</t>
  </si>
  <si>
    <t>E225</t>
  </si>
  <si>
    <t>July 13, 1772</t>
  </si>
  <si>
    <t>"The hard rain 4 or 5 weeks ago followed by the great drought and scorching suns have killed my raspberry plants I doubt."</t>
  </si>
  <si>
    <t>"Phoebe laying in."</t>
  </si>
  <si>
    <t>E226</t>
  </si>
  <si>
    <t>July 14, 1772</t>
  </si>
  <si>
    <t>"A pea dove in Vine's house today, then shuffled out upon her Father's grave, where she went &amp; took it up. She is in a terrible fright about it, looking upon it as a bad omen. I imagine it was chased by a hawk, or shot at perhaps as I heard a gun, not far off from there but a little while before."</t>
  </si>
  <si>
    <t>July 18, 1772</t>
  </si>
  <si>
    <t>"Little Lucy has got fever, gave her 20 grams of jallop."</t>
  </si>
  <si>
    <t>July 21, 1772</t>
  </si>
  <si>
    <t>"Give Lucy amatto every morning and Solon brimstone morning &amp; evening to drive out the yaws."</t>
  </si>
  <si>
    <t>LITTLE LUCY
THE OVERSEER
SOLON</t>
  </si>
  <si>
    <t>P14
P43
P26</t>
  </si>
  <si>
    <t>IMG 137, P.132</t>
  </si>
  <si>
    <t>July 25, 1772</t>
  </si>
  <si>
    <t>"Gave Phoebe a dose of jallop, 30 grams, Little Lucy 20 grams."</t>
  </si>
  <si>
    <t>PHOEBE
LITTLE LUCY
THE OVERSEER</t>
  </si>
  <si>
    <t>P14
P58
P43</t>
  </si>
  <si>
    <t>July 30, 1772</t>
  </si>
  <si>
    <t>"Phoebe in the garden."</t>
  </si>
  <si>
    <t>E228</t>
  </si>
  <si>
    <t>"Mrs. Bennett has at last told Old Leandra to go where she pleases as she has been wrong'd out of her time hitherto. There was a conspiracy among the New Negroes in the ship she come over from Guinea in, to rip and cut off all the whites which she revealed to the Captain by which means it was prevented: then the Captain took her into keeping, and when he got to Jamaica, left her with Old Cunningham, as a free person, to be took care of til he return'd but dying when away, Old Cunningham, as a free person, to be took care of til he return'dm but dying when away, Old Cunningham &amp; his heir have hitherto kept her as a slave tho' very unjustly."</t>
  </si>
  <si>
    <t>OLD LEANDRA
THE PROPRIETRESS
OLD CUNNINGHAM</t>
  </si>
  <si>
    <t>P28
P50
P259</t>
  </si>
  <si>
    <t>E219</t>
  </si>
  <si>
    <t>July 31, 1772</t>
  </si>
  <si>
    <t>"Abigail died at Egypt, this morning I hear."</t>
  </si>
  <si>
    <t>E316</t>
  </si>
  <si>
    <t>August 4, 1772</t>
  </si>
  <si>
    <t>"PM Sent Jimmy on Mackey horse to the Retrieve to bring home Coobah, which he did. She is very bad off of clap or rather pox."</t>
  </si>
  <si>
    <t>JIMMY
MOLIA</t>
  </si>
  <si>
    <t>P54
P7</t>
  </si>
  <si>
    <t>IMG 145, P.140</t>
  </si>
  <si>
    <t>August 5 1772</t>
  </si>
  <si>
    <t>"Mr. Say, says he felt an Earthquake yesterday afternoon."</t>
  </si>
  <si>
    <t>August 5, 1772</t>
  </si>
  <si>
    <t>"Solon &amp; coobah weeding in the garden."</t>
  </si>
  <si>
    <t>E218</t>
  </si>
  <si>
    <t>August 11, 1772</t>
  </si>
  <si>
    <t>"Gave Phibbah a dose of Jolop * and Vine bled her in the foot."</t>
  </si>
  <si>
    <t>PHIBBAH
THE OVERSEER
 VINE</t>
  </si>
  <si>
    <t>P7
P43
P12</t>
  </si>
  <si>
    <t>E307</t>
  </si>
  <si>
    <t>August 21, 1772</t>
  </si>
  <si>
    <t>"In the evening, Mr. Hughes came home with John and protests he sent a pistole and 2 half ditto by John, who althop' he stiffly denied to me, now confessed that he opened the paper on the road, against Mr. Ston'es, and dropped a half pistole. But, as he is given to lying, what confidence can be put in what he says? His mother promotes his ruin by excessive indulgence and hurmoring him beyond all bounds. Received the pistole &amp; half of Mr. Hughes and I won't sit down content, with the loss of the half pistole So ends the affair."</t>
  </si>
  <si>
    <t xml:space="preserve">JOHN
MR. HUGHES
MR. STONE
THE OVERSEER
PHIBBAH
</t>
  </si>
  <si>
    <t>P9
P43
P7
P112
P64</t>
  </si>
  <si>
    <t>E63</t>
  </si>
  <si>
    <t>August 23, 1772</t>
  </si>
  <si>
    <t>"In the morning, cum Abba (mea sup lect: dom, gave 2 bitts."</t>
  </si>
  <si>
    <t>August 25, 1772</t>
  </si>
  <si>
    <t>"Abba brought to bed of a girl between 1 and 2 PM. Note: she was borught to bed of 17th October last also. Had Old Phibbah, Kirkpatrick grande to Abba."</t>
  </si>
  <si>
    <t>ABBA (P6)
OLD PHIBBAH (P96)</t>
  </si>
  <si>
    <t>ABBA
OLD PHIBBAH</t>
  </si>
  <si>
    <t>P6
P96</t>
  </si>
  <si>
    <t>Old Leandra come soon after noon and attended Abba."</t>
  </si>
  <si>
    <t>OLD LEANDRA
ABBA</t>
  </si>
  <si>
    <t>P28
P6</t>
  </si>
  <si>
    <t>IMG 160-161, P.155-156</t>
  </si>
  <si>
    <t>August 27, 1772</t>
  </si>
  <si>
    <t>"Between 7 and 8 o'clock this evening an uncommon low gloomy cloud, hung over Savanna la Mar and along the sea side to Cabaritta River's mouth &amp; it had a dismal appearance, seemed very near the EArth and had a dull reddish cast, something like smoke from an oven, lightened very much out of it, or rather from behind it. It hung like a curtain and the top yet reached as to the NW, North and NE. Clear starlight. I went to bed before it vanished."</t>
  </si>
  <si>
    <t>E223</t>
  </si>
  <si>
    <t>August 29, 1772</t>
  </si>
  <si>
    <t>"About 6 o'clock in the evening Bess brought to bed of a boy. They were obliged rto tye [sic] her she was so unruly. Had Kirkpatrick Old Grande Phibbah.</t>
  </si>
  <si>
    <t>BESS
OLD PHIBBAH
BRISTOL [BESS' SON]</t>
  </si>
  <si>
    <t>P41 
P96
P257</t>
  </si>
  <si>
    <t>IMG 162, P. 157</t>
  </si>
  <si>
    <t>August 30, 1772</t>
  </si>
  <si>
    <t>"Gave Abba a cobb, as I have nothing to assist her with, now she lays in."</t>
  </si>
  <si>
    <t>P6
P43</t>
  </si>
  <si>
    <t>IMG 162, P.157</t>
  </si>
  <si>
    <t>August 31, 1772</t>
  </si>
  <si>
    <t>"Abba &amp; Bess laying in, Old Leandra &amp; Coobah attending them."</t>
  </si>
  <si>
    <t>ABBA (P6)
BESS (P41)
MOLIA (P1)
OLD LEANDRA (P28)</t>
  </si>
  <si>
    <t>ABBA
BESS
MOLIA
OLD LEANDRA</t>
  </si>
  <si>
    <t>P6
P41
P1
P28</t>
  </si>
  <si>
    <t>E294</t>
  </si>
  <si>
    <t>September 11, 1772</t>
  </si>
  <si>
    <t>"Between 5 and 6 o'clock in the evening, Damsel was brought to bed of a girl by Kirkpatrick's Old Grande Phibbah."</t>
  </si>
  <si>
    <t>DAMSEL
OLD PHIBBAH</t>
  </si>
  <si>
    <t>P34
P96</t>
  </si>
  <si>
    <t>E339</t>
  </si>
  <si>
    <t>September 15, 1772</t>
  </si>
  <si>
    <t>"Cubbah minding the goats."</t>
  </si>
  <si>
    <t>IMG 202, P.195</t>
  </si>
  <si>
    <t>October 21, 1773</t>
  </si>
  <si>
    <t>"Abba's child bites her nipples and she has a bad sore breast."</t>
  </si>
  <si>
    <t>E134</t>
  </si>
  <si>
    <t>"Cubbah complains of her head, etc."</t>
  </si>
  <si>
    <t>October 22, 1773</t>
  </si>
  <si>
    <t>"Cubbah laid up still, and drinking the Black drink."</t>
  </si>
  <si>
    <t>E358</t>
  </si>
  <si>
    <t>IMG 207, P.200</t>
  </si>
  <si>
    <t>October 28, 1773</t>
  </si>
  <si>
    <t>"About 7 o'clock this evening, Phibbah was suddenly took with a a surprising vomitting and purging, attended with terrible gripogs, which continued most part of the night. Vine come and staid [sic] with her."</t>
  </si>
  <si>
    <t>P7
P12</t>
  </si>
  <si>
    <t>Img 219, p.212</t>
  </si>
  <si>
    <t>November 14, 1773</t>
  </si>
  <si>
    <t>"Flogged Maria for cuckolding Solon at the Retrieve and stirring up quarrels."</t>
  </si>
  <si>
    <t>OGO
SOLON</t>
  </si>
  <si>
    <t>P13
P26</t>
  </si>
  <si>
    <t>L3
L22</t>
  </si>
  <si>
    <t>BREADNUT ISLAND PEN
THE RETRIEVE</t>
  </si>
  <si>
    <t>E131</t>
  </si>
  <si>
    <t>IMG 223, P.216</t>
  </si>
  <si>
    <t>November 20, 1773</t>
  </si>
  <si>
    <t>"About 10 o'clock this night got up, and went to my Negro houses where found Mr. North's George playing upon the banjar to Lincoln. I chopt it all in pieces with my cutlass &amp; reprimanded them."</t>
  </si>
  <si>
    <t>THE OVERSEER
GEORGE
LINCOLN</t>
  </si>
  <si>
    <t>P43
P178
P24</t>
  </si>
  <si>
    <t>E251</t>
  </si>
  <si>
    <t>IMG 228, P.221</t>
  </si>
  <si>
    <t>November 27, 1773</t>
  </si>
  <si>
    <t>"Gave John my prospect glass which have had ever since I was a boy...magnifies 4 times."</t>
  </si>
  <si>
    <t>THE OVERSEER
JOHN</t>
  </si>
  <si>
    <t>P43
P9</t>
  </si>
  <si>
    <t>E196</t>
  </si>
  <si>
    <t>IMG 250, P.243</t>
  </si>
  <si>
    <t>December 27, 1773</t>
  </si>
  <si>
    <t>"John, Phibbah, Vine, Abba etc, at the Bay."</t>
  </si>
  <si>
    <t>JOHN
PHIBBAH
VINE
ABBA</t>
  </si>
  <si>
    <t>P9
P7
P12
P6</t>
  </si>
  <si>
    <t>January 17, 1774</t>
  </si>
  <si>
    <t>"In the morning, flogged Maria for leaving Solon and running to her sweetheart at the Retrieve,"</t>
  </si>
  <si>
    <t>OGO
SOLON
OGO'S SWEETHEART</t>
  </si>
  <si>
    <t>P13
P26
P233</t>
  </si>
  <si>
    <t>E359</t>
  </si>
  <si>
    <t>IMG 31, P.24</t>
  </si>
  <si>
    <t>February 1, 1774</t>
  </si>
  <si>
    <t>"Gave Phibbah a pair of spectacles as her eyes begin to be bad so she cannot sew without them except very coarse indeed."</t>
  </si>
  <si>
    <t>E300</t>
  </si>
  <si>
    <t>IMG 36, P.29</t>
  </si>
  <si>
    <t>February 13, 1774</t>
  </si>
  <si>
    <t>"Served 15 field negroes 5 1/2 lb. saltfish each instead of 2 bitts apiece."</t>
  </si>
  <si>
    <t>IMG 48, P.41</t>
  </si>
  <si>
    <t>March 6, 1774</t>
  </si>
  <si>
    <t>"Served my field negroes 4 bitts in money and 13 of them 5 1/2 lb each of salt fish."</t>
  </si>
  <si>
    <t>IMG 66, P.59</t>
  </si>
  <si>
    <t>April 3, 1774</t>
  </si>
  <si>
    <t>"Served my field negroes 19 bitts and 11 bundles of salt fish of 2 1/4 lb each. So that my hundred weight of salt fish, which cost 40 bitss just made 41 bitts out again. So no profit, only saves silver."</t>
  </si>
  <si>
    <t>E114</t>
  </si>
  <si>
    <t>IMG 71, P.64</t>
  </si>
  <si>
    <t>April 9, 1774</t>
  </si>
  <si>
    <t>"Rec'd for asparagus, 2 bitts= 331 bitts Note! 3 bitts worth were brought back by Damsel who is a very indifferent market woman."</t>
  </si>
  <si>
    <t>E29</t>
  </si>
  <si>
    <t>April 18, 1774</t>
  </si>
  <si>
    <t>"No news of Coobah this morning."
PM wrote to Mr. James Limburner at Paradise (on Mackey) concerning Coobah, also gave him a ticket to come home by Bluecastle away and acquaint my Negroes of her being run away."
Also wrote tyo Mr. John Hartnole at The Retrieve, Dr. Drummond and Bluecastle at Chelsea, and Mr. Richard Crotcher at the Old Hope Estate by Strop, on John's horse about Coobah."</t>
  </si>
  <si>
    <t>MOLIA (P1)
JAMES LYMBURNER (P53)
JOHN HARTNOLE (P65)
MR. PARKER (P69)</t>
  </si>
  <si>
    <t xml:space="preserve">MOLIA
JAMES LYMBURNER
JOHN HARTNOLE
DR. DRUMMOND
RICHARD CROTCHER
</t>
  </si>
  <si>
    <t>P1
P53
P81
P69</t>
  </si>
  <si>
    <t>BREADNUT ISLAND PEN
PARADISE ESTATE
BLUECASTLE ESTATE
OLD HOPE ESTATE
THE RETRIEVE</t>
  </si>
  <si>
    <t>L3, L2, L7, L14, L22</t>
  </si>
  <si>
    <t>"Mod breezes variable, and at times cloudy." (IMG 606)</t>
  </si>
  <si>
    <t>April 19, 1774</t>
  </si>
  <si>
    <t>"Sent Solon out with a ticket to look [for] Coobah."</t>
  </si>
  <si>
    <t>SOLON (P26)
MOLIA (P1)</t>
  </si>
  <si>
    <t xml:space="preserve">SOLON
MOLIA
</t>
  </si>
  <si>
    <t>P26
P1</t>
  </si>
  <si>
    <t>"Mod breezes variable, and most part fair weather. Excessive drying." (IMG 606, p.16)</t>
  </si>
  <si>
    <t>IMG 607, p.16</t>
  </si>
  <si>
    <t>April 20, 1774</t>
  </si>
  <si>
    <t>"Light winds, variable, cloudy. PM some small showers of rain, thunder at a distance."</t>
  </si>
  <si>
    <t xml:space="preserve">"Light winds, variable, cloudy. PM some small showers of rain, thunder at a distance." </t>
  </si>
  <si>
    <t>IMG 82, P.75</t>
  </si>
  <si>
    <t>April 24, 1774</t>
  </si>
  <si>
    <t>"Solon come home, no news of Coobah."</t>
  </si>
  <si>
    <t>SOLON
MOLIA</t>
  </si>
  <si>
    <t>BREADNUT ISLAND. PEN</t>
  </si>
  <si>
    <t>"Light winds variable and at times cloudy by 11 AM cloudy with a few drops of rain. PM, cloudy, several showers of rain, thunder at a distance." IMG 607, P.16</t>
  </si>
  <si>
    <t>April 25, 1774</t>
  </si>
  <si>
    <t>"Solon out looking [for] Coobah."</t>
  </si>
  <si>
    <t>BREADNUT ISLAND PEN
WILDERNESS</t>
  </si>
  <si>
    <t>L3, L15</t>
  </si>
  <si>
    <t>"Light wind, variable and at times cloudy. PM cloudy, some hard showers of rain, thunder at a distance." (IMG 607)</t>
  </si>
  <si>
    <t>IMG 608, P.17</t>
  </si>
  <si>
    <t>April 26, 1774</t>
  </si>
  <si>
    <t>"Mod. breezes, NE and at times cloudy. PM variable, cloudy, some showers of rain, thunder at a distance."</t>
  </si>
  <si>
    <t>April 27, 1774</t>
  </si>
  <si>
    <t>"Solon come home this evening from Moreland, he can hear nothing of Coobah."</t>
  </si>
  <si>
    <t>MORELAND ESTATE
BREADNUT ISLAND PEN</t>
  </si>
  <si>
    <t>L23, L3</t>
  </si>
  <si>
    <t>"Mod breezes, variable and at times cloudy, thunder remote." (IMG 608)</t>
  </si>
  <si>
    <t>April 30, 1774</t>
  </si>
  <si>
    <t>"Mod Breezes and most part fair weather."</t>
  </si>
  <si>
    <t>IMG 88, P.81</t>
  </si>
  <si>
    <t>May 2, 1774</t>
  </si>
  <si>
    <t>"No news of Coobah yet."</t>
  </si>
  <si>
    <t>IMG 609, P.18</t>
  </si>
  <si>
    <t>May 3, 1774</t>
  </si>
  <si>
    <t>"Light winds, variable and at times cloudy. PM, a small shower of rain."</t>
  </si>
  <si>
    <t>May 7, 1774</t>
  </si>
  <si>
    <t>"Light wind variable, and most part cloudy. PM cloudy, some shower of rain, thunder at a distance, at night lightning."</t>
  </si>
  <si>
    <t>May 8, 1774</t>
  </si>
  <si>
    <t>"Having had intelligence that my Coobah came last night ot Mr. Chambers in the Savanna, to get him to beg for her, he gave her a paper and she came away from there this morning but however is not come home immediately. Sent Chub &amp; Strop to look out for her but they can hear nothing of her."</t>
  </si>
  <si>
    <t>MOLIA (P1)
MR. CHAMBERS (P70)
CHUB (P57)
STROP (P71)
THE OVERSEER (P43)</t>
  </si>
  <si>
    <t>MOLIA
MR. CHAMBERS
CHUB
STROP
THE OVERSEER</t>
  </si>
  <si>
    <t>P1
P70
P57
P71
P43</t>
  </si>
  <si>
    <t>BREADNUT ISLAND PEN
SAVANNA LA MAR</t>
  </si>
  <si>
    <t>L3, L10</t>
  </si>
  <si>
    <t>IMG 610, P.19</t>
  </si>
  <si>
    <t>Monday May 9, 1774</t>
  </si>
  <si>
    <t>"Light air North, cloudy, thunder remote. PM most part mod, rain, thunder at a distance, at night lightning."</t>
  </si>
  <si>
    <t>May 11, 1774</t>
  </si>
  <si>
    <t>"Light winds variable and most part cloudy. PM a small shower of rain, and thunder at a distance."</t>
  </si>
  <si>
    <t>May 12, 1774</t>
  </si>
  <si>
    <t>"Mod. Breezes North &amp; most part cloudy. Soon after Noon a small shower of rain, thunder at a distance, afterwards cloudy."</t>
  </si>
  <si>
    <t>May 13, 1774</t>
  </si>
  <si>
    <t>"Calm, cloudy: middle of the day light rain, cloudy in the evening. Lightning and thunder remote."</t>
  </si>
  <si>
    <t>May 14, 1774</t>
  </si>
  <si>
    <t>"Light winds, variable, most part cloudy. PM some small shower of rain, thunder at a distance."</t>
  </si>
  <si>
    <t>IMG 101, P.94</t>
  </si>
  <si>
    <t>May 16, 1774</t>
  </si>
  <si>
    <t>"About 8 AM, Paradise Jack brought home my Coobah, having catched her at Paradise this morning. Gave him 6 bitts &amp; a drink. She has been gone since Sunday the 17th."</t>
  </si>
  <si>
    <t>MOLIA (P1)
PARADISE JACK (P35)
THE OVERSEER (P43)</t>
  </si>
  <si>
    <t>MOLIA
PARADISE JACK
THE OVERSEER</t>
  </si>
  <si>
    <t>P1
P35
P43</t>
  </si>
  <si>
    <t>IMG 611, P.20</t>
  </si>
  <si>
    <t>May 17, 1774</t>
  </si>
  <si>
    <t>"Light winds, variable and most part cloudy. About 11 AM a shower of rain, afterwards cloudy, at times a few drops of rain, with thunder at a distance."</t>
  </si>
  <si>
    <t>IMG 103, P.96</t>
  </si>
  <si>
    <t>May 18, 1774</t>
  </si>
  <si>
    <t>"...I rode with him as far as Kirkpatrick Pen where sold Cubbah to Mr George Lesley for 40 pounds. I made Dick take her down to Savanna la Mar where went myself &amp; delivered her to the Captain of Mr. Lesley's vessel going for Georgia. Mr. Bean the wharfinger present. Went home to dinner."</t>
  </si>
  <si>
    <t>MOLIA (P1)
GEORGE LESLEY (P49)
SAWNO (P38)
MR. BEAN (P72)
THE OVERSEER (P43)</t>
  </si>
  <si>
    <t>MOLIA
GEORGE LESLEY
SAWNO
MR. BEAN
THE OVERSEER</t>
  </si>
  <si>
    <t>P1
P49
P38
P72
P43</t>
  </si>
  <si>
    <t>CUBBAH, COOBAH
DICK</t>
  </si>
  <si>
    <t>KIRKPATRICK PEN 
SAVANNA LA MAR</t>
  </si>
  <si>
    <t>L9, L10</t>
  </si>
  <si>
    <t>"Light winds, variable and most part cloudy, at times a few drops of rain, thunder at a distance."IMG 611, P.20</t>
  </si>
  <si>
    <t>IMG 106, P.99</t>
  </si>
  <si>
    <t>May 21, 1774</t>
  </si>
  <si>
    <t>"Mr. Lesley's vessel (in which is Coobah) sailed this morning for Savanna, Georgia. Mr. William Pommells in her."</t>
  </si>
  <si>
    <t xml:space="preserve">MOLIA (P1)
GEORGE LESLEY (P49)
</t>
  </si>
  <si>
    <t>MOLIA
GEORGE LESLEY
WILLIAM POMMELLS</t>
  </si>
  <si>
    <t>P1
P49
P206</t>
  </si>
  <si>
    <t>ATLANTIC OCEAN
SAVANNA, GEORGIA</t>
  </si>
  <si>
    <t>L13, L24</t>
  </si>
  <si>
    <t>"Mod breezes, variable and a goood deal cloudy. PM, cloudy, a hard shower of rain, with lightning and thunder at a distance." (IMG 612, P21)</t>
  </si>
  <si>
    <t>IMG 109, P.177</t>
  </si>
  <si>
    <t>May 24, 1774</t>
  </si>
  <si>
    <t>"My Negroes now get great quantities of sniooks, tarpoms, mudfish, etc, the morasses being full of new water. Plenty of crabs also run o'nights."</t>
  </si>
  <si>
    <t>E82</t>
  </si>
  <si>
    <t>August 23, 1774</t>
  </si>
  <si>
    <t>"Flogged Peggy for eating dirt, Sukey catched her in the fact."</t>
  </si>
  <si>
    <t>PEGGY (P19)
SUKEY (P37)</t>
  </si>
  <si>
    <t>PEGGY
SUKEY</t>
  </si>
  <si>
    <t>P19
P37</t>
  </si>
  <si>
    <t>E284</t>
  </si>
  <si>
    <t>November 1774</t>
  </si>
  <si>
    <t>"Surprised John romping with Abba this morning. She is very forward indeed. Reprimanded him, etc."</t>
  </si>
  <si>
    <t>ABBA
JOHN</t>
  </si>
  <si>
    <t>P6
P9</t>
  </si>
  <si>
    <t>May 15, 1775</t>
  </si>
  <si>
    <t>"Light winds, variable and most part cloudy in the evening, a hard shower of rain, thunder at a distance, at night lightning."</t>
  </si>
  <si>
    <t>E293</t>
  </si>
  <si>
    <t>IMG 64, P.57</t>
  </si>
  <si>
    <t>April 8, 1776</t>
  </si>
  <si>
    <t>"Mr. Limburner  told me of their (His, Jenny Young's, Franke's &amp; Phib intention of giving Negroes for Nancy's freedom."</t>
  </si>
  <si>
    <t>JAMES LIMBURNER
JENNY YOUNG
HOUSE FRANKE
PHIBBAH
NANCY</t>
  </si>
  <si>
    <t>P279
P43
P16
P10
P7
P8</t>
  </si>
  <si>
    <t>E450</t>
  </si>
  <si>
    <t>August 12, 1776</t>
  </si>
  <si>
    <t>"In the morning rode to Savanna la Mar &amp; about 10 AM went aboard Mr. Watt's ship, in one of the boats  with Mr. Beckford, Mr. Bossley, etc. Agreed to the give the 55 pound duty. Mr. Watt could not abate of the 59 pound &amp; duty; so Mr. Beckford, Mr. Bossley, Mr. Hugh White, MR. James White, MR. Sterling, Mr. Boyd and myself etc in all about a dozen came away before the sale was opened. However, others stayed &amp; he sold a good many. Mrs. Cope wanted an Ebo girl, about 12 years of age, with small feet, not bow legged nor teeth filed, small hands &amp; long, small tapered fingers etc for a sempstress for Miss Peggy."</t>
  </si>
  <si>
    <t>THE OVERSEER
MR. BECKFORD
MR. BOSSLEY
MR. WATT
HUGH WHITE
JAMES WHITE
MR. STERLING
MR. BOYD
THE PLANTER'S WIFE [MOLLY COPE]
PEGGY COPE</t>
  </si>
  <si>
    <t xml:space="preserve">P43
P383
P384
P385
P386
P387
P388
P389
P45
</t>
  </si>
  <si>
    <t>E106</t>
  </si>
  <si>
    <t>IMG 198, P.191</t>
  </si>
  <si>
    <t>November 2, 1776</t>
  </si>
  <si>
    <t>"Flogged Sally, Fanny, Mirtilla &amp; Dick for evil doings</t>
  </si>
  <si>
    <t>SALLY
FANNY
MIRTILLA
SAWNO/DOWOTRONNY</t>
  </si>
  <si>
    <t>P17
P31
P32
P38</t>
  </si>
  <si>
    <t>E119</t>
  </si>
  <si>
    <t>IMG 200, P.193</t>
  </si>
  <si>
    <t>November 4, 1776</t>
  </si>
  <si>
    <t>"Wrote to Mr. Thomas Brodie, DM by John and sent a Negroe woman to gaol, that came into my piazza last night after it was dark. She was naked, her breasts fallen down, would or could speak no English &amp; bankmarked on each shoulder SE"</t>
  </si>
  <si>
    <t>THE OVERSEER
THOMAS BRODIE
JOHN
UNNAMED NEGROE WOMAN</t>
  </si>
  <si>
    <t>P43
P163
P9</t>
  </si>
  <si>
    <t>E116</t>
  </si>
  <si>
    <t>November 6, 1776</t>
  </si>
  <si>
    <t>"AM Mr. Lesley at my house, rode with him to Negroes at work."</t>
  </si>
  <si>
    <t>THE OVERSEER
GEORGE LESLEY</t>
  </si>
  <si>
    <t>P43
P49</t>
  </si>
  <si>
    <t>E98</t>
  </si>
  <si>
    <t>IMG 211, P.204</t>
  </si>
  <si>
    <t>November 17, 1776</t>
  </si>
  <si>
    <t>"It seems Sally pretended to be sick yesterday afternoon &amp; Dick, like a fool, let her come away before the rest [from Bluecastle] so she went to a Negroe house at 3 Mile River where a Mulatta daughter of old Mr. John Thompson lives, &amp; told her she was sent from Egypt by Jenny Young to buy plantains. And while he woman stepped to another house, not doubting hte truth of her story, nor mistrusting her. she stole her work basket with several valuable claoths and got off clear with them. This mulatto woman was at my house as soon as I was up this morning, with this compaint. I sent out immediately but heard nothing of her."</t>
  </si>
  <si>
    <t xml:space="preserve">SALLY (P17)
SAWNO/DAWOTRONNY (P38)
MR. JOHN THOMPSON (P131)
MR. JOHN THOMPSON'S MULATTA DAUGHTER (P132)
JENNY YOUNG (P16)
</t>
  </si>
  <si>
    <t>SALLY
SAWNO/DOWOTRONNY
MR. JOHN THOMPSON
MR. JOHN THOMPSON'S MULATTA DAUGHTER
JENNY YOUNG</t>
  </si>
  <si>
    <t>P17
P38
P131
P132
P16</t>
  </si>
  <si>
    <t>COOBAH
PHIBBAH'S COOBAH</t>
  </si>
  <si>
    <t>"In evening, Bessie, Mrs. Bessie Calamy, Thompson came &amp; brought home Sally, whom she catched in Betty's house at Mr. Goodin's Pen, with part of her things, but there is wanting a silver thimble with a steel bottom, 2 cambric bed gowns, at a pistole a yard, 2 childrne's shifts at 12 bitts per yard, 4 yards, 2 white handkerchiefs with end borders, 7 bitts each. Put Sally in the bilboes."</t>
  </si>
  <si>
    <t>MRS. BESSIE CALAMY
BETTY
SALLLY
THE OVERSEER</t>
  </si>
  <si>
    <t xml:space="preserve">MRS. BESSIE CALAMY
SALLY
BETTY
THE OVERSEER
</t>
  </si>
  <si>
    <t>P133
P17
P43</t>
  </si>
  <si>
    <t>E69</t>
  </si>
  <si>
    <t>IMG 212, P.205</t>
  </si>
  <si>
    <t>November 18, 1776</t>
  </si>
  <si>
    <t>"A report of the Negroes at Montego Bay, attempting to poison all Butcher meat, etc."</t>
  </si>
  <si>
    <t>"This morning made Cudjoe take down Sally to Mr. Murray's &amp; I went also, where met Mrs. Bessie Calam[y] &amp; Mr. Murray granted me a search warrant, rode to Bay &amp; gave it to one Isaacs, a Jew Constable &amp; lent him my horse. He rode to Mr. Goodin's pen &amp; searched Monday's &amp; Betty's houses but found nothing. I paid him 10s for his trouble."</t>
  </si>
  <si>
    <t>CUDJOE
SALLY
MR. MURRAY
ISAACS
MONDAY
BESSIE</t>
  </si>
  <si>
    <t>P60
P17
P138
P135
P136
P137</t>
  </si>
  <si>
    <t>L28
L29</t>
  </si>
  <si>
    <t>IMG 214, P.207</t>
  </si>
  <si>
    <t>November 20, 1776</t>
  </si>
  <si>
    <t>"Sally still in the Bilboes; took her out, flogged &amp; put a chain about her neck.'</t>
  </si>
  <si>
    <t>SALLY
THE OVERSEER</t>
  </si>
  <si>
    <t>P17
P436</t>
  </si>
  <si>
    <t>IMG 216, P.209</t>
  </si>
  <si>
    <t>November 22, 1776</t>
  </si>
  <si>
    <t>"AM. Mr.s Bessie Calam[y[] come again about the things Sally stole from her and can't be found, lost at Mr. Goodin's Negro houses. She lamented so much &amp; behaved so mildly, that I gave her 3:13:6 to make her amends in part."</t>
  </si>
  <si>
    <t xml:space="preserve">MRS. BESSIE CALAMY
SALLY
THE OVERSEER
</t>
  </si>
  <si>
    <t>E117</t>
  </si>
  <si>
    <t>December 2, 1776</t>
  </si>
  <si>
    <t>"AM In the evening Mr. Lesley rode over &amp; staid a while."</t>
  </si>
  <si>
    <t>E296</t>
  </si>
  <si>
    <t>IMG 226, P.219</t>
  </si>
  <si>
    <t>December 8, 1776</t>
  </si>
  <si>
    <t>"About 10 am, observed spotts in the sun, somewhat as repreesnted. Not unlike 2 cannon balls with a chain between."</t>
  </si>
  <si>
    <t>E118</t>
  </si>
  <si>
    <t>January 11, 1777</t>
  </si>
  <si>
    <t>"PM Mr. Lesley's housekeeper, Jenny, come to see Phib."</t>
  </si>
  <si>
    <t>JENNY [GEORGE LESLEY HOUSEKEEPER]
PHIBBAH</t>
  </si>
  <si>
    <t>P162
P7</t>
  </si>
  <si>
    <t>E148</t>
  </si>
  <si>
    <t>January 14, 1777</t>
  </si>
  <si>
    <t>"Flogged  Fanny, Nanny, and Phoebe for fighting at dinnertime."</t>
  </si>
  <si>
    <t>FANNY
NANNY
PHOEBE</t>
  </si>
  <si>
    <t>P31
P15
P58</t>
  </si>
  <si>
    <t>E163</t>
  </si>
  <si>
    <t>May 2, 1777</t>
  </si>
  <si>
    <t>"In the evening flogged Lincoln for disobedience, in not fishing for me as I ordered him. When the negroes went to work at Meyler's field, put him in the bilboes and then flogged Dick for not bringin him to me, but permitting him to stay with them although I had told him, that Lincoln was not to go."</t>
  </si>
  <si>
    <t>THE OVERSEER
LINCOLN
SAWNO/DOWOTRONNY</t>
  </si>
  <si>
    <t>P43
P24
P39</t>
  </si>
  <si>
    <t>May 3, 1777</t>
  </si>
  <si>
    <t>"Gave the Negroes todahy. Kept Lincoln in bilboes."</t>
  </si>
  <si>
    <t>LINCOLN 
THE OVERSEER</t>
  </si>
  <si>
    <t>P24
P43</t>
  </si>
  <si>
    <t>May 4, 1777</t>
  </si>
  <si>
    <t>"This evening, let Lincoln out of the bilboes at intercession of Egypt House Franke."</t>
  </si>
  <si>
    <t>LINCOLN
EGYPT HOUSE FRANKE
THE OVERSEER</t>
  </si>
  <si>
    <t>P24
P43
P194</t>
  </si>
  <si>
    <t>E230</t>
  </si>
  <si>
    <t>IMG 183, P.176</t>
  </si>
  <si>
    <t>October 11, 1777</t>
  </si>
  <si>
    <t>"Lucy complains of a violent pain at her stomach."</t>
  </si>
  <si>
    <t>October 12, 1777</t>
  </si>
  <si>
    <t>"Lucy very bad of her stomach. Gave her a large dose of magnesia, alba."</t>
  </si>
  <si>
    <t>LUCY
THE OVERSEER</t>
  </si>
  <si>
    <t>P14
P43</t>
  </si>
  <si>
    <t>IMG 185, P.178</t>
  </si>
  <si>
    <t>October 13, 1777</t>
  </si>
  <si>
    <t>"Lucy still exceeding bad. Seems to be bad rheumatic pains or a crick in her neck &amp; is frequently convulsed."</t>
  </si>
  <si>
    <t>October 14, 1777</t>
  </si>
  <si>
    <t>"Lucy very bad, don't know what to think of her."</t>
  </si>
  <si>
    <t>October 15, 1777</t>
  </si>
  <si>
    <t>"Lucy still worse: she died about half an hour past seven in the evening. Am very sorry for her death indeed."</t>
  </si>
  <si>
    <t>"Light wind, variable &amp; at times cloudy. PM a few drops of rain. Thunder remote." [IMG 846, P.47]</t>
  </si>
  <si>
    <t>October 16, 1777</t>
  </si>
  <si>
    <t>"Solon to dig Lucy's grave."</t>
  </si>
  <si>
    <t>SOLON
LUCY</t>
  </si>
  <si>
    <t>P14
P26</t>
  </si>
  <si>
    <t>"Light winds, SSE, and at times cloudy. PM variable, cloudy, some showers fo rain with thunder and lightning." [IMG 846, P,47]</t>
  </si>
  <si>
    <t>IMG 187, P.180</t>
  </si>
  <si>
    <t>"Mr. Cope let Davie come over &amp; make Lucy a coffin. Gave him 4 bitts and some grogg.
For 2 bottles of rum 4 bitts, gave Maria one of the bottles &amp; the other to the grave diggers &amp; Davie. She was buried between 10 and 11 o'clock at night.
About 7 pm a large moonrainbow in the west."</t>
  </si>
  <si>
    <t xml:space="preserve">THE PLANTER
THE OVERSEER
DAVIE
OGO
LUCY
</t>
  </si>
  <si>
    <t>P44
P43
P217
P13
P14</t>
  </si>
  <si>
    <t>E194</t>
  </si>
  <si>
    <t>IMG 220, P.213</t>
  </si>
  <si>
    <t>December 6, 1777</t>
  </si>
  <si>
    <t>"Also flogged Mirtilla and Nanny for almost killing themselves wiht eating cassava badly prepared, although they are well acquainted witth it by which means I lost [their labour] all yesterday besides purges &amp; vomits and the risk of losing them."</t>
  </si>
  <si>
    <t>NANNY
MIRTILLA
THE OVERSEER</t>
  </si>
  <si>
    <t>P15
P32
P43</t>
  </si>
  <si>
    <t>E143</t>
  </si>
  <si>
    <t>January 9, 1778</t>
  </si>
  <si>
    <t>"PM Egypt grannie Quasheba come over, &amp; Phoebe was brought to bed of a girl."</t>
  </si>
  <si>
    <t>QUASHEBA [EGYPT]
PHOEBE</t>
  </si>
  <si>
    <t>P58
P185</t>
  </si>
  <si>
    <t>January 10, 1778</t>
  </si>
  <si>
    <t>"Quasheba went home, gave her a dollar."</t>
  </si>
  <si>
    <t>January 14, 1778</t>
  </si>
  <si>
    <t>"An earthquake, about 9 o'clock this evening, shook my room door, etc."</t>
  </si>
  <si>
    <t>E430</t>
  </si>
  <si>
    <t>IMG 143, P.138</t>
  </si>
  <si>
    <t>August 14, 1778</t>
  </si>
  <si>
    <t>"Mr. John Hartnole died, about 4 pm at his house in Burnt Savanna od a putrid fever, aged apbout 30."</t>
  </si>
  <si>
    <t>August 15, 1778</t>
  </si>
  <si>
    <t>"Early this morning rec'd an invitation from Mr. John Chambers to attend the funeral of Mr. John Hartnole, at the chapel, this afternoon at 10 o'clock. AM Rode into the Savanna and attended Mr. John Hartnole's funeral at the chappel about 11 AM (its grave in the chapel yard and I was one of his bearer's."</t>
  </si>
  <si>
    <t>THE OVERSEER
JOHN CHAMBER
JOHN HARTNOLE</t>
  </si>
  <si>
    <t>P43
P81
P70</t>
  </si>
  <si>
    <t>E327</t>
  </si>
  <si>
    <t>June 6, 1780</t>
  </si>
  <si>
    <t>"Mr. Wilson's Jimmy (Mocho Jimmy) Bess' husband, attempted to hang himself and was very refractory. He is of a sullen disposition."</t>
  </si>
  <si>
    <t xml:space="preserve">MOCHO JIMMY
</t>
  </si>
  <si>
    <t>MR. WILSON'S JIMMY</t>
  </si>
  <si>
    <t>E431</t>
  </si>
  <si>
    <t>August 6, 1780</t>
  </si>
  <si>
    <t>"Mrs. Sarah Bennett died today about Noon, at her house in the Savanna."</t>
  </si>
  <si>
    <t>August 8, 1782</t>
  </si>
  <si>
    <t>"Last night, a huge noise off [sic] beating on the coombie &amp; singing etc, in the Savanna, a Negroe funeral it seems."</t>
  </si>
  <si>
    <t>E61</t>
  </si>
  <si>
    <t>IMG 151, P.146</t>
  </si>
  <si>
    <t>August 11, 1782</t>
  </si>
  <si>
    <t>"Mrs. Blake says Jack Cope has lately collar'd &amp; struck his father etc And that Mr. JC kicks Mrs. C out fo bed and openly takes girls of 8 or 9 years old etc etc. Jenny Young says, it's not true, but that Mr. C. collared &amp; struck Jack."</t>
  </si>
  <si>
    <t>THE PLANTER (P44)
THE PLANTER'S WIFE (P45)
JACK COPE (P94)
JENNY YOUNG (P16)</t>
  </si>
  <si>
    <t>THE PLANTER
THE PLANTER'S WIFE
JACK COPE
JENNY YOUNG</t>
  </si>
  <si>
    <t>P44
P45
P94
P16</t>
  </si>
  <si>
    <t>COOBAH, ACCUBAH</t>
  </si>
  <si>
    <t>E328</t>
  </si>
  <si>
    <t>"Between 10 and 11 am, Mrs. Hannah Pinkney hanged herself in her room with 2 handkerchiefs tied together. It is said she drank a great quantity of rum yesterday &amp; has not been right some time past. Some say a decanter of rum."</t>
  </si>
  <si>
    <t>E64</t>
  </si>
  <si>
    <t>October 19, 1782</t>
  </si>
  <si>
    <t>"Catched Fanny eating dirt."</t>
  </si>
  <si>
    <t>FANNY (P31)</t>
  </si>
  <si>
    <t>November 17, 1782</t>
  </si>
  <si>
    <t>"Last night, Fanny was took in pains etc. Sent for Egypt Mirtilla to be her but she was not brought to bed."</t>
  </si>
  <si>
    <t>FANNY (P31)
EGYPT MIRTILLA (P97)</t>
  </si>
  <si>
    <t>FANNY 
EGYPT MIRTILLA</t>
  </si>
  <si>
    <t>P31
P97</t>
  </si>
  <si>
    <t>November 19, 1782</t>
  </si>
  <si>
    <t>"Egypt Mirtilla still with Fanny, not yet brought to bed.
*Fanny was brought to bed of a girl in AM"</t>
  </si>
  <si>
    <t>FANNY
EGYPT MIRTILLA</t>
  </si>
  <si>
    <t>November 20, 1782</t>
  </si>
  <si>
    <t>"Sukey attending Fanny. Gave Egypt Mirtilla 3 dollars for her trouble &amp; she went home."</t>
  </si>
  <si>
    <t>FANNY (P31)
SUKEY(P37)
EGYPT MIRTILLA (P97)</t>
  </si>
  <si>
    <t>FANNY
SUKEY
EGYPT MIRTILLA</t>
  </si>
  <si>
    <t>P31
P37
P97</t>
  </si>
  <si>
    <t>IMG. 219, P.214</t>
  </si>
  <si>
    <t>November 25, 1782</t>
  </si>
  <si>
    <t>"Fanny lies in. Sukey attending her."</t>
  </si>
  <si>
    <t>FANNY (P31)
SUKEY (P37)</t>
  </si>
  <si>
    <t>FANNY
SUKEY</t>
  </si>
  <si>
    <t>P31
P37</t>
  </si>
  <si>
    <t>November 30, 1782</t>
  </si>
  <si>
    <t>"Fanny has the fever very ill. Gave her James Powder at night."</t>
  </si>
  <si>
    <t>FANNY (P31)
THE OVERSEER (P43)</t>
  </si>
  <si>
    <t>FANNY
THE OVERSEER</t>
  </si>
  <si>
    <t>P31
P43</t>
  </si>
  <si>
    <t>December 2, 1782</t>
  </si>
  <si>
    <t>"Fanny still sick, but rather better."</t>
  </si>
  <si>
    <t>December 3, 1782</t>
  </si>
  <si>
    <t>"Fanny has the fever again, &amp; a pain at her stomach."</t>
  </si>
  <si>
    <t>December 4, 1782</t>
  </si>
  <si>
    <t>"Fanny complains of a pain at her stomach, put on a glister and got Downey to bleed her."</t>
  </si>
  <si>
    <t>December 5, 1782</t>
  </si>
  <si>
    <t>"Fanny much the same. Her blister rose very well."</t>
  </si>
  <si>
    <t>December 6, 1782</t>
  </si>
  <si>
    <t>"Fanny as before....
*She died between 8 or 9 pm."</t>
  </si>
  <si>
    <t>IMG, 227, P.222</t>
  </si>
  <si>
    <t>December 7, 1782</t>
  </si>
  <si>
    <t>"Made L. Pompey make a coffin for Fanny. They buried her at night, a many Negroes &amp; much noise."</t>
  </si>
  <si>
    <t>FANNY (P31)
L. POMPEY (P98)</t>
  </si>
  <si>
    <t>FANNY
L. POMPEY</t>
  </si>
  <si>
    <t>P36
P98</t>
  </si>
  <si>
    <t>E66</t>
  </si>
  <si>
    <t>December 9, 1782</t>
  </si>
  <si>
    <t>"This morning Mr. Hayward's Sally come, to endeavor to give Fanny's child suck. *Phoebe at the Negroe's house with her also."</t>
  </si>
  <si>
    <t xml:space="preserve">LITTLE FANNY (P100)
MR. HAYWARD'S SALLY (P99)
PHOEBE (P58)
</t>
  </si>
  <si>
    <t>LITTLE FANNY
MR. HAWYWARD'S SALLY
PHOEBE</t>
  </si>
  <si>
    <t>P100
P99
P58</t>
  </si>
  <si>
    <t>December 16, 1782</t>
  </si>
  <si>
    <t>"Phoebe at the Negroe house assisting Mr. H's Sally with The child."</t>
  </si>
  <si>
    <t>PHOEBE (P58)
MR. HAYWARD'S SALLY (P99)
LITTLE FANNY (P100)</t>
  </si>
  <si>
    <t>December 30, 1782</t>
  </si>
  <si>
    <t>"Mr. Hayward's Sally at home with The child."</t>
  </si>
  <si>
    <t>MR HAYWARD'S  SALLY (P99)
LITTLE FANNY (P100)</t>
  </si>
  <si>
    <t>MR. HAYWARD'S SALLY
LITTLE FANNY</t>
  </si>
  <si>
    <t>P99
P100</t>
  </si>
  <si>
    <t>IMG 6, P.3-4</t>
  </si>
  <si>
    <t>January 1, 1783</t>
  </si>
  <si>
    <t>"Mr. Hayward's Sally nursing L. Fanny."</t>
  </si>
  <si>
    <t>MR. HAYWARD'S SALLY (P99)
LITTLE FANNY (P99)</t>
  </si>
  <si>
    <t>IMG 7, P.5-6</t>
  </si>
  <si>
    <t>January 5, 1783</t>
  </si>
  <si>
    <t>"To Mr. H's Sally, 4 bitts."</t>
  </si>
  <si>
    <t>MR. HAYWARD'S SALLY (P99)</t>
  </si>
  <si>
    <t>IMG 11, P.15-16</t>
  </si>
  <si>
    <t>January 19, 1783</t>
  </si>
  <si>
    <t>IMG 16, P.23-24</t>
  </si>
  <si>
    <t>February 2, 1783</t>
  </si>
  <si>
    <t>IMG 18, P. 27-28</t>
  </si>
  <si>
    <t>February 9, 1783</t>
  </si>
  <si>
    <t>E132</t>
  </si>
  <si>
    <t>March 7, 1784</t>
  </si>
  <si>
    <t>"AM rode to Bay, served Mr. H's negroes, etc. Attended divine service in the court house, Mr. Stanford preached a very good sermon. Text 2nd chapter Job 10th verse, a good congregation 150 of all colours."
Job 2:10 -- &gt; "He replied, 'You are talking like a foolish woman. Shall we accept good from God, and not trouble?"</t>
  </si>
  <si>
    <t>THE OVERSEER
MR. STANFORD</t>
  </si>
  <si>
    <t>P43
P179
P24</t>
  </si>
  <si>
    <t>E183</t>
  </si>
  <si>
    <t>IMG 151, P. [127]</t>
  </si>
  <si>
    <t>"Last night Basheba brought to bed of a girl."</t>
  </si>
  <si>
    <t>E184</t>
  </si>
  <si>
    <t>IMG 151, P.[127]</t>
  </si>
  <si>
    <t>"Sent to Salt River by Congo Rose 4 polettes."</t>
  </si>
  <si>
    <t>E185</t>
  </si>
  <si>
    <t>*Gave Phibbah a strip'd cherry darry coat of 5 yards, 5 bitts per yard =25. For 4 yards Blue for a coat for Jenny 8 bitts, a yard of white bey 2 bitts, 2 1/2 brown d^0: 5 bitss, and a handkerchief 3 bitts =18."</t>
  </si>
  <si>
    <t>PHIBBAH
THE OVERSEER
JENNY</t>
  </si>
  <si>
    <t>P7
P43
P107</t>
  </si>
  <si>
    <t>E256</t>
  </si>
  <si>
    <t>IMG 10, P.20
[JOHN THISTLEWOOD'S DIARY]</t>
  </si>
  <si>
    <t>"Egypt Lucy children [as of 1763]
Julina
Little Quashe"</t>
  </si>
  <si>
    <t xml:space="preserve">EGYPT LUCY
JULINA
LITTLE QUASHE
</t>
  </si>
  <si>
    <t>P3
P4
P5</t>
  </si>
  <si>
    <t>IMG 20, P.12
[JOHN THISTLEWOOD'S DIARY]</t>
  </si>
  <si>
    <t>"Children Upon Egypt Estate, 1764
Egypt Lucy: Julina, Little Quashe"</t>
  </si>
  <si>
    <t>E458</t>
  </si>
  <si>
    <t>IMG 250, P.244</t>
  </si>
  <si>
    <t>"An account of My Negroes Labor at Masemure Estate
Commencing Monday February 1, 1768 at 1 10 1/2 per day.
Ending Saturday June 4: 18 weeks
1st Week 60
2nd Week 65
3rd Week 66
4th Week 66
5th Week 77 2/3
6th Week 73
7th Week 70
8th Week 69
9th Week 77
10th Week 68
11th Week 73
12th Week 66
13th Week 65
14th Week 65
15th Week 61 1/3
16th Week 50 2/3
17th Week 40 2/3
18th Week 54
= 1167 1/3 x 3 = 3502 bitts, or 109.8.9. or 78.3.4/2 sterling (currency)"</t>
  </si>
  <si>
    <t>"Finish'd holing the Old Sheep Pen Peice, only the pen and a path to it, to carry the dung out, purposely left pull'd up some weeds in the pasture."</t>
  </si>
  <si>
    <t>E304</t>
  </si>
  <si>
    <t>IMG 94, P.170-171</t>
  </si>
  <si>
    <t>JULY 19 1751--JULY 21, 1751</t>
  </si>
  <si>
    <t>"Mr. Dorrill says in this country, it is highly necessary for a man to fight, once, or twice to keep cowards from putting upon him."</t>
  </si>
  <si>
    <t>"At Crawfords are two white Negroes."</t>
  </si>
  <si>
    <t>#ERROR!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</si>
</sst>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164" formatCode="mmmm\ d\,\ yyyy"/>
    <numFmt numFmtId="165" formatCode="mmmm\ d\.\ yyyy"/>
    <numFmt numFmtId="166" formatCode="mmmm\ d\,\ yy"/>
    <numFmt numFmtId="167" formatCode="mmmm\ d\,yyyy"/>
    <numFmt numFmtId="168" formatCode="mmmm\ d"/>
    <numFmt numFmtId="169" formatCode="mmmm\ d\ \,yyyy"/>
    <numFmt numFmtId="170" formatCode="mmmm\ yyyy"/>
    <numFmt numFmtId="171" formatCode="mmmm\ d\ yyyy"/>
    <numFmt numFmtId="172" formatCode="dddd\ mmmm\ d\,\ yyyy"/>
  </numFmts>
  <fonts count="27" x14ac:knownFonts="1">
    <font>
      <sz val="10"/>
      <color rgb="FF000000"/>
      <name val="Georgia"/>
      <scheme val="minor"/>
    </font>
    <font>
      <b/>
      <u/>
      <sz val="12"/>
      <color theme="1"/>
      <name val="Georgia"/>
    </font>
    <font>
      <b/>
      <u/>
      <sz val="12"/>
      <color theme="1"/>
      <name val="Georgia"/>
    </font>
    <font>
      <b/>
      <u/>
      <sz val="12"/>
      <color theme="1"/>
      <name val="Georgia"/>
      <scheme val="minor"/>
    </font>
    <font>
      <b/>
      <u/>
      <sz val="12"/>
      <color theme="1"/>
      <name val="Georgia"/>
    </font>
    <font>
      <b/>
      <u/>
      <sz val="12"/>
      <color theme="1"/>
      <name val="Georgia"/>
    </font>
    <font>
      <sz val="10"/>
      <color theme="1"/>
      <name val="Georgia"/>
      <scheme val="minor"/>
    </font>
    <font>
      <b/>
      <u/>
      <sz val="12"/>
      <color theme="1"/>
      <name val="Georgia"/>
      <scheme val="minor"/>
    </font>
    <font>
      <b/>
      <sz val="12"/>
      <color theme="1"/>
      <name val="Georgia"/>
    </font>
    <font>
      <b/>
      <u/>
      <sz val="12"/>
      <color theme="1"/>
      <name val="Georgia"/>
    </font>
    <font>
      <b/>
      <u/>
      <sz val="12"/>
      <color theme="1"/>
      <name val="Georgia"/>
    </font>
    <font>
      <sz val="10"/>
      <color theme="1"/>
      <name val="Georgia"/>
    </font>
    <font>
      <sz val="10"/>
      <color rgb="FF1A2F40"/>
      <name val="Georgia"/>
    </font>
    <font>
      <sz val="10"/>
      <color theme="1"/>
      <name val="Georgia"/>
      <scheme val="minor"/>
    </font>
    <font>
      <b/>
      <u/>
      <sz val="12"/>
      <color theme="1"/>
      <name val="Georgia"/>
      <scheme val="minor"/>
    </font>
    <font>
      <b/>
      <u/>
      <sz val="12"/>
      <color theme="1"/>
      <name val="Georgia"/>
    </font>
    <font>
      <b/>
      <u/>
      <sz val="12"/>
      <color theme="1"/>
      <name val="Georgia"/>
      <scheme val="minor"/>
    </font>
    <font>
      <b/>
      <u/>
      <sz val="12"/>
      <color theme="1"/>
      <name val="Georgia"/>
      <scheme val="minor"/>
    </font>
    <font>
      <b/>
      <u/>
      <sz val="12"/>
      <color theme="1"/>
      <name val="Georgia"/>
      <scheme val="minor"/>
    </font>
    <font>
      <b/>
      <u/>
      <sz val="12"/>
      <color theme="1"/>
      <name val="Georgia"/>
      <scheme val="minor"/>
    </font>
    <font>
      <sz val="10"/>
      <color rgb="FF000000"/>
      <name val="Georgia"/>
      <scheme val="minor"/>
    </font>
    <font>
      <b/>
      <u/>
      <sz val="12"/>
      <color theme="1"/>
      <name val="Georgia"/>
      <scheme val="minor"/>
    </font>
    <font>
      <b/>
      <u/>
      <sz val="12"/>
      <color theme="1"/>
      <name val="Georgia"/>
      <scheme val="minor"/>
    </font>
    <font>
      <u/>
      <sz val="12"/>
      <color theme="1"/>
      <name val="Georgia"/>
      <scheme val="minor"/>
    </font>
    <font>
      <i/>
      <sz val="10"/>
      <color theme="1"/>
      <name val="Georgia"/>
    </font>
    <font>
      <b/>
      <sz val="10"/>
      <color theme="1"/>
      <name val="Georgia"/>
    </font>
    <font>
      <b/>
      <sz val="10"/>
      <color theme="1"/>
      <name val="Georgia"/>
      <family val="1"/>
      <scheme val="minor"/>
    </font>
  </fonts>
  <fills count="10">
    <fill>
      <patternFill patternType="none"/>
    </fill>
    <fill>
      <patternFill patternType="gray125"/>
    </fill>
    <fill>
      <patternFill patternType="solid">
        <fgColor rgb="FFF56D6D"/>
        <bgColor rgb="FFF56D6D"/>
      </patternFill>
    </fill>
    <fill>
      <patternFill patternType="solid">
        <fgColor rgb="FFB7E1CD"/>
        <bgColor rgb="FFB7E1CD"/>
      </patternFill>
    </fill>
    <fill>
      <patternFill patternType="solid">
        <fgColor theme="0"/>
        <bgColor theme="0"/>
      </patternFill>
    </fill>
    <fill>
      <patternFill patternType="solid">
        <fgColor theme="4"/>
        <bgColor theme="4"/>
      </patternFill>
    </fill>
    <fill>
      <patternFill patternType="solid">
        <fgColor rgb="FFFFFFFF"/>
        <bgColor rgb="FFFFFFFF"/>
      </patternFill>
    </fill>
    <fill>
      <patternFill patternType="solid">
        <fgColor rgb="FFF3F3F3"/>
        <bgColor rgb="FFF3F3F3"/>
      </patternFill>
    </fill>
    <fill>
      <patternFill patternType="solid">
        <fgColor rgb="FF000000"/>
        <bgColor rgb="FF000000"/>
      </patternFill>
    </fill>
    <fill>
      <patternFill patternType="solid">
        <fgColor rgb="FFFFFF00"/>
        <bgColor indexed="64"/>
      </patternFill>
    </fill>
  </fills>
  <borders count="1">
    <border>
      <left/>
      <right/>
      <top/>
      <bottom/>
      <diagonal/>
    </border>
  </borders>
  <cellStyleXfs count="1">
    <xf numFmtId="0" fontId="0" fillId="0" borderId="0"/>
  </cellStyleXfs>
  <cellXfs count="64">
    <xf numFmtId="0" fontId="0" fillId="0" borderId="0" xfId="0"/>
    <xf numFmtId="0" fontId="1" fillId="2" borderId="0" xfId="0" applyFont="1" applyFill="1" applyAlignment="1">
      <alignment horizontal="center" wrapText="1"/>
    </xf>
    <xf numFmtId="0" fontId="2" fillId="2" borderId="0" xfId="0" applyFont="1" applyFill="1" applyAlignment="1">
      <alignment horizontal="center" wrapText="1"/>
    </xf>
    <xf numFmtId="3" fontId="3" fillId="0" borderId="0" xfId="0" applyNumberFormat="1" applyFont="1" applyAlignment="1">
      <alignment horizontal="center"/>
    </xf>
    <xf numFmtId="164" fontId="4" fillId="2" borderId="0" xfId="0" applyNumberFormat="1" applyFont="1" applyFill="1" applyAlignment="1">
      <alignment horizontal="center" wrapText="1"/>
    </xf>
    <xf numFmtId="0" fontId="5" fillId="3" borderId="0" xfId="0" applyFont="1" applyFill="1" applyAlignment="1">
      <alignment horizontal="center" wrapText="1"/>
    </xf>
    <xf numFmtId="0" fontId="6" fillId="0" borderId="0" xfId="0" applyFont="1" applyAlignment="1">
      <alignment horizontal="center" wrapText="1"/>
    </xf>
    <xf numFmtId="0" fontId="7" fillId="0" borderId="0" xfId="0" applyFont="1" applyAlignment="1">
      <alignment horizontal="center"/>
    </xf>
    <xf numFmtId="0" fontId="8" fillId="2" borderId="0" xfId="0" applyFont="1" applyFill="1" applyAlignment="1">
      <alignment horizontal="center" wrapText="1"/>
    </xf>
    <xf numFmtId="0" fontId="8" fillId="3" borderId="0" xfId="0" applyFont="1" applyFill="1" applyAlignment="1">
      <alignment horizontal="center"/>
    </xf>
    <xf numFmtId="0" fontId="9" fillId="3" borderId="0" xfId="0" applyFont="1" applyFill="1" applyAlignment="1">
      <alignment horizontal="center"/>
    </xf>
    <xf numFmtId="0" fontId="10" fillId="2" borderId="0" xfId="0" applyFont="1" applyFill="1" applyAlignment="1">
      <alignment horizontal="center" wrapText="1"/>
    </xf>
    <xf numFmtId="0" fontId="11" fillId="2" borderId="0" xfId="0" applyFont="1" applyFill="1"/>
    <xf numFmtId="4" fontId="6" fillId="0" borderId="0" xfId="0" applyNumberFormat="1" applyFont="1" applyAlignment="1">
      <alignment horizontal="center" wrapText="1"/>
    </xf>
    <xf numFmtId="3" fontId="6" fillId="0" borderId="0" xfId="0" applyNumberFormat="1" applyFont="1" applyAlignment="1">
      <alignment horizontal="center"/>
    </xf>
    <xf numFmtId="0" fontId="11" fillId="0" borderId="0" xfId="0" applyFont="1" applyAlignment="1">
      <alignment horizontal="center" wrapText="1"/>
    </xf>
    <xf numFmtId="0" fontId="6" fillId="0" borderId="0" xfId="0" applyFont="1" applyAlignment="1">
      <alignment horizontal="center"/>
    </xf>
    <xf numFmtId="0" fontId="11" fillId="0" borderId="0" xfId="0" applyFont="1" applyAlignment="1">
      <alignment horizontal="center"/>
    </xf>
    <xf numFmtId="0" fontId="6" fillId="4" borderId="0" xfId="0" applyFont="1" applyFill="1" applyAlignment="1">
      <alignment horizontal="center" wrapText="1"/>
    </xf>
    <xf numFmtId="164" fontId="6" fillId="4" borderId="0" xfId="0" applyNumberFormat="1" applyFont="1" applyFill="1" applyAlignment="1">
      <alignment horizontal="center" wrapText="1"/>
    </xf>
    <xf numFmtId="164" fontId="6" fillId="0" borderId="0" xfId="0" applyNumberFormat="1" applyFont="1" applyAlignment="1">
      <alignment horizontal="center" wrapText="1"/>
    </xf>
    <xf numFmtId="3" fontId="6" fillId="2" borderId="0" xfId="0" applyNumberFormat="1" applyFont="1" applyFill="1" applyAlignment="1">
      <alignment horizontal="center"/>
    </xf>
    <xf numFmtId="0" fontId="6" fillId="2" borderId="0" xfId="0" applyFont="1" applyFill="1" applyAlignment="1">
      <alignment horizontal="center" wrapText="1"/>
    </xf>
    <xf numFmtId="0" fontId="6" fillId="2" borderId="0" xfId="0" applyFont="1" applyFill="1" applyAlignment="1">
      <alignment horizontal="center"/>
    </xf>
    <xf numFmtId="0" fontId="11" fillId="5" borderId="0" xfId="0" applyFont="1" applyFill="1" applyAlignment="1">
      <alignment horizontal="center" wrapText="1"/>
    </xf>
    <xf numFmtId="165" fontId="6" fillId="0" borderId="0" xfId="0" applyNumberFormat="1" applyFont="1" applyAlignment="1">
      <alignment horizontal="center" wrapText="1"/>
    </xf>
    <xf numFmtId="0" fontId="12" fillId="6" borderId="0" xfId="0" applyFont="1" applyFill="1" applyAlignment="1">
      <alignment horizontal="center" wrapText="1"/>
    </xf>
    <xf numFmtId="4" fontId="6" fillId="0" borderId="0" xfId="0" applyNumberFormat="1" applyFont="1" applyAlignment="1">
      <alignment horizontal="center"/>
    </xf>
    <xf numFmtId="0" fontId="6" fillId="0" borderId="0" xfId="0" applyFont="1" applyAlignment="1">
      <alignment wrapText="1"/>
    </xf>
    <xf numFmtId="0" fontId="6" fillId="0" borderId="0" xfId="0" applyFont="1"/>
    <xf numFmtId="0" fontId="11" fillId="2" borderId="0" xfId="0" applyFont="1" applyFill="1" applyAlignment="1">
      <alignment horizontal="center" wrapText="1"/>
    </xf>
    <xf numFmtId="4" fontId="13" fillId="0" borderId="0" xfId="0" applyNumberFormat="1" applyFont="1" applyAlignment="1">
      <alignment horizontal="center" wrapText="1"/>
    </xf>
    <xf numFmtId="0" fontId="13" fillId="0" borderId="0" xfId="0" applyFont="1" applyAlignment="1">
      <alignment horizontal="center" wrapText="1"/>
    </xf>
    <xf numFmtId="0" fontId="0" fillId="6" borderId="0" xfId="0" applyFill="1" applyAlignment="1">
      <alignment horizontal="center" wrapText="1"/>
    </xf>
    <xf numFmtId="0" fontId="14" fillId="0" borderId="0" xfId="0" applyFont="1" applyAlignment="1">
      <alignment horizontal="center" wrapText="1"/>
    </xf>
    <xf numFmtId="0" fontId="15" fillId="3" borderId="0" xfId="0" applyFont="1" applyFill="1" applyAlignment="1">
      <alignment horizontal="center"/>
    </xf>
    <xf numFmtId="0" fontId="11" fillId="7" borderId="0" xfId="0" applyFont="1" applyFill="1" applyAlignment="1">
      <alignment horizontal="center"/>
    </xf>
    <xf numFmtId="0" fontId="11" fillId="6" borderId="0" xfId="0" applyFont="1" applyFill="1" applyAlignment="1">
      <alignment horizontal="center" wrapText="1"/>
    </xf>
    <xf numFmtId="0" fontId="11" fillId="6" borderId="0" xfId="0" applyFont="1" applyFill="1" applyAlignment="1">
      <alignment horizontal="center"/>
    </xf>
    <xf numFmtId="0" fontId="11" fillId="7" borderId="0" xfId="0" applyFont="1" applyFill="1" applyAlignment="1">
      <alignment horizontal="center" wrapText="1"/>
    </xf>
    <xf numFmtId="166" fontId="6" fillId="0" borderId="0" xfId="0" applyNumberFormat="1" applyFont="1" applyAlignment="1">
      <alignment horizontal="center" wrapText="1"/>
    </xf>
    <xf numFmtId="0" fontId="12" fillId="7" borderId="0" xfId="0" applyFont="1" applyFill="1" applyAlignment="1">
      <alignment horizontal="center"/>
    </xf>
    <xf numFmtId="4" fontId="16" fillId="8" borderId="0" xfId="0" applyNumberFormat="1" applyFont="1" applyFill="1" applyAlignment="1">
      <alignment horizontal="center" wrapText="1"/>
    </xf>
    <xf numFmtId="0" fontId="17" fillId="8" borderId="0" xfId="0" applyFont="1" applyFill="1" applyAlignment="1">
      <alignment horizontal="center" wrapText="1"/>
    </xf>
    <xf numFmtId="0" fontId="6" fillId="8" borderId="0" xfId="0" applyFont="1" applyFill="1" applyAlignment="1">
      <alignment wrapText="1"/>
    </xf>
    <xf numFmtId="4" fontId="18" fillId="2" borderId="0" xfId="0" applyNumberFormat="1" applyFont="1" applyFill="1" applyAlignment="1">
      <alignment horizontal="center" wrapText="1"/>
    </xf>
    <xf numFmtId="0" fontId="19" fillId="2" borderId="0" xfId="0" applyFont="1" applyFill="1" applyAlignment="1">
      <alignment horizontal="center" wrapText="1"/>
    </xf>
    <xf numFmtId="4" fontId="12" fillId="7" borderId="0" xfId="0" applyNumberFormat="1" applyFont="1" applyFill="1" applyAlignment="1">
      <alignment horizontal="center"/>
    </xf>
    <xf numFmtId="164" fontId="11" fillId="7" borderId="0" xfId="0" applyNumberFormat="1" applyFont="1" applyFill="1" applyAlignment="1">
      <alignment horizontal="center" wrapText="1"/>
    </xf>
    <xf numFmtId="0" fontId="11" fillId="7" borderId="0" xfId="0" applyFont="1" applyFill="1"/>
    <xf numFmtId="167" fontId="6" fillId="0" borderId="0" xfId="0" applyNumberFormat="1" applyFont="1" applyAlignment="1">
      <alignment horizontal="center" wrapText="1"/>
    </xf>
    <xf numFmtId="0" fontId="20" fillId="0" borderId="0" xfId="0" applyFont="1" applyAlignment="1">
      <alignment horizontal="center" wrapText="1"/>
    </xf>
    <xf numFmtId="0" fontId="21" fillId="0" borderId="0" xfId="0" applyFont="1" applyAlignment="1">
      <alignment horizontal="center" wrapText="1"/>
    </xf>
    <xf numFmtId="0" fontId="22" fillId="0" borderId="0" xfId="0" applyFont="1" applyAlignment="1">
      <alignment horizontal="center" wrapText="1"/>
    </xf>
    <xf numFmtId="0" fontId="23" fillId="0" borderId="0" xfId="0" applyFont="1" applyAlignment="1">
      <alignment horizontal="center" wrapText="1"/>
    </xf>
    <xf numFmtId="168" fontId="6" fillId="0" borderId="0" xfId="0" applyNumberFormat="1" applyFont="1" applyAlignment="1">
      <alignment horizontal="center" wrapText="1"/>
    </xf>
    <xf numFmtId="169" fontId="6" fillId="0" borderId="0" xfId="0" applyNumberFormat="1" applyFont="1" applyAlignment="1">
      <alignment horizontal="center" wrapText="1"/>
    </xf>
    <xf numFmtId="0" fontId="12" fillId="6" borderId="0" xfId="0" applyFont="1" applyFill="1" applyAlignment="1">
      <alignment horizontal="center"/>
    </xf>
    <xf numFmtId="170" fontId="6" fillId="0" borderId="0" xfId="0" applyNumberFormat="1" applyFont="1" applyAlignment="1">
      <alignment horizontal="center" wrapText="1"/>
    </xf>
    <xf numFmtId="0" fontId="12" fillId="7" borderId="0" xfId="0" applyFont="1" applyFill="1" applyAlignment="1">
      <alignment horizontal="center" wrapText="1"/>
    </xf>
    <xf numFmtId="0" fontId="20" fillId="6" borderId="0" xfId="0" applyFont="1" applyFill="1" applyAlignment="1">
      <alignment horizontal="center" wrapText="1"/>
    </xf>
    <xf numFmtId="171" fontId="6" fillId="0" borderId="0" xfId="0" applyNumberFormat="1" applyFont="1" applyAlignment="1">
      <alignment horizontal="center" wrapText="1"/>
    </xf>
    <xf numFmtId="172" fontId="6" fillId="0" borderId="0" xfId="0" applyNumberFormat="1" applyFont="1" applyAlignment="1">
      <alignment horizontal="center" wrapText="1"/>
    </xf>
    <xf numFmtId="0" fontId="26" fillId="9" borderId="0" xfId="0" applyFont="1" applyFill="1"/>
  </cellXfs>
  <cellStyles count="1">
    <cellStyle name="Normal" xfId="0" builtinId="0"/>
  </cellStyles>
  <dxfs count="27">
    <dxf>
      <fill>
        <patternFill patternType="solid">
          <fgColor rgb="FFF3F3F3"/>
          <bgColor rgb="FFF3F3F3"/>
        </patternFill>
      </fill>
    </dxf>
    <dxf>
      <fill>
        <patternFill patternType="solid">
          <fgColor rgb="FFFFFFFF"/>
          <bgColor rgb="FFFFFFFF"/>
        </patternFill>
      </fill>
    </dxf>
    <dxf>
      <fill>
        <patternFill patternType="solid">
          <fgColor rgb="FFF56D6D"/>
          <bgColor rgb="FFF56D6D"/>
        </patternFill>
      </fill>
    </dxf>
    <dxf>
      <fill>
        <patternFill patternType="solid">
          <fgColor rgb="FFF3F3F3"/>
          <bgColor rgb="FFF3F3F3"/>
        </patternFill>
      </fill>
    </dxf>
    <dxf>
      <fill>
        <patternFill patternType="solid">
          <fgColor rgb="FFFFFFFF"/>
          <bgColor rgb="FFFFFFFF"/>
        </patternFill>
      </fill>
    </dxf>
    <dxf>
      <fill>
        <patternFill patternType="solid">
          <fgColor rgb="FFF56D6D"/>
          <bgColor rgb="FFF56D6D"/>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56D6D"/>
          <bgColor rgb="FFF56D6D"/>
        </patternFill>
      </fill>
    </dxf>
    <dxf>
      <fill>
        <patternFill patternType="solid">
          <fgColor rgb="FFF3F3F3"/>
          <bgColor rgb="FFF3F3F3"/>
        </patternFill>
      </fill>
    </dxf>
    <dxf>
      <fill>
        <patternFill patternType="solid">
          <fgColor rgb="FFFFFFFF"/>
          <bgColor rgb="FFFFFFFF"/>
        </patternFill>
      </fill>
    </dxf>
    <dxf>
      <fill>
        <patternFill patternType="solid">
          <fgColor rgb="FFF56D6D"/>
          <bgColor rgb="FFF56D6D"/>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56D6D"/>
          <bgColor rgb="FFF56D6D"/>
        </patternFill>
      </fill>
    </dxf>
  </dxfs>
  <tableStyles count="11">
    <tableStyle name="GLOSSARY-style" pivot="0" count="3" xr9:uid="{00000000-0011-0000-FFFF-FFFF00000000}">
      <tableStyleElement type="headerRow" dxfId="26"/>
      <tableStyleElement type="firstRowStripe" dxfId="25"/>
      <tableStyleElement type="secondRowStripe" dxfId="24"/>
    </tableStyle>
    <tableStyle name="EVENTS-style" pivot="0" count="2" xr9:uid="{00000000-0011-0000-FFFF-FFFF01000000}">
      <tableStyleElement type="firstRowStripe" dxfId="23"/>
      <tableStyleElement type="secondRowStripe" dxfId="22"/>
    </tableStyle>
    <tableStyle name="RELATIONSHIPS-style" pivot="0" count="3" xr9:uid="{00000000-0011-0000-FFFF-FFFF02000000}">
      <tableStyleElement type="headerRow" dxfId="21"/>
      <tableStyleElement type="firstRowStripe" dxfId="20"/>
      <tableStyleElement type="secondRowStripe" dxfId="19"/>
    </tableStyle>
    <tableStyle name="EVENTS-style 2" pivot="0" count="3" xr9:uid="{00000000-0011-0000-FFFF-FFFF03000000}">
      <tableStyleElement type="headerRow" dxfId="18"/>
      <tableStyleElement type="firstRowStripe" dxfId="17"/>
      <tableStyleElement type="secondRowStripe" dxfId="16"/>
    </tableStyle>
    <tableStyle name="Sheet5-style" pivot="0" count="2" xr9:uid="{00000000-0011-0000-FFFF-FFFF04000000}">
      <tableStyleElement type="firstRowStripe" dxfId="15"/>
      <tableStyleElement type="secondRowStripe" dxfId="14"/>
    </tableStyle>
    <tableStyle name="Sheet5-style 2" pivot="0" count="2" xr9:uid="{00000000-0011-0000-FFFF-FFFF05000000}">
      <tableStyleElement type="firstRowStripe" dxfId="13"/>
      <tableStyleElement type="secondRowStripe" dxfId="12"/>
    </tableStyle>
    <tableStyle name="Sheet5-style 3" pivot="0" count="2" xr9:uid="{00000000-0011-0000-FFFF-FFFF06000000}">
      <tableStyleElement type="firstRowStripe" dxfId="11"/>
      <tableStyleElement type="secondRowStripe" dxfId="10"/>
    </tableStyle>
    <tableStyle name="Sheet5-style 4" pivot="0" count="2" xr9:uid="{00000000-0011-0000-FFFF-FFFF07000000}">
      <tableStyleElement type="firstRowStripe" dxfId="9"/>
      <tableStyleElement type="secondRowStripe" dxfId="8"/>
    </tableStyle>
    <tableStyle name="Sheet5-style 5" pivot="0" count="2" xr9:uid="{00000000-0011-0000-FFFF-FFFF08000000}">
      <tableStyleElement type="firstRowStripe" dxfId="7"/>
      <tableStyleElement type="secondRowStripe" dxfId="6"/>
    </tableStyle>
    <tableStyle name="JON RELATIONSHIPS-style" pivot="0" count="3" xr9:uid="{00000000-0011-0000-FFFF-FFFF09000000}">
      <tableStyleElement type="headerRow" dxfId="5"/>
      <tableStyleElement type="firstRowStripe" dxfId="4"/>
      <tableStyleElement type="secondRowStripe" dxfId="3"/>
    </tableStyle>
    <tableStyle name="JON EVENTS-style" pivot="0" count="3" xr9:uid="{00000000-0011-0000-FFFF-FFFF0A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Jessica Newby" id="{7140AEAE-DEA7-49A3-80BC-DB35FBED8A33}" userId="" providerId="google-sheets"/>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B1534" headerRowCount="0">
  <tableColumns count="28">
    <tableColumn id="1" xr3:uid="{00000000-0010-0000-0000-000001000000}" name="Column1"/>
    <tableColumn id="2" xr3:uid="{00000000-0010-0000-0000-000002000000}" name="Column2"/>
    <tableColumn id="3" xr3:uid="{00000000-0010-0000-0000-000003000000}" name="Column3"/>
    <tableColumn id="4" xr3:uid="{00000000-0010-0000-0000-000004000000}" name="Column4"/>
    <tableColumn id="5" xr3:uid="{00000000-0010-0000-0000-000005000000}" name="Column5"/>
    <tableColumn id="6" xr3:uid="{00000000-0010-0000-0000-000006000000}" name="Column6"/>
    <tableColumn id="7" xr3:uid="{00000000-0010-0000-0000-000007000000}" name="Column7"/>
    <tableColumn id="8" xr3:uid="{00000000-0010-0000-0000-000008000000}" name="Column8"/>
    <tableColumn id="9" xr3:uid="{00000000-0010-0000-0000-000009000000}" name="Column9"/>
    <tableColumn id="10" xr3:uid="{00000000-0010-0000-0000-00000A000000}" name="Column10"/>
    <tableColumn id="11" xr3:uid="{00000000-0010-0000-0000-00000B000000}" name="Column11"/>
    <tableColumn id="12" xr3:uid="{00000000-0010-0000-0000-00000C000000}" name="Column12"/>
    <tableColumn id="13" xr3:uid="{00000000-0010-0000-0000-00000D000000}" name="Column13"/>
    <tableColumn id="14" xr3:uid="{00000000-0010-0000-0000-00000E000000}" name="Column14"/>
    <tableColumn id="15" xr3:uid="{00000000-0010-0000-0000-00000F000000}" name="Column15"/>
    <tableColumn id="16" xr3:uid="{00000000-0010-0000-0000-000010000000}" name="Column16"/>
    <tableColumn id="17" xr3:uid="{00000000-0010-0000-0000-000011000000}" name="Column17"/>
    <tableColumn id="18" xr3:uid="{00000000-0010-0000-0000-000012000000}" name="Column18"/>
    <tableColumn id="19" xr3:uid="{00000000-0010-0000-0000-000013000000}" name="Column19"/>
    <tableColumn id="20" xr3:uid="{00000000-0010-0000-0000-000014000000}" name="Column20"/>
    <tableColumn id="21" xr3:uid="{00000000-0010-0000-0000-000015000000}" name="Column21"/>
    <tableColumn id="22" xr3:uid="{00000000-0010-0000-0000-000016000000}" name="Column22"/>
    <tableColumn id="23" xr3:uid="{00000000-0010-0000-0000-000017000000}" name="Column23"/>
    <tableColumn id="24" xr3:uid="{00000000-0010-0000-0000-000018000000}" name="Column24"/>
    <tableColumn id="25" xr3:uid="{00000000-0010-0000-0000-000019000000}" name="Column25"/>
    <tableColumn id="26" xr3:uid="{00000000-0010-0000-0000-00001A000000}" name="Column26"/>
    <tableColumn id="27" xr3:uid="{00000000-0010-0000-0000-00001B000000}" name="Column27"/>
    <tableColumn id="28" xr3:uid="{00000000-0010-0000-0000-00001C000000}" name="Column28"/>
  </tableColumns>
  <tableStyleInfo name="GLOSSARY-style" showFirstColumn="1" showLastColumn="1" showRowStripes="1" showColumnStripes="0"/>
  <extLst>
    <ext uri="GoogleSheetsCustomDataVersion1">
      <go:sheetsCustomData xmlns:go="http://customooxmlschemas.google.com/" headerRowCount="1"/>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1:AE1" headerRowCount="0">
  <tableColumns count="31">
    <tableColumn id="1" xr3:uid="{00000000-0010-0000-0100-000001000000}" name="Column1"/>
    <tableColumn id="2" xr3:uid="{00000000-0010-0000-0100-000002000000}" name="Column2"/>
    <tableColumn id="3" xr3:uid="{00000000-0010-0000-0100-000003000000}" name="Column3"/>
    <tableColumn id="4" xr3:uid="{00000000-0010-0000-0100-000004000000}" name="Column4"/>
    <tableColumn id="5" xr3:uid="{00000000-0010-0000-0100-000005000000}" name="Column5"/>
    <tableColumn id="6" xr3:uid="{00000000-0010-0000-0100-000006000000}" name="Column6"/>
    <tableColumn id="7" xr3:uid="{00000000-0010-0000-0100-000007000000}" name="Column7"/>
    <tableColumn id="8" xr3:uid="{00000000-0010-0000-0100-000008000000}" name="Column8"/>
    <tableColumn id="9" xr3:uid="{00000000-0010-0000-0100-000009000000}" name="Column9"/>
    <tableColumn id="10" xr3:uid="{00000000-0010-0000-0100-00000A000000}" name="Column10"/>
    <tableColumn id="11" xr3:uid="{00000000-0010-0000-0100-00000B000000}" name="Column11"/>
    <tableColumn id="12" xr3:uid="{00000000-0010-0000-0100-00000C000000}" name="Column12"/>
    <tableColumn id="13" xr3:uid="{00000000-0010-0000-0100-00000D000000}" name="Column13"/>
    <tableColumn id="14" xr3:uid="{00000000-0010-0000-0100-00000E000000}" name="Column14"/>
    <tableColumn id="15" xr3:uid="{00000000-0010-0000-0100-00000F000000}" name="Column15"/>
    <tableColumn id="16" xr3:uid="{00000000-0010-0000-0100-000010000000}" name="Column16"/>
    <tableColumn id="17" xr3:uid="{00000000-0010-0000-0100-000011000000}" name="Column17"/>
    <tableColumn id="18" xr3:uid="{00000000-0010-0000-0100-000012000000}" name="Column18"/>
    <tableColumn id="19" xr3:uid="{00000000-0010-0000-0100-000013000000}" name="Column19"/>
    <tableColumn id="20" xr3:uid="{00000000-0010-0000-0100-000014000000}" name="Column20"/>
    <tableColumn id="21" xr3:uid="{00000000-0010-0000-0100-000015000000}" name="Column21"/>
    <tableColumn id="22" xr3:uid="{00000000-0010-0000-0100-000016000000}" name="Column22"/>
    <tableColumn id="23" xr3:uid="{00000000-0010-0000-0100-000017000000}" name="Column23"/>
    <tableColumn id="24" xr3:uid="{00000000-0010-0000-0100-000018000000}" name="Column24"/>
    <tableColumn id="25" xr3:uid="{00000000-0010-0000-0100-000019000000}" name="Column25"/>
    <tableColumn id="26" xr3:uid="{00000000-0010-0000-0100-00001A000000}" name="Column26"/>
    <tableColumn id="27" xr3:uid="{00000000-0010-0000-0100-00001B000000}" name="Column27"/>
    <tableColumn id="28" xr3:uid="{00000000-0010-0000-0100-00001C000000}" name="Column28"/>
    <tableColumn id="29" xr3:uid="{00000000-0010-0000-0100-00001D000000}" name="Column29"/>
    <tableColumn id="30" xr3:uid="{00000000-0010-0000-0100-00001E000000}" name="Column30"/>
    <tableColumn id="31" xr3:uid="{00000000-0010-0000-0100-00001F000000}" name="Column31"/>
  </tableColumns>
  <tableStyleInfo name="EVENTS-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able_4" displayName="Table_4" ref="A2:AE2030" headerRowCount="0">
  <tableColumns count="31">
    <tableColumn id="1" xr3:uid="{00000000-0010-0000-0200-000001000000}" name="Column1"/>
    <tableColumn id="2" xr3:uid="{00000000-0010-0000-0200-000002000000}" name="Column2"/>
    <tableColumn id="3" xr3:uid="{00000000-0010-0000-0200-000003000000}" name="Column3"/>
    <tableColumn id="4" xr3:uid="{00000000-0010-0000-0200-000004000000}" name="Column4"/>
    <tableColumn id="5" xr3:uid="{00000000-0010-0000-0200-000005000000}" name="Column5"/>
    <tableColumn id="6" xr3:uid="{00000000-0010-0000-0200-000006000000}" name="Column6"/>
    <tableColumn id="7" xr3:uid="{00000000-0010-0000-0200-000007000000}" name="Column7"/>
    <tableColumn id="8" xr3:uid="{00000000-0010-0000-0200-000008000000}" name="Column8"/>
    <tableColumn id="9" xr3:uid="{00000000-0010-0000-0200-000009000000}" name="Column9"/>
    <tableColumn id="10" xr3:uid="{00000000-0010-0000-0200-00000A000000}" name="Column10"/>
    <tableColumn id="11" xr3:uid="{00000000-0010-0000-0200-00000B000000}" name="Column11"/>
    <tableColumn id="12" xr3:uid="{00000000-0010-0000-0200-00000C000000}" name="Column12"/>
    <tableColumn id="13" xr3:uid="{00000000-0010-0000-0200-00000D000000}" name="Column13"/>
    <tableColumn id="14" xr3:uid="{00000000-0010-0000-0200-00000E000000}" name="Column14"/>
    <tableColumn id="15" xr3:uid="{00000000-0010-0000-0200-00000F000000}" name="Column15"/>
    <tableColumn id="16" xr3:uid="{00000000-0010-0000-0200-000010000000}" name="Column16"/>
    <tableColumn id="17" xr3:uid="{00000000-0010-0000-0200-000011000000}" name="Column17"/>
    <tableColumn id="18" xr3:uid="{00000000-0010-0000-0200-000012000000}" name="Column18"/>
    <tableColumn id="19" xr3:uid="{00000000-0010-0000-0200-000013000000}" name="Column19"/>
    <tableColumn id="20" xr3:uid="{00000000-0010-0000-0200-000014000000}" name="Column20"/>
    <tableColumn id="21" xr3:uid="{00000000-0010-0000-0200-000015000000}" name="Column21"/>
    <tableColumn id="22" xr3:uid="{00000000-0010-0000-0200-000016000000}" name="Column22"/>
    <tableColumn id="23" xr3:uid="{00000000-0010-0000-0200-000017000000}" name="Column23"/>
    <tableColumn id="24" xr3:uid="{00000000-0010-0000-0200-000018000000}" name="Column24"/>
    <tableColumn id="25" xr3:uid="{00000000-0010-0000-0200-000019000000}" name="Column25"/>
    <tableColumn id="26" xr3:uid="{00000000-0010-0000-0200-00001A000000}" name="Column26"/>
    <tableColumn id="27" xr3:uid="{00000000-0010-0000-0200-00001B000000}" name="Column27"/>
    <tableColumn id="28" xr3:uid="{00000000-0010-0000-0200-00001C000000}" name="Column28"/>
    <tableColumn id="29" xr3:uid="{00000000-0010-0000-0200-00001D000000}" name="Column29"/>
    <tableColumn id="30" xr3:uid="{00000000-0010-0000-0200-00001E000000}" name="Column30"/>
    <tableColumn id="31" xr3:uid="{00000000-0010-0000-0200-00001F000000}" name="Column31"/>
  </tableColumns>
  <tableStyleInfo name="EVENTS-style 2" showFirstColumn="1" showLastColumn="1" showRowStripes="1" showColumnStripes="0"/>
  <extLst>
    <ext uri="GoogleSheetsCustomDataVersion1">
      <go:sheetsCustomData xmlns:go="http://customooxmlschemas.google.com/" headerRowCount="1"/>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3000000}" name="Table_3" displayName="Table_3" ref="A1:Y1213" headerRowCount="0">
  <tableColumns count="25">
    <tableColumn id="1" xr3:uid="{00000000-0010-0000-0300-000001000000}" name="Column1"/>
    <tableColumn id="2" xr3:uid="{00000000-0010-0000-0300-000002000000}" name="Column2"/>
    <tableColumn id="3" xr3:uid="{00000000-0010-0000-0300-000003000000}" name="Column3"/>
    <tableColumn id="4" xr3:uid="{00000000-0010-0000-0300-000004000000}" name="Column4"/>
    <tableColumn id="5" xr3:uid="{00000000-0010-0000-0300-000005000000}" name="Column5"/>
    <tableColumn id="6" xr3:uid="{00000000-0010-0000-0300-000006000000}" name="Column6"/>
    <tableColumn id="7" xr3:uid="{00000000-0010-0000-0300-000007000000}" name="Column7"/>
    <tableColumn id="8" xr3:uid="{00000000-0010-0000-0300-000008000000}" name="Column8"/>
    <tableColumn id="9" xr3:uid="{00000000-0010-0000-0300-000009000000}" name="Column9"/>
    <tableColumn id="10" xr3:uid="{00000000-0010-0000-0300-00000A000000}" name="Column10"/>
    <tableColumn id="11" xr3:uid="{00000000-0010-0000-0300-00000B000000}" name="Column11"/>
    <tableColumn id="12" xr3:uid="{00000000-0010-0000-0300-00000C000000}" name="Column12"/>
    <tableColumn id="13" xr3:uid="{00000000-0010-0000-0300-00000D000000}" name="Column13"/>
    <tableColumn id="14" xr3:uid="{00000000-0010-0000-0300-00000E000000}" name="Column14"/>
    <tableColumn id="15" xr3:uid="{00000000-0010-0000-0300-00000F000000}" name="Column15"/>
    <tableColumn id="16" xr3:uid="{00000000-0010-0000-0300-000010000000}" name="Column16"/>
    <tableColumn id="17" xr3:uid="{00000000-0010-0000-0300-000011000000}" name="Column17"/>
    <tableColumn id="18" xr3:uid="{00000000-0010-0000-0300-000012000000}" name="Column18"/>
    <tableColumn id="19" xr3:uid="{00000000-0010-0000-0300-000013000000}" name="Column19"/>
    <tableColumn id="20" xr3:uid="{00000000-0010-0000-0300-000014000000}" name="Column20"/>
    <tableColumn id="21" xr3:uid="{00000000-0010-0000-0300-000015000000}" name="Column21"/>
    <tableColumn id="22" xr3:uid="{00000000-0010-0000-0300-000016000000}" name="Column22"/>
    <tableColumn id="23" xr3:uid="{00000000-0010-0000-0300-000017000000}" name="Column23"/>
    <tableColumn id="24" xr3:uid="{00000000-0010-0000-0300-000018000000}" name="Column24"/>
    <tableColumn id="25" xr3:uid="{00000000-0010-0000-0300-000019000000}" name="Column25"/>
  </tableColumns>
  <tableStyleInfo name="RELATIONSHIPS-style" showFirstColumn="1" showLastColumn="1" showRowStripes="1" showColumnStripes="0"/>
  <extLst>
    <ext uri="GoogleSheetsCustomDataVersion1">
      <go:sheetsCustomData xmlns:go="http://customooxmlschemas.google.com/" headerRowCount="1"/>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A1:AE1" headerRowCount="0">
  <tableColumns count="31">
    <tableColumn id="1" xr3:uid="{00000000-0010-0000-0400-000001000000}" name="Column1"/>
    <tableColumn id="2" xr3:uid="{00000000-0010-0000-0400-000002000000}" name="Column2"/>
    <tableColumn id="3" xr3:uid="{00000000-0010-0000-0400-000003000000}" name="Column3"/>
    <tableColumn id="4" xr3:uid="{00000000-0010-0000-0400-000004000000}" name="Column4"/>
    <tableColumn id="5" xr3:uid="{00000000-0010-0000-0400-000005000000}" name="Column5"/>
    <tableColumn id="6" xr3:uid="{00000000-0010-0000-0400-000006000000}" name="Column6"/>
    <tableColumn id="7" xr3:uid="{00000000-0010-0000-0400-000007000000}" name="Column7"/>
    <tableColumn id="8" xr3:uid="{00000000-0010-0000-0400-000008000000}" name="Column8"/>
    <tableColumn id="9" xr3:uid="{00000000-0010-0000-0400-000009000000}" name="Column9"/>
    <tableColumn id="10" xr3:uid="{00000000-0010-0000-0400-00000A000000}" name="Column10"/>
    <tableColumn id="11" xr3:uid="{00000000-0010-0000-0400-00000B000000}" name="Column11"/>
    <tableColumn id="12" xr3:uid="{00000000-0010-0000-0400-00000C000000}" name="Column12"/>
    <tableColumn id="13" xr3:uid="{00000000-0010-0000-0400-00000D000000}" name="Column13"/>
    <tableColumn id="14" xr3:uid="{00000000-0010-0000-0400-00000E000000}" name="Column14"/>
    <tableColumn id="15" xr3:uid="{00000000-0010-0000-0400-00000F000000}" name="Column15"/>
    <tableColumn id="16" xr3:uid="{00000000-0010-0000-0400-000010000000}" name="Column16"/>
    <tableColumn id="17" xr3:uid="{00000000-0010-0000-0400-000011000000}" name="Column17"/>
    <tableColumn id="18" xr3:uid="{00000000-0010-0000-0400-000012000000}" name="Column18"/>
    <tableColumn id="19" xr3:uid="{00000000-0010-0000-0400-000013000000}" name="Column19"/>
    <tableColumn id="20" xr3:uid="{00000000-0010-0000-0400-000014000000}" name="Column20"/>
    <tableColumn id="21" xr3:uid="{00000000-0010-0000-0400-000015000000}" name="Column21"/>
    <tableColumn id="22" xr3:uid="{00000000-0010-0000-0400-000016000000}" name="Column22"/>
    <tableColumn id="23" xr3:uid="{00000000-0010-0000-0400-000017000000}" name="Column23"/>
    <tableColumn id="24" xr3:uid="{00000000-0010-0000-0400-000018000000}" name="Column24"/>
    <tableColumn id="25" xr3:uid="{00000000-0010-0000-0400-000019000000}" name="Column25"/>
    <tableColumn id="26" xr3:uid="{00000000-0010-0000-0400-00001A000000}" name="Column26"/>
    <tableColumn id="27" xr3:uid="{00000000-0010-0000-0400-00001B000000}" name="Column27"/>
    <tableColumn id="28" xr3:uid="{00000000-0010-0000-0400-00001C000000}" name="Column28"/>
    <tableColumn id="29" xr3:uid="{00000000-0010-0000-0400-00001D000000}" name="Column29"/>
    <tableColumn id="30" xr3:uid="{00000000-0010-0000-0400-00001E000000}" name="Column30"/>
    <tableColumn id="31" xr3:uid="{00000000-0010-0000-0400-00001F000000}" name="Column31"/>
  </tableColumns>
  <tableStyleInfo name="Sheet5-style"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A2:AE2" headerRowCount="0">
  <tableColumns count="31">
    <tableColumn id="1" xr3:uid="{00000000-0010-0000-0500-000001000000}" name="Column1"/>
    <tableColumn id="2" xr3:uid="{00000000-0010-0000-0500-000002000000}" name="Column2"/>
    <tableColumn id="3" xr3:uid="{00000000-0010-0000-0500-000003000000}" name="Column3"/>
    <tableColumn id="4" xr3:uid="{00000000-0010-0000-0500-000004000000}" name="Column4"/>
    <tableColumn id="5" xr3:uid="{00000000-0010-0000-0500-000005000000}" name="Column5"/>
    <tableColumn id="6" xr3:uid="{00000000-0010-0000-0500-000006000000}" name="Column6"/>
    <tableColumn id="7" xr3:uid="{00000000-0010-0000-0500-000007000000}" name="Column7"/>
    <tableColumn id="8" xr3:uid="{00000000-0010-0000-0500-000008000000}" name="Column8"/>
    <tableColumn id="9" xr3:uid="{00000000-0010-0000-0500-000009000000}" name="Column9"/>
    <tableColumn id="10" xr3:uid="{00000000-0010-0000-0500-00000A000000}" name="Column10"/>
    <tableColumn id="11" xr3:uid="{00000000-0010-0000-0500-00000B000000}" name="Column11"/>
    <tableColumn id="12" xr3:uid="{00000000-0010-0000-0500-00000C000000}" name="Column12"/>
    <tableColumn id="13" xr3:uid="{00000000-0010-0000-0500-00000D000000}" name="Column13"/>
    <tableColumn id="14" xr3:uid="{00000000-0010-0000-0500-00000E000000}" name="Column14"/>
    <tableColumn id="15" xr3:uid="{00000000-0010-0000-0500-00000F000000}" name="Column15"/>
    <tableColumn id="16" xr3:uid="{00000000-0010-0000-0500-000010000000}" name="Column16"/>
    <tableColumn id="17" xr3:uid="{00000000-0010-0000-0500-000011000000}" name="Column17"/>
    <tableColumn id="18" xr3:uid="{00000000-0010-0000-0500-000012000000}" name="Column18"/>
    <tableColumn id="19" xr3:uid="{00000000-0010-0000-0500-000013000000}" name="Column19"/>
    <tableColumn id="20" xr3:uid="{00000000-0010-0000-0500-000014000000}" name="Column20"/>
    <tableColumn id="21" xr3:uid="{00000000-0010-0000-0500-000015000000}" name="Column21"/>
    <tableColumn id="22" xr3:uid="{00000000-0010-0000-0500-000016000000}" name="Column22"/>
    <tableColumn id="23" xr3:uid="{00000000-0010-0000-0500-000017000000}" name="Column23"/>
    <tableColumn id="24" xr3:uid="{00000000-0010-0000-0500-000018000000}" name="Column24"/>
    <tableColumn id="25" xr3:uid="{00000000-0010-0000-0500-000019000000}" name="Column25"/>
    <tableColumn id="26" xr3:uid="{00000000-0010-0000-0500-00001A000000}" name="Column26"/>
    <tableColumn id="27" xr3:uid="{00000000-0010-0000-0500-00001B000000}" name="Column27"/>
    <tableColumn id="28" xr3:uid="{00000000-0010-0000-0500-00001C000000}" name="Column28"/>
    <tableColumn id="29" xr3:uid="{00000000-0010-0000-0500-00001D000000}" name="Column29"/>
    <tableColumn id="30" xr3:uid="{00000000-0010-0000-0500-00001E000000}" name="Column30"/>
    <tableColumn id="31" xr3:uid="{00000000-0010-0000-0500-00001F000000}" name="Column31"/>
  </tableColumns>
  <tableStyleInfo name="Sheet5-style 2"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7" displayName="Table_7" ref="A3:AE3" headerRowCount="0">
  <tableColumns count="31">
    <tableColumn id="1" xr3:uid="{00000000-0010-0000-0600-000001000000}" name="Column1"/>
    <tableColumn id="2" xr3:uid="{00000000-0010-0000-0600-000002000000}" name="Column2"/>
    <tableColumn id="3" xr3:uid="{00000000-0010-0000-0600-000003000000}" name="Column3"/>
    <tableColumn id="4" xr3:uid="{00000000-0010-0000-0600-000004000000}" name="Column4"/>
    <tableColumn id="5" xr3:uid="{00000000-0010-0000-0600-000005000000}" name="Column5"/>
    <tableColumn id="6" xr3:uid="{00000000-0010-0000-0600-000006000000}" name="Column6"/>
    <tableColumn id="7" xr3:uid="{00000000-0010-0000-0600-000007000000}" name="Column7"/>
    <tableColumn id="8" xr3:uid="{00000000-0010-0000-0600-000008000000}" name="Column8"/>
    <tableColumn id="9" xr3:uid="{00000000-0010-0000-0600-000009000000}" name="Column9"/>
    <tableColumn id="10" xr3:uid="{00000000-0010-0000-0600-00000A000000}" name="Column10"/>
    <tableColumn id="11" xr3:uid="{00000000-0010-0000-0600-00000B000000}" name="Column11"/>
    <tableColumn id="12" xr3:uid="{00000000-0010-0000-0600-00000C000000}" name="Column12"/>
    <tableColumn id="13" xr3:uid="{00000000-0010-0000-0600-00000D000000}" name="Column13"/>
    <tableColumn id="14" xr3:uid="{00000000-0010-0000-0600-00000E000000}" name="Column14"/>
    <tableColumn id="15" xr3:uid="{00000000-0010-0000-0600-00000F000000}" name="Column15"/>
    <tableColumn id="16" xr3:uid="{00000000-0010-0000-0600-000010000000}" name="Column16"/>
    <tableColumn id="17" xr3:uid="{00000000-0010-0000-0600-000011000000}" name="Column17"/>
    <tableColumn id="18" xr3:uid="{00000000-0010-0000-0600-000012000000}" name="Column18"/>
    <tableColumn id="19" xr3:uid="{00000000-0010-0000-0600-000013000000}" name="Column19"/>
    <tableColumn id="20" xr3:uid="{00000000-0010-0000-0600-000014000000}" name="Column20"/>
    <tableColumn id="21" xr3:uid="{00000000-0010-0000-0600-000015000000}" name="Column21"/>
    <tableColumn id="22" xr3:uid="{00000000-0010-0000-0600-000016000000}" name="Column22"/>
    <tableColumn id="23" xr3:uid="{00000000-0010-0000-0600-000017000000}" name="Column23"/>
    <tableColumn id="24" xr3:uid="{00000000-0010-0000-0600-000018000000}" name="Column24"/>
    <tableColumn id="25" xr3:uid="{00000000-0010-0000-0600-000019000000}" name="Column25"/>
    <tableColumn id="26" xr3:uid="{00000000-0010-0000-0600-00001A000000}" name="Column26"/>
    <tableColumn id="27" xr3:uid="{00000000-0010-0000-0600-00001B000000}" name="Column27"/>
    <tableColumn id="28" xr3:uid="{00000000-0010-0000-0600-00001C000000}" name="Column28"/>
    <tableColumn id="29" xr3:uid="{00000000-0010-0000-0600-00001D000000}" name="Column29"/>
    <tableColumn id="30" xr3:uid="{00000000-0010-0000-0600-00001E000000}" name="Column30"/>
    <tableColumn id="31" xr3:uid="{00000000-0010-0000-0600-00001F000000}" name="Column31"/>
  </tableColumns>
  <tableStyleInfo name="Sheet5-style 3"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8" displayName="Table_8" ref="A4:AE4" headerRowCount="0">
  <tableColumns count="31">
    <tableColumn id="1" xr3:uid="{00000000-0010-0000-0700-000001000000}" name="Column1"/>
    <tableColumn id="2" xr3:uid="{00000000-0010-0000-0700-000002000000}" name="Column2"/>
    <tableColumn id="3" xr3:uid="{00000000-0010-0000-0700-000003000000}" name="Column3"/>
    <tableColumn id="4" xr3:uid="{00000000-0010-0000-0700-000004000000}" name="Column4"/>
    <tableColumn id="5" xr3:uid="{00000000-0010-0000-0700-000005000000}" name="Column5"/>
    <tableColumn id="6" xr3:uid="{00000000-0010-0000-0700-000006000000}" name="Column6"/>
    <tableColumn id="7" xr3:uid="{00000000-0010-0000-0700-000007000000}" name="Column7"/>
    <tableColumn id="8" xr3:uid="{00000000-0010-0000-0700-000008000000}" name="Column8"/>
    <tableColumn id="9" xr3:uid="{00000000-0010-0000-0700-000009000000}" name="Column9"/>
    <tableColumn id="10" xr3:uid="{00000000-0010-0000-0700-00000A000000}" name="Column10"/>
    <tableColumn id="11" xr3:uid="{00000000-0010-0000-0700-00000B000000}" name="Column11"/>
    <tableColumn id="12" xr3:uid="{00000000-0010-0000-0700-00000C000000}" name="Column12"/>
    <tableColumn id="13" xr3:uid="{00000000-0010-0000-0700-00000D000000}" name="Column13"/>
    <tableColumn id="14" xr3:uid="{00000000-0010-0000-0700-00000E000000}" name="Column14"/>
    <tableColumn id="15" xr3:uid="{00000000-0010-0000-0700-00000F000000}" name="Column15"/>
    <tableColumn id="16" xr3:uid="{00000000-0010-0000-0700-000010000000}" name="Column16"/>
    <tableColumn id="17" xr3:uid="{00000000-0010-0000-0700-000011000000}" name="Column17"/>
    <tableColumn id="18" xr3:uid="{00000000-0010-0000-0700-000012000000}" name="Column18"/>
    <tableColumn id="19" xr3:uid="{00000000-0010-0000-0700-000013000000}" name="Column19"/>
    <tableColumn id="20" xr3:uid="{00000000-0010-0000-0700-000014000000}" name="Column20"/>
    <tableColumn id="21" xr3:uid="{00000000-0010-0000-0700-000015000000}" name="Column21"/>
    <tableColumn id="22" xr3:uid="{00000000-0010-0000-0700-000016000000}" name="Column22"/>
    <tableColumn id="23" xr3:uid="{00000000-0010-0000-0700-000017000000}" name="Column23"/>
    <tableColumn id="24" xr3:uid="{00000000-0010-0000-0700-000018000000}" name="Column24"/>
    <tableColumn id="25" xr3:uid="{00000000-0010-0000-0700-000019000000}" name="Column25"/>
    <tableColumn id="26" xr3:uid="{00000000-0010-0000-0700-00001A000000}" name="Column26"/>
    <tableColumn id="27" xr3:uid="{00000000-0010-0000-0700-00001B000000}" name="Column27"/>
    <tableColumn id="28" xr3:uid="{00000000-0010-0000-0700-00001C000000}" name="Column28"/>
    <tableColumn id="29" xr3:uid="{00000000-0010-0000-0700-00001D000000}" name="Column29"/>
    <tableColumn id="30" xr3:uid="{00000000-0010-0000-0700-00001E000000}" name="Column30"/>
    <tableColumn id="31" xr3:uid="{00000000-0010-0000-0700-00001F000000}" name="Column31"/>
  </tableColumns>
  <tableStyleInfo name="Sheet5-style 4"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9" displayName="Table_9" ref="A5:AE9" headerRowCount="0">
  <tableColumns count="31">
    <tableColumn id="1" xr3:uid="{00000000-0010-0000-0800-000001000000}" name="Column1"/>
    <tableColumn id="2" xr3:uid="{00000000-0010-0000-0800-000002000000}" name="Column2"/>
    <tableColumn id="3" xr3:uid="{00000000-0010-0000-0800-000003000000}" name="Column3"/>
    <tableColumn id="4" xr3:uid="{00000000-0010-0000-0800-000004000000}" name="Column4"/>
    <tableColumn id="5" xr3:uid="{00000000-0010-0000-0800-000005000000}" name="Column5"/>
    <tableColumn id="6" xr3:uid="{00000000-0010-0000-0800-000006000000}" name="Column6"/>
    <tableColumn id="7" xr3:uid="{00000000-0010-0000-0800-000007000000}" name="Column7"/>
    <tableColumn id="8" xr3:uid="{00000000-0010-0000-0800-000008000000}" name="Column8"/>
    <tableColumn id="9" xr3:uid="{00000000-0010-0000-0800-000009000000}" name="Column9"/>
    <tableColumn id="10" xr3:uid="{00000000-0010-0000-0800-00000A000000}" name="Column10"/>
    <tableColumn id="11" xr3:uid="{00000000-0010-0000-0800-00000B000000}" name="Column11"/>
    <tableColumn id="12" xr3:uid="{00000000-0010-0000-0800-00000C000000}" name="Column12"/>
    <tableColumn id="13" xr3:uid="{00000000-0010-0000-0800-00000D000000}" name="Column13"/>
    <tableColumn id="14" xr3:uid="{00000000-0010-0000-0800-00000E000000}" name="Column14"/>
    <tableColumn id="15" xr3:uid="{00000000-0010-0000-0800-00000F000000}" name="Column15"/>
    <tableColumn id="16" xr3:uid="{00000000-0010-0000-0800-000010000000}" name="Column16"/>
    <tableColumn id="17" xr3:uid="{00000000-0010-0000-0800-000011000000}" name="Column17"/>
    <tableColumn id="18" xr3:uid="{00000000-0010-0000-0800-000012000000}" name="Column18"/>
    <tableColumn id="19" xr3:uid="{00000000-0010-0000-0800-000013000000}" name="Column19"/>
    <tableColumn id="20" xr3:uid="{00000000-0010-0000-0800-000014000000}" name="Column20"/>
    <tableColumn id="21" xr3:uid="{00000000-0010-0000-0800-000015000000}" name="Column21"/>
    <tableColumn id="22" xr3:uid="{00000000-0010-0000-0800-000016000000}" name="Column22"/>
    <tableColumn id="23" xr3:uid="{00000000-0010-0000-0800-000017000000}" name="Column23"/>
    <tableColumn id="24" xr3:uid="{00000000-0010-0000-0800-000018000000}" name="Column24"/>
    <tableColumn id="25" xr3:uid="{00000000-0010-0000-0800-000019000000}" name="Column25"/>
    <tableColumn id="26" xr3:uid="{00000000-0010-0000-0800-00001A000000}" name="Column26"/>
    <tableColumn id="27" xr3:uid="{00000000-0010-0000-0800-00001B000000}" name="Column27"/>
    <tableColumn id="28" xr3:uid="{00000000-0010-0000-0800-00001C000000}" name="Column28"/>
    <tableColumn id="29" xr3:uid="{00000000-0010-0000-0800-00001D000000}" name="Column29"/>
    <tableColumn id="30" xr3:uid="{00000000-0010-0000-0800-00001E000000}" name="Column30"/>
    <tableColumn id="31" xr3:uid="{00000000-0010-0000-0800-00001F000000}" name="Column31"/>
  </tableColumns>
  <tableStyleInfo name="Sheet5-style 5"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_10" displayName="Table_10" ref="A1:Y1047" headerRowCount="0">
  <tableColumns count="25">
    <tableColumn id="1" xr3:uid="{00000000-0010-0000-0900-000001000000}" name="Column1"/>
    <tableColumn id="2" xr3:uid="{00000000-0010-0000-0900-000002000000}" name="Column2"/>
    <tableColumn id="3" xr3:uid="{00000000-0010-0000-0900-000003000000}" name="Column3"/>
    <tableColumn id="4" xr3:uid="{00000000-0010-0000-0900-000004000000}" name="Column4"/>
    <tableColumn id="5" xr3:uid="{00000000-0010-0000-0900-000005000000}" name="Column5"/>
    <tableColumn id="6" xr3:uid="{00000000-0010-0000-0900-000006000000}" name="Column6"/>
    <tableColumn id="7" xr3:uid="{00000000-0010-0000-0900-000007000000}" name="Column7"/>
    <tableColumn id="8" xr3:uid="{00000000-0010-0000-0900-000008000000}" name="Column8"/>
    <tableColumn id="9" xr3:uid="{00000000-0010-0000-0900-000009000000}" name="Column9"/>
    <tableColumn id="10" xr3:uid="{00000000-0010-0000-0900-00000A000000}" name="Column10"/>
    <tableColumn id="11" xr3:uid="{00000000-0010-0000-0900-00000B000000}" name="Column11"/>
    <tableColumn id="12" xr3:uid="{00000000-0010-0000-0900-00000C000000}" name="Column12"/>
    <tableColumn id="13" xr3:uid="{00000000-0010-0000-0900-00000D000000}" name="Column13"/>
    <tableColumn id="14" xr3:uid="{00000000-0010-0000-0900-00000E000000}" name="Column14"/>
    <tableColumn id="15" xr3:uid="{00000000-0010-0000-0900-00000F000000}" name="Column15"/>
    <tableColumn id="16" xr3:uid="{00000000-0010-0000-0900-000010000000}" name="Column16"/>
    <tableColumn id="17" xr3:uid="{00000000-0010-0000-0900-000011000000}" name="Column17"/>
    <tableColumn id="18" xr3:uid="{00000000-0010-0000-0900-000012000000}" name="Column18"/>
    <tableColumn id="19" xr3:uid="{00000000-0010-0000-0900-000013000000}" name="Column19"/>
    <tableColumn id="20" xr3:uid="{00000000-0010-0000-0900-000014000000}" name="Column20"/>
    <tableColumn id="21" xr3:uid="{00000000-0010-0000-0900-000015000000}" name="Column21"/>
    <tableColumn id="22" xr3:uid="{00000000-0010-0000-0900-000016000000}" name="Column22"/>
    <tableColumn id="23" xr3:uid="{00000000-0010-0000-0900-000017000000}" name="Column23"/>
    <tableColumn id="24" xr3:uid="{00000000-0010-0000-0900-000018000000}" name="Column24"/>
    <tableColumn id="25" xr3:uid="{00000000-0010-0000-0900-000019000000}" name="Column25"/>
  </tableColumns>
  <tableStyleInfo name="JON RELATIONSHIPS-style" showFirstColumn="1" showLastColumn="1" showRowStripes="1" showColumnStripes="0"/>
  <extLst>
    <ext uri="GoogleSheetsCustomDataVersion1">
      <go:sheetsCustomData xmlns:go="http://customooxmlschemas.google.com/" headerRowCount="1"/>
    </ext>
  </extLst>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_11" displayName="Table_11" ref="A1:AA1020" headerRowCount="0">
  <tableColumns count="27">
    <tableColumn id="1" xr3:uid="{00000000-0010-0000-0A00-000001000000}" name="Column1"/>
    <tableColumn id="2" xr3:uid="{00000000-0010-0000-0A00-000002000000}" name="Column2"/>
    <tableColumn id="3" xr3:uid="{00000000-0010-0000-0A00-000003000000}" name="Column3"/>
    <tableColumn id="4" xr3:uid="{00000000-0010-0000-0A00-000004000000}" name="Column4"/>
    <tableColumn id="5" xr3:uid="{00000000-0010-0000-0A00-000005000000}" name="Column5"/>
    <tableColumn id="6" xr3:uid="{00000000-0010-0000-0A00-000006000000}" name="Column6"/>
    <tableColumn id="7" xr3:uid="{00000000-0010-0000-0A00-000007000000}" name="Column7"/>
    <tableColumn id="8" xr3:uid="{00000000-0010-0000-0A00-000008000000}" name="Column8"/>
    <tableColumn id="9" xr3:uid="{00000000-0010-0000-0A00-000009000000}" name="Column9"/>
    <tableColumn id="10" xr3:uid="{00000000-0010-0000-0A00-00000A000000}" name="Column10"/>
    <tableColumn id="11" xr3:uid="{00000000-0010-0000-0A00-00000B000000}" name="Column11"/>
    <tableColumn id="12" xr3:uid="{00000000-0010-0000-0A00-00000C000000}" name="Column12"/>
    <tableColumn id="13" xr3:uid="{00000000-0010-0000-0A00-00000D000000}" name="Column13"/>
    <tableColumn id="14" xr3:uid="{00000000-0010-0000-0A00-00000E000000}" name="Column14"/>
    <tableColumn id="15" xr3:uid="{00000000-0010-0000-0A00-00000F000000}" name="Column15"/>
    <tableColumn id="16" xr3:uid="{00000000-0010-0000-0A00-000010000000}" name="Column16"/>
    <tableColumn id="17" xr3:uid="{00000000-0010-0000-0A00-000011000000}" name="Column17"/>
    <tableColumn id="18" xr3:uid="{00000000-0010-0000-0A00-000012000000}" name="Column18"/>
    <tableColumn id="19" xr3:uid="{00000000-0010-0000-0A00-000013000000}" name="Column19"/>
    <tableColumn id="20" xr3:uid="{00000000-0010-0000-0A00-000014000000}" name="Column20"/>
    <tableColumn id="21" xr3:uid="{00000000-0010-0000-0A00-000015000000}" name="Column21"/>
    <tableColumn id="22" xr3:uid="{00000000-0010-0000-0A00-000016000000}" name="Column22"/>
    <tableColumn id="23" xr3:uid="{00000000-0010-0000-0A00-000017000000}" name="Column23"/>
    <tableColumn id="24" xr3:uid="{00000000-0010-0000-0A00-000018000000}" name="Column24"/>
    <tableColumn id="25" xr3:uid="{00000000-0010-0000-0A00-000019000000}" name="Column25"/>
    <tableColumn id="26" xr3:uid="{00000000-0010-0000-0A00-00001A000000}" name="Column26"/>
    <tableColumn id="27" xr3:uid="{00000000-0010-0000-0A00-00001B000000}" name="Column27"/>
  </tableColumns>
  <tableStyleInfo name="JON EVENTS-style" showFirstColumn="1" showLastColumn="1" showRowStripes="1" showColumnStripes="0"/>
  <extLst>
    <ext uri="GoogleSheetsCustomDataVersion1">
      <go:sheetsCustomData xmlns:go="http://customooxmlschemas.google.com/" headerRowCount="1"/>
    </ext>
  </extLst>
</table>
</file>

<file path=xl/theme/theme1.xml><?xml version="1.0" encoding="utf-8"?>
<a:theme xmlns:a="http://schemas.openxmlformats.org/drawingml/2006/main" name="Sheets">
  <a:themeElements>
    <a:clrScheme name="Sheets">
      <a:dk1>
        <a:srgbClr val="1A2F40"/>
      </a:dk1>
      <a:lt1>
        <a:srgbClr val="FFFFFF"/>
      </a:lt1>
      <a:dk2>
        <a:srgbClr val="1A2F40"/>
      </a:dk2>
      <a:lt2>
        <a:srgbClr val="FFFFFF"/>
      </a:lt2>
      <a:accent1>
        <a:srgbClr val="E06666"/>
      </a:accent1>
      <a:accent2>
        <a:srgbClr val="E27228"/>
      </a:accent2>
      <a:accent3>
        <a:srgbClr val="0D398C"/>
      </a:accent3>
      <a:accent4>
        <a:srgbClr val="FC4479"/>
      </a:accent4>
      <a:accent5>
        <a:srgbClr val="DCDC12"/>
      </a:accent5>
      <a:accent6>
        <a:srgbClr val="1F95D1"/>
      </a:accent6>
      <a:hlink>
        <a:srgbClr val="1F95D1"/>
      </a:hlink>
      <a:folHlink>
        <a:srgbClr val="1F95D1"/>
      </a:folHlink>
    </a:clrScheme>
    <a:fontScheme name="Sheets">
      <a:majorFont>
        <a:latin typeface="Georgia"/>
        <a:ea typeface="Georgia"/>
        <a:cs typeface="Georgia"/>
      </a:majorFont>
      <a:minorFont>
        <a:latin typeface="Georgia"/>
        <a:ea typeface="Georgia"/>
        <a:cs typeface="Georgi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72" dT="2025-05-17T20:55:42.00" personId="{7140AEAE-DEA7-49A3-80BC-DB35FBED8A33}" id="{DD8436A4-4DA4-4AFF-8543-175E3EA90A10}">
    <text>Again the 30th.</text>
  </threadedComment>
  <threadedComment ref="D119" dT="2024-01-16T17:30:19.00" personId="{7140AEAE-DEA7-49A3-80BC-DB35FBED8A33}" id="{682348F1-3D4D-4DD1-BA7D-6411B66F8E7C}">
    <text>Paper is ripped, not able to see his name.</text>
  </threadedComment>
  <threadedComment ref="C160" dT="2025-01-23T17:40:32.00" personId="{7140AEAE-DEA7-49A3-80BC-DB35FBED8A33}" id="{B60A181B-F0EB-4DBA-B9CB-257D2A011AE7}">
    <text>Also on the 11, 12, 17, 18, 20, 24th.</text>
  </threadedComment>
  <threadedComment ref="D209" dT="2025-05-13T16:19:58.00" personId="{7140AEAE-DEA7-49A3-80BC-DB35FBED8A33}" id="{7EE924E9-A9E1-498A-9759-5B7947EA3F13}">
    <text>Also the 20th and the 22nd.</text>
  </threadedComment>
  <threadedComment ref="D224" dT="2026-06-05T17:26:24.00" personId="{7140AEAE-DEA7-49A3-80BC-DB35FBED8A33}" id="{C8992A65-76CB-4A49-8A8D-2CE1218DAF4D}">
    <text>continues taking drink 21, 22, 23 [worsened symptoms], 24, 25, 26, 27, 28, 29, 30, 31, April 1, 2, and 3]</text>
  </threadedComment>
  <threadedComment ref="D272" dT="2024-07-06T17:52:22.00" personId="{7140AEAE-DEA7-49A3-80BC-DB35FBED8A33}" id="{909C5FB0-699F-455B-87DE-D7A299234BB7}">
    <text>Also on 30th and 31st of August.</text>
  </threadedComment>
  <threadedComment ref="D522" dT="2026-05-30T14:17:53.00" personId="{7140AEAE-DEA7-49A3-80BC-DB35FBED8A33}" id="{5AAB70B8-9F80-4649-95BF-01BF057A856E}">
    <text>continues through November 8</text>
  </threadedComment>
  <threadedComment ref="D564" dT="2025-07-07T17:48:50.00" personId="{7140AEAE-DEA7-49A3-80BC-DB35FBED8A33}" id="{43EA61B4-21D8-4AF3-841F-467E0BAE4CE9}">
    <text>Also on 8-10, 13-14</text>
  </threadedComment>
  <threadedComment ref="C566" dT="2026-07-27T20:18:20.00" personId="{7140AEAE-DEA7-49A3-80BC-DB35FBED8A33}" id="{1C187FBF-C7C4-4FA5-938A-3F6D245B5FFD}">
    <text>7th-10th, 13th-18th, 20th and 23rd.</text>
  </threadedComment>
  <threadedComment ref="C567" dT="2026-06-05T16:28:36.00" personId="{7140AEAE-DEA7-49A3-80BC-DB35FBED8A33}" id="{B9145069-BC6A-454A-9A89-AA343304DC92}">
    <text>SAME ON THE 8TH AND 9TH</text>
  </threadedComment>
  <threadedComment ref="C621" dT="2026-06-13T16:24:06.00" personId="{7140AEAE-DEA7-49A3-80BC-DB35FBED8A33}" id="{13A88DAC-6F9D-4B5B-8905-280E5447BC5F}">
    <text>continues 10-13th</text>
  </threadedComment>
  <threadedComment ref="C624" dT="2026-06-13T16:32:17.00" personId="{7140AEAE-DEA7-49A3-80BC-DB35FBED8A33}" id="{F34C37B9-26E9-4F84-B39E-408EB189BEED}">
    <text>Sex with Phibbah once on the 13th.</text>
  </threadedComment>
  <threadedComment ref="C625" dT="2026-07-27T18:24:53.00" personId="{7140AEAE-DEA7-49A3-80BC-DB35FBED8A33}" id="{01711D57-E211-4507-85B6-20B522C4C1C3}">
    <text>Same on the 15th</text>
  </threadedComment>
  <threadedComment ref="C628" dT="2026-06-13T16:36:28.00" personId="{7140AEAE-DEA7-49A3-80BC-DB35FBED8A33}" id="{2CD6FB58-9A63-4D9D-BDF4-A93649073BFB}">
    <text>this is the in the thick of harvest season.</text>
  </threadedComment>
  <threadedComment ref="C639" dT="2026-06-13T16:46:55.00" personId="{7140AEAE-DEA7-49A3-80BC-DB35FBED8A33}" id="{F43D6C90-41D5-4EFF-9A11-5AAF118CA5C1}">
    <text>Still weak 24th-26th. He has sex with Phibbah on 25th , and on March 2, 5, 8, 11; but no one else.</text>
  </threadedComment>
  <threadedComment ref="C646" dT="2026-07-27T18:50:15.00" personId="{7140AEAE-DEA7-49A3-80BC-DB35FBED8A33}" id="{483B9EE7-A49D-470E-82A2-D45759C90DCE}">
    <text>Same on 2,3,4,5,6</text>
  </threadedComment>
  <threadedComment ref="C654" dT="2026-07-27T13:56:59.00" personId="{7140AEAE-DEA7-49A3-80BC-DB35FBED8A33}" id="{F679DB2C-6DDB-4E05-AA3B-680E8E9B5376}">
    <text>Same on 17th.</text>
  </threadedComment>
  <threadedComment ref="C691" dT="2026-07-27T18:53:48.00" personId="{7140AEAE-DEA7-49A3-80BC-DB35FBED8A33}" id="{357D2120-9437-4719-B016-8F2D7B99649F}">
    <text>Same on 2-4, 8-11, 13-17, and 20th.</text>
  </threadedComment>
  <threadedComment ref="D725" dT="2024-01-04T20:18:59.00" personId="{7140AEAE-DEA7-49A3-80BC-DB35FBED8A33}" id="{970B1745-E999-45D3-A3C1-3880548E33E2}">
    <text>First mention of Abba in diary.</text>
  </threadedComment>
  <threadedComment ref="C803" dT="2024-06-15T18:11:24.00" personId="{7140AEAE-DEA7-49A3-80BC-DB35FBED8A33}" id="{E2F3E63A-8CFB-432B-8ED4-1F9CC6C392A3}">
    <text>Same on the 4th, 5th, and 6th</text>
  </threadedComment>
  <threadedComment ref="C814" dT="2024-06-16T15:26:30.00" personId="{7140AEAE-DEA7-49A3-80BC-DB35FBED8A33}" id="{F97888EA-D670-48BF-8411-C8A2E9A0B199}">
    <text>Same on 18th, 19th, 20th, and 23rd</text>
  </threadedComment>
  <threadedComment ref="D833" dT="2025-05-08T00:26:46.00" personId="{7140AEAE-DEA7-49A3-80BC-DB35FBED8A33}" id="{9B358DB2-938E-4813-8D61-6EB569578E9A}">
    <text>Again on the 7th</text>
  </threadedComment>
  <threadedComment ref="D839" dT="2025-05-08T00:32:25.00" personId="{7140AEAE-DEA7-49A3-80BC-DB35FBED8A33}" id="{F5F98DC7-4814-437E-BB29-2EF54D895C76}">
    <text>Regular cane cutting commences days later.</text>
  </threadedComment>
  <threadedComment ref="C878" dT="2024-06-16T17:42:44.00" personId="{7140AEAE-DEA7-49A3-80BC-DB35FBED8A33}" id="{DEBB8467-E332-4598-BC4D-0F990511AE05}">
    <text>Continues on the 19th and 20th</text>
  </threadedComment>
  <threadedComment ref="C879" dT="2024-06-16T17:44:37.00" personId="{7140AEAE-DEA7-49A3-80BC-DB35FBED8A33}" id="{2E28AC36-C7AE-44F7-8D4D-6A82AA423A56}">
    <text>Continues on the 23, 24th, and 25th</text>
  </threadedComment>
  <threadedComment ref="C880" dT="2024-06-16T17:47:08.00" personId="{7140AEAE-DEA7-49A3-80BC-DB35FBED8A33}" id="{5D63BCB2-DB27-4E8D-8D59-31C33400E412}">
    <text>27th and 28th same work.</text>
  </threadedComment>
  <threadedComment ref="C898" dT="2024-06-16T19:02:57.00" personId="{7140AEAE-DEA7-49A3-80BC-DB35FBED8A33}" id="{FB7BF28F-0420-4C92-A831-282CC7F187E9}">
    <text>Continued on 16th, finished on 17th.</text>
  </threadedComment>
  <threadedComment ref="C923" dT="2024-06-16T19:49:28.00" personId="{7140AEAE-DEA7-49A3-80BC-DB35FBED8A33}" id="{1686D1D2-50A4-4079-88E1-30FBF31D014D}">
    <text>Continues 3rd, 4th, 5th, 6th, 9th, 10th, 11th, 12th</text>
  </threadedComment>
  <threadedComment ref="C927" dT="2024-06-16T19:54:19.00" personId="{7140AEAE-DEA7-49A3-80BC-DB35FBED8A33}" id="{7991F5CA-1773-4F26-A062-1FD91CA1B0BA}">
    <text>Continues on the 13th</text>
  </threadedComment>
  <threadedComment ref="C930" dT="2024-06-16T20:00:07.00" personId="{7140AEAE-DEA7-49A3-80BC-DB35FBED8A33}" id="{65CE6337-815D-41E3-BA84-56ABEA3ACAD8}">
    <text>Continues the 18th, 19th, 20th, 22nd, 24th, 25th, 26th.</text>
  </threadedComment>
  <threadedComment ref="D932" dT="2024-01-10T17:16:17.00" personId="{7140AEAE-DEA7-49A3-80BC-DB35FBED8A33}" id="{D50A2FF6-5D58-47A0-96ED-52A900280056}">
    <text>Full citation:
Belgrove, William. Drax, Henry A treatise upon husbandry or planting. By William Belgrove. A regular bred, and long experienc'd planter, of the island of Barbados. ; And may be of great use to the planters of all the West-India Islands. Instructions for the management of Drax-Hall.
Boston: New-England,: Printed by D. Fowle in Ann-Street, near the town-dock., 1755.</text>
  </threadedComment>
  <threadedComment ref="C935" dT="2024-06-16T20:07:36.00" personId="{7140AEAE-DEA7-49A3-80BC-DB35FBED8A33}" id="{710F7439-CFE5-41D7-8BCB-762EC79C716E}">
    <text>August 31 same work.</text>
  </threadedComment>
  <threadedComment ref="D937" dT="2026-06-15T14:44:14.00" personId="{7140AEAE-DEA7-49A3-80BC-DB35FBED8A33}" id="{3265F852-FCC6-40DE-AA14-379D4AD6892E}">
    <text>Did the same thing for the next 2 days.</text>
  </threadedComment>
  <threadedComment ref="C943" dT="2024-06-17T13:44:32.00" personId="{7140AEAE-DEA7-49A3-80BC-DB35FBED8A33}" id="{C8A925E5-9568-4370-833E-820EA0F277FE}">
    <text>Also the 11th.</text>
  </threadedComment>
  <threadedComment ref="C970" dT="2024-06-17T14:36:13.00" personId="{7140AEAE-DEA7-49A3-80BC-DB35FBED8A33}" id="{753092A2-64D3-4DD1-BFB8-2D8BB19E544C}">
    <text>Same work on the 5th, 6th, 7th, 8th, 9th, 10th, 11th.</text>
  </threadedComment>
  <threadedComment ref="C992" dT="2024-06-17T17:38:17.00" personId="{7140AEAE-DEA7-49A3-80BC-DB35FBED8A33}" id="{9A3A3B30-08D7-4BC0-A579-0B9453B1819D}">
    <text>Same work on 20th, 21st, and 22nd</text>
  </threadedComment>
  <threadedComment ref="D993" dT="2024-01-11T17:37:54.00" personId="{7140AEAE-DEA7-49A3-80BC-DB35FBED8A33}" id="{67447DDD-3F62-493E-A841-F7E83AA653E0}">
    <text>Original text citation: Ephraim Chambers’ Cyclopædia:or, An Universal Dictionary of Arts and Sciences. London, UK: D. Midwinter, 1741</text>
  </threadedComment>
  <threadedComment ref="C996" dT="2024-06-17T17:55:52.00" personId="{7140AEAE-DEA7-49A3-80BC-DB35FBED8A33}" id="{72FE9E06-5175-4619-97C6-1EF02C048C29}">
    <text>Same work on the 25th, 26th, 27th</text>
  </threadedComment>
  <threadedComment ref="C1010" dT="2024-06-17T18:38:46.00" personId="{7140AEAE-DEA7-49A3-80BC-DB35FBED8A33}" id="{39626BC7-394C-4DF5-AEB5-588944E667A3}">
    <text>Same work on the 6th.</text>
  </threadedComment>
  <threadedComment ref="C1017" dT="2024-06-17T19:02:10.00" personId="{7140AEAE-DEA7-49A3-80BC-DB35FBED8A33}" id="{FCF581B4-475F-4E75-A698-C04171F80892}">
    <text>Same work on the 12th.</text>
  </threadedComment>
  <threadedComment ref="C1022" dT="2024-06-17T19:24:48.00" personId="{7140AEAE-DEA7-49A3-80BC-DB35FBED8A33}" id="{18A4914C-5B1C-4F23-AFD3-CD903703A5F5}">
    <text>Same work on 16th, 17th, 18th and 19th.</text>
  </threadedComment>
  <threadedComment ref="A1023" dT="2024-05-17T15:45:21.00" personId="{7140AEAE-DEA7-49A3-80BC-DB35FBED8A33}" id="{F40E7589-C8DA-41C6-AC7B-7FAF2ACAF6EA}">
    <text>This is all labor Egypt Lucy performed while she was pregnant with Little Quashe.</text>
  </threadedComment>
  <threadedComment ref="C1038" dT="2024-06-18T15:01:53.00" personId="{7140AEAE-DEA7-49A3-80BC-DB35FBED8A33}" id="{AFC047A0-55DE-48F8-A959-FA4F4F07CA5F}">
    <text>Same work on 30th, 31st, Nov. 1st, 2nd, 3rd.</text>
  </threadedComment>
  <threadedComment ref="C1045" dT="2024-06-18T16:04:57.00" personId="{7140AEAE-DEA7-49A3-80BC-DB35FBED8A33}" id="{8CC835CF-53E5-46ED-85ED-80287FB9A5C3}">
    <text>Same work on the 6th, 7th, and 8th.</text>
  </threadedComment>
  <threadedComment ref="C1049" dT="2024-06-18T16:08:14.00" personId="{7140AEAE-DEA7-49A3-80BC-DB35FBED8A33}" id="{4E2AB9BA-F60B-4F89-B625-4BD0C37CC7EE}">
    <text>Same work on 13th, 14th, 15th, and 16th.</text>
  </threadedComment>
  <threadedComment ref="D1058" dT="2024-06-18T16:27:59.00" personId="{7140AEAE-DEA7-49A3-80BC-DB35FBED8A33}" id="{4B1EFFE2-B440-4BD5-BA95-664CB7843851}">
    <text>Same work on 21st, 22nd, and 23rd.</text>
  </threadedComment>
  <threadedComment ref="D1104" dT="2025-07-07T17:24:03.00" personId="{7140AEAE-DEA7-49A3-80BC-DB35FBED8A33}" id="{9A921816-38D8-47FF-A76C-28E7381D891B}">
    <text>Also on 6, 10, 12, 14, 15, 17, 18, 19, 20-25th</text>
  </threadedComment>
  <threadedComment ref="D1112" dT="2024-05-14T15:45:09.00" personId="{7140AEAE-DEA7-49A3-80BC-DB35FBED8A33}" id="{A7106022-D9C4-4023-80C5-813143156FEF}">
    <text>Little Quashe's swaddling cloth</text>
  </threadedComment>
  <threadedComment ref="D1202" dT="2024-01-06T20:16:39.00" personId="{7140AEAE-DEA7-49A3-80BC-DB35FBED8A33}" id="{45AA588F-3AFB-4169-95BE-D8BF9EB480C9}">
    <text>Twice as much as everyone else on 4/3 of this same year.</text>
  </threadedComment>
  <threadedComment ref="D1209" dT="2024-01-06T20:34:11.00" personId="{7140AEAE-DEA7-49A3-80BC-DB35FBED8A33}" id="{E09FFEED-1107-455A-882E-E621DC283E63}">
    <text>So June 15, 1762</text>
  </threadedComment>
  <threadedComment ref="D1213" dT="2024-01-10T17:22:59.00" personId="{7140AEAE-DEA7-49A3-80BC-DB35FBED8A33}" id="{A1052E0E-9D98-4A5E-890C-F92FC2D3A819}">
    <text>She's being sent on a mule and with a male escort; she can also buy things.)</text>
  </threadedComment>
  <threadedComment ref="D1218" dT="2024-01-06T20:43:06.00" personId="{7140AEAE-DEA7-49A3-80BC-DB35FBED8A33}" id="{3E25DD2E-F09E-4C47-8461-B1FD84ED70CB}">
    <text>She was supposed to be pregnant/giving birth...</text>
  </threadedComment>
  <threadedComment ref="D1306" dT="2024-01-21T20:42:39.00" personId="{7140AEAE-DEA7-49A3-80BC-DB35FBED8A33}" id="{51272558-EDEE-4BAD-AAB2-87AB058E364C}">
    <text>Repeats routine for 2/23-2/27, and 3/14</text>
  </threadedComment>
  <threadedComment ref="D1310" dT="2023-12-15T16:14:24.00" personId="{7140AEAE-DEA7-49A3-80BC-DB35FBED8A33}" id="{F65DB4C4-32D0-497A-A0EA-48BC853D4C89}">
    <text>Day after Silvia's death and/or burial</text>
  </threadedComment>
  <threadedComment ref="D1311" dT="2023-12-15T16:14:53.00" personId="{7140AEAE-DEA7-49A3-80BC-DB35FBED8A33}" id="{680D1F1D-DF1B-46F9-99D6-9E44A7F0622E}">
    <text>4 Days after Silvia's death and/or burial</text>
  </threadedComment>
  <threadedComment ref="D1352" dT="2024-01-06T20:20:32.00" personId="{7140AEAE-DEA7-49A3-80BC-DB35FBED8A33}" id="{91292226-88AE-43F6-AC7F-0F505E82F86B}">
    <text>Coobah can read and write.</text>
  </threadedComment>
  <threadedComment ref="D1365" dT="2023-12-15T16:13:57.00" personId="{7140AEAE-DEA7-49A3-80BC-DB35FBED8A33}" id="{96784B6C-FDC4-4595-B713-CC697A94DC49}">
    <text>He's off by about three months.</text>
  </threadedComment>
  <threadedComment ref="C1382" dT="2024-11-13T21:05:10.00" personId="{7140AEAE-DEA7-49A3-80BC-DB35FBED8A33}" id="{6894F221-55A5-455B-A65E-BDD66A756999}">
    <text>Same on the 26th.</text>
  </threadedComment>
  <threadedComment ref="D1395" dT="2023-12-15T16:16:09.00" personId="{7140AEAE-DEA7-49A3-80BC-DB35FBED8A33}" id="{DE3DF6EC-D34A-437A-B312-064135A26FDA}">
    <text>Escape #1</text>
  </threadedComment>
  <threadedComment ref="D1477" dT="2023-12-15T16:16:25.00" personId="{7140AEAE-DEA7-49A3-80BC-DB35FBED8A33}" id="{3C1FEFBF-A2CF-4311-BD8C-20AEBABCD9DD}">
    <text>Escape #2</text>
  </threadedComment>
  <threadedComment ref="D1480" dT="2024-02-26T21:55:04.00" personId="{7140AEAE-DEA7-49A3-80BC-DB35FBED8A33}" id="{F546D8AA-AA0B-47C7-9B2F-5ED4791C7DCC}">
    <text>Escape #3</text>
  </threadedComment>
  <threadedComment ref="D1484" dT="2023-12-15T16:17:08.00" personId="{7140AEAE-DEA7-49A3-80BC-DB35FBED8A33}" id="{128EEDAB-161B-4377-BE2B-04D8C098DE47}">
    <text>Escape #3</text>
  </threadedComment>
  <threadedComment ref="D1488" dT="2023-12-15T16:17:28.00" personId="{7140AEAE-DEA7-49A3-80BC-DB35FBED8A33}" id="{CFC31E54-7615-4A15-9C2E-4E9DE887DE9F}">
    <text>Escape #4</text>
  </threadedComment>
  <threadedComment ref="D1490" dT="2024-01-11T18:58:43.00" personId="{7140AEAE-DEA7-49A3-80BC-DB35FBED8A33}" id="{3FD1BF95-DDFF-43FF-8581-AC1044DB6459}">
    <text>Same on 1, 6, 18, 19, 20, 23, 31 of August.</text>
  </threadedComment>
  <threadedComment ref="D1494" dT="2024-01-01T16:55:35.00" personId="{7140AEAE-DEA7-49A3-80BC-DB35FBED8A33}" id="{6A5222D9-AF8B-47B6-9AC0-A1A270802C2C}">
    <text>Escape #5</text>
  </threadedComment>
  <threadedComment ref="D1495" dT="2024-01-01T17:02:25.00" personId="{7140AEAE-DEA7-49A3-80BC-DB35FBED8A33}" id="{0285FB00-D771-4DF4-8590-176CFA0EEE55}">
    <text>Escape #6</text>
  </threadedComment>
  <threadedComment ref="D1508" dT="2024-01-01T17:16:49.00" personId="{7140AEAE-DEA7-49A3-80BC-DB35FBED8A33}" id="{20E76B3E-0E1D-4D80-B0D1-8D2EE8559D19}">
    <text>Escape #7</text>
  </threadedComment>
  <threadedComment ref="D1517" dT="2024-01-01T17:36:00.00" personId="{7140AEAE-DEA7-49A3-80BC-DB35FBED8A33}" id="{258EA82E-10F8-4E55-83F8-DEAAD08DE8A6}">
    <text>Escape #8</text>
  </threadedComment>
  <threadedComment ref="D1527" dT="2024-01-01T17:40:19.00" personId="{7140AEAE-DEA7-49A3-80BC-DB35FBED8A33}" id="{BB19474A-D1BB-4787-BDD6-4BC68B964DDC}">
    <text>Escape #9</text>
  </threadedComment>
  <threadedComment ref="D1531" dT="2024-01-01T17:58:59.00" personId="{7140AEAE-DEA7-49A3-80BC-DB35FBED8A33}" id="{8A7BDFA3-FD8A-4010-8C06-3B772D79A9ED}">
    <text>Escape #10</text>
  </threadedComment>
  <threadedComment ref="D1540" dT="2024-01-01T18:47:38.00" personId="{7140AEAE-DEA7-49A3-80BC-DB35FBED8A33}" id="{3243354F-44F4-4DD2-B138-961BD965585B}">
    <text>Escape #11</text>
  </threadedComment>
  <threadedComment ref="D1548" dT="2024-01-18T14:42:38.00" personId="{7140AEAE-DEA7-49A3-80BC-DB35FBED8A33}" id="{DFE1DE8B-A143-4F14-9449-E248503F9D04}">
    <text>Intestinal parasites</text>
  </threadedComment>
  <threadedComment ref="D1561" dT="2024-01-01T19:34:14.00" personId="{7140AEAE-DEA7-49A3-80BC-DB35FBED8A33}" id="{A9C3434B-E3C7-436E-9EFD-7D8292D600C1}">
    <text>Escape #12</text>
  </threadedComment>
  <threadedComment ref="D1566" dT="2024-01-01T19:44:55.00" personId="{7140AEAE-DEA7-49A3-80BC-DB35FBED8A33}" id="{0463F090-6606-4958-A651-49801A776483}">
    <text>Escape #13</text>
  </threadedComment>
  <threadedComment ref="C1595" dT="2024-01-14T16:32:00.00" personId="{7140AEAE-DEA7-49A3-80BC-DB35FBED8A33}" id="{86BEB9C9-9D43-44C8-AEE0-BFB4DC318852}">
    <text>Same routine for March 31, April 1-4, 6-10, 14-18, 20-30, May 7-8, 11-15</text>
  </threadedComment>
  <threadedComment ref="C1618" dT="2024-01-14T16:53:31.00" personId="{7140AEAE-DEA7-49A3-80BC-DB35FBED8A33}" id="{2C421538-89B8-47EE-914E-C24180B563EC}">
    <text>Same routine for May 5-7</text>
  </threadedComment>
  <threadedComment ref="D1632" dT="2024-01-18T00:03:42.00" personId="{7140AEAE-DEA7-49A3-80BC-DB35FBED8A33}" id="{C60E908E-D3DE-40F5-9DE4-BE67A3EAF63B}">
    <text>Nanny d^0 7th-10th</text>
  </threadedComment>
  <threadedComment ref="D1637" dT="2024-01-18T00:06:53.00" personId="{7140AEAE-DEA7-49A3-80BC-DB35FBED8A33}" id="{382D2633-8E82-4E23-9E95-08D2911EAB03}">
    <text>Phoebe d^0 15th-18th, 20--24, 28-29)</text>
  </threadedComment>
  <threadedComment ref="D1638" dT="2024-01-18T01:43:34.00" personId="{7140AEAE-DEA7-49A3-80BC-DB35FBED8A33}" id="{3D39DCCE-A7A8-49E7-931F-E684AF80BE21}">
    <text>Zenaida Dove
Grenada Dove</text>
  </threadedComment>
  <threadedComment ref="D1658" dT="2024-01-20T21:38:11.00" personId="{7140AEAE-DEA7-49A3-80BC-DB35FBED8A33}" id="{C43CABD5-FBE6-4962-B6B0-440F19249AC2}">
    <text>Same routine for 16th, 18th--26, 28-30th."</text>
  </threadedComment>
  <threadedComment ref="D1673" dT="2024-01-01T20:15:17.00" personId="{7140AEAE-DEA7-49A3-80BC-DB35FBED8A33}" id="{116C5B71-C5A8-467A-88A4-A3C6B264E8DE}">
    <text>ESCAPE #14</text>
  </threadedComment>
  <threadedComment ref="D1710" dT="2024-01-20T16:09:51.00" personId="{7140AEAE-DEA7-49A3-80BC-DB35FBED8A33}" id="{44BB159C-96D1-46C4-A8F8-BCB43B280C5A}">
    <text>Also provides an illustration</text>
  </threadedComment>
  <threadedComment ref="C1755" dT="2024-01-16T17:46:49.00" personId="{7140AEAE-DEA7-49A3-80BC-DB35FBED8A33}" id="{BC302D34-B24D-44DA-A9D1-385E8D62B8EC}">
    <text>Pages are damaged/out of order in archive.</text>
  </threadedComment>
  <threadedComment ref="C1756" dT="2024-01-16T17:46:59.00" personId="{7140AEAE-DEA7-49A3-80BC-DB35FBED8A33}" id="{F65321D0-8E15-4D8B-B453-68B4A3D80BD1}">
    <text>Pages are damaged/out of order in archive.</text>
  </threadedComment>
  <threadedComment ref="C1757" dT="2024-01-16T17:47:04.00" personId="{7140AEAE-DEA7-49A3-80BC-DB35FBED8A33}" id="{F740CB99-3B7F-463A-B2FF-DA92515BAB6C}">
    <text>Pages are damaged/out of order in archive.</text>
  </threadedComment>
  <threadedComment ref="D1763" dT="2024-01-20T17:22:26.00" personId="{7140AEAE-DEA7-49A3-80BC-DB35FBED8A33}" id="{A84A7351-F15E-41F6-9CCD-B20B54CB259A}">
    <text>Albinos?</text>
  </threadedComment>
</ThreadedComment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vmlDrawing" Target="../drawings/vmlDrawing1.v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4.xml"/></Relationships>
</file>

<file path=xl/worksheets/_rels/sheet4.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table" Target="../tables/table5.xml"/><Relationship Id="rId5" Type="http://schemas.openxmlformats.org/officeDocument/2006/relationships/table" Target="../tables/table9.xml"/><Relationship Id="rId4" Type="http://schemas.openxmlformats.org/officeDocument/2006/relationships/table" Target="../tables/table8.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B1534"/>
  <sheetViews>
    <sheetView tabSelected="1" workbookViewId="0">
      <selection activeCell="C2" sqref="C2"/>
    </sheetView>
  </sheetViews>
  <sheetFormatPr defaultColWidth="12.6640625" defaultRowHeight="15.75" customHeight="1" x14ac:dyDescent="0.2"/>
  <cols>
    <col min="1" max="1" width="20" customWidth="1"/>
    <col min="2" max="2" width="21.77734375" customWidth="1"/>
    <col min="3" max="3" width="28.21875" customWidth="1"/>
    <col min="4" max="4" width="28.77734375" customWidth="1"/>
    <col min="5" max="5" width="25.88671875" customWidth="1"/>
    <col min="6" max="6" width="16.44140625" customWidth="1"/>
    <col min="7" max="7" width="17" customWidth="1"/>
    <col min="8" max="8" width="38.6640625" customWidth="1"/>
  </cols>
  <sheetData>
    <row r="1" spans="1:28" ht="15" x14ac:dyDescent="0.2">
      <c r="A1" s="5" t="s">
        <v>0</v>
      </c>
      <c r="B1" s="5" t="s">
        <v>3</v>
      </c>
      <c r="C1" s="5" t="s">
        <v>7</v>
      </c>
      <c r="D1" s="5" t="s">
        <v>9</v>
      </c>
      <c r="E1" s="5" t="s">
        <v>11</v>
      </c>
      <c r="F1" s="5" t="s">
        <v>13</v>
      </c>
      <c r="G1" s="5" t="s">
        <v>15</v>
      </c>
      <c r="H1" s="5" t="s">
        <v>16</v>
      </c>
      <c r="I1" s="6"/>
      <c r="J1" s="6"/>
      <c r="K1" s="6"/>
      <c r="L1" s="6"/>
      <c r="M1" s="6"/>
      <c r="N1" s="6"/>
      <c r="O1" s="6"/>
      <c r="P1" s="6"/>
      <c r="Q1" s="6"/>
      <c r="R1" s="6"/>
      <c r="S1" s="6"/>
      <c r="T1" s="6"/>
      <c r="U1" s="6"/>
      <c r="V1" s="6"/>
      <c r="W1" s="6"/>
      <c r="X1" s="6"/>
      <c r="Y1" s="6"/>
      <c r="Z1" s="6"/>
      <c r="AA1" s="6"/>
      <c r="AB1" s="6"/>
    </row>
    <row r="2" spans="1:28" ht="409.5" x14ac:dyDescent="0.2">
      <c r="A2" s="13" t="s">
        <v>28</v>
      </c>
      <c r="B2" s="6" t="s">
        <v>29</v>
      </c>
      <c r="C2" s="6" t="s">
        <v>30</v>
      </c>
      <c r="D2" s="6" t="s">
        <v>31</v>
      </c>
      <c r="E2" s="6" t="s">
        <v>32</v>
      </c>
      <c r="F2" s="6" t="s">
        <v>33</v>
      </c>
      <c r="G2" s="6" t="s">
        <v>34</v>
      </c>
      <c r="H2" s="15" t="s">
        <v>36</v>
      </c>
      <c r="I2" s="6"/>
      <c r="J2" s="6"/>
      <c r="K2" s="6"/>
      <c r="L2" s="6"/>
      <c r="M2" s="6"/>
      <c r="N2" s="6"/>
      <c r="O2" s="6"/>
      <c r="P2" s="6"/>
      <c r="Q2" s="6"/>
      <c r="R2" s="6"/>
      <c r="S2" s="6"/>
      <c r="T2" s="6"/>
      <c r="U2" s="6"/>
      <c r="V2" s="6"/>
      <c r="W2" s="6"/>
      <c r="X2" s="6"/>
      <c r="Y2" s="6"/>
      <c r="Z2" s="6"/>
      <c r="AA2" s="6"/>
      <c r="AB2" s="6"/>
    </row>
    <row r="3" spans="1:28" ht="409.6" customHeight="1" x14ac:dyDescent="0.2">
      <c r="A3" s="13" t="s">
        <v>40</v>
      </c>
      <c r="B3" s="6" t="s">
        <v>38</v>
      </c>
      <c r="C3" s="6"/>
      <c r="D3" s="6" t="s">
        <v>43</v>
      </c>
      <c r="E3" s="6" t="s">
        <v>45</v>
      </c>
      <c r="F3" s="6" t="s">
        <v>47</v>
      </c>
      <c r="G3" s="6" t="s">
        <v>34</v>
      </c>
      <c r="H3" s="6" t="s">
        <v>49</v>
      </c>
      <c r="I3" s="6"/>
      <c r="J3" s="6"/>
      <c r="K3" s="6"/>
      <c r="L3" s="6"/>
      <c r="M3" s="6"/>
      <c r="N3" s="6"/>
      <c r="O3" s="6"/>
      <c r="P3" s="6"/>
      <c r="Q3" s="6"/>
      <c r="R3" s="6"/>
      <c r="S3" s="6"/>
      <c r="T3" s="6"/>
      <c r="U3" s="6"/>
      <c r="V3" s="6"/>
      <c r="W3" s="6"/>
      <c r="X3" s="6"/>
      <c r="Y3" s="6"/>
      <c r="Z3" s="6"/>
      <c r="AA3" s="6"/>
      <c r="AB3" s="6"/>
    </row>
    <row r="4" spans="1:28" ht="409.6" customHeight="1" x14ac:dyDescent="0.2">
      <c r="A4" s="13" t="s">
        <v>51</v>
      </c>
      <c r="B4" s="6" t="s">
        <v>52</v>
      </c>
      <c r="C4" s="6"/>
      <c r="D4" s="6" t="s">
        <v>53</v>
      </c>
      <c r="E4" s="6"/>
      <c r="F4" s="6" t="s">
        <v>54</v>
      </c>
      <c r="G4" s="6" t="s">
        <v>55</v>
      </c>
      <c r="H4" s="6" t="s">
        <v>59</v>
      </c>
      <c r="I4" s="6"/>
      <c r="J4" s="6"/>
      <c r="K4" s="6"/>
      <c r="L4" s="6"/>
      <c r="M4" s="6"/>
      <c r="N4" s="6"/>
      <c r="O4" s="6"/>
      <c r="P4" s="6"/>
      <c r="Q4" s="6"/>
      <c r="R4" s="6"/>
      <c r="S4" s="6"/>
      <c r="T4" s="6"/>
      <c r="U4" s="6"/>
      <c r="V4" s="6"/>
      <c r="W4" s="6"/>
      <c r="X4" s="6"/>
      <c r="Y4" s="6"/>
      <c r="Z4" s="6"/>
      <c r="AA4" s="6"/>
      <c r="AB4" s="6"/>
    </row>
    <row r="5" spans="1:28" ht="331.5" x14ac:dyDescent="0.2">
      <c r="A5" s="13" t="s">
        <v>64</v>
      </c>
      <c r="B5" s="6" t="s">
        <v>65</v>
      </c>
      <c r="C5" s="6"/>
      <c r="D5" s="6" t="s">
        <v>53</v>
      </c>
      <c r="E5" s="6"/>
      <c r="F5" s="6" t="s">
        <v>66</v>
      </c>
      <c r="G5" s="6" t="s">
        <v>55</v>
      </c>
      <c r="H5" s="6" t="s">
        <v>67</v>
      </c>
      <c r="I5" s="6"/>
      <c r="J5" s="6"/>
      <c r="K5" s="6"/>
      <c r="L5" s="6"/>
      <c r="M5" s="6"/>
      <c r="N5" s="6"/>
      <c r="O5" s="6"/>
      <c r="P5" s="6"/>
      <c r="Q5" s="6"/>
      <c r="R5" s="6"/>
      <c r="S5" s="6"/>
      <c r="T5" s="6"/>
      <c r="U5" s="6"/>
      <c r="V5" s="6"/>
      <c r="W5" s="6"/>
      <c r="X5" s="6"/>
      <c r="Y5" s="6"/>
      <c r="Z5" s="6"/>
      <c r="AA5" s="6"/>
      <c r="AB5" s="6"/>
    </row>
    <row r="6" spans="1:28" ht="204" x14ac:dyDescent="0.2">
      <c r="A6" s="13" t="s">
        <v>74</v>
      </c>
      <c r="B6" s="6" t="s">
        <v>75</v>
      </c>
      <c r="C6" s="6"/>
      <c r="D6" s="6" t="s">
        <v>53</v>
      </c>
      <c r="E6" s="6"/>
      <c r="F6" s="6" t="s">
        <v>77</v>
      </c>
      <c r="G6" s="6" t="s">
        <v>55</v>
      </c>
      <c r="H6" s="6" t="s">
        <v>79</v>
      </c>
      <c r="I6" s="6"/>
      <c r="J6" s="6"/>
      <c r="K6" s="6"/>
      <c r="L6" s="6"/>
      <c r="M6" s="6"/>
      <c r="N6" s="6"/>
      <c r="O6" s="6"/>
      <c r="P6" s="6"/>
      <c r="Q6" s="6"/>
      <c r="R6" s="6"/>
      <c r="S6" s="6"/>
      <c r="T6" s="6"/>
      <c r="U6" s="6"/>
      <c r="V6" s="6"/>
      <c r="W6" s="6"/>
      <c r="X6" s="6"/>
      <c r="Y6" s="6"/>
      <c r="Z6" s="6"/>
      <c r="AA6" s="6"/>
      <c r="AB6" s="6"/>
    </row>
    <row r="7" spans="1:28" ht="409.5" x14ac:dyDescent="0.2">
      <c r="A7" s="13" t="s">
        <v>89</v>
      </c>
      <c r="B7" s="6" t="s">
        <v>90</v>
      </c>
      <c r="C7" s="6"/>
      <c r="D7" s="6" t="s">
        <v>91</v>
      </c>
      <c r="E7" s="6"/>
      <c r="F7" s="6" t="s">
        <v>94</v>
      </c>
      <c r="G7" s="6" t="s">
        <v>34</v>
      </c>
      <c r="H7" s="6" t="s">
        <v>95</v>
      </c>
      <c r="I7" s="6"/>
      <c r="J7" s="6"/>
      <c r="K7" s="6"/>
      <c r="L7" s="6"/>
      <c r="M7" s="6"/>
      <c r="N7" s="6"/>
      <c r="O7" s="6"/>
      <c r="P7" s="6"/>
      <c r="Q7" s="6"/>
      <c r="R7" s="6"/>
      <c r="S7" s="6"/>
      <c r="T7" s="6"/>
      <c r="U7" s="6"/>
      <c r="V7" s="6"/>
      <c r="W7" s="6"/>
      <c r="X7" s="6"/>
      <c r="Y7" s="6"/>
      <c r="Z7" s="6"/>
      <c r="AA7" s="6"/>
      <c r="AB7" s="6"/>
    </row>
    <row r="8" spans="1:28" ht="409.5" x14ac:dyDescent="0.2">
      <c r="A8" s="13" t="s">
        <v>100</v>
      </c>
      <c r="B8" s="6" t="s">
        <v>101</v>
      </c>
      <c r="C8" s="6" t="s">
        <v>102</v>
      </c>
      <c r="D8" s="6" t="s">
        <v>53</v>
      </c>
      <c r="E8" s="6"/>
      <c r="F8" s="6" t="s">
        <v>103</v>
      </c>
      <c r="G8" s="6" t="s">
        <v>104</v>
      </c>
      <c r="H8" s="6" t="s">
        <v>107</v>
      </c>
      <c r="I8" s="6"/>
      <c r="J8" s="6"/>
      <c r="K8" s="6"/>
      <c r="L8" s="6"/>
      <c r="M8" s="6"/>
      <c r="N8" s="6"/>
      <c r="O8" s="6"/>
      <c r="P8" s="6"/>
      <c r="Q8" s="6"/>
      <c r="R8" s="6"/>
      <c r="S8" s="6"/>
      <c r="T8" s="6"/>
      <c r="U8" s="6"/>
      <c r="V8" s="6"/>
      <c r="W8" s="6"/>
      <c r="X8" s="6"/>
      <c r="Y8" s="6"/>
      <c r="Z8" s="6"/>
      <c r="AA8" s="6"/>
      <c r="AB8" s="6"/>
    </row>
    <row r="9" spans="1:28" ht="409.5" x14ac:dyDescent="0.2">
      <c r="A9" s="13" t="s">
        <v>113</v>
      </c>
      <c r="B9" s="6" t="s">
        <v>114</v>
      </c>
      <c r="C9" s="6"/>
      <c r="D9" s="6" t="s">
        <v>53</v>
      </c>
      <c r="E9" s="6"/>
      <c r="F9" s="6" t="s">
        <v>116</v>
      </c>
      <c r="G9" s="6" t="s">
        <v>99</v>
      </c>
      <c r="H9" s="6" t="s">
        <v>117</v>
      </c>
      <c r="I9" s="6"/>
      <c r="J9" s="6"/>
      <c r="K9" s="6"/>
      <c r="L9" s="6"/>
      <c r="M9" s="6"/>
      <c r="N9" s="6"/>
      <c r="O9" s="6"/>
      <c r="P9" s="6"/>
      <c r="Q9" s="6"/>
      <c r="R9" s="6"/>
      <c r="S9" s="6"/>
      <c r="T9" s="6"/>
      <c r="U9" s="6"/>
      <c r="V9" s="6"/>
      <c r="W9" s="6"/>
      <c r="X9" s="6"/>
      <c r="Y9" s="6"/>
      <c r="Z9" s="6"/>
      <c r="AA9" s="6"/>
      <c r="AB9" s="6"/>
    </row>
    <row r="10" spans="1:28" ht="409.5" x14ac:dyDescent="0.2">
      <c r="A10" s="13" t="s">
        <v>118</v>
      </c>
      <c r="B10" s="6" t="s">
        <v>119</v>
      </c>
      <c r="C10" s="6" t="s">
        <v>120</v>
      </c>
      <c r="D10" s="6" t="s">
        <v>121</v>
      </c>
      <c r="E10" s="6" t="s">
        <v>123</v>
      </c>
      <c r="F10" s="6" t="s">
        <v>124</v>
      </c>
      <c r="G10" s="6" t="s">
        <v>125</v>
      </c>
      <c r="H10" s="6" t="s">
        <v>129</v>
      </c>
      <c r="I10" s="6"/>
      <c r="J10" s="6"/>
      <c r="K10" s="6"/>
      <c r="L10" s="6"/>
      <c r="M10" s="6"/>
      <c r="N10" s="6"/>
      <c r="O10" s="6"/>
      <c r="P10" s="6"/>
      <c r="Q10" s="6"/>
      <c r="R10" s="6"/>
      <c r="S10" s="6"/>
      <c r="T10" s="6"/>
      <c r="U10" s="6"/>
      <c r="V10" s="6"/>
      <c r="W10" s="6"/>
      <c r="X10" s="6"/>
      <c r="Y10" s="6"/>
      <c r="Z10" s="6"/>
      <c r="AA10" s="6"/>
      <c r="AB10" s="6"/>
    </row>
    <row r="11" spans="1:28" ht="409.5" x14ac:dyDescent="0.2">
      <c r="A11" s="13" t="s">
        <v>135</v>
      </c>
      <c r="B11" s="6" t="s">
        <v>138</v>
      </c>
      <c r="C11" s="6"/>
      <c r="D11" s="6" t="s">
        <v>53</v>
      </c>
      <c r="E11" s="6"/>
      <c r="F11" s="6" t="s">
        <v>141</v>
      </c>
      <c r="G11" s="6" t="s">
        <v>99</v>
      </c>
      <c r="H11" s="6" t="s">
        <v>142</v>
      </c>
      <c r="I11" s="6"/>
      <c r="J11" s="6"/>
      <c r="K11" s="6"/>
      <c r="L11" s="6"/>
      <c r="M11" s="6"/>
      <c r="N11" s="6"/>
      <c r="O11" s="6"/>
      <c r="P11" s="6"/>
      <c r="Q11" s="6"/>
      <c r="R11" s="6"/>
      <c r="S11" s="6"/>
      <c r="T11" s="6"/>
      <c r="U11" s="6"/>
      <c r="V11" s="6"/>
      <c r="W11" s="6"/>
      <c r="X11" s="6"/>
      <c r="Y11" s="6"/>
      <c r="Z11" s="6"/>
      <c r="AA11" s="6"/>
      <c r="AB11" s="6"/>
    </row>
    <row r="12" spans="1:28" ht="89.25" x14ac:dyDescent="0.2">
      <c r="A12" s="13" t="s">
        <v>143</v>
      </c>
      <c r="B12" s="6" t="s">
        <v>144</v>
      </c>
      <c r="C12" s="6"/>
      <c r="D12" s="6" t="s">
        <v>53</v>
      </c>
      <c r="E12" s="6"/>
      <c r="F12" s="6" t="s">
        <v>92</v>
      </c>
      <c r="G12" s="6" t="s">
        <v>93</v>
      </c>
      <c r="H12" s="6" t="s">
        <v>145</v>
      </c>
      <c r="I12" s="6"/>
      <c r="J12" s="6"/>
      <c r="K12" s="6"/>
      <c r="L12" s="6"/>
      <c r="M12" s="6"/>
      <c r="N12" s="6"/>
      <c r="O12" s="6"/>
      <c r="P12" s="6"/>
      <c r="Q12" s="6"/>
      <c r="R12" s="6"/>
      <c r="S12" s="6"/>
      <c r="T12" s="6"/>
      <c r="U12" s="6"/>
      <c r="V12" s="6"/>
      <c r="W12" s="6"/>
      <c r="X12" s="6"/>
      <c r="Y12" s="6"/>
      <c r="Z12" s="6"/>
      <c r="AA12" s="6"/>
      <c r="AB12" s="6"/>
    </row>
    <row r="13" spans="1:28" ht="409.5" x14ac:dyDescent="0.2">
      <c r="A13" s="13" t="s">
        <v>150</v>
      </c>
      <c r="B13" s="6" t="s">
        <v>151</v>
      </c>
      <c r="C13" s="6"/>
      <c r="D13" s="6" t="s">
        <v>154</v>
      </c>
      <c r="E13" s="6"/>
      <c r="F13" s="6" t="s">
        <v>156</v>
      </c>
      <c r="G13" s="6" t="s">
        <v>158</v>
      </c>
      <c r="H13" s="6" t="s">
        <v>160</v>
      </c>
      <c r="I13" s="6"/>
      <c r="J13" s="6"/>
      <c r="K13" s="6"/>
      <c r="L13" s="6"/>
      <c r="M13" s="6"/>
      <c r="N13" s="6"/>
      <c r="O13" s="6"/>
      <c r="P13" s="6"/>
      <c r="Q13" s="6"/>
      <c r="R13" s="6"/>
      <c r="S13" s="6"/>
      <c r="T13" s="6"/>
      <c r="U13" s="6"/>
      <c r="V13" s="6"/>
      <c r="W13" s="6"/>
      <c r="X13" s="6"/>
      <c r="Y13" s="6"/>
      <c r="Z13" s="6"/>
      <c r="AA13" s="6"/>
      <c r="AB13" s="6"/>
    </row>
    <row r="14" spans="1:28" ht="409.5" x14ac:dyDescent="0.2">
      <c r="A14" s="13" t="s">
        <v>88</v>
      </c>
      <c r="B14" s="6" t="s">
        <v>87</v>
      </c>
      <c r="C14" s="6" t="s">
        <v>162</v>
      </c>
      <c r="D14" s="6" t="s">
        <v>31</v>
      </c>
      <c r="E14" s="6" t="s">
        <v>163</v>
      </c>
      <c r="F14" s="6" t="s">
        <v>164</v>
      </c>
      <c r="G14" s="6" t="s">
        <v>34</v>
      </c>
      <c r="H14" s="6" t="s">
        <v>166</v>
      </c>
      <c r="I14" s="6"/>
      <c r="J14" s="6"/>
      <c r="K14" s="6"/>
      <c r="L14" s="6"/>
      <c r="M14" s="6"/>
      <c r="N14" s="6"/>
      <c r="O14" s="6"/>
      <c r="P14" s="6"/>
      <c r="Q14" s="6"/>
      <c r="R14" s="6"/>
      <c r="S14" s="6"/>
      <c r="T14" s="6"/>
      <c r="U14" s="6"/>
      <c r="V14" s="6"/>
      <c r="W14" s="6"/>
      <c r="X14" s="6"/>
      <c r="Y14" s="6"/>
      <c r="Z14" s="6"/>
      <c r="AA14" s="6"/>
      <c r="AB14" s="6"/>
    </row>
    <row r="15" spans="1:28" ht="267.75" x14ac:dyDescent="0.2">
      <c r="A15" s="13" t="s">
        <v>168</v>
      </c>
      <c r="B15" s="6" t="s">
        <v>169</v>
      </c>
      <c r="C15" s="6" t="s">
        <v>170</v>
      </c>
      <c r="D15" s="6" t="s">
        <v>171</v>
      </c>
      <c r="E15" s="6"/>
      <c r="F15" s="6" t="s">
        <v>172</v>
      </c>
      <c r="G15" s="6" t="s">
        <v>174</v>
      </c>
      <c r="H15" s="6" t="s">
        <v>175</v>
      </c>
      <c r="I15" s="6"/>
      <c r="J15" s="6"/>
      <c r="K15" s="6"/>
      <c r="L15" s="6"/>
      <c r="M15" s="6"/>
      <c r="N15" s="6"/>
      <c r="O15" s="6"/>
      <c r="P15" s="6"/>
      <c r="Q15" s="6"/>
      <c r="R15" s="6"/>
      <c r="S15" s="6"/>
      <c r="T15" s="6"/>
      <c r="U15" s="6"/>
      <c r="V15" s="6"/>
      <c r="W15" s="6"/>
      <c r="X15" s="6"/>
      <c r="Y15" s="6"/>
      <c r="Z15" s="6"/>
      <c r="AA15" s="6"/>
      <c r="AB15" s="6"/>
    </row>
    <row r="16" spans="1:28" ht="369.75" x14ac:dyDescent="0.2">
      <c r="A16" s="13" t="s">
        <v>181</v>
      </c>
      <c r="B16" s="6" t="s">
        <v>183</v>
      </c>
      <c r="C16" s="6"/>
      <c r="D16" s="6" t="s">
        <v>91</v>
      </c>
      <c r="E16" s="6"/>
      <c r="F16" s="6" t="s">
        <v>188</v>
      </c>
      <c r="G16" s="6" t="s">
        <v>189</v>
      </c>
      <c r="H16" s="6" t="s">
        <v>190</v>
      </c>
      <c r="I16" s="6"/>
      <c r="J16" s="6"/>
      <c r="K16" s="6"/>
      <c r="L16" s="6"/>
      <c r="M16" s="6"/>
      <c r="N16" s="6"/>
      <c r="O16" s="6"/>
      <c r="P16" s="6"/>
      <c r="Q16" s="6"/>
      <c r="R16" s="6"/>
      <c r="S16" s="6"/>
      <c r="T16" s="6"/>
      <c r="U16" s="6"/>
      <c r="V16" s="6"/>
      <c r="W16" s="6"/>
      <c r="X16" s="6"/>
      <c r="Y16" s="6"/>
      <c r="Z16" s="6"/>
      <c r="AA16" s="6"/>
      <c r="AB16" s="6"/>
    </row>
    <row r="17" spans="1:28" ht="409.5" x14ac:dyDescent="0.2">
      <c r="A17" s="13" t="s">
        <v>191</v>
      </c>
      <c r="B17" s="6" t="s">
        <v>35</v>
      </c>
      <c r="C17" s="6" t="s">
        <v>192</v>
      </c>
      <c r="D17" s="6" t="s">
        <v>53</v>
      </c>
      <c r="E17" s="6"/>
      <c r="F17" s="6" t="s">
        <v>141</v>
      </c>
      <c r="G17" s="6" t="s">
        <v>99</v>
      </c>
      <c r="H17" s="6" t="s">
        <v>197</v>
      </c>
      <c r="I17" s="6"/>
      <c r="J17" s="6"/>
      <c r="K17" s="6"/>
      <c r="L17" s="6"/>
      <c r="M17" s="6"/>
      <c r="N17" s="6"/>
      <c r="O17" s="6"/>
      <c r="P17" s="6"/>
      <c r="Q17" s="6"/>
      <c r="R17" s="6"/>
      <c r="S17" s="6"/>
      <c r="T17" s="6"/>
      <c r="U17" s="6"/>
      <c r="V17" s="6"/>
      <c r="W17" s="6"/>
      <c r="X17" s="6"/>
      <c r="Y17" s="6"/>
      <c r="Z17" s="6"/>
      <c r="AA17" s="6"/>
      <c r="AB17" s="6"/>
    </row>
    <row r="18" spans="1:28" ht="395.25" x14ac:dyDescent="0.2">
      <c r="A18" s="13" t="s">
        <v>201</v>
      </c>
      <c r="B18" s="6" t="s">
        <v>202</v>
      </c>
      <c r="C18" s="6"/>
      <c r="D18" s="6" t="s">
        <v>204</v>
      </c>
      <c r="E18" s="6" t="s">
        <v>205</v>
      </c>
      <c r="F18" s="6" t="s">
        <v>207</v>
      </c>
      <c r="G18" s="6" t="s">
        <v>209</v>
      </c>
      <c r="H18" s="6" t="s">
        <v>212</v>
      </c>
      <c r="I18" s="6"/>
      <c r="J18" s="6"/>
      <c r="K18" s="6"/>
      <c r="L18" s="6"/>
      <c r="M18" s="6"/>
      <c r="N18" s="6"/>
      <c r="O18" s="6"/>
      <c r="P18" s="6"/>
      <c r="Q18" s="6"/>
      <c r="R18" s="6"/>
      <c r="S18" s="6"/>
      <c r="T18" s="6"/>
      <c r="U18" s="6"/>
      <c r="V18" s="6"/>
      <c r="W18" s="6"/>
      <c r="X18" s="6"/>
      <c r="Y18" s="6"/>
      <c r="Z18" s="6"/>
      <c r="AA18" s="6"/>
      <c r="AB18" s="6"/>
    </row>
    <row r="19" spans="1:28" ht="102" x14ac:dyDescent="0.2">
      <c r="A19" s="13" t="s">
        <v>214</v>
      </c>
      <c r="B19" s="6" t="s">
        <v>215</v>
      </c>
      <c r="C19" s="6"/>
      <c r="D19" s="6" t="s">
        <v>53</v>
      </c>
      <c r="E19" s="6"/>
      <c r="F19" s="6" t="s">
        <v>141</v>
      </c>
      <c r="G19" s="6" t="s">
        <v>99</v>
      </c>
      <c r="H19" s="6" t="s">
        <v>220</v>
      </c>
      <c r="I19" s="6"/>
      <c r="J19" s="6"/>
      <c r="K19" s="6"/>
      <c r="L19" s="6"/>
      <c r="M19" s="6"/>
      <c r="N19" s="6"/>
      <c r="O19" s="6"/>
      <c r="P19" s="6"/>
      <c r="Q19" s="6"/>
      <c r="R19" s="6"/>
      <c r="S19" s="6"/>
      <c r="T19" s="6"/>
      <c r="U19" s="6"/>
      <c r="V19" s="6"/>
      <c r="W19" s="6"/>
      <c r="X19" s="6"/>
      <c r="Y19" s="6"/>
      <c r="Z19" s="6"/>
      <c r="AA19" s="6"/>
      <c r="AB19" s="6"/>
    </row>
    <row r="20" spans="1:28" ht="409.5" x14ac:dyDescent="0.2">
      <c r="A20" s="13" t="s">
        <v>58</v>
      </c>
      <c r="B20" s="6" t="s">
        <v>57</v>
      </c>
      <c r="C20" s="6"/>
      <c r="D20" s="6" t="s">
        <v>91</v>
      </c>
      <c r="E20" s="6" t="s">
        <v>224</v>
      </c>
      <c r="F20" s="6" t="s">
        <v>207</v>
      </c>
      <c r="G20" s="6" t="s">
        <v>209</v>
      </c>
      <c r="H20" s="6" t="s">
        <v>227</v>
      </c>
      <c r="I20" s="6"/>
      <c r="J20" s="6"/>
      <c r="K20" s="6"/>
      <c r="L20" s="6"/>
      <c r="M20" s="6"/>
      <c r="N20" s="6"/>
      <c r="O20" s="6"/>
      <c r="P20" s="6"/>
      <c r="Q20" s="6"/>
      <c r="R20" s="6"/>
      <c r="S20" s="6"/>
      <c r="T20" s="6"/>
      <c r="U20" s="6"/>
      <c r="V20" s="6"/>
      <c r="W20" s="6"/>
      <c r="X20" s="6"/>
      <c r="Y20" s="6"/>
      <c r="Z20" s="6"/>
      <c r="AA20" s="6"/>
      <c r="AB20" s="6"/>
    </row>
    <row r="21" spans="1:28" ht="382.5" x14ac:dyDescent="0.2">
      <c r="A21" s="13" t="s">
        <v>233</v>
      </c>
      <c r="B21" s="6" t="s">
        <v>234</v>
      </c>
      <c r="C21" s="6"/>
      <c r="D21" s="6" t="s">
        <v>235</v>
      </c>
      <c r="E21" s="6"/>
      <c r="F21" s="6" t="s">
        <v>236</v>
      </c>
      <c r="G21" s="6" t="s">
        <v>34</v>
      </c>
      <c r="H21" s="6" t="s">
        <v>237</v>
      </c>
      <c r="I21" s="6"/>
      <c r="J21" s="6"/>
      <c r="K21" s="6"/>
      <c r="L21" s="6"/>
      <c r="M21" s="6"/>
      <c r="N21" s="6"/>
      <c r="O21" s="6"/>
      <c r="P21" s="6"/>
      <c r="Q21" s="6"/>
      <c r="R21" s="6"/>
      <c r="S21" s="6"/>
      <c r="T21" s="6"/>
      <c r="U21" s="6"/>
      <c r="V21" s="6"/>
      <c r="W21" s="6"/>
      <c r="X21" s="6"/>
      <c r="Y21" s="6"/>
      <c r="Z21" s="6"/>
      <c r="AA21" s="6"/>
      <c r="AB21" s="6"/>
    </row>
    <row r="22" spans="1:28" ht="280.5" x14ac:dyDescent="0.2">
      <c r="A22" s="13" t="s">
        <v>242</v>
      </c>
      <c r="B22" s="6" t="s">
        <v>243</v>
      </c>
      <c r="C22" s="6"/>
      <c r="D22" s="6" t="s">
        <v>235</v>
      </c>
      <c r="E22" s="6"/>
      <c r="F22" s="6" t="s">
        <v>207</v>
      </c>
      <c r="G22" s="6" t="s">
        <v>99</v>
      </c>
      <c r="H22" s="6" t="s">
        <v>244</v>
      </c>
      <c r="I22" s="6"/>
      <c r="J22" s="6"/>
      <c r="K22" s="6"/>
      <c r="L22" s="6"/>
      <c r="M22" s="6"/>
      <c r="N22" s="6"/>
      <c r="O22" s="6"/>
      <c r="P22" s="6"/>
      <c r="Q22" s="6"/>
      <c r="R22" s="6"/>
      <c r="S22" s="6"/>
      <c r="T22" s="6"/>
      <c r="U22" s="6"/>
      <c r="V22" s="6"/>
      <c r="W22" s="6"/>
      <c r="X22" s="6"/>
      <c r="Y22" s="6"/>
      <c r="Z22" s="6"/>
      <c r="AA22" s="6"/>
      <c r="AB22" s="6"/>
    </row>
    <row r="23" spans="1:28" ht="178.5" x14ac:dyDescent="0.2">
      <c r="A23" s="13" t="s">
        <v>249</v>
      </c>
      <c r="B23" s="6" t="s">
        <v>250</v>
      </c>
      <c r="C23" s="6"/>
      <c r="D23" s="6" t="s">
        <v>235</v>
      </c>
      <c r="E23" s="6"/>
      <c r="F23" s="6" t="s">
        <v>251</v>
      </c>
      <c r="G23" s="6" t="s">
        <v>174</v>
      </c>
      <c r="H23" s="6" t="s">
        <v>252</v>
      </c>
      <c r="I23" s="6"/>
      <c r="J23" s="6"/>
      <c r="K23" s="6"/>
      <c r="L23" s="6"/>
      <c r="M23" s="6"/>
      <c r="N23" s="6"/>
      <c r="O23" s="6"/>
      <c r="P23" s="6"/>
      <c r="Q23" s="6"/>
      <c r="R23" s="6"/>
      <c r="S23" s="6"/>
      <c r="T23" s="6"/>
      <c r="U23" s="6"/>
      <c r="V23" s="6"/>
      <c r="W23" s="6"/>
      <c r="X23" s="6"/>
      <c r="Y23" s="6"/>
      <c r="Z23" s="6"/>
      <c r="AA23" s="6"/>
      <c r="AB23" s="6"/>
    </row>
    <row r="24" spans="1:28" ht="191.25" x14ac:dyDescent="0.2">
      <c r="A24" s="13" t="s">
        <v>73</v>
      </c>
      <c r="B24" s="6" t="s">
        <v>72</v>
      </c>
      <c r="C24" s="6"/>
      <c r="D24" s="6" t="s">
        <v>91</v>
      </c>
      <c r="E24" s="6"/>
      <c r="F24" s="6" t="s">
        <v>254</v>
      </c>
      <c r="G24" s="6" t="s">
        <v>255</v>
      </c>
      <c r="H24" s="6" t="s">
        <v>257</v>
      </c>
      <c r="I24" s="6"/>
      <c r="J24" s="6"/>
      <c r="K24" s="6"/>
      <c r="L24" s="6"/>
      <c r="M24" s="6"/>
      <c r="N24" s="6"/>
      <c r="O24" s="6"/>
      <c r="P24" s="6"/>
      <c r="Q24" s="6"/>
      <c r="R24" s="6"/>
      <c r="S24" s="6"/>
      <c r="T24" s="6"/>
      <c r="U24" s="6"/>
      <c r="V24" s="6"/>
      <c r="W24" s="6"/>
      <c r="X24" s="6"/>
      <c r="Y24" s="6"/>
      <c r="Z24" s="6"/>
      <c r="AA24" s="6"/>
      <c r="AB24" s="6"/>
    </row>
    <row r="25" spans="1:28" ht="409.5" x14ac:dyDescent="0.2">
      <c r="A25" s="13" t="s">
        <v>268</v>
      </c>
      <c r="B25" s="6" t="s">
        <v>269</v>
      </c>
      <c r="C25" s="6"/>
      <c r="D25" s="6" t="s">
        <v>31</v>
      </c>
      <c r="E25" s="6"/>
      <c r="F25" s="6" t="s">
        <v>236</v>
      </c>
      <c r="G25" s="6" t="s">
        <v>34</v>
      </c>
      <c r="H25" s="6" t="s">
        <v>270</v>
      </c>
      <c r="I25" s="6"/>
      <c r="J25" s="6"/>
      <c r="K25" s="6"/>
      <c r="L25" s="6"/>
      <c r="M25" s="6"/>
      <c r="N25" s="6"/>
      <c r="O25" s="6"/>
      <c r="P25" s="6"/>
      <c r="Q25" s="6"/>
      <c r="R25" s="6"/>
      <c r="S25" s="6"/>
      <c r="T25" s="6"/>
      <c r="U25" s="6"/>
      <c r="V25" s="6"/>
      <c r="W25" s="6"/>
      <c r="X25" s="6"/>
      <c r="Y25" s="6"/>
      <c r="Z25" s="6"/>
      <c r="AA25" s="6"/>
      <c r="AB25" s="6"/>
    </row>
    <row r="26" spans="1:28" ht="409.5" x14ac:dyDescent="0.2">
      <c r="A26" s="13" t="s">
        <v>272</v>
      </c>
      <c r="B26" s="6" t="s">
        <v>273</v>
      </c>
      <c r="C26" s="6"/>
      <c r="D26" s="6" t="s">
        <v>53</v>
      </c>
      <c r="E26" s="6"/>
      <c r="F26" s="6"/>
      <c r="G26" s="6"/>
      <c r="H26" s="6" t="s">
        <v>275</v>
      </c>
      <c r="I26" s="6"/>
      <c r="J26" s="6"/>
      <c r="K26" s="6"/>
      <c r="L26" s="6"/>
      <c r="M26" s="6"/>
      <c r="N26" s="6"/>
      <c r="O26" s="6"/>
      <c r="P26" s="6"/>
      <c r="Q26" s="6"/>
      <c r="R26" s="6"/>
      <c r="S26" s="6"/>
      <c r="T26" s="6"/>
      <c r="U26" s="6"/>
      <c r="V26" s="6"/>
      <c r="W26" s="6"/>
      <c r="X26" s="6"/>
      <c r="Y26" s="6"/>
      <c r="Z26" s="6"/>
      <c r="AA26" s="6"/>
      <c r="AB26" s="6"/>
    </row>
    <row r="27" spans="1:28" ht="369.75" x14ac:dyDescent="0.2">
      <c r="A27" s="13" t="s">
        <v>276</v>
      </c>
      <c r="B27" s="6" t="s">
        <v>277</v>
      </c>
      <c r="C27" s="6"/>
      <c r="D27" s="6" t="s">
        <v>91</v>
      </c>
      <c r="E27" s="6"/>
      <c r="F27" s="6" t="s">
        <v>207</v>
      </c>
      <c r="G27" s="6" t="s">
        <v>209</v>
      </c>
      <c r="H27" s="6" t="s">
        <v>278</v>
      </c>
      <c r="I27" s="6"/>
      <c r="J27" s="6"/>
      <c r="K27" s="6"/>
      <c r="L27" s="6"/>
      <c r="M27" s="6"/>
      <c r="N27" s="6"/>
      <c r="O27" s="6"/>
      <c r="P27" s="6"/>
      <c r="Q27" s="6"/>
      <c r="R27" s="6"/>
      <c r="S27" s="6"/>
      <c r="T27" s="6"/>
      <c r="U27" s="6"/>
      <c r="V27" s="6"/>
      <c r="W27" s="6"/>
      <c r="X27" s="6"/>
      <c r="Y27" s="6"/>
      <c r="Z27" s="6"/>
      <c r="AA27" s="6"/>
      <c r="AB27" s="6"/>
    </row>
    <row r="28" spans="1:28" ht="409.5" x14ac:dyDescent="0.2">
      <c r="A28" s="13" t="s">
        <v>137</v>
      </c>
      <c r="B28" s="6" t="s">
        <v>280</v>
      </c>
      <c r="C28" s="6" t="s">
        <v>281</v>
      </c>
      <c r="D28" s="6" t="s">
        <v>91</v>
      </c>
      <c r="E28" s="6"/>
      <c r="F28" s="6" t="s">
        <v>284</v>
      </c>
      <c r="G28" s="6" t="s">
        <v>55</v>
      </c>
      <c r="H28" s="6" t="s">
        <v>286</v>
      </c>
      <c r="I28" s="6"/>
      <c r="J28" s="6"/>
      <c r="K28" s="6"/>
      <c r="L28" s="6"/>
      <c r="M28" s="6"/>
      <c r="N28" s="6"/>
      <c r="O28" s="6"/>
      <c r="P28" s="6"/>
      <c r="Q28" s="6"/>
      <c r="R28" s="6"/>
      <c r="S28" s="6"/>
      <c r="T28" s="6"/>
      <c r="U28" s="6"/>
      <c r="V28" s="6"/>
      <c r="W28" s="6"/>
      <c r="X28" s="6"/>
      <c r="Y28" s="6"/>
      <c r="Z28" s="6"/>
      <c r="AA28" s="6"/>
      <c r="AB28" s="6"/>
    </row>
    <row r="29" spans="1:28" ht="409.5" x14ac:dyDescent="0.2">
      <c r="A29" s="13" t="s">
        <v>288</v>
      </c>
      <c r="B29" s="6" t="s">
        <v>289</v>
      </c>
      <c r="C29" s="6"/>
      <c r="D29" s="6" t="s">
        <v>91</v>
      </c>
      <c r="E29" s="6"/>
      <c r="F29" s="6" t="s">
        <v>290</v>
      </c>
      <c r="G29" s="6"/>
      <c r="H29" s="6" t="s">
        <v>291</v>
      </c>
      <c r="I29" s="6"/>
      <c r="J29" s="6"/>
      <c r="K29" s="6"/>
      <c r="L29" s="6"/>
      <c r="M29" s="6"/>
      <c r="N29" s="6"/>
      <c r="O29" s="6"/>
      <c r="P29" s="6"/>
      <c r="Q29" s="6"/>
      <c r="R29" s="6"/>
      <c r="S29" s="6"/>
      <c r="T29" s="6"/>
      <c r="U29" s="6"/>
      <c r="V29" s="6"/>
      <c r="W29" s="6"/>
      <c r="X29" s="6"/>
      <c r="Y29" s="6"/>
      <c r="Z29" s="6"/>
      <c r="AA29" s="6"/>
      <c r="AB29" s="6"/>
    </row>
    <row r="30" spans="1:28" ht="12.75" x14ac:dyDescent="0.2">
      <c r="A30" s="13" t="s">
        <v>296</v>
      </c>
      <c r="B30" s="6" t="s">
        <v>297</v>
      </c>
      <c r="C30" s="6"/>
      <c r="D30" s="6" t="s">
        <v>53</v>
      </c>
      <c r="E30" s="6"/>
      <c r="F30" s="6" t="s">
        <v>284</v>
      </c>
      <c r="G30" s="6" t="s">
        <v>55</v>
      </c>
      <c r="H30" s="6"/>
      <c r="I30" s="6"/>
      <c r="J30" s="6"/>
      <c r="K30" s="6"/>
      <c r="L30" s="6"/>
      <c r="M30" s="6"/>
      <c r="N30" s="6"/>
      <c r="O30" s="6"/>
      <c r="P30" s="6"/>
      <c r="Q30" s="6"/>
      <c r="R30" s="6"/>
      <c r="S30" s="6"/>
      <c r="T30" s="6"/>
      <c r="U30" s="6"/>
      <c r="V30" s="6"/>
      <c r="W30" s="6"/>
      <c r="X30" s="6"/>
      <c r="Y30" s="6"/>
      <c r="Z30" s="6"/>
      <c r="AA30" s="6"/>
      <c r="AB30" s="6"/>
    </row>
    <row r="31" spans="1:28" ht="409.5" x14ac:dyDescent="0.2">
      <c r="A31" s="13" t="s">
        <v>299</v>
      </c>
      <c r="B31" s="6" t="s">
        <v>300</v>
      </c>
      <c r="C31" s="6"/>
      <c r="D31" s="6" t="s">
        <v>53</v>
      </c>
      <c r="E31" s="6"/>
      <c r="F31" s="6" t="s">
        <v>284</v>
      </c>
      <c r="G31" s="6" t="s">
        <v>55</v>
      </c>
      <c r="H31" s="6" t="s">
        <v>301</v>
      </c>
      <c r="I31" s="6"/>
      <c r="J31" s="6"/>
      <c r="K31" s="6"/>
      <c r="L31" s="6"/>
      <c r="M31" s="6"/>
      <c r="N31" s="6"/>
      <c r="O31" s="6"/>
      <c r="P31" s="6"/>
      <c r="Q31" s="6"/>
      <c r="R31" s="6"/>
      <c r="S31" s="6"/>
      <c r="T31" s="6"/>
      <c r="U31" s="6"/>
      <c r="V31" s="6"/>
      <c r="W31" s="6"/>
      <c r="X31" s="6"/>
      <c r="Y31" s="6"/>
      <c r="Z31" s="6"/>
      <c r="AA31" s="6"/>
      <c r="AB31" s="6"/>
    </row>
    <row r="32" spans="1:28" ht="12.75" x14ac:dyDescent="0.2">
      <c r="A32" s="13" t="s">
        <v>307</v>
      </c>
      <c r="B32" s="6" t="s">
        <v>308</v>
      </c>
      <c r="C32" s="6"/>
      <c r="D32" s="6" t="s">
        <v>53</v>
      </c>
      <c r="E32" s="6"/>
      <c r="F32" s="6"/>
      <c r="G32" s="6"/>
      <c r="H32" s="6"/>
      <c r="I32" s="6"/>
      <c r="J32" s="6"/>
      <c r="K32" s="6"/>
      <c r="L32" s="6"/>
      <c r="M32" s="6"/>
      <c r="N32" s="6"/>
      <c r="O32" s="6"/>
      <c r="P32" s="6"/>
      <c r="Q32" s="6"/>
      <c r="R32" s="6"/>
      <c r="S32" s="6"/>
      <c r="T32" s="6"/>
      <c r="U32" s="6"/>
      <c r="V32" s="6"/>
      <c r="W32" s="6"/>
      <c r="X32" s="6"/>
      <c r="Y32" s="6"/>
      <c r="Z32" s="6"/>
      <c r="AA32" s="6"/>
      <c r="AB32" s="6"/>
    </row>
    <row r="33" spans="1:28" ht="51" x14ac:dyDescent="0.2">
      <c r="A33" s="13" t="s">
        <v>311</v>
      </c>
      <c r="B33" s="6" t="s">
        <v>312</v>
      </c>
      <c r="C33" s="6" t="s">
        <v>313</v>
      </c>
      <c r="D33" s="6" t="s">
        <v>314</v>
      </c>
      <c r="E33" s="6" t="s">
        <v>315</v>
      </c>
      <c r="F33" s="6" t="s">
        <v>284</v>
      </c>
      <c r="G33" s="6" t="s">
        <v>55</v>
      </c>
      <c r="H33" s="6"/>
      <c r="I33" s="6"/>
      <c r="J33" s="6"/>
      <c r="K33" s="6"/>
      <c r="L33" s="6"/>
      <c r="M33" s="6"/>
      <c r="N33" s="6"/>
      <c r="O33" s="6"/>
      <c r="P33" s="6"/>
      <c r="Q33" s="6"/>
      <c r="R33" s="6"/>
      <c r="S33" s="6"/>
      <c r="T33" s="6"/>
      <c r="U33" s="6"/>
      <c r="V33" s="6"/>
      <c r="W33" s="6"/>
      <c r="X33" s="6"/>
      <c r="Y33" s="6"/>
      <c r="Z33" s="6"/>
      <c r="AA33" s="6"/>
      <c r="AB33" s="6"/>
    </row>
    <row r="34" spans="1:28" ht="12.75" x14ac:dyDescent="0.2">
      <c r="A34" s="13" t="s">
        <v>322</v>
      </c>
      <c r="B34" s="6" t="s">
        <v>324</v>
      </c>
      <c r="C34" s="6"/>
      <c r="D34" s="6" t="s">
        <v>31</v>
      </c>
      <c r="E34" s="6"/>
      <c r="F34" s="6" t="s">
        <v>284</v>
      </c>
      <c r="G34" s="6" t="s">
        <v>55</v>
      </c>
      <c r="H34" s="6"/>
      <c r="I34" s="6"/>
      <c r="J34" s="6"/>
      <c r="K34" s="6"/>
      <c r="L34" s="6"/>
      <c r="M34" s="6"/>
      <c r="N34" s="6"/>
      <c r="O34" s="6"/>
      <c r="P34" s="6"/>
      <c r="Q34" s="6"/>
      <c r="R34" s="6"/>
      <c r="S34" s="6"/>
      <c r="T34" s="6"/>
      <c r="U34" s="6"/>
      <c r="V34" s="6"/>
      <c r="W34" s="6"/>
      <c r="X34" s="6"/>
      <c r="Y34" s="6"/>
      <c r="Z34" s="6"/>
      <c r="AA34" s="6"/>
      <c r="AB34" s="6"/>
    </row>
    <row r="35" spans="1:28" ht="102" x14ac:dyDescent="0.2">
      <c r="A35" s="13" t="s">
        <v>328</v>
      </c>
      <c r="B35" s="6" t="s">
        <v>329</v>
      </c>
      <c r="C35" s="6"/>
      <c r="D35" s="6" t="s">
        <v>331</v>
      </c>
      <c r="E35" s="6" t="s">
        <v>333</v>
      </c>
      <c r="F35" s="6" t="s">
        <v>207</v>
      </c>
      <c r="G35" s="6" t="s">
        <v>209</v>
      </c>
      <c r="H35" s="6"/>
      <c r="I35" s="6"/>
      <c r="J35" s="6"/>
      <c r="K35" s="6"/>
      <c r="L35" s="6"/>
      <c r="M35" s="6"/>
      <c r="N35" s="6"/>
      <c r="O35" s="6"/>
      <c r="P35" s="6"/>
      <c r="Q35" s="6"/>
      <c r="R35" s="6"/>
      <c r="S35" s="6"/>
      <c r="T35" s="6"/>
      <c r="U35" s="6"/>
      <c r="V35" s="6"/>
      <c r="W35" s="6"/>
      <c r="X35" s="6"/>
      <c r="Y35" s="6"/>
      <c r="Z35" s="6"/>
      <c r="AA35" s="6"/>
      <c r="AB35" s="6"/>
    </row>
    <row r="36" spans="1:28" ht="12.75" x14ac:dyDescent="0.2">
      <c r="A36" s="27" t="s">
        <v>338</v>
      </c>
      <c r="B36" s="16" t="s">
        <v>341</v>
      </c>
      <c r="D36" s="16" t="s">
        <v>53</v>
      </c>
      <c r="E36" s="28"/>
      <c r="F36" s="29" t="s">
        <v>141</v>
      </c>
      <c r="G36" s="6" t="s">
        <v>99</v>
      </c>
      <c r="H36" s="6"/>
      <c r="I36" s="6"/>
      <c r="J36" s="6"/>
      <c r="K36" s="6"/>
      <c r="L36" s="6"/>
      <c r="M36" s="6"/>
      <c r="N36" s="6"/>
      <c r="O36" s="6"/>
      <c r="P36" s="6"/>
      <c r="Q36" s="6"/>
      <c r="R36" s="6"/>
      <c r="S36" s="6"/>
      <c r="T36" s="6"/>
      <c r="U36" s="6"/>
      <c r="V36" s="6"/>
      <c r="W36" s="6"/>
      <c r="X36" s="6"/>
      <c r="Y36" s="6"/>
      <c r="Z36" s="6"/>
      <c r="AA36" s="6"/>
      <c r="AB36" s="6"/>
    </row>
    <row r="37" spans="1:28" ht="12.75" x14ac:dyDescent="0.2">
      <c r="A37" s="27" t="s">
        <v>343</v>
      </c>
      <c r="B37" s="16" t="s">
        <v>344</v>
      </c>
      <c r="D37" s="16" t="s">
        <v>345</v>
      </c>
      <c r="E37" s="28"/>
      <c r="G37" s="6"/>
      <c r="H37" s="6"/>
      <c r="I37" s="6"/>
      <c r="J37" s="6"/>
      <c r="K37" s="6"/>
      <c r="L37" s="6"/>
      <c r="M37" s="6"/>
      <c r="N37" s="6"/>
      <c r="O37" s="6"/>
      <c r="P37" s="6"/>
      <c r="Q37" s="6"/>
      <c r="R37" s="6"/>
      <c r="S37" s="6"/>
      <c r="T37" s="6"/>
      <c r="U37" s="6"/>
      <c r="V37" s="6"/>
      <c r="W37" s="6"/>
      <c r="X37" s="6"/>
      <c r="Y37" s="6"/>
      <c r="Z37" s="6"/>
      <c r="AA37" s="6"/>
      <c r="AB37" s="6"/>
    </row>
    <row r="38" spans="1:28" ht="63.75" x14ac:dyDescent="0.2">
      <c r="A38" s="27" t="s">
        <v>352</v>
      </c>
      <c r="B38" s="16" t="s">
        <v>353</v>
      </c>
      <c r="D38" s="16" t="s">
        <v>91</v>
      </c>
      <c r="E38" s="6" t="s">
        <v>354</v>
      </c>
      <c r="F38" s="6" t="s">
        <v>355</v>
      </c>
      <c r="G38" s="6" t="s">
        <v>34</v>
      </c>
      <c r="H38" s="6"/>
      <c r="I38" s="6"/>
      <c r="J38" s="6"/>
      <c r="K38" s="6"/>
      <c r="L38" s="6"/>
      <c r="M38" s="6"/>
      <c r="N38" s="6"/>
      <c r="O38" s="6"/>
      <c r="P38" s="6"/>
      <c r="Q38" s="6"/>
      <c r="R38" s="6"/>
      <c r="S38" s="6"/>
      <c r="T38" s="6"/>
      <c r="U38" s="6"/>
      <c r="V38" s="6"/>
      <c r="W38" s="6"/>
      <c r="X38" s="6"/>
      <c r="Y38" s="6"/>
      <c r="Z38" s="6"/>
      <c r="AA38" s="6"/>
      <c r="AB38" s="6"/>
    </row>
    <row r="39" spans="1:28" ht="51" x14ac:dyDescent="0.2">
      <c r="A39" s="27" t="s">
        <v>356</v>
      </c>
      <c r="B39" s="16" t="s">
        <v>357</v>
      </c>
      <c r="C39" s="16" t="s">
        <v>359</v>
      </c>
      <c r="D39" s="16" t="s">
        <v>91</v>
      </c>
      <c r="E39" s="6" t="s">
        <v>361</v>
      </c>
      <c r="F39" s="6" t="s">
        <v>355</v>
      </c>
      <c r="G39" s="6" t="s">
        <v>34</v>
      </c>
      <c r="H39" s="6"/>
      <c r="I39" s="6"/>
      <c r="J39" s="6"/>
      <c r="K39" s="6"/>
      <c r="L39" s="6"/>
      <c r="M39" s="6"/>
      <c r="N39" s="6"/>
      <c r="O39" s="6"/>
      <c r="P39" s="6"/>
      <c r="Q39" s="6"/>
      <c r="R39" s="6"/>
      <c r="S39" s="6"/>
      <c r="T39" s="6"/>
      <c r="U39" s="6"/>
      <c r="V39" s="6"/>
      <c r="W39" s="6"/>
      <c r="X39" s="6"/>
      <c r="Y39" s="6"/>
      <c r="Z39" s="6"/>
      <c r="AA39" s="6"/>
      <c r="AB39" s="6"/>
    </row>
    <row r="40" spans="1:28" ht="51" x14ac:dyDescent="0.2">
      <c r="A40" s="27" t="s">
        <v>366</v>
      </c>
      <c r="B40" s="16" t="s">
        <v>367</v>
      </c>
      <c r="C40" s="16" t="s">
        <v>368</v>
      </c>
      <c r="D40" s="16" t="s">
        <v>31</v>
      </c>
      <c r="E40" s="6" t="s">
        <v>369</v>
      </c>
      <c r="F40" s="6" t="s">
        <v>355</v>
      </c>
      <c r="G40" s="6" t="s">
        <v>34</v>
      </c>
      <c r="H40" s="6"/>
      <c r="I40" s="6"/>
      <c r="J40" s="6"/>
      <c r="K40" s="6"/>
      <c r="L40" s="6"/>
      <c r="M40" s="6"/>
      <c r="N40" s="6"/>
      <c r="O40" s="6"/>
      <c r="P40" s="6"/>
      <c r="Q40" s="6"/>
      <c r="R40" s="6"/>
      <c r="S40" s="6"/>
      <c r="T40" s="6"/>
      <c r="U40" s="6"/>
      <c r="V40" s="6"/>
      <c r="W40" s="6"/>
      <c r="X40" s="6"/>
      <c r="Y40" s="6"/>
      <c r="Z40" s="6"/>
      <c r="AA40" s="6"/>
      <c r="AB40" s="6"/>
    </row>
    <row r="41" spans="1:28" ht="63.75" x14ac:dyDescent="0.2">
      <c r="A41" s="27" t="s">
        <v>370</v>
      </c>
      <c r="B41" s="16" t="s">
        <v>371</v>
      </c>
      <c r="C41" s="16" t="s">
        <v>372</v>
      </c>
      <c r="D41" s="16" t="s">
        <v>373</v>
      </c>
      <c r="E41" s="6" t="s">
        <v>374</v>
      </c>
      <c r="F41" s="6" t="s">
        <v>355</v>
      </c>
      <c r="G41" s="6" t="s">
        <v>34</v>
      </c>
      <c r="H41" s="6"/>
      <c r="I41" s="6"/>
      <c r="J41" s="6"/>
      <c r="K41" s="6"/>
      <c r="L41" s="6"/>
      <c r="M41" s="6"/>
      <c r="N41" s="6"/>
      <c r="O41" s="6"/>
      <c r="P41" s="6"/>
      <c r="Q41" s="6"/>
      <c r="R41" s="6"/>
      <c r="S41" s="6"/>
      <c r="T41" s="6"/>
      <c r="U41" s="6"/>
      <c r="V41" s="6"/>
      <c r="W41" s="6"/>
      <c r="X41" s="6"/>
      <c r="Y41" s="6"/>
      <c r="Z41" s="6"/>
      <c r="AA41" s="6"/>
      <c r="AB41" s="6"/>
    </row>
    <row r="42" spans="1:28" ht="25.5" x14ac:dyDescent="0.2">
      <c r="A42" s="27" t="s">
        <v>381</v>
      </c>
      <c r="B42" s="16" t="s">
        <v>382</v>
      </c>
      <c r="C42" s="16"/>
      <c r="D42" s="16" t="s">
        <v>53</v>
      </c>
      <c r="E42" s="6"/>
      <c r="F42" s="6" t="s">
        <v>207</v>
      </c>
      <c r="G42" s="6" t="s">
        <v>209</v>
      </c>
      <c r="H42" s="6"/>
      <c r="I42" s="6"/>
      <c r="J42" s="6"/>
      <c r="K42" s="6"/>
      <c r="L42" s="6"/>
      <c r="M42" s="6"/>
      <c r="N42" s="6"/>
      <c r="O42" s="6"/>
      <c r="P42" s="6"/>
      <c r="Q42" s="6"/>
      <c r="R42" s="6"/>
      <c r="S42" s="6"/>
      <c r="T42" s="6"/>
      <c r="U42" s="6"/>
      <c r="V42" s="6"/>
      <c r="W42" s="6"/>
      <c r="X42" s="6"/>
      <c r="Y42" s="6"/>
      <c r="Z42" s="6"/>
      <c r="AA42" s="6"/>
      <c r="AB42" s="6"/>
    </row>
    <row r="43" spans="1:28" ht="38.25" x14ac:dyDescent="0.2">
      <c r="A43" s="31" t="s">
        <v>310</v>
      </c>
      <c r="B43" s="32" t="s">
        <v>309</v>
      </c>
      <c r="C43" s="28"/>
      <c r="D43" s="6" t="s">
        <v>53</v>
      </c>
      <c r="E43" s="28"/>
      <c r="F43" s="6" t="s">
        <v>385</v>
      </c>
      <c r="G43" s="6" t="s">
        <v>55</v>
      </c>
      <c r="H43" s="28"/>
      <c r="I43" s="28"/>
      <c r="J43" s="28"/>
      <c r="K43" s="28"/>
      <c r="L43" s="28"/>
      <c r="M43" s="28"/>
      <c r="N43" s="28"/>
      <c r="O43" s="28"/>
      <c r="P43" s="28"/>
      <c r="Q43" s="28"/>
      <c r="R43" s="28"/>
      <c r="S43" s="28"/>
      <c r="T43" s="28"/>
      <c r="U43" s="28"/>
      <c r="V43" s="28"/>
      <c r="W43" s="28"/>
      <c r="X43" s="28"/>
      <c r="Y43" s="28"/>
      <c r="Z43" s="28"/>
      <c r="AA43" s="28"/>
      <c r="AB43" s="28"/>
    </row>
    <row r="44" spans="1:28" ht="76.5" x14ac:dyDescent="0.2">
      <c r="A44" s="31" t="s">
        <v>50</v>
      </c>
      <c r="B44" s="32" t="s">
        <v>48</v>
      </c>
      <c r="C44" s="6" t="s">
        <v>393</v>
      </c>
      <c r="D44" s="6" t="s">
        <v>394</v>
      </c>
      <c r="E44" s="6"/>
      <c r="F44" s="6" t="s">
        <v>395</v>
      </c>
      <c r="G44" s="6" t="s">
        <v>396</v>
      </c>
      <c r="H44" s="28"/>
      <c r="I44" s="28"/>
      <c r="J44" s="28"/>
      <c r="K44" s="28"/>
      <c r="L44" s="28"/>
      <c r="M44" s="28"/>
      <c r="N44" s="28"/>
      <c r="O44" s="28"/>
      <c r="P44" s="28"/>
      <c r="Q44" s="28"/>
      <c r="R44" s="28"/>
      <c r="S44" s="28"/>
      <c r="T44" s="28"/>
      <c r="U44" s="28"/>
      <c r="V44" s="28"/>
      <c r="W44" s="28"/>
      <c r="X44" s="28"/>
      <c r="Y44" s="28"/>
      <c r="Z44" s="28"/>
      <c r="AA44" s="28"/>
      <c r="AB44" s="28"/>
    </row>
    <row r="45" spans="1:28" ht="38.25" x14ac:dyDescent="0.2">
      <c r="A45" s="31" t="s">
        <v>397</v>
      </c>
      <c r="B45" s="32" t="s">
        <v>398</v>
      </c>
      <c r="C45" s="6" t="s">
        <v>399</v>
      </c>
      <c r="D45" s="6" t="s">
        <v>394</v>
      </c>
      <c r="E45" s="6"/>
      <c r="F45" s="6" t="s">
        <v>402</v>
      </c>
      <c r="G45" s="6" t="s">
        <v>403</v>
      </c>
      <c r="H45" s="28"/>
      <c r="I45" s="28"/>
      <c r="J45" s="28"/>
      <c r="K45" s="28"/>
      <c r="L45" s="28"/>
      <c r="M45" s="28"/>
      <c r="N45" s="28"/>
      <c r="O45" s="28"/>
      <c r="P45" s="28"/>
      <c r="Q45" s="28"/>
      <c r="R45" s="28"/>
      <c r="S45" s="28"/>
      <c r="T45" s="28"/>
      <c r="U45" s="28"/>
      <c r="V45" s="28"/>
      <c r="W45" s="28"/>
      <c r="X45" s="28"/>
      <c r="Y45" s="28"/>
      <c r="Z45" s="28"/>
      <c r="AA45" s="28"/>
      <c r="AB45" s="28"/>
    </row>
    <row r="46" spans="1:28" ht="38.25" x14ac:dyDescent="0.2">
      <c r="A46" s="31" t="s">
        <v>410</v>
      </c>
      <c r="B46" s="32" t="s">
        <v>412</v>
      </c>
      <c r="C46" s="6" t="s">
        <v>413</v>
      </c>
      <c r="D46" s="6" t="s">
        <v>394</v>
      </c>
      <c r="E46" s="6"/>
      <c r="F46" s="6" t="s">
        <v>402</v>
      </c>
      <c r="G46" s="6" t="s">
        <v>403</v>
      </c>
      <c r="H46" s="28"/>
      <c r="I46" s="28"/>
      <c r="J46" s="28"/>
      <c r="K46" s="28"/>
      <c r="L46" s="28"/>
      <c r="M46" s="28"/>
      <c r="N46" s="28"/>
      <c r="O46" s="28"/>
      <c r="P46" s="28"/>
      <c r="Q46" s="28"/>
      <c r="R46" s="28"/>
      <c r="S46" s="28"/>
      <c r="T46" s="28"/>
      <c r="U46" s="28"/>
      <c r="V46" s="28"/>
      <c r="W46" s="28"/>
      <c r="X46" s="28"/>
      <c r="Y46" s="28"/>
      <c r="Z46" s="28"/>
      <c r="AA46" s="28"/>
      <c r="AB46" s="28"/>
    </row>
    <row r="47" spans="1:28" ht="12.75" x14ac:dyDescent="0.2">
      <c r="A47" s="31" t="s">
        <v>414</v>
      </c>
      <c r="B47" s="32" t="s">
        <v>415</v>
      </c>
      <c r="C47" s="6" t="s">
        <v>417</v>
      </c>
      <c r="D47" s="6" t="s">
        <v>394</v>
      </c>
      <c r="E47" s="6"/>
      <c r="F47" s="6" t="s">
        <v>156</v>
      </c>
      <c r="G47" s="6" t="s">
        <v>158</v>
      </c>
      <c r="H47" s="28"/>
      <c r="I47" s="28"/>
      <c r="J47" s="28"/>
      <c r="K47" s="28"/>
      <c r="L47" s="28"/>
      <c r="M47" s="28"/>
      <c r="N47" s="28"/>
      <c r="O47" s="28"/>
      <c r="P47" s="28"/>
      <c r="Q47" s="28"/>
      <c r="R47" s="28"/>
      <c r="S47" s="28"/>
      <c r="T47" s="28"/>
      <c r="U47" s="28"/>
      <c r="V47" s="28"/>
      <c r="W47" s="28"/>
      <c r="X47" s="28"/>
      <c r="Y47" s="28"/>
      <c r="Z47" s="28"/>
      <c r="AA47" s="28"/>
      <c r="AB47" s="28"/>
    </row>
    <row r="48" spans="1:28" ht="12.75" x14ac:dyDescent="0.2">
      <c r="A48" s="31" t="s">
        <v>423</v>
      </c>
      <c r="B48" s="32" t="s">
        <v>424</v>
      </c>
      <c r="C48" s="6" t="s">
        <v>425</v>
      </c>
      <c r="D48" s="6" t="s">
        <v>394</v>
      </c>
      <c r="E48" s="6"/>
      <c r="F48" s="6" t="s">
        <v>426</v>
      </c>
      <c r="G48" s="6" t="s">
        <v>427</v>
      </c>
      <c r="H48" s="28"/>
      <c r="I48" s="28"/>
      <c r="J48" s="28"/>
      <c r="K48" s="28"/>
      <c r="L48" s="28"/>
      <c r="M48" s="28"/>
      <c r="N48" s="28"/>
      <c r="O48" s="28"/>
      <c r="P48" s="28"/>
      <c r="Q48" s="28"/>
      <c r="R48" s="28"/>
      <c r="S48" s="28"/>
      <c r="T48" s="28"/>
      <c r="U48" s="28"/>
      <c r="V48" s="28"/>
      <c r="W48" s="28"/>
      <c r="X48" s="28"/>
      <c r="Y48" s="28"/>
      <c r="Z48" s="28"/>
      <c r="AA48" s="28"/>
      <c r="AB48" s="28"/>
    </row>
    <row r="49" spans="1:28" ht="15" x14ac:dyDescent="0.2">
      <c r="A49" s="31" t="s">
        <v>428</v>
      </c>
      <c r="B49" s="34"/>
      <c r="C49" s="6" t="s">
        <v>429</v>
      </c>
      <c r="D49" s="6" t="s">
        <v>394</v>
      </c>
      <c r="E49" s="6"/>
      <c r="F49" s="6" t="s">
        <v>426</v>
      </c>
      <c r="G49" s="6" t="s">
        <v>427</v>
      </c>
      <c r="H49" s="28"/>
      <c r="I49" s="28"/>
      <c r="J49" s="28"/>
      <c r="K49" s="28"/>
      <c r="L49" s="28"/>
      <c r="M49" s="28"/>
      <c r="N49" s="28"/>
      <c r="O49" s="28"/>
      <c r="P49" s="28"/>
      <c r="Q49" s="28"/>
      <c r="R49" s="28"/>
      <c r="S49" s="28"/>
      <c r="T49" s="28"/>
      <c r="U49" s="28"/>
      <c r="V49" s="28"/>
      <c r="W49" s="28"/>
      <c r="X49" s="28"/>
      <c r="Y49" s="28"/>
      <c r="Z49" s="28"/>
      <c r="AA49" s="28"/>
      <c r="AB49" s="28"/>
    </row>
    <row r="50" spans="1:28" ht="15" x14ac:dyDescent="0.2">
      <c r="A50" s="31" t="s">
        <v>437</v>
      </c>
      <c r="B50" s="34"/>
      <c r="C50" s="6" t="s">
        <v>438</v>
      </c>
      <c r="D50" s="6" t="s">
        <v>394</v>
      </c>
      <c r="E50" s="6"/>
      <c r="F50" s="28"/>
      <c r="G50" s="28"/>
      <c r="H50" s="28"/>
      <c r="I50" s="28"/>
      <c r="J50" s="28"/>
      <c r="K50" s="28"/>
      <c r="L50" s="28"/>
      <c r="M50" s="28"/>
      <c r="N50" s="28"/>
      <c r="O50" s="28"/>
      <c r="P50" s="28"/>
      <c r="Q50" s="28"/>
      <c r="R50" s="28"/>
      <c r="S50" s="28"/>
      <c r="T50" s="28"/>
      <c r="U50" s="28"/>
      <c r="V50" s="28"/>
      <c r="W50" s="28"/>
      <c r="X50" s="28"/>
      <c r="Y50" s="28"/>
      <c r="Z50" s="28"/>
      <c r="AA50" s="28"/>
      <c r="AB50" s="28"/>
    </row>
    <row r="51" spans="1:28" ht="12.75" x14ac:dyDescent="0.2">
      <c r="A51" s="31" t="s">
        <v>441</v>
      </c>
      <c r="B51" s="32" t="s">
        <v>442</v>
      </c>
      <c r="C51" s="6" t="s">
        <v>443</v>
      </c>
      <c r="D51" s="6" t="s">
        <v>394</v>
      </c>
      <c r="E51" s="6"/>
      <c r="F51" s="6" t="s">
        <v>444</v>
      </c>
      <c r="G51" s="6" t="s">
        <v>445</v>
      </c>
      <c r="H51" s="28"/>
      <c r="I51" s="28"/>
      <c r="J51" s="28"/>
      <c r="K51" s="28"/>
      <c r="L51" s="28"/>
      <c r="M51" s="28"/>
      <c r="N51" s="28"/>
      <c r="O51" s="28"/>
      <c r="P51" s="28"/>
      <c r="Q51" s="28"/>
      <c r="R51" s="28"/>
      <c r="S51" s="28"/>
      <c r="T51" s="28"/>
      <c r="U51" s="28"/>
      <c r="V51" s="28"/>
      <c r="W51" s="28"/>
      <c r="X51" s="28"/>
      <c r="Y51" s="28"/>
      <c r="Z51" s="28"/>
      <c r="AA51" s="28"/>
      <c r="AB51" s="28"/>
    </row>
    <row r="52" spans="1:28" ht="12.75" x14ac:dyDescent="0.2">
      <c r="A52" s="31" t="s">
        <v>451</v>
      </c>
      <c r="B52" s="32" t="s">
        <v>452</v>
      </c>
      <c r="C52" s="6" t="s">
        <v>453</v>
      </c>
      <c r="D52" s="6" t="s">
        <v>394</v>
      </c>
      <c r="E52" s="6"/>
      <c r="F52" s="28"/>
      <c r="G52" s="28"/>
      <c r="H52" s="28"/>
      <c r="I52" s="28"/>
      <c r="J52" s="28"/>
      <c r="K52" s="28"/>
      <c r="L52" s="28"/>
      <c r="M52" s="28"/>
      <c r="N52" s="28"/>
      <c r="O52" s="28"/>
      <c r="P52" s="28"/>
      <c r="Q52" s="28"/>
      <c r="R52" s="28"/>
      <c r="S52" s="28"/>
      <c r="T52" s="28"/>
      <c r="U52" s="28"/>
      <c r="V52" s="28"/>
      <c r="W52" s="28"/>
      <c r="X52" s="28"/>
      <c r="Y52" s="28"/>
      <c r="Z52" s="28"/>
      <c r="AA52" s="28"/>
      <c r="AB52" s="28"/>
    </row>
    <row r="53" spans="1:28" ht="12.75" x14ac:dyDescent="0.2">
      <c r="A53" s="31" t="s">
        <v>455</v>
      </c>
      <c r="B53" s="32" t="s">
        <v>456</v>
      </c>
      <c r="C53" s="28"/>
      <c r="D53" s="6" t="s">
        <v>53</v>
      </c>
      <c r="E53" s="28"/>
      <c r="F53" s="28"/>
      <c r="G53" s="28"/>
      <c r="H53" s="28"/>
      <c r="I53" s="28"/>
      <c r="J53" s="28"/>
      <c r="K53" s="28"/>
      <c r="L53" s="28"/>
      <c r="M53" s="28"/>
      <c r="N53" s="28"/>
      <c r="O53" s="28"/>
      <c r="P53" s="28"/>
      <c r="Q53" s="28"/>
      <c r="R53" s="28"/>
      <c r="S53" s="28"/>
      <c r="T53" s="28"/>
      <c r="U53" s="28"/>
      <c r="V53" s="28"/>
      <c r="W53" s="28"/>
      <c r="X53" s="28"/>
      <c r="Y53" s="28"/>
      <c r="Z53" s="28"/>
      <c r="AA53" s="28"/>
      <c r="AB53" s="28"/>
    </row>
    <row r="54" spans="1:28" ht="15" x14ac:dyDescent="0.2">
      <c r="A54" s="31" t="s">
        <v>461</v>
      </c>
      <c r="B54" s="34"/>
      <c r="C54" s="6" t="s">
        <v>462</v>
      </c>
      <c r="D54" s="6" t="s">
        <v>394</v>
      </c>
      <c r="E54" s="6"/>
      <c r="F54" s="6" t="s">
        <v>141</v>
      </c>
      <c r="G54" s="6" t="s">
        <v>99</v>
      </c>
      <c r="H54" s="28"/>
      <c r="I54" s="28"/>
      <c r="J54" s="28"/>
      <c r="K54" s="28"/>
      <c r="L54" s="28"/>
      <c r="M54" s="28"/>
      <c r="N54" s="28"/>
      <c r="O54" s="28"/>
      <c r="P54" s="28"/>
      <c r="Q54" s="28"/>
      <c r="R54" s="28"/>
      <c r="S54" s="28"/>
      <c r="T54" s="28"/>
      <c r="U54" s="28"/>
      <c r="V54" s="28"/>
      <c r="W54" s="28"/>
      <c r="X54" s="28"/>
      <c r="Y54" s="28"/>
      <c r="Z54" s="28"/>
      <c r="AA54" s="28"/>
      <c r="AB54" s="28"/>
    </row>
    <row r="55" spans="1:28" ht="51" x14ac:dyDescent="0.2">
      <c r="A55" s="31" t="s">
        <v>463</v>
      </c>
      <c r="B55" s="32" t="s">
        <v>464</v>
      </c>
      <c r="C55" s="28"/>
      <c r="D55" s="6" t="s">
        <v>465</v>
      </c>
      <c r="E55" s="6" t="s">
        <v>466</v>
      </c>
      <c r="F55" s="6"/>
      <c r="G55" s="6"/>
      <c r="H55" s="28"/>
      <c r="I55" s="28"/>
      <c r="J55" s="28"/>
      <c r="K55" s="28"/>
      <c r="L55" s="28"/>
      <c r="M55" s="28"/>
      <c r="N55" s="28"/>
      <c r="O55" s="28"/>
      <c r="P55" s="28"/>
      <c r="Q55" s="28"/>
      <c r="R55" s="28"/>
      <c r="S55" s="28"/>
      <c r="T55" s="28"/>
      <c r="U55" s="28"/>
      <c r="V55" s="28"/>
      <c r="W55" s="28"/>
      <c r="X55" s="28"/>
      <c r="Y55" s="28"/>
      <c r="Z55" s="28"/>
      <c r="AA55" s="28"/>
      <c r="AB55" s="28"/>
    </row>
    <row r="56" spans="1:28" ht="12.75" x14ac:dyDescent="0.2">
      <c r="A56" s="31" t="s">
        <v>472</v>
      </c>
      <c r="B56" s="32" t="s">
        <v>473</v>
      </c>
      <c r="C56" s="6" t="s">
        <v>474</v>
      </c>
      <c r="D56" s="6" t="s">
        <v>394</v>
      </c>
      <c r="E56" s="6"/>
      <c r="F56" s="6" t="s">
        <v>284</v>
      </c>
      <c r="G56" s="6" t="s">
        <v>55</v>
      </c>
      <c r="H56" s="28"/>
      <c r="I56" s="28"/>
      <c r="J56" s="28"/>
      <c r="K56" s="28"/>
      <c r="L56" s="28"/>
      <c r="M56" s="28"/>
      <c r="N56" s="28"/>
      <c r="O56" s="28"/>
      <c r="P56" s="28"/>
      <c r="Q56" s="28"/>
      <c r="R56" s="28"/>
      <c r="S56" s="28"/>
      <c r="T56" s="28"/>
      <c r="U56" s="28"/>
      <c r="V56" s="28"/>
      <c r="W56" s="28"/>
      <c r="X56" s="28"/>
      <c r="Y56" s="28"/>
      <c r="Z56" s="28"/>
      <c r="AA56" s="28"/>
      <c r="AB56" s="28"/>
    </row>
    <row r="57" spans="1:28" ht="12.75" x14ac:dyDescent="0.2">
      <c r="A57" s="31" t="s">
        <v>477</v>
      </c>
      <c r="B57" s="32" t="s">
        <v>478</v>
      </c>
      <c r="C57" s="6"/>
      <c r="D57" s="6" t="s">
        <v>53</v>
      </c>
      <c r="E57" s="6"/>
      <c r="F57" s="6" t="s">
        <v>141</v>
      </c>
      <c r="G57" s="6" t="s">
        <v>99</v>
      </c>
      <c r="H57" s="28"/>
      <c r="I57" s="28"/>
      <c r="J57" s="28"/>
      <c r="K57" s="28"/>
      <c r="L57" s="28"/>
      <c r="M57" s="28"/>
      <c r="N57" s="28"/>
      <c r="O57" s="28"/>
      <c r="P57" s="28"/>
      <c r="Q57" s="28"/>
      <c r="R57" s="28"/>
      <c r="S57" s="28"/>
      <c r="T57" s="28"/>
      <c r="U57" s="28"/>
      <c r="V57" s="28"/>
      <c r="W57" s="28"/>
      <c r="X57" s="28"/>
      <c r="Y57" s="28"/>
      <c r="Z57" s="28"/>
      <c r="AA57" s="28"/>
      <c r="AB57" s="28"/>
    </row>
    <row r="58" spans="1:28" ht="89.25" x14ac:dyDescent="0.2">
      <c r="A58" s="31" t="s">
        <v>484</v>
      </c>
      <c r="B58" s="32" t="s">
        <v>485</v>
      </c>
      <c r="C58" s="6"/>
      <c r="D58" s="6" t="s">
        <v>91</v>
      </c>
      <c r="E58" s="6" t="s">
        <v>486</v>
      </c>
      <c r="F58" s="6"/>
      <c r="G58" s="6"/>
      <c r="H58" s="28"/>
      <c r="I58" s="28"/>
      <c r="J58" s="28"/>
      <c r="K58" s="28"/>
      <c r="L58" s="28"/>
      <c r="M58" s="28"/>
      <c r="N58" s="28"/>
      <c r="O58" s="28"/>
      <c r="P58" s="28"/>
      <c r="Q58" s="28"/>
      <c r="R58" s="28"/>
      <c r="S58" s="28"/>
      <c r="T58" s="28"/>
      <c r="U58" s="28"/>
      <c r="V58" s="28"/>
      <c r="W58" s="28"/>
      <c r="X58" s="28"/>
      <c r="Y58" s="28"/>
      <c r="Z58" s="28"/>
      <c r="AA58" s="28"/>
      <c r="AB58" s="28"/>
    </row>
    <row r="59" spans="1:28" ht="76.5" x14ac:dyDescent="0.2">
      <c r="A59" s="31" t="s">
        <v>488</v>
      </c>
      <c r="B59" s="32" t="s">
        <v>489</v>
      </c>
      <c r="C59" s="6"/>
      <c r="D59" s="6" t="s">
        <v>373</v>
      </c>
      <c r="E59" s="6" t="s">
        <v>492</v>
      </c>
      <c r="F59" s="6" t="s">
        <v>207</v>
      </c>
      <c r="G59" s="6"/>
      <c r="H59" s="28"/>
      <c r="I59" s="28"/>
      <c r="J59" s="28"/>
      <c r="K59" s="28"/>
      <c r="L59" s="28"/>
      <c r="M59" s="28"/>
      <c r="N59" s="28"/>
      <c r="O59" s="28"/>
      <c r="P59" s="28"/>
      <c r="Q59" s="28"/>
      <c r="R59" s="28"/>
      <c r="S59" s="28"/>
      <c r="T59" s="28"/>
      <c r="U59" s="28"/>
      <c r="V59" s="28"/>
      <c r="W59" s="28"/>
      <c r="X59" s="28"/>
      <c r="Y59" s="28"/>
      <c r="Z59" s="28"/>
      <c r="AA59" s="28"/>
      <c r="AB59" s="28"/>
    </row>
    <row r="60" spans="1:28" ht="76.5" x14ac:dyDescent="0.2">
      <c r="A60" s="31" t="s">
        <v>494</v>
      </c>
      <c r="B60" s="32" t="s">
        <v>495</v>
      </c>
      <c r="C60" s="6"/>
      <c r="D60" s="6" t="s">
        <v>91</v>
      </c>
      <c r="E60" s="6" t="s">
        <v>497</v>
      </c>
      <c r="F60" s="6" t="s">
        <v>207</v>
      </c>
      <c r="G60" s="6"/>
      <c r="H60" s="28"/>
      <c r="I60" s="28"/>
      <c r="J60" s="28"/>
      <c r="K60" s="28"/>
      <c r="L60" s="28"/>
      <c r="M60" s="28"/>
      <c r="N60" s="28"/>
      <c r="O60" s="28"/>
      <c r="P60" s="28"/>
      <c r="Q60" s="28"/>
      <c r="R60" s="28"/>
      <c r="S60" s="28"/>
      <c r="T60" s="28"/>
      <c r="U60" s="28"/>
      <c r="V60" s="28"/>
      <c r="W60" s="28"/>
      <c r="X60" s="28"/>
      <c r="Y60" s="28"/>
      <c r="Z60" s="28"/>
      <c r="AA60" s="28"/>
      <c r="AB60" s="28"/>
    </row>
    <row r="61" spans="1:28" ht="89.25" x14ac:dyDescent="0.2">
      <c r="A61" s="31" t="s">
        <v>500</v>
      </c>
      <c r="B61" s="32" t="s">
        <v>456</v>
      </c>
      <c r="C61" s="6"/>
      <c r="D61" s="6" t="s">
        <v>373</v>
      </c>
      <c r="E61" s="6" t="s">
        <v>504</v>
      </c>
      <c r="F61" s="6" t="s">
        <v>207</v>
      </c>
      <c r="G61" s="6"/>
      <c r="H61" s="28"/>
      <c r="I61" s="28"/>
      <c r="J61" s="28"/>
      <c r="K61" s="28"/>
      <c r="L61" s="28"/>
      <c r="M61" s="28"/>
      <c r="N61" s="28"/>
      <c r="O61" s="28"/>
      <c r="P61" s="28"/>
      <c r="Q61" s="28"/>
      <c r="R61" s="28"/>
      <c r="S61" s="28"/>
      <c r="T61" s="28"/>
      <c r="U61" s="28"/>
      <c r="V61" s="28"/>
      <c r="W61" s="28"/>
      <c r="X61" s="28"/>
      <c r="Y61" s="28"/>
      <c r="Z61" s="28"/>
      <c r="AA61" s="28"/>
      <c r="AB61" s="28"/>
    </row>
    <row r="62" spans="1:28" ht="12.75" x14ac:dyDescent="0.2">
      <c r="A62" s="31" t="s">
        <v>509</v>
      </c>
      <c r="B62" s="32" t="s">
        <v>510</v>
      </c>
      <c r="C62" s="6"/>
      <c r="D62" s="6" t="s">
        <v>53</v>
      </c>
      <c r="E62" s="6"/>
      <c r="F62" s="6"/>
      <c r="G62" s="6"/>
      <c r="H62" s="28"/>
      <c r="I62" s="28"/>
      <c r="J62" s="28"/>
      <c r="K62" s="28"/>
      <c r="L62" s="28"/>
      <c r="M62" s="28"/>
      <c r="N62" s="28"/>
      <c r="O62" s="28"/>
      <c r="P62" s="28"/>
      <c r="Q62" s="28"/>
      <c r="R62" s="28"/>
      <c r="S62" s="28"/>
      <c r="T62" s="28"/>
      <c r="U62" s="28"/>
      <c r="V62" s="28"/>
      <c r="W62" s="28"/>
      <c r="X62" s="28"/>
      <c r="Y62" s="28"/>
      <c r="Z62" s="28"/>
      <c r="AA62" s="28"/>
      <c r="AB62" s="28"/>
    </row>
    <row r="63" spans="1:28" ht="102" x14ac:dyDescent="0.2">
      <c r="A63" s="31" t="s">
        <v>514</v>
      </c>
      <c r="B63" s="32" t="s">
        <v>516</v>
      </c>
      <c r="C63" s="6"/>
      <c r="D63" s="6" t="s">
        <v>518</v>
      </c>
      <c r="E63" s="6" t="s">
        <v>520</v>
      </c>
      <c r="F63" s="6"/>
      <c r="G63" s="6"/>
      <c r="H63" s="28"/>
      <c r="I63" s="28"/>
      <c r="J63" s="28"/>
      <c r="K63" s="28"/>
      <c r="L63" s="28"/>
      <c r="M63" s="28"/>
      <c r="N63" s="28"/>
      <c r="O63" s="28"/>
      <c r="P63" s="28"/>
      <c r="Q63" s="28"/>
      <c r="R63" s="28"/>
      <c r="S63" s="28"/>
      <c r="T63" s="28"/>
      <c r="U63" s="28"/>
      <c r="V63" s="28"/>
      <c r="W63" s="28"/>
      <c r="X63" s="28"/>
      <c r="Y63" s="28"/>
      <c r="Z63" s="28"/>
      <c r="AA63" s="28"/>
      <c r="AB63" s="28"/>
    </row>
    <row r="64" spans="1:28" ht="114.75" x14ac:dyDescent="0.2">
      <c r="A64" s="31" t="s">
        <v>523</v>
      </c>
      <c r="B64" s="32" t="s">
        <v>524</v>
      </c>
      <c r="C64" s="6"/>
      <c r="D64" s="6" t="s">
        <v>314</v>
      </c>
      <c r="E64" s="6" t="s">
        <v>525</v>
      </c>
      <c r="F64" s="6"/>
      <c r="G64" s="6"/>
      <c r="H64" s="28"/>
      <c r="I64" s="28"/>
      <c r="J64" s="28"/>
      <c r="K64" s="28"/>
      <c r="L64" s="28"/>
      <c r="M64" s="28"/>
      <c r="N64" s="28"/>
      <c r="O64" s="28"/>
      <c r="P64" s="28"/>
      <c r="Q64" s="28"/>
      <c r="R64" s="28"/>
      <c r="S64" s="28"/>
      <c r="T64" s="28"/>
      <c r="U64" s="28"/>
      <c r="V64" s="28"/>
      <c r="W64" s="28"/>
      <c r="X64" s="28"/>
      <c r="Y64" s="28"/>
      <c r="Z64" s="28"/>
      <c r="AA64" s="28"/>
      <c r="AB64" s="28"/>
    </row>
    <row r="65" spans="1:28" ht="12.75" x14ac:dyDescent="0.2">
      <c r="A65" s="31" t="s">
        <v>534</v>
      </c>
      <c r="B65" s="32"/>
      <c r="C65" s="16" t="s">
        <v>535</v>
      </c>
      <c r="D65" s="16" t="s">
        <v>536</v>
      </c>
      <c r="E65" s="6"/>
      <c r="F65" s="6"/>
      <c r="G65" s="6"/>
      <c r="H65" s="28"/>
      <c r="I65" s="28"/>
      <c r="J65" s="28"/>
      <c r="K65" s="28"/>
      <c r="L65" s="28"/>
      <c r="M65" s="28"/>
      <c r="N65" s="28"/>
      <c r="O65" s="28"/>
      <c r="P65" s="28"/>
      <c r="Q65" s="28"/>
      <c r="R65" s="28"/>
      <c r="S65" s="28"/>
      <c r="T65" s="28"/>
      <c r="U65" s="28"/>
      <c r="V65" s="28"/>
      <c r="W65" s="28"/>
      <c r="X65" s="28"/>
      <c r="Y65" s="28"/>
      <c r="Z65" s="28"/>
      <c r="AA65" s="28"/>
      <c r="AB65" s="28"/>
    </row>
    <row r="66" spans="1:28" ht="12.75" x14ac:dyDescent="0.2">
      <c r="A66" s="31" t="s">
        <v>538</v>
      </c>
      <c r="B66" s="32"/>
      <c r="C66" s="16" t="s">
        <v>540</v>
      </c>
      <c r="D66" s="16" t="s">
        <v>536</v>
      </c>
      <c r="E66" s="6"/>
      <c r="F66" s="6"/>
      <c r="G66" s="6"/>
      <c r="H66" s="28"/>
      <c r="I66" s="28"/>
      <c r="J66" s="28"/>
      <c r="K66" s="28"/>
      <c r="L66" s="28"/>
      <c r="M66" s="28"/>
      <c r="N66" s="28"/>
      <c r="O66" s="28"/>
      <c r="P66" s="28"/>
      <c r="Q66" s="28"/>
      <c r="R66" s="28"/>
      <c r="S66" s="28"/>
      <c r="T66" s="28"/>
      <c r="U66" s="28"/>
      <c r="V66" s="28"/>
      <c r="W66" s="28"/>
      <c r="X66" s="28"/>
      <c r="Y66" s="28"/>
      <c r="Z66" s="28"/>
      <c r="AA66" s="28"/>
      <c r="AB66" s="28"/>
    </row>
    <row r="67" spans="1:28" ht="12.75" x14ac:dyDescent="0.2">
      <c r="A67" s="31" t="s">
        <v>545</v>
      </c>
      <c r="B67" s="32"/>
      <c r="C67" s="16" t="s">
        <v>546</v>
      </c>
      <c r="D67" s="16" t="s">
        <v>536</v>
      </c>
      <c r="E67" s="6"/>
      <c r="F67" s="6"/>
      <c r="G67" s="6"/>
      <c r="H67" s="28"/>
      <c r="I67" s="28"/>
      <c r="J67" s="28"/>
      <c r="K67" s="28"/>
      <c r="L67" s="28"/>
      <c r="M67" s="28"/>
      <c r="N67" s="28"/>
      <c r="O67" s="28"/>
      <c r="P67" s="28"/>
      <c r="Q67" s="28"/>
      <c r="R67" s="28"/>
      <c r="S67" s="28"/>
      <c r="T67" s="28"/>
      <c r="U67" s="28"/>
      <c r="V67" s="28"/>
      <c r="W67" s="28"/>
      <c r="X67" s="28"/>
      <c r="Y67" s="28"/>
      <c r="Z67" s="28"/>
      <c r="AA67" s="28"/>
      <c r="AB67" s="28"/>
    </row>
    <row r="68" spans="1:28" ht="12.75" x14ac:dyDescent="0.2">
      <c r="A68" s="31" t="s">
        <v>548</v>
      </c>
      <c r="B68" s="32"/>
      <c r="C68" s="16" t="s">
        <v>549</v>
      </c>
      <c r="D68" s="16" t="s">
        <v>536</v>
      </c>
      <c r="E68" s="6"/>
      <c r="F68" s="6"/>
      <c r="G68" s="6"/>
      <c r="H68" s="28"/>
      <c r="I68" s="28"/>
      <c r="J68" s="28"/>
      <c r="K68" s="28"/>
      <c r="L68" s="28"/>
      <c r="M68" s="28"/>
      <c r="N68" s="28"/>
      <c r="O68" s="28"/>
      <c r="P68" s="28"/>
      <c r="Q68" s="28"/>
      <c r="R68" s="28"/>
      <c r="S68" s="28"/>
      <c r="T68" s="28"/>
      <c r="U68" s="28"/>
      <c r="V68" s="28"/>
      <c r="W68" s="28"/>
      <c r="X68" s="28"/>
      <c r="Y68" s="28"/>
      <c r="Z68" s="28"/>
      <c r="AA68" s="28"/>
      <c r="AB68" s="28"/>
    </row>
    <row r="69" spans="1:28" ht="12.75" x14ac:dyDescent="0.2">
      <c r="A69" s="31" t="s">
        <v>416</v>
      </c>
      <c r="B69" s="32"/>
      <c r="C69" s="16" t="s">
        <v>418</v>
      </c>
      <c r="D69" s="16" t="s">
        <v>536</v>
      </c>
      <c r="E69" s="6"/>
      <c r="F69" s="6"/>
      <c r="G69" s="6"/>
      <c r="H69" s="28"/>
      <c r="I69" s="28"/>
      <c r="J69" s="28"/>
      <c r="K69" s="28"/>
      <c r="L69" s="28"/>
      <c r="M69" s="28"/>
      <c r="N69" s="28"/>
      <c r="O69" s="28"/>
      <c r="P69" s="28"/>
      <c r="Q69" s="28"/>
      <c r="R69" s="28"/>
      <c r="S69" s="28"/>
      <c r="T69" s="28"/>
      <c r="U69" s="28"/>
      <c r="V69" s="28"/>
      <c r="W69" s="28"/>
      <c r="X69" s="28"/>
      <c r="Y69" s="28"/>
      <c r="Z69" s="28"/>
      <c r="AA69" s="28"/>
      <c r="AB69" s="28"/>
    </row>
    <row r="70" spans="1:28" ht="12.75" x14ac:dyDescent="0.2">
      <c r="A70" s="31" t="s">
        <v>557</v>
      </c>
      <c r="B70" s="32" t="s">
        <v>558</v>
      </c>
      <c r="C70" s="16" t="s">
        <v>559</v>
      </c>
      <c r="D70" s="16" t="s">
        <v>536</v>
      </c>
      <c r="E70" s="6"/>
      <c r="F70" s="6"/>
      <c r="G70" s="6"/>
      <c r="H70" s="28"/>
      <c r="I70" s="28"/>
      <c r="J70" s="28"/>
      <c r="K70" s="28"/>
      <c r="L70" s="28"/>
      <c r="M70" s="28"/>
      <c r="N70" s="28"/>
      <c r="O70" s="28"/>
      <c r="P70" s="28"/>
      <c r="Q70" s="28"/>
      <c r="R70" s="28"/>
      <c r="S70" s="28"/>
      <c r="T70" s="28"/>
      <c r="U70" s="28"/>
      <c r="V70" s="28"/>
      <c r="W70" s="28"/>
      <c r="X70" s="28"/>
      <c r="Y70" s="28"/>
      <c r="Z70" s="28"/>
      <c r="AA70" s="28"/>
      <c r="AB70" s="28"/>
    </row>
    <row r="71" spans="1:28" ht="12.75" x14ac:dyDescent="0.2">
      <c r="A71" s="31" t="s">
        <v>562</v>
      </c>
      <c r="B71" s="32" t="s">
        <v>564</v>
      </c>
      <c r="C71" s="16"/>
      <c r="D71" s="16" t="s">
        <v>53</v>
      </c>
      <c r="E71" s="6"/>
      <c r="F71" s="6"/>
      <c r="G71" s="6"/>
      <c r="H71" s="28"/>
      <c r="I71" s="28"/>
      <c r="J71" s="28"/>
      <c r="K71" s="28"/>
      <c r="L71" s="28"/>
      <c r="M71" s="28"/>
      <c r="N71" s="28"/>
      <c r="O71" s="28"/>
      <c r="P71" s="28"/>
      <c r="Q71" s="28"/>
      <c r="R71" s="28"/>
      <c r="S71" s="28"/>
      <c r="T71" s="28"/>
      <c r="U71" s="28"/>
      <c r="V71" s="28"/>
      <c r="W71" s="28"/>
      <c r="X71" s="28"/>
      <c r="Y71" s="28"/>
      <c r="Z71" s="28"/>
      <c r="AA71" s="28"/>
      <c r="AB71" s="28"/>
    </row>
    <row r="72" spans="1:28" ht="12.75" x14ac:dyDescent="0.2">
      <c r="A72" s="31" t="s">
        <v>569</v>
      </c>
      <c r="B72" s="32"/>
      <c r="C72" s="16" t="s">
        <v>570</v>
      </c>
      <c r="D72" s="16" t="s">
        <v>536</v>
      </c>
      <c r="E72" s="6"/>
      <c r="F72" s="6"/>
      <c r="G72" s="6"/>
      <c r="H72" s="28"/>
      <c r="I72" s="28"/>
      <c r="J72" s="28"/>
      <c r="K72" s="28"/>
      <c r="L72" s="28"/>
      <c r="M72" s="28"/>
      <c r="N72" s="28"/>
      <c r="O72" s="28"/>
      <c r="P72" s="28"/>
      <c r="Q72" s="28"/>
      <c r="R72" s="28"/>
      <c r="S72" s="28"/>
      <c r="T72" s="28"/>
      <c r="U72" s="28"/>
      <c r="V72" s="28"/>
      <c r="W72" s="28"/>
      <c r="X72" s="28"/>
      <c r="Y72" s="28"/>
      <c r="Z72" s="28"/>
      <c r="AA72" s="28"/>
      <c r="AB72" s="28"/>
    </row>
    <row r="73" spans="1:28" ht="12.75" x14ac:dyDescent="0.2">
      <c r="A73" s="31" t="s">
        <v>325</v>
      </c>
      <c r="B73" s="32" t="s">
        <v>323</v>
      </c>
      <c r="C73" s="16"/>
      <c r="D73" s="16" t="s">
        <v>91</v>
      </c>
      <c r="E73" s="6"/>
      <c r="F73" s="6" t="s">
        <v>92</v>
      </c>
      <c r="G73" s="6" t="s">
        <v>93</v>
      </c>
      <c r="H73" s="28"/>
      <c r="I73" s="28"/>
      <c r="J73" s="28"/>
      <c r="K73" s="28"/>
      <c r="L73" s="28"/>
      <c r="M73" s="28"/>
      <c r="N73" s="28"/>
      <c r="O73" s="28"/>
      <c r="P73" s="28"/>
      <c r="Q73" s="28"/>
      <c r="R73" s="28"/>
      <c r="S73" s="28"/>
      <c r="T73" s="28"/>
      <c r="U73" s="28"/>
      <c r="V73" s="28"/>
      <c r="W73" s="28"/>
      <c r="X73" s="28"/>
      <c r="Y73" s="28"/>
      <c r="Z73" s="28"/>
      <c r="AA73" s="28"/>
      <c r="AB73" s="28"/>
    </row>
    <row r="74" spans="1:28" ht="12.75" x14ac:dyDescent="0.2">
      <c r="A74" s="31" t="s">
        <v>579</v>
      </c>
      <c r="B74" s="32" t="s">
        <v>580</v>
      </c>
      <c r="C74" s="16"/>
      <c r="D74" s="16" t="s">
        <v>345</v>
      </c>
      <c r="E74" s="6"/>
      <c r="F74" s="6"/>
      <c r="G74" s="6"/>
      <c r="H74" s="28"/>
      <c r="I74" s="28"/>
      <c r="J74" s="28"/>
      <c r="K74" s="28"/>
      <c r="L74" s="28"/>
      <c r="M74" s="28"/>
      <c r="N74" s="28"/>
      <c r="O74" s="28"/>
      <c r="P74" s="28"/>
      <c r="Q74" s="28"/>
      <c r="R74" s="28"/>
      <c r="S74" s="28"/>
      <c r="T74" s="28"/>
      <c r="U74" s="28"/>
      <c r="V74" s="28"/>
      <c r="W74" s="28"/>
      <c r="X74" s="28"/>
      <c r="Y74" s="28"/>
      <c r="Z74" s="28"/>
      <c r="AA74" s="28"/>
      <c r="AB74" s="28"/>
    </row>
    <row r="75" spans="1:28" ht="12.75" x14ac:dyDescent="0.2">
      <c r="A75" s="31" t="s">
        <v>111</v>
      </c>
      <c r="B75" s="32"/>
      <c r="C75" s="16" t="s">
        <v>110</v>
      </c>
      <c r="D75" s="16" t="s">
        <v>536</v>
      </c>
      <c r="E75" s="6"/>
      <c r="F75" s="6" t="s">
        <v>92</v>
      </c>
      <c r="G75" s="6" t="s">
        <v>93</v>
      </c>
      <c r="H75" s="28"/>
      <c r="I75" s="28"/>
      <c r="J75" s="28"/>
      <c r="K75" s="28"/>
      <c r="L75" s="28"/>
      <c r="M75" s="28"/>
      <c r="N75" s="28"/>
      <c r="O75" s="28"/>
      <c r="P75" s="28"/>
      <c r="Q75" s="28"/>
      <c r="R75" s="28"/>
      <c r="S75" s="28"/>
      <c r="T75" s="28"/>
      <c r="U75" s="28"/>
      <c r="V75" s="28"/>
      <c r="W75" s="28"/>
      <c r="X75" s="28"/>
      <c r="Y75" s="28"/>
      <c r="Z75" s="28"/>
      <c r="AA75" s="28"/>
      <c r="AB75" s="28"/>
    </row>
    <row r="76" spans="1:28" ht="12.75" x14ac:dyDescent="0.2">
      <c r="A76" s="31" t="s">
        <v>584</v>
      </c>
      <c r="B76" s="32" t="s">
        <v>585</v>
      </c>
      <c r="C76" s="16"/>
      <c r="D76" s="16" t="s">
        <v>588</v>
      </c>
      <c r="E76" s="6" t="s">
        <v>590</v>
      </c>
      <c r="F76" s="6" t="s">
        <v>92</v>
      </c>
      <c r="G76" s="6" t="s">
        <v>93</v>
      </c>
      <c r="H76" s="28"/>
      <c r="I76" s="28"/>
      <c r="J76" s="28"/>
      <c r="K76" s="28"/>
      <c r="L76" s="28"/>
      <c r="M76" s="28"/>
      <c r="N76" s="28"/>
      <c r="O76" s="28"/>
      <c r="P76" s="28"/>
      <c r="Q76" s="28"/>
      <c r="R76" s="28"/>
      <c r="S76" s="28"/>
      <c r="T76" s="28"/>
      <c r="U76" s="28"/>
      <c r="V76" s="28"/>
      <c r="W76" s="28"/>
      <c r="X76" s="28"/>
      <c r="Y76" s="28"/>
      <c r="Z76" s="28"/>
      <c r="AA76" s="28"/>
      <c r="AB76" s="28"/>
    </row>
    <row r="77" spans="1:28" ht="25.5" x14ac:dyDescent="0.2">
      <c r="A77" s="31" t="s">
        <v>594</v>
      </c>
      <c r="B77" s="32" t="s">
        <v>596</v>
      </c>
      <c r="C77" s="16" t="s">
        <v>597</v>
      </c>
      <c r="D77" s="6" t="s">
        <v>598</v>
      </c>
      <c r="E77" s="6"/>
      <c r="F77" s="6" t="s">
        <v>92</v>
      </c>
      <c r="G77" s="6" t="s">
        <v>93</v>
      </c>
      <c r="H77" s="28"/>
      <c r="I77" s="28"/>
      <c r="J77" s="28"/>
      <c r="K77" s="28"/>
      <c r="L77" s="28"/>
      <c r="M77" s="28"/>
      <c r="N77" s="28"/>
      <c r="O77" s="28"/>
      <c r="P77" s="28"/>
      <c r="Q77" s="28"/>
      <c r="R77" s="28"/>
      <c r="S77" s="28"/>
      <c r="T77" s="28"/>
      <c r="U77" s="28"/>
      <c r="V77" s="28"/>
      <c r="W77" s="28"/>
      <c r="X77" s="28"/>
      <c r="Y77" s="28"/>
      <c r="Z77" s="28"/>
      <c r="AA77" s="28"/>
      <c r="AB77" s="28"/>
    </row>
    <row r="78" spans="1:28" ht="25.5" x14ac:dyDescent="0.2">
      <c r="A78" s="31" t="s">
        <v>603</v>
      </c>
      <c r="B78" s="32" t="s">
        <v>604</v>
      </c>
      <c r="C78" s="16"/>
      <c r="D78" s="16" t="s">
        <v>53</v>
      </c>
      <c r="E78" s="6"/>
      <c r="F78" s="6"/>
      <c r="G78" s="6"/>
      <c r="H78" s="28"/>
      <c r="I78" s="28"/>
      <c r="J78" s="28"/>
      <c r="K78" s="28"/>
      <c r="L78" s="28"/>
      <c r="M78" s="28"/>
      <c r="N78" s="28"/>
      <c r="O78" s="28"/>
      <c r="P78" s="28"/>
      <c r="Q78" s="28"/>
      <c r="R78" s="28"/>
      <c r="S78" s="28"/>
      <c r="T78" s="28"/>
      <c r="U78" s="28"/>
      <c r="V78" s="28"/>
      <c r="W78" s="28"/>
      <c r="X78" s="28"/>
      <c r="Y78" s="28"/>
      <c r="Z78" s="28"/>
      <c r="AA78" s="28"/>
      <c r="AB78" s="28"/>
    </row>
    <row r="79" spans="1:28" ht="12.75" x14ac:dyDescent="0.2">
      <c r="A79" s="31" t="s">
        <v>606</v>
      </c>
      <c r="B79" s="32"/>
      <c r="C79" s="16" t="s">
        <v>607</v>
      </c>
      <c r="D79" s="16" t="s">
        <v>394</v>
      </c>
      <c r="E79" s="6"/>
      <c r="F79" s="6"/>
      <c r="G79" s="6"/>
      <c r="H79" s="28"/>
      <c r="I79" s="28"/>
      <c r="J79" s="28"/>
      <c r="K79" s="28"/>
      <c r="L79" s="28"/>
      <c r="M79" s="28"/>
      <c r="N79" s="28"/>
      <c r="O79" s="28"/>
      <c r="P79" s="28"/>
      <c r="Q79" s="28"/>
      <c r="R79" s="28"/>
      <c r="S79" s="28"/>
      <c r="T79" s="28"/>
      <c r="U79" s="28"/>
      <c r="V79" s="28"/>
      <c r="W79" s="28"/>
      <c r="X79" s="28"/>
      <c r="Y79" s="28"/>
      <c r="Z79" s="28"/>
      <c r="AA79" s="28"/>
      <c r="AB79" s="28"/>
    </row>
    <row r="80" spans="1:28" ht="12.75" x14ac:dyDescent="0.2">
      <c r="A80" s="31" t="s">
        <v>612</v>
      </c>
      <c r="B80" s="32" t="s">
        <v>614</v>
      </c>
      <c r="C80" s="16"/>
      <c r="D80" s="16" t="s">
        <v>53</v>
      </c>
      <c r="E80" s="6"/>
      <c r="F80" s="6"/>
      <c r="G80" s="6"/>
      <c r="H80" s="28"/>
      <c r="I80" s="28"/>
      <c r="J80" s="28"/>
      <c r="K80" s="28"/>
      <c r="L80" s="28"/>
      <c r="M80" s="28"/>
      <c r="N80" s="28"/>
      <c r="O80" s="28"/>
      <c r="P80" s="28"/>
      <c r="Q80" s="28"/>
      <c r="R80" s="28"/>
      <c r="S80" s="28"/>
      <c r="T80" s="28"/>
      <c r="U80" s="28"/>
      <c r="V80" s="28"/>
      <c r="W80" s="28"/>
      <c r="X80" s="28"/>
      <c r="Y80" s="28"/>
      <c r="Z80" s="28"/>
      <c r="AA80" s="28"/>
      <c r="AB80" s="28"/>
    </row>
    <row r="81" spans="1:28" ht="12.75" x14ac:dyDescent="0.2">
      <c r="A81" s="31" t="s">
        <v>616</v>
      </c>
      <c r="B81" s="32"/>
      <c r="C81" s="16" t="s">
        <v>617</v>
      </c>
      <c r="D81" s="16" t="s">
        <v>394</v>
      </c>
      <c r="E81" s="6"/>
      <c r="F81" s="6"/>
      <c r="G81" s="6"/>
      <c r="H81" s="28"/>
      <c r="I81" s="28"/>
      <c r="J81" s="28"/>
      <c r="K81" s="28"/>
      <c r="L81" s="28"/>
      <c r="M81" s="28"/>
      <c r="N81" s="28"/>
      <c r="O81" s="28"/>
      <c r="P81" s="28"/>
      <c r="Q81" s="28"/>
      <c r="R81" s="28"/>
      <c r="S81" s="28"/>
      <c r="T81" s="28"/>
      <c r="U81" s="28"/>
      <c r="V81" s="28"/>
      <c r="W81" s="28"/>
      <c r="X81" s="28"/>
      <c r="Y81" s="28"/>
      <c r="Z81" s="28"/>
      <c r="AA81" s="28"/>
      <c r="AB81" s="28"/>
    </row>
    <row r="82" spans="1:28" ht="12.75" x14ac:dyDescent="0.2">
      <c r="A82" s="31" t="s">
        <v>618</v>
      </c>
      <c r="B82" s="32" t="s">
        <v>619</v>
      </c>
      <c r="C82" s="16"/>
      <c r="D82" s="16" t="s">
        <v>53</v>
      </c>
      <c r="E82" s="6"/>
      <c r="F82" s="6" t="s">
        <v>284</v>
      </c>
      <c r="G82" s="6" t="s">
        <v>55</v>
      </c>
      <c r="H82" s="28"/>
      <c r="I82" s="28"/>
      <c r="J82" s="28"/>
      <c r="K82" s="28"/>
      <c r="L82" s="28"/>
      <c r="M82" s="28"/>
      <c r="N82" s="28"/>
      <c r="O82" s="28"/>
      <c r="P82" s="28"/>
      <c r="Q82" s="28"/>
      <c r="R82" s="28"/>
      <c r="S82" s="28"/>
      <c r="T82" s="28"/>
      <c r="U82" s="28"/>
      <c r="V82" s="28"/>
      <c r="W82" s="28"/>
      <c r="X82" s="28"/>
      <c r="Y82" s="28"/>
      <c r="Z82" s="28"/>
      <c r="AA82" s="28"/>
      <c r="AB82" s="28"/>
    </row>
    <row r="83" spans="1:28" ht="12.75" x14ac:dyDescent="0.2">
      <c r="A83" s="31" t="s">
        <v>624</v>
      </c>
      <c r="B83" s="32"/>
      <c r="C83" s="16" t="s">
        <v>625</v>
      </c>
      <c r="D83" s="16" t="s">
        <v>394</v>
      </c>
      <c r="E83" s="6"/>
      <c r="F83" s="6"/>
      <c r="G83" s="6"/>
      <c r="H83" s="28"/>
      <c r="I83" s="28"/>
      <c r="J83" s="28"/>
      <c r="K83" s="28"/>
      <c r="L83" s="28"/>
      <c r="M83" s="28"/>
      <c r="N83" s="28"/>
      <c r="O83" s="28"/>
      <c r="P83" s="28"/>
      <c r="Q83" s="28"/>
      <c r="R83" s="28"/>
      <c r="S83" s="28"/>
      <c r="T83" s="28"/>
      <c r="U83" s="28"/>
      <c r="V83" s="28"/>
      <c r="W83" s="28"/>
      <c r="X83" s="28"/>
      <c r="Y83" s="28"/>
      <c r="Z83" s="28"/>
      <c r="AA83" s="28"/>
      <c r="AB83" s="28"/>
    </row>
    <row r="84" spans="1:28" ht="12.75" x14ac:dyDescent="0.2">
      <c r="A84" s="31" t="s">
        <v>627</v>
      </c>
      <c r="B84" s="36" t="s">
        <v>628</v>
      </c>
      <c r="C84" s="16"/>
      <c r="D84" s="16" t="s">
        <v>91</v>
      </c>
      <c r="E84" s="6"/>
      <c r="F84" s="6" t="s">
        <v>284</v>
      </c>
      <c r="G84" s="6" t="s">
        <v>55</v>
      </c>
      <c r="H84" s="28"/>
      <c r="I84" s="28"/>
      <c r="J84" s="28"/>
      <c r="K84" s="28"/>
      <c r="L84" s="28"/>
      <c r="M84" s="28"/>
      <c r="N84" s="28"/>
      <c r="O84" s="28"/>
      <c r="P84" s="28"/>
      <c r="Q84" s="28"/>
      <c r="R84" s="28"/>
      <c r="S84" s="28"/>
      <c r="T84" s="28"/>
      <c r="U84" s="28"/>
      <c r="V84" s="28"/>
      <c r="W84" s="28"/>
      <c r="X84" s="28"/>
      <c r="Y84" s="28"/>
      <c r="Z84" s="28"/>
      <c r="AA84" s="28"/>
      <c r="AB84" s="28"/>
    </row>
    <row r="85" spans="1:28" ht="12.75" x14ac:dyDescent="0.2">
      <c r="A85" s="31" t="s">
        <v>635</v>
      </c>
      <c r="B85" s="38" t="s">
        <v>636</v>
      </c>
      <c r="C85" s="16"/>
      <c r="D85" s="16" t="s">
        <v>91</v>
      </c>
      <c r="E85" s="6"/>
      <c r="F85" s="6" t="s">
        <v>284</v>
      </c>
      <c r="G85" s="6" t="s">
        <v>55</v>
      </c>
      <c r="H85" s="28"/>
      <c r="I85" s="28"/>
      <c r="J85" s="28"/>
      <c r="K85" s="28"/>
      <c r="L85" s="28"/>
      <c r="M85" s="28"/>
      <c r="N85" s="28"/>
      <c r="O85" s="28"/>
      <c r="P85" s="28"/>
      <c r="Q85" s="28"/>
      <c r="R85" s="28"/>
      <c r="S85" s="28"/>
      <c r="T85" s="28"/>
      <c r="U85" s="28"/>
      <c r="V85" s="28"/>
      <c r="W85" s="28"/>
      <c r="X85" s="28"/>
      <c r="Y85" s="28"/>
      <c r="Z85" s="28"/>
      <c r="AA85" s="28"/>
      <c r="AB85" s="28"/>
    </row>
    <row r="86" spans="1:28" ht="12.75" x14ac:dyDescent="0.2">
      <c r="A86" s="31" t="s">
        <v>637</v>
      </c>
      <c r="B86" s="32" t="s">
        <v>638</v>
      </c>
      <c r="C86" s="16"/>
      <c r="D86" s="16" t="s">
        <v>53</v>
      </c>
      <c r="E86" s="6"/>
      <c r="F86" s="6" t="s">
        <v>284</v>
      </c>
      <c r="G86" s="6" t="s">
        <v>55</v>
      </c>
      <c r="H86" s="28"/>
      <c r="I86" s="28"/>
      <c r="J86" s="28"/>
      <c r="K86" s="28"/>
      <c r="L86" s="28"/>
      <c r="M86" s="28"/>
      <c r="N86" s="28"/>
      <c r="O86" s="28"/>
      <c r="P86" s="28"/>
      <c r="Q86" s="28"/>
      <c r="R86" s="28"/>
      <c r="S86" s="28"/>
      <c r="T86" s="28"/>
      <c r="U86" s="28"/>
      <c r="V86" s="28"/>
      <c r="W86" s="28"/>
      <c r="X86" s="28"/>
      <c r="Y86" s="28"/>
      <c r="Z86" s="28"/>
      <c r="AA86" s="28"/>
      <c r="AB86" s="28"/>
    </row>
    <row r="87" spans="1:28" ht="12.75" x14ac:dyDescent="0.2">
      <c r="A87" s="31" t="s">
        <v>511</v>
      </c>
      <c r="B87" s="32" t="s">
        <v>645</v>
      </c>
      <c r="C87" s="16"/>
      <c r="D87" s="16" t="s">
        <v>53</v>
      </c>
      <c r="E87" s="6"/>
      <c r="F87" s="6" t="s">
        <v>284</v>
      </c>
      <c r="G87" s="6" t="s">
        <v>55</v>
      </c>
      <c r="H87" s="28"/>
      <c r="I87" s="28"/>
      <c r="J87" s="28"/>
      <c r="K87" s="28"/>
      <c r="L87" s="28"/>
      <c r="M87" s="28"/>
      <c r="N87" s="28"/>
      <c r="O87" s="28"/>
      <c r="P87" s="28"/>
      <c r="Q87" s="28"/>
      <c r="R87" s="28"/>
      <c r="S87" s="28"/>
      <c r="T87" s="28"/>
      <c r="U87" s="28"/>
      <c r="V87" s="28"/>
      <c r="W87" s="28"/>
      <c r="X87" s="28"/>
      <c r="Y87" s="28"/>
      <c r="Z87" s="28"/>
      <c r="AA87" s="28"/>
      <c r="AB87" s="28"/>
    </row>
    <row r="88" spans="1:28" ht="12.75" x14ac:dyDescent="0.2">
      <c r="A88" s="31" t="s">
        <v>646</v>
      </c>
      <c r="B88" s="32" t="s">
        <v>647</v>
      </c>
      <c r="C88" s="16"/>
      <c r="D88" s="16" t="s">
        <v>53</v>
      </c>
      <c r="E88" s="6"/>
      <c r="F88" s="6"/>
      <c r="G88" s="6"/>
      <c r="H88" s="28"/>
      <c r="I88" s="28"/>
      <c r="J88" s="28"/>
      <c r="K88" s="28"/>
      <c r="L88" s="28"/>
      <c r="M88" s="28"/>
      <c r="N88" s="28"/>
      <c r="O88" s="28"/>
      <c r="P88" s="28"/>
      <c r="Q88" s="28"/>
      <c r="R88" s="28"/>
      <c r="S88" s="28"/>
      <c r="T88" s="28"/>
      <c r="U88" s="28"/>
      <c r="V88" s="28"/>
      <c r="W88" s="28"/>
      <c r="X88" s="28"/>
      <c r="Y88" s="28"/>
      <c r="Z88" s="28"/>
      <c r="AA88" s="28"/>
      <c r="AB88" s="28"/>
    </row>
    <row r="89" spans="1:28" ht="12.75" x14ac:dyDescent="0.2">
      <c r="A89" s="31" t="s">
        <v>651</v>
      </c>
      <c r="B89" s="32" t="s">
        <v>653</v>
      </c>
      <c r="C89" s="16"/>
      <c r="D89" s="16" t="s">
        <v>53</v>
      </c>
      <c r="E89" s="6"/>
      <c r="F89" s="6"/>
      <c r="G89" s="6"/>
      <c r="H89" s="28"/>
      <c r="I89" s="28"/>
      <c r="J89" s="28"/>
      <c r="K89" s="28"/>
      <c r="L89" s="28"/>
      <c r="M89" s="28"/>
      <c r="N89" s="28"/>
      <c r="O89" s="28"/>
      <c r="P89" s="28"/>
      <c r="Q89" s="28"/>
      <c r="R89" s="28"/>
      <c r="S89" s="28"/>
      <c r="T89" s="28"/>
      <c r="U89" s="28"/>
      <c r="V89" s="28"/>
      <c r="W89" s="28"/>
      <c r="X89" s="28"/>
      <c r="Y89" s="28"/>
      <c r="Z89" s="28"/>
      <c r="AA89" s="28"/>
      <c r="AB89" s="28"/>
    </row>
    <row r="90" spans="1:28" ht="12.75" x14ac:dyDescent="0.2">
      <c r="A90" s="31" t="s">
        <v>658</v>
      </c>
      <c r="B90" s="32" t="s">
        <v>660</v>
      </c>
      <c r="C90" s="16"/>
      <c r="D90" s="16" t="s">
        <v>53</v>
      </c>
      <c r="E90" s="6"/>
      <c r="F90" s="6"/>
      <c r="G90" s="6"/>
      <c r="H90" s="28"/>
      <c r="I90" s="28"/>
      <c r="J90" s="28"/>
      <c r="K90" s="28"/>
      <c r="L90" s="28"/>
      <c r="M90" s="28"/>
      <c r="N90" s="28"/>
      <c r="O90" s="28"/>
      <c r="P90" s="28"/>
      <c r="Q90" s="28"/>
      <c r="R90" s="28"/>
      <c r="S90" s="28"/>
      <c r="T90" s="28"/>
      <c r="U90" s="28"/>
      <c r="V90" s="28"/>
      <c r="W90" s="28"/>
      <c r="X90" s="28"/>
      <c r="Y90" s="28"/>
      <c r="Z90" s="28"/>
      <c r="AA90" s="28"/>
      <c r="AB90" s="28"/>
    </row>
    <row r="91" spans="1:28" ht="12.75" x14ac:dyDescent="0.2">
      <c r="A91" s="31" t="s">
        <v>661</v>
      </c>
      <c r="B91" s="32" t="s">
        <v>662</v>
      </c>
      <c r="C91" s="16"/>
      <c r="D91" s="16" t="s">
        <v>53</v>
      </c>
      <c r="E91" s="6"/>
      <c r="F91" s="6"/>
      <c r="G91" s="6"/>
      <c r="H91" s="28"/>
      <c r="I91" s="28"/>
      <c r="J91" s="28"/>
      <c r="K91" s="28"/>
      <c r="L91" s="28"/>
      <c r="M91" s="28"/>
      <c r="N91" s="28"/>
      <c r="O91" s="28"/>
      <c r="P91" s="28"/>
      <c r="Q91" s="28"/>
      <c r="R91" s="28"/>
      <c r="S91" s="28"/>
      <c r="T91" s="28"/>
      <c r="U91" s="28"/>
      <c r="V91" s="28"/>
      <c r="W91" s="28"/>
      <c r="X91" s="28"/>
      <c r="Y91" s="28"/>
      <c r="Z91" s="28"/>
      <c r="AA91" s="28"/>
      <c r="AB91" s="28"/>
    </row>
    <row r="92" spans="1:28" ht="12.75" x14ac:dyDescent="0.2">
      <c r="A92" s="31" t="s">
        <v>666</v>
      </c>
      <c r="B92" s="32"/>
      <c r="C92" s="16" t="s">
        <v>667</v>
      </c>
      <c r="D92" s="16" t="s">
        <v>394</v>
      </c>
      <c r="E92" s="6"/>
      <c r="F92" s="6" t="s">
        <v>668</v>
      </c>
      <c r="G92" s="6"/>
      <c r="H92" s="28"/>
      <c r="I92" s="28"/>
      <c r="J92" s="28"/>
      <c r="K92" s="28"/>
      <c r="L92" s="28"/>
      <c r="M92" s="28"/>
      <c r="N92" s="28"/>
      <c r="O92" s="28"/>
      <c r="P92" s="28"/>
      <c r="Q92" s="28"/>
      <c r="R92" s="28"/>
      <c r="S92" s="28"/>
      <c r="T92" s="28"/>
      <c r="U92" s="28"/>
      <c r="V92" s="28"/>
      <c r="W92" s="28"/>
      <c r="X92" s="28"/>
      <c r="Y92" s="28"/>
      <c r="Z92" s="28"/>
      <c r="AA92" s="28"/>
      <c r="AB92" s="28"/>
    </row>
    <row r="93" spans="1:28" ht="12.75" x14ac:dyDescent="0.2">
      <c r="A93" s="31" t="s">
        <v>669</v>
      </c>
      <c r="B93" s="32"/>
      <c r="C93" s="16" t="s">
        <v>670</v>
      </c>
      <c r="D93" s="16" t="s">
        <v>394</v>
      </c>
      <c r="E93" s="6"/>
      <c r="F93" s="6" t="s">
        <v>668</v>
      </c>
      <c r="G93" s="6"/>
      <c r="H93" s="28"/>
      <c r="I93" s="28"/>
      <c r="J93" s="28"/>
      <c r="K93" s="28"/>
      <c r="L93" s="28"/>
      <c r="M93" s="28"/>
      <c r="N93" s="28"/>
      <c r="O93" s="28"/>
      <c r="P93" s="28"/>
      <c r="Q93" s="28"/>
      <c r="R93" s="28"/>
      <c r="S93" s="28"/>
      <c r="T93" s="28"/>
      <c r="U93" s="28"/>
      <c r="V93" s="28"/>
      <c r="W93" s="28"/>
      <c r="X93" s="28"/>
      <c r="Y93" s="28"/>
      <c r="Z93" s="28"/>
      <c r="AA93" s="28"/>
      <c r="AB93" s="28"/>
    </row>
    <row r="94" spans="1:28" ht="12.75" x14ac:dyDescent="0.2">
      <c r="A94" s="31" t="s">
        <v>674</v>
      </c>
      <c r="B94" s="32"/>
      <c r="C94" s="16" t="s">
        <v>675</v>
      </c>
      <c r="D94" s="16" t="s">
        <v>676</v>
      </c>
      <c r="E94" s="6"/>
      <c r="F94" s="6"/>
      <c r="G94" s="6"/>
      <c r="H94" s="28"/>
      <c r="I94" s="28"/>
      <c r="J94" s="28"/>
      <c r="K94" s="28"/>
      <c r="L94" s="28"/>
      <c r="M94" s="28"/>
      <c r="N94" s="28"/>
      <c r="O94" s="28"/>
      <c r="P94" s="28"/>
      <c r="Q94" s="28"/>
      <c r="R94" s="28"/>
      <c r="S94" s="28"/>
      <c r="T94" s="28"/>
      <c r="U94" s="28"/>
      <c r="V94" s="28"/>
      <c r="W94" s="28"/>
      <c r="X94" s="28"/>
      <c r="Y94" s="28"/>
      <c r="Z94" s="28"/>
      <c r="AA94" s="28"/>
      <c r="AB94" s="28"/>
    </row>
    <row r="95" spans="1:28" ht="12.75" x14ac:dyDescent="0.2">
      <c r="A95" s="31" t="s">
        <v>677</v>
      </c>
      <c r="B95" s="32"/>
      <c r="C95" s="16" t="s">
        <v>678</v>
      </c>
      <c r="D95" s="16" t="s">
        <v>394</v>
      </c>
      <c r="E95" s="6"/>
      <c r="F95" s="6"/>
      <c r="G95" s="6"/>
      <c r="H95" s="28"/>
      <c r="I95" s="28"/>
      <c r="J95" s="28"/>
      <c r="K95" s="28"/>
      <c r="L95" s="28"/>
      <c r="M95" s="28"/>
      <c r="N95" s="28"/>
      <c r="O95" s="28"/>
      <c r="P95" s="28"/>
      <c r="Q95" s="28"/>
      <c r="R95" s="28"/>
      <c r="S95" s="28"/>
      <c r="T95" s="28"/>
      <c r="U95" s="28"/>
      <c r="V95" s="28"/>
      <c r="W95" s="28"/>
      <c r="X95" s="28"/>
      <c r="Y95" s="28"/>
      <c r="Z95" s="28"/>
      <c r="AA95" s="28"/>
      <c r="AB95" s="28"/>
    </row>
    <row r="96" spans="1:28" ht="12.75" x14ac:dyDescent="0.2">
      <c r="A96" s="31" t="s">
        <v>682</v>
      </c>
      <c r="B96" s="32" t="s">
        <v>684</v>
      </c>
      <c r="C96" s="16"/>
      <c r="D96" s="16" t="s">
        <v>53</v>
      </c>
      <c r="E96" s="6"/>
      <c r="F96" s="6"/>
      <c r="G96" s="6"/>
      <c r="H96" s="28"/>
      <c r="I96" s="28"/>
      <c r="J96" s="28"/>
      <c r="K96" s="28"/>
      <c r="L96" s="28"/>
      <c r="M96" s="28"/>
      <c r="N96" s="28"/>
      <c r="O96" s="28"/>
      <c r="P96" s="28"/>
      <c r="Q96" s="28"/>
      <c r="R96" s="28"/>
      <c r="S96" s="28"/>
      <c r="T96" s="28"/>
      <c r="U96" s="28"/>
      <c r="V96" s="28"/>
      <c r="W96" s="28"/>
      <c r="X96" s="28"/>
      <c r="Y96" s="28"/>
      <c r="Z96" s="28"/>
      <c r="AA96" s="28"/>
      <c r="AB96" s="28"/>
    </row>
    <row r="97" spans="1:28" ht="12.75" x14ac:dyDescent="0.2">
      <c r="A97" s="31" t="s">
        <v>685</v>
      </c>
      <c r="B97" s="32" t="s">
        <v>686</v>
      </c>
      <c r="C97" s="16"/>
      <c r="D97" s="16" t="s">
        <v>53</v>
      </c>
      <c r="E97" s="6"/>
      <c r="F97" s="6" t="s">
        <v>284</v>
      </c>
      <c r="G97" s="6" t="s">
        <v>55</v>
      </c>
      <c r="H97" s="28"/>
      <c r="I97" s="28"/>
      <c r="J97" s="28"/>
      <c r="K97" s="28"/>
      <c r="L97" s="28"/>
      <c r="M97" s="28"/>
      <c r="N97" s="28"/>
      <c r="O97" s="28"/>
      <c r="P97" s="28"/>
      <c r="Q97" s="28"/>
      <c r="R97" s="28"/>
      <c r="S97" s="28"/>
      <c r="T97" s="28"/>
      <c r="U97" s="28"/>
      <c r="V97" s="28"/>
      <c r="W97" s="28"/>
      <c r="X97" s="28"/>
      <c r="Y97" s="28"/>
      <c r="Z97" s="28"/>
      <c r="AA97" s="28"/>
      <c r="AB97" s="28"/>
    </row>
    <row r="98" spans="1:28" ht="12.75" x14ac:dyDescent="0.2">
      <c r="A98" s="31" t="s">
        <v>690</v>
      </c>
      <c r="B98" s="32" t="s">
        <v>692</v>
      </c>
      <c r="C98" s="16"/>
      <c r="D98" s="16" t="s">
        <v>53</v>
      </c>
      <c r="E98" s="6"/>
      <c r="F98" s="6"/>
      <c r="G98" s="6"/>
      <c r="H98" s="28"/>
      <c r="I98" s="28"/>
      <c r="J98" s="28"/>
      <c r="K98" s="28"/>
      <c r="L98" s="28"/>
      <c r="M98" s="28"/>
      <c r="N98" s="28"/>
      <c r="O98" s="28"/>
      <c r="P98" s="28"/>
      <c r="Q98" s="28"/>
      <c r="R98" s="28"/>
      <c r="S98" s="28"/>
      <c r="T98" s="28"/>
      <c r="U98" s="28"/>
      <c r="V98" s="28"/>
      <c r="W98" s="28"/>
      <c r="X98" s="28"/>
      <c r="Y98" s="28"/>
      <c r="Z98" s="28"/>
      <c r="AA98" s="28"/>
      <c r="AB98" s="28"/>
    </row>
    <row r="99" spans="1:28" ht="12.75" x14ac:dyDescent="0.2">
      <c r="A99" s="31" t="s">
        <v>693</v>
      </c>
      <c r="B99" s="32" t="s">
        <v>694</v>
      </c>
      <c r="C99" s="16"/>
      <c r="D99" s="16" t="s">
        <v>53</v>
      </c>
      <c r="E99" s="6"/>
      <c r="F99" s="6"/>
      <c r="G99" s="6"/>
      <c r="H99" s="28"/>
      <c r="I99" s="28"/>
      <c r="J99" s="28"/>
      <c r="K99" s="28"/>
      <c r="L99" s="28"/>
      <c r="M99" s="28"/>
      <c r="N99" s="28"/>
      <c r="O99" s="28"/>
      <c r="P99" s="28"/>
      <c r="Q99" s="28"/>
      <c r="R99" s="28"/>
      <c r="S99" s="28"/>
      <c r="T99" s="28"/>
      <c r="U99" s="28"/>
      <c r="V99" s="28"/>
      <c r="W99" s="28"/>
      <c r="X99" s="28"/>
      <c r="Y99" s="28"/>
      <c r="Z99" s="28"/>
      <c r="AA99" s="28"/>
      <c r="AB99" s="28"/>
    </row>
    <row r="100" spans="1:28" ht="25.5" x14ac:dyDescent="0.2">
      <c r="A100" s="31" t="s">
        <v>697</v>
      </c>
      <c r="B100" s="32" t="s">
        <v>698</v>
      </c>
      <c r="C100" s="16"/>
      <c r="D100" s="16" t="s">
        <v>53</v>
      </c>
      <c r="E100" s="6"/>
      <c r="F100" s="6" t="s">
        <v>207</v>
      </c>
      <c r="G100" s="6" t="s">
        <v>209</v>
      </c>
      <c r="H100" s="28"/>
      <c r="I100" s="28"/>
      <c r="J100" s="28"/>
      <c r="K100" s="28"/>
      <c r="L100" s="28"/>
      <c r="M100" s="28"/>
      <c r="N100" s="28"/>
      <c r="O100" s="28"/>
      <c r="P100" s="28"/>
      <c r="Q100" s="28"/>
      <c r="R100" s="28"/>
      <c r="S100" s="28"/>
      <c r="T100" s="28"/>
      <c r="U100" s="28"/>
      <c r="V100" s="28"/>
      <c r="W100" s="28"/>
      <c r="X100" s="28"/>
      <c r="Y100" s="28"/>
      <c r="Z100" s="28"/>
      <c r="AA100" s="28"/>
      <c r="AB100" s="28"/>
    </row>
    <row r="101" spans="1:28" ht="12.75" x14ac:dyDescent="0.2">
      <c r="A101" s="31" t="s">
        <v>700</v>
      </c>
      <c r="B101" s="32" t="s">
        <v>701</v>
      </c>
      <c r="C101" s="16"/>
      <c r="D101" s="16" t="s">
        <v>53</v>
      </c>
      <c r="E101" s="6"/>
      <c r="F101" s="6" t="s">
        <v>284</v>
      </c>
      <c r="G101" s="6" t="s">
        <v>55</v>
      </c>
      <c r="H101" s="28"/>
      <c r="I101" s="28"/>
      <c r="J101" s="28"/>
      <c r="K101" s="28"/>
      <c r="L101" s="28"/>
      <c r="M101" s="28"/>
      <c r="N101" s="28"/>
      <c r="O101" s="28"/>
      <c r="P101" s="28"/>
      <c r="Q101" s="28"/>
      <c r="R101" s="28"/>
      <c r="S101" s="28"/>
      <c r="T101" s="28"/>
      <c r="U101" s="28"/>
      <c r="V101" s="28"/>
      <c r="W101" s="28"/>
      <c r="X101" s="28"/>
      <c r="Y101" s="28"/>
      <c r="Z101" s="28"/>
      <c r="AA101" s="28"/>
      <c r="AB101" s="28"/>
    </row>
    <row r="102" spans="1:28" ht="12.75" x14ac:dyDescent="0.2">
      <c r="A102" s="31" t="s">
        <v>703</v>
      </c>
      <c r="B102" s="32" t="s">
        <v>704</v>
      </c>
      <c r="C102" s="16"/>
      <c r="D102" s="16" t="s">
        <v>53</v>
      </c>
      <c r="E102" s="6"/>
      <c r="F102" s="6" t="s">
        <v>141</v>
      </c>
      <c r="G102" s="6" t="s">
        <v>99</v>
      </c>
      <c r="H102" s="28"/>
      <c r="I102" s="28"/>
      <c r="J102" s="28"/>
      <c r="K102" s="28"/>
      <c r="L102" s="28"/>
      <c r="M102" s="28"/>
      <c r="N102" s="28"/>
      <c r="O102" s="28"/>
      <c r="P102" s="28"/>
      <c r="Q102" s="28"/>
      <c r="R102" s="28"/>
      <c r="S102" s="28"/>
      <c r="T102" s="28"/>
      <c r="U102" s="28"/>
      <c r="V102" s="28"/>
      <c r="W102" s="28"/>
      <c r="X102" s="28"/>
      <c r="Y102" s="28"/>
      <c r="Z102" s="28"/>
      <c r="AA102" s="28"/>
      <c r="AB102" s="28"/>
    </row>
    <row r="103" spans="1:28" ht="12.75" x14ac:dyDescent="0.2">
      <c r="A103" s="31" t="s">
        <v>710</v>
      </c>
      <c r="B103" s="32"/>
      <c r="C103" s="16" t="s">
        <v>711</v>
      </c>
      <c r="D103" s="16" t="s">
        <v>394</v>
      </c>
      <c r="E103" s="6"/>
      <c r="F103" s="6"/>
      <c r="G103" s="6"/>
      <c r="H103" s="28"/>
      <c r="I103" s="28"/>
      <c r="J103" s="28"/>
      <c r="K103" s="28"/>
      <c r="L103" s="28"/>
      <c r="M103" s="28"/>
      <c r="N103" s="28"/>
      <c r="O103" s="28"/>
      <c r="P103" s="28"/>
      <c r="Q103" s="28"/>
      <c r="R103" s="28"/>
      <c r="S103" s="28"/>
      <c r="T103" s="28"/>
      <c r="U103" s="28"/>
      <c r="V103" s="28"/>
      <c r="W103" s="28"/>
      <c r="X103" s="28"/>
      <c r="Y103" s="28"/>
      <c r="Z103" s="28"/>
      <c r="AA103" s="28"/>
      <c r="AB103" s="28"/>
    </row>
    <row r="104" spans="1:28" ht="12.75" x14ac:dyDescent="0.2">
      <c r="A104" s="31" t="s">
        <v>712</v>
      </c>
      <c r="B104" s="32" t="s">
        <v>713</v>
      </c>
      <c r="C104" s="16" t="s">
        <v>714</v>
      </c>
      <c r="D104" s="16" t="s">
        <v>715</v>
      </c>
      <c r="E104" s="6"/>
      <c r="F104" s="6" t="s">
        <v>284</v>
      </c>
      <c r="G104" s="6" t="s">
        <v>55</v>
      </c>
      <c r="H104" s="28"/>
      <c r="I104" s="28"/>
      <c r="J104" s="28"/>
      <c r="K104" s="28"/>
      <c r="L104" s="28"/>
      <c r="M104" s="28"/>
      <c r="N104" s="28"/>
      <c r="O104" s="28"/>
      <c r="P104" s="28"/>
      <c r="Q104" s="28"/>
      <c r="R104" s="28"/>
      <c r="S104" s="28"/>
      <c r="T104" s="28"/>
      <c r="U104" s="28"/>
      <c r="V104" s="28"/>
      <c r="W104" s="28"/>
      <c r="X104" s="28"/>
      <c r="Y104" s="28"/>
      <c r="Z104" s="28"/>
      <c r="AA104" s="28"/>
      <c r="AB104" s="28"/>
    </row>
    <row r="105" spans="1:28" ht="12.75" x14ac:dyDescent="0.2">
      <c r="A105" s="31" t="s">
        <v>330</v>
      </c>
      <c r="B105" s="32" t="s">
        <v>332</v>
      </c>
      <c r="C105" s="16"/>
      <c r="D105" s="16" t="s">
        <v>53</v>
      </c>
      <c r="E105" s="6"/>
      <c r="F105" s="6"/>
      <c r="G105" s="6"/>
      <c r="H105" s="28"/>
      <c r="I105" s="28"/>
      <c r="J105" s="28"/>
      <c r="K105" s="28"/>
      <c r="L105" s="28"/>
      <c r="M105" s="28"/>
      <c r="N105" s="28"/>
      <c r="O105" s="28"/>
      <c r="P105" s="28"/>
      <c r="Q105" s="28"/>
      <c r="R105" s="28"/>
      <c r="S105" s="28"/>
      <c r="T105" s="28"/>
      <c r="U105" s="28"/>
      <c r="V105" s="28"/>
      <c r="W105" s="28"/>
      <c r="X105" s="28"/>
      <c r="Y105" s="28"/>
      <c r="Z105" s="28"/>
      <c r="AA105" s="28"/>
      <c r="AB105" s="28"/>
    </row>
    <row r="106" spans="1:28" ht="12.75" x14ac:dyDescent="0.2">
      <c r="A106" s="31" t="s">
        <v>358</v>
      </c>
      <c r="B106" s="32" t="s">
        <v>360</v>
      </c>
      <c r="C106" s="16"/>
      <c r="D106" s="16" t="s">
        <v>53</v>
      </c>
      <c r="E106" s="6"/>
      <c r="F106" s="6"/>
      <c r="G106" s="6"/>
      <c r="H106" s="28"/>
      <c r="I106" s="28"/>
      <c r="J106" s="28"/>
      <c r="K106" s="28"/>
      <c r="L106" s="28"/>
      <c r="M106" s="28"/>
      <c r="N106" s="28"/>
      <c r="O106" s="28"/>
      <c r="P106" s="28"/>
      <c r="Q106" s="28"/>
      <c r="R106" s="28"/>
      <c r="S106" s="28"/>
      <c r="T106" s="28"/>
      <c r="U106" s="28"/>
      <c r="V106" s="28"/>
      <c r="W106" s="28"/>
      <c r="X106" s="28"/>
      <c r="Y106" s="28"/>
      <c r="Z106" s="28"/>
      <c r="AA106" s="28"/>
      <c r="AB106" s="28"/>
    </row>
    <row r="107" spans="1:28" ht="12.75" x14ac:dyDescent="0.2">
      <c r="A107" s="31" t="s">
        <v>722</v>
      </c>
      <c r="B107" s="32" t="s">
        <v>723</v>
      </c>
      <c r="C107" s="16"/>
      <c r="D107" s="16" t="s">
        <v>53</v>
      </c>
      <c r="E107" s="6"/>
      <c r="F107" s="6"/>
      <c r="G107" s="6"/>
      <c r="H107" s="28"/>
      <c r="I107" s="28"/>
      <c r="J107" s="28"/>
      <c r="K107" s="28"/>
      <c r="L107" s="28"/>
      <c r="M107" s="28"/>
      <c r="N107" s="28"/>
      <c r="O107" s="28"/>
      <c r="P107" s="28"/>
      <c r="Q107" s="28"/>
      <c r="R107" s="28"/>
      <c r="S107" s="28"/>
      <c r="T107" s="28"/>
      <c r="U107" s="28"/>
      <c r="V107" s="28"/>
      <c r="W107" s="28"/>
      <c r="X107" s="28"/>
      <c r="Y107" s="28"/>
      <c r="Z107" s="28"/>
      <c r="AA107" s="28"/>
      <c r="AB107" s="28"/>
    </row>
    <row r="108" spans="1:28" ht="12.75" x14ac:dyDescent="0.2">
      <c r="A108" s="31" t="s">
        <v>726</v>
      </c>
      <c r="B108" s="32"/>
      <c r="C108" s="16" t="s">
        <v>727</v>
      </c>
      <c r="D108" s="16" t="s">
        <v>394</v>
      </c>
      <c r="E108" s="6"/>
      <c r="F108" s="6"/>
      <c r="G108" s="6"/>
      <c r="H108" s="28"/>
      <c r="I108" s="28"/>
      <c r="J108" s="28"/>
      <c r="K108" s="28"/>
      <c r="L108" s="28"/>
      <c r="M108" s="28"/>
      <c r="N108" s="28"/>
      <c r="O108" s="28"/>
      <c r="P108" s="28"/>
      <c r="Q108" s="28"/>
      <c r="R108" s="28"/>
      <c r="S108" s="28"/>
      <c r="T108" s="28"/>
      <c r="U108" s="28"/>
      <c r="V108" s="28"/>
      <c r="W108" s="28"/>
      <c r="X108" s="28"/>
      <c r="Y108" s="28"/>
      <c r="Z108" s="28"/>
      <c r="AA108" s="28"/>
      <c r="AB108" s="28"/>
    </row>
    <row r="109" spans="1:28" ht="12.75" x14ac:dyDescent="0.2">
      <c r="A109" s="31" t="s">
        <v>735</v>
      </c>
      <c r="B109" s="32"/>
      <c r="C109" s="16" t="s">
        <v>736</v>
      </c>
      <c r="D109" s="16" t="s">
        <v>394</v>
      </c>
      <c r="E109" s="6"/>
      <c r="F109" s="6"/>
      <c r="G109" s="6"/>
      <c r="H109" s="28"/>
      <c r="I109" s="28"/>
      <c r="J109" s="28"/>
      <c r="K109" s="28"/>
      <c r="L109" s="28"/>
      <c r="M109" s="28"/>
      <c r="N109" s="28"/>
      <c r="O109" s="28"/>
      <c r="P109" s="28"/>
      <c r="Q109" s="28"/>
      <c r="R109" s="28"/>
      <c r="S109" s="28"/>
      <c r="T109" s="28"/>
      <c r="U109" s="28"/>
      <c r="V109" s="28"/>
      <c r="W109" s="28"/>
      <c r="X109" s="28"/>
      <c r="Y109" s="28"/>
      <c r="Z109" s="28"/>
      <c r="AA109" s="28"/>
      <c r="AB109" s="28"/>
    </row>
    <row r="110" spans="1:28" ht="12.75" x14ac:dyDescent="0.2">
      <c r="A110" s="31" t="s">
        <v>737</v>
      </c>
      <c r="B110" s="32" t="s">
        <v>738</v>
      </c>
      <c r="C110" s="16"/>
      <c r="D110" s="16"/>
      <c r="E110" s="6"/>
      <c r="F110" s="6"/>
      <c r="G110" s="6"/>
      <c r="H110" s="28"/>
      <c r="I110" s="28"/>
      <c r="J110" s="28"/>
      <c r="K110" s="28"/>
      <c r="L110" s="28"/>
      <c r="M110" s="28"/>
      <c r="N110" s="28"/>
      <c r="O110" s="28"/>
      <c r="P110" s="28"/>
      <c r="Q110" s="28"/>
      <c r="R110" s="28"/>
      <c r="S110" s="28"/>
      <c r="T110" s="28"/>
      <c r="U110" s="28"/>
      <c r="V110" s="28"/>
      <c r="W110" s="28"/>
      <c r="X110" s="28"/>
      <c r="Y110" s="28"/>
      <c r="Z110" s="28"/>
      <c r="AA110" s="28"/>
      <c r="AB110" s="28"/>
    </row>
    <row r="111" spans="1:28" ht="12.75" x14ac:dyDescent="0.2">
      <c r="A111" s="31" t="s">
        <v>742</v>
      </c>
      <c r="B111" s="32"/>
      <c r="C111" s="16" t="s">
        <v>743</v>
      </c>
      <c r="D111" s="16" t="s">
        <v>394</v>
      </c>
      <c r="E111" s="6"/>
      <c r="F111" s="6"/>
      <c r="G111" s="6"/>
      <c r="H111" s="28"/>
      <c r="I111" s="28"/>
      <c r="J111" s="28"/>
      <c r="K111" s="28"/>
      <c r="L111" s="28"/>
      <c r="M111" s="28"/>
      <c r="N111" s="28"/>
      <c r="O111" s="28"/>
      <c r="P111" s="28"/>
      <c r="Q111" s="28"/>
      <c r="R111" s="28"/>
      <c r="S111" s="28"/>
      <c r="T111" s="28"/>
      <c r="U111" s="28"/>
      <c r="V111" s="28"/>
      <c r="W111" s="28"/>
      <c r="X111" s="28"/>
      <c r="Y111" s="28"/>
      <c r="Z111" s="28"/>
      <c r="AA111" s="28"/>
      <c r="AB111" s="28"/>
    </row>
    <row r="112" spans="1:28" ht="12.75" x14ac:dyDescent="0.2">
      <c r="A112" s="31" t="s">
        <v>744</v>
      </c>
      <c r="B112" s="32"/>
      <c r="C112" s="16" t="s">
        <v>745</v>
      </c>
      <c r="D112" s="16" t="s">
        <v>394</v>
      </c>
      <c r="E112" s="6"/>
      <c r="F112" s="6"/>
      <c r="G112" s="6"/>
      <c r="H112" s="28"/>
      <c r="I112" s="28"/>
      <c r="J112" s="28"/>
      <c r="K112" s="28"/>
      <c r="L112" s="28"/>
      <c r="M112" s="28"/>
      <c r="N112" s="28"/>
      <c r="O112" s="28"/>
      <c r="P112" s="28"/>
      <c r="Q112" s="28"/>
      <c r="R112" s="28"/>
      <c r="S112" s="28"/>
      <c r="T112" s="28"/>
      <c r="U112" s="28"/>
      <c r="V112" s="28"/>
      <c r="W112" s="28"/>
      <c r="X112" s="28"/>
      <c r="Y112" s="28"/>
      <c r="Z112" s="28"/>
      <c r="AA112" s="28"/>
      <c r="AB112" s="28"/>
    </row>
    <row r="113" spans="1:28" ht="25.5" x14ac:dyDescent="0.2">
      <c r="A113" s="31" t="s">
        <v>752</v>
      </c>
      <c r="B113" s="32"/>
      <c r="C113" s="16" t="s">
        <v>753</v>
      </c>
      <c r="D113" s="16" t="s">
        <v>394</v>
      </c>
      <c r="E113" s="6"/>
      <c r="F113" s="6" t="s">
        <v>757</v>
      </c>
      <c r="G113" s="6" t="s">
        <v>758</v>
      </c>
      <c r="H113" s="28"/>
      <c r="I113" s="28"/>
      <c r="J113" s="28"/>
      <c r="K113" s="28"/>
      <c r="L113" s="28"/>
      <c r="M113" s="28"/>
      <c r="N113" s="28"/>
      <c r="O113" s="28"/>
      <c r="P113" s="28"/>
      <c r="Q113" s="28"/>
      <c r="R113" s="28"/>
      <c r="S113" s="28"/>
      <c r="T113" s="28"/>
      <c r="U113" s="28"/>
      <c r="V113" s="28"/>
      <c r="W113" s="28"/>
      <c r="X113" s="28"/>
      <c r="Y113" s="28"/>
      <c r="Z113" s="28"/>
      <c r="AA113" s="28"/>
      <c r="AB113" s="28"/>
    </row>
    <row r="114" spans="1:28" ht="12.75" x14ac:dyDescent="0.2">
      <c r="A114" s="31" t="s">
        <v>760</v>
      </c>
      <c r="B114" s="16" t="s">
        <v>762</v>
      </c>
      <c r="C114" s="16" t="s">
        <v>762</v>
      </c>
      <c r="D114" s="16" t="s">
        <v>394</v>
      </c>
      <c r="E114" s="6"/>
      <c r="F114" s="6"/>
      <c r="G114" s="6"/>
      <c r="H114" s="28"/>
      <c r="I114" s="28"/>
      <c r="J114" s="28"/>
      <c r="K114" s="28"/>
      <c r="L114" s="28"/>
      <c r="M114" s="28"/>
      <c r="N114" s="28"/>
      <c r="O114" s="28"/>
      <c r="P114" s="28"/>
      <c r="Q114" s="28"/>
      <c r="R114" s="28"/>
      <c r="S114" s="28"/>
      <c r="T114" s="28"/>
      <c r="U114" s="28"/>
      <c r="V114" s="28"/>
      <c r="W114" s="28"/>
      <c r="X114" s="28"/>
      <c r="Y114" s="28"/>
      <c r="Z114" s="28"/>
      <c r="AA114" s="28"/>
      <c r="AB114" s="28"/>
    </row>
    <row r="115" spans="1:28" ht="12.75" x14ac:dyDescent="0.2">
      <c r="A115" s="31" t="s">
        <v>763</v>
      </c>
      <c r="B115" s="32" t="s">
        <v>764</v>
      </c>
      <c r="C115" s="16"/>
      <c r="D115" s="16" t="s">
        <v>53</v>
      </c>
      <c r="E115" s="6"/>
      <c r="F115" s="6" t="s">
        <v>284</v>
      </c>
      <c r="G115" s="6" t="s">
        <v>55</v>
      </c>
      <c r="H115" s="28"/>
      <c r="I115" s="28"/>
      <c r="J115" s="28"/>
      <c r="K115" s="28"/>
      <c r="L115" s="28"/>
      <c r="M115" s="28"/>
      <c r="N115" s="28"/>
      <c r="O115" s="28"/>
      <c r="P115" s="28"/>
      <c r="Q115" s="28"/>
      <c r="R115" s="28"/>
      <c r="S115" s="28"/>
      <c r="T115" s="28"/>
      <c r="U115" s="28"/>
      <c r="V115" s="28"/>
      <c r="W115" s="28"/>
      <c r="X115" s="28"/>
      <c r="Y115" s="28"/>
      <c r="Z115" s="28"/>
      <c r="AA115" s="28"/>
      <c r="AB115" s="28"/>
    </row>
    <row r="116" spans="1:28" ht="12.75" x14ac:dyDescent="0.2">
      <c r="A116" s="31" t="s">
        <v>765</v>
      </c>
      <c r="B116" s="32" t="s">
        <v>767</v>
      </c>
      <c r="C116" s="16"/>
      <c r="D116" s="16" t="s">
        <v>53</v>
      </c>
      <c r="E116" s="6"/>
      <c r="F116" s="6" t="s">
        <v>284</v>
      </c>
      <c r="G116" s="6" t="s">
        <v>55</v>
      </c>
      <c r="H116" s="28"/>
      <c r="I116" s="28"/>
      <c r="J116" s="28"/>
      <c r="K116" s="28"/>
      <c r="L116" s="28"/>
      <c r="M116" s="28"/>
      <c r="N116" s="28"/>
      <c r="O116" s="28"/>
      <c r="P116" s="28"/>
      <c r="Q116" s="28"/>
      <c r="R116" s="28"/>
      <c r="S116" s="28"/>
      <c r="T116" s="28"/>
      <c r="U116" s="28"/>
      <c r="V116" s="28"/>
      <c r="W116" s="28"/>
      <c r="X116" s="28"/>
      <c r="Y116" s="28"/>
      <c r="Z116" s="28"/>
      <c r="AA116" s="28"/>
      <c r="AB116" s="28"/>
    </row>
    <row r="117" spans="1:28" ht="12.75" x14ac:dyDescent="0.2">
      <c r="A117" s="31" t="s">
        <v>773</v>
      </c>
      <c r="B117" s="32" t="s">
        <v>775</v>
      </c>
      <c r="C117" s="16"/>
      <c r="D117" s="16" t="s">
        <v>53</v>
      </c>
      <c r="E117" s="6"/>
      <c r="F117" s="6" t="s">
        <v>284</v>
      </c>
      <c r="G117" s="6" t="s">
        <v>55</v>
      </c>
      <c r="H117" s="28"/>
      <c r="I117" s="28"/>
      <c r="J117" s="28"/>
      <c r="K117" s="28"/>
      <c r="L117" s="28"/>
      <c r="M117" s="28"/>
      <c r="N117" s="28"/>
      <c r="O117" s="28"/>
      <c r="P117" s="28"/>
      <c r="Q117" s="28"/>
      <c r="R117" s="28"/>
      <c r="S117" s="28"/>
      <c r="T117" s="28"/>
      <c r="U117" s="28"/>
      <c r="V117" s="28"/>
      <c r="W117" s="28"/>
      <c r="X117" s="28"/>
      <c r="Y117" s="28"/>
      <c r="Z117" s="28"/>
      <c r="AA117" s="28"/>
      <c r="AB117" s="28"/>
    </row>
    <row r="118" spans="1:28" ht="12.75" x14ac:dyDescent="0.2">
      <c r="A118" s="31" t="s">
        <v>781</v>
      </c>
      <c r="B118" s="32" t="s">
        <v>782</v>
      </c>
      <c r="C118" s="16"/>
      <c r="D118" s="16" t="s">
        <v>53</v>
      </c>
      <c r="E118" s="6"/>
      <c r="F118" s="6" t="s">
        <v>284</v>
      </c>
      <c r="G118" s="6" t="s">
        <v>55</v>
      </c>
      <c r="H118" s="28"/>
      <c r="I118" s="28"/>
      <c r="J118" s="28"/>
      <c r="K118" s="28"/>
      <c r="L118" s="28"/>
      <c r="M118" s="28"/>
      <c r="N118" s="28"/>
      <c r="O118" s="28"/>
      <c r="P118" s="28"/>
      <c r="Q118" s="28"/>
      <c r="R118" s="28"/>
      <c r="S118" s="28"/>
      <c r="T118" s="28"/>
      <c r="U118" s="28"/>
      <c r="V118" s="28"/>
      <c r="W118" s="28"/>
      <c r="X118" s="28"/>
      <c r="Y118" s="28"/>
      <c r="Z118" s="28"/>
      <c r="AA118" s="28"/>
      <c r="AB118" s="28"/>
    </row>
    <row r="119" spans="1:28" ht="12.75" x14ac:dyDescent="0.2">
      <c r="A119" s="31" t="s">
        <v>788</v>
      </c>
      <c r="B119" s="32" t="s">
        <v>789</v>
      </c>
      <c r="C119" s="16"/>
      <c r="D119" s="16" t="s">
        <v>53</v>
      </c>
      <c r="E119" s="6"/>
      <c r="F119" s="6"/>
      <c r="G119" s="6"/>
      <c r="H119" s="28"/>
      <c r="I119" s="28"/>
      <c r="J119" s="28"/>
      <c r="K119" s="28"/>
      <c r="L119" s="28"/>
      <c r="M119" s="28"/>
      <c r="N119" s="28"/>
      <c r="O119" s="28"/>
      <c r="P119" s="28"/>
      <c r="Q119" s="28"/>
      <c r="R119" s="28"/>
      <c r="S119" s="28"/>
      <c r="T119" s="28"/>
      <c r="U119" s="28"/>
      <c r="V119" s="28"/>
      <c r="W119" s="28"/>
      <c r="X119" s="28"/>
      <c r="Y119" s="28"/>
      <c r="Z119" s="28"/>
      <c r="AA119" s="28"/>
      <c r="AB119" s="28"/>
    </row>
    <row r="120" spans="1:28" ht="12.75" x14ac:dyDescent="0.2">
      <c r="A120" s="31" t="s">
        <v>796</v>
      </c>
      <c r="B120" s="32" t="s">
        <v>797</v>
      </c>
      <c r="C120" s="16"/>
      <c r="D120" s="16" t="s">
        <v>53</v>
      </c>
      <c r="E120" s="6"/>
      <c r="F120" s="6"/>
      <c r="G120" s="6"/>
      <c r="H120" s="28"/>
      <c r="I120" s="28"/>
      <c r="J120" s="28"/>
      <c r="K120" s="28"/>
      <c r="L120" s="28"/>
      <c r="M120" s="28"/>
      <c r="N120" s="28"/>
      <c r="O120" s="28"/>
      <c r="P120" s="28"/>
      <c r="Q120" s="28"/>
      <c r="R120" s="28"/>
      <c r="S120" s="28"/>
      <c r="T120" s="28"/>
      <c r="U120" s="28"/>
      <c r="V120" s="28"/>
      <c r="W120" s="28"/>
      <c r="X120" s="28"/>
      <c r="Y120" s="28"/>
      <c r="Z120" s="28"/>
      <c r="AA120" s="28"/>
      <c r="AB120" s="28"/>
    </row>
    <row r="121" spans="1:28" ht="12.75" x14ac:dyDescent="0.2">
      <c r="A121" s="31" t="s">
        <v>799</v>
      </c>
      <c r="B121" s="32" t="s">
        <v>801</v>
      </c>
      <c r="C121" s="16"/>
      <c r="D121" s="16" t="s">
        <v>53</v>
      </c>
      <c r="E121" s="6"/>
      <c r="F121" s="6"/>
      <c r="G121" s="6"/>
      <c r="H121" s="28"/>
      <c r="I121" s="28"/>
      <c r="J121" s="28"/>
      <c r="K121" s="28"/>
      <c r="L121" s="28"/>
      <c r="M121" s="28"/>
      <c r="N121" s="28"/>
      <c r="O121" s="28"/>
      <c r="P121" s="28"/>
      <c r="Q121" s="28"/>
      <c r="R121" s="28"/>
      <c r="S121" s="28"/>
      <c r="T121" s="28"/>
      <c r="U121" s="28"/>
      <c r="V121" s="28"/>
      <c r="W121" s="28"/>
      <c r="X121" s="28"/>
      <c r="Y121" s="28"/>
      <c r="Z121" s="28"/>
      <c r="AA121" s="28"/>
      <c r="AB121" s="28"/>
    </row>
    <row r="122" spans="1:28" ht="12.75" x14ac:dyDescent="0.2">
      <c r="A122" s="31" t="s">
        <v>807</v>
      </c>
      <c r="B122" s="32" t="s">
        <v>808</v>
      </c>
      <c r="C122" s="16"/>
      <c r="D122" s="16" t="s">
        <v>53</v>
      </c>
      <c r="E122" s="6"/>
      <c r="F122" s="6"/>
      <c r="G122" s="6"/>
      <c r="H122" s="28"/>
      <c r="I122" s="28"/>
      <c r="J122" s="28"/>
      <c r="K122" s="28"/>
      <c r="L122" s="28"/>
      <c r="M122" s="28"/>
      <c r="N122" s="28"/>
      <c r="O122" s="28"/>
      <c r="P122" s="28"/>
      <c r="Q122" s="28"/>
      <c r="R122" s="28"/>
      <c r="S122" s="28"/>
      <c r="T122" s="28"/>
      <c r="U122" s="28"/>
      <c r="V122" s="28"/>
      <c r="W122" s="28"/>
      <c r="X122" s="28"/>
      <c r="Y122" s="28"/>
      <c r="Z122" s="28"/>
      <c r="AA122" s="28"/>
      <c r="AB122" s="28"/>
    </row>
    <row r="123" spans="1:28" ht="12.75" x14ac:dyDescent="0.2">
      <c r="A123" s="31" t="s">
        <v>813</v>
      </c>
      <c r="B123" s="32" t="s">
        <v>814</v>
      </c>
      <c r="C123" s="16"/>
      <c r="D123" s="16" t="s">
        <v>53</v>
      </c>
      <c r="E123" s="6"/>
      <c r="F123" s="6"/>
      <c r="G123" s="6"/>
      <c r="H123" s="28"/>
      <c r="I123" s="28"/>
      <c r="J123" s="28"/>
      <c r="K123" s="28"/>
      <c r="L123" s="28"/>
      <c r="M123" s="28"/>
      <c r="N123" s="28"/>
      <c r="O123" s="28"/>
      <c r="P123" s="28"/>
      <c r="Q123" s="28"/>
      <c r="R123" s="28"/>
      <c r="S123" s="28"/>
      <c r="T123" s="28"/>
      <c r="U123" s="28"/>
      <c r="V123" s="28"/>
      <c r="W123" s="28"/>
      <c r="X123" s="28"/>
      <c r="Y123" s="28"/>
      <c r="Z123" s="28"/>
      <c r="AA123" s="28"/>
      <c r="AB123" s="28"/>
    </row>
    <row r="124" spans="1:28" ht="12.75" x14ac:dyDescent="0.2">
      <c r="A124" s="31" t="s">
        <v>815</v>
      </c>
      <c r="B124" s="32" t="s">
        <v>816</v>
      </c>
      <c r="C124" s="16"/>
      <c r="D124" s="16" t="s">
        <v>53</v>
      </c>
      <c r="E124" s="6"/>
      <c r="F124" s="6"/>
      <c r="G124" s="6"/>
      <c r="H124" s="28"/>
      <c r="I124" s="28"/>
      <c r="J124" s="28"/>
      <c r="K124" s="28"/>
      <c r="L124" s="28"/>
      <c r="M124" s="28"/>
      <c r="N124" s="28"/>
      <c r="O124" s="28"/>
      <c r="P124" s="28"/>
      <c r="Q124" s="28"/>
      <c r="R124" s="28"/>
      <c r="S124" s="28"/>
      <c r="T124" s="28"/>
      <c r="U124" s="28"/>
      <c r="V124" s="28"/>
      <c r="W124" s="28"/>
      <c r="X124" s="28"/>
      <c r="Y124" s="28"/>
      <c r="Z124" s="28"/>
      <c r="AA124" s="28"/>
      <c r="AB124" s="28"/>
    </row>
    <row r="125" spans="1:28" ht="12.75" x14ac:dyDescent="0.2">
      <c r="A125" s="31" t="s">
        <v>823</v>
      </c>
      <c r="B125" s="32" t="s">
        <v>824</v>
      </c>
      <c r="C125" s="16"/>
      <c r="D125" s="16" t="s">
        <v>53</v>
      </c>
      <c r="E125" s="6"/>
      <c r="F125" s="6"/>
      <c r="G125" s="6"/>
      <c r="H125" s="28"/>
      <c r="I125" s="28"/>
      <c r="J125" s="28"/>
      <c r="K125" s="28"/>
      <c r="L125" s="28"/>
      <c r="M125" s="28"/>
      <c r="N125" s="28"/>
      <c r="O125" s="28"/>
      <c r="P125" s="28"/>
      <c r="Q125" s="28"/>
      <c r="R125" s="28"/>
      <c r="S125" s="28"/>
      <c r="T125" s="28"/>
      <c r="U125" s="28"/>
      <c r="V125" s="28"/>
      <c r="W125" s="28"/>
      <c r="X125" s="28"/>
      <c r="Y125" s="28"/>
      <c r="Z125" s="28"/>
      <c r="AA125" s="28"/>
      <c r="AB125" s="28"/>
    </row>
    <row r="126" spans="1:28" ht="12.75" x14ac:dyDescent="0.2">
      <c r="A126" s="31" t="s">
        <v>825</v>
      </c>
      <c r="B126" s="32" t="s">
        <v>826</v>
      </c>
      <c r="C126" s="16"/>
      <c r="D126" s="16" t="s">
        <v>31</v>
      </c>
      <c r="E126" s="6"/>
      <c r="F126" s="6"/>
      <c r="G126" s="6"/>
      <c r="H126" s="28"/>
      <c r="I126" s="28"/>
      <c r="J126" s="28"/>
      <c r="K126" s="28"/>
      <c r="L126" s="28"/>
      <c r="M126" s="28"/>
      <c r="N126" s="28"/>
      <c r="O126" s="28"/>
      <c r="P126" s="28"/>
      <c r="Q126" s="28"/>
      <c r="R126" s="28"/>
      <c r="S126" s="28"/>
      <c r="T126" s="28"/>
      <c r="U126" s="28"/>
      <c r="V126" s="28"/>
      <c r="W126" s="28"/>
      <c r="X126" s="28"/>
      <c r="Y126" s="28"/>
      <c r="Z126" s="28"/>
      <c r="AA126" s="28"/>
      <c r="AB126" s="28"/>
    </row>
    <row r="127" spans="1:28" ht="12.75" x14ac:dyDescent="0.2">
      <c r="A127" s="31" t="s">
        <v>832</v>
      </c>
      <c r="B127" s="32"/>
      <c r="C127" s="16" t="s">
        <v>833</v>
      </c>
      <c r="D127" s="16" t="s">
        <v>394</v>
      </c>
      <c r="E127" s="6"/>
      <c r="F127" s="6"/>
      <c r="G127" s="6"/>
      <c r="H127" s="28"/>
      <c r="I127" s="28"/>
      <c r="J127" s="28"/>
      <c r="K127" s="28"/>
      <c r="L127" s="28"/>
      <c r="M127" s="28"/>
      <c r="N127" s="28"/>
      <c r="O127" s="28"/>
      <c r="P127" s="28"/>
      <c r="Q127" s="28"/>
      <c r="R127" s="28"/>
      <c r="S127" s="28"/>
      <c r="T127" s="28"/>
      <c r="U127" s="28"/>
      <c r="V127" s="28"/>
      <c r="W127" s="28"/>
      <c r="X127" s="28"/>
      <c r="Y127" s="28"/>
      <c r="Z127" s="28"/>
      <c r="AA127" s="28"/>
      <c r="AB127" s="28"/>
    </row>
    <row r="128" spans="1:28" ht="12.75" x14ac:dyDescent="0.2">
      <c r="A128" s="31" t="s">
        <v>837</v>
      </c>
      <c r="B128" s="32" t="s">
        <v>839</v>
      </c>
      <c r="C128" s="16"/>
      <c r="D128" s="16" t="s">
        <v>53</v>
      </c>
      <c r="E128" s="6"/>
      <c r="F128" s="6"/>
      <c r="G128" s="6"/>
      <c r="H128" s="28"/>
      <c r="I128" s="28"/>
      <c r="J128" s="28"/>
      <c r="K128" s="28"/>
      <c r="L128" s="28"/>
      <c r="M128" s="28"/>
      <c r="N128" s="28"/>
      <c r="O128" s="28"/>
      <c r="P128" s="28"/>
      <c r="Q128" s="28"/>
      <c r="R128" s="28"/>
      <c r="S128" s="28"/>
      <c r="T128" s="28"/>
      <c r="U128" s="28"/>
      <c r="V128" s="28"/>
      <c r="W128" s="28"/>
      <c r="X128" s="28"/>
      <c r="Y128" s="28"/>
      <c r="Z128" s="28"/>
      <c r="AA128" s="28"/>
      <c r="AB128" s="28"/>
    </row>
    <row r="129" spans="1:28" ht="12.75" x14ac:dyDescent="0.2">
      <c r="A129" s="31" t="s">
        <v>840</v>
      </c>
      <c r="B129" s="32" t="s">
        <v>841</v>
      </c>
      <c r="C129" s="16"/>
      <c r="D129" s="16" t="s">
        <v>53</v>
      </c>
      <c r="E129" s="6"/>
      <c r="F129" s="6" t="s">
        <v>284</v>
      </c>
      <c r="G129" s="6" t="s">
        <v>55</v>
      </c>
      <c r="H129" s="28"/>
      <c r="I129" s="28"/>
      <c r="J129" s="28"/>
      <c r="K129" s="28"/>
      <c r="L129" s="28"/>
      <c r="M129" s="28"/>
      <c r="N129" s="28"/>
      <c r="O129" s="28"/>
      <c r="P129" s="28"/>
      <c r="Q129" s="28"/>
      <c r="R129" s="28"/>
      <c r="S129" s="28"/>
      <c r="T129" s="28"/>
      <c r="U129" s="28"/>
      <c r="V129" s="28"/>
      <c r="W129" s="28"/>
      <c r="X129" s="28"/>
      <c r="Y129" s="28"/>
      <c r="Z129" s="28"/>
      <c r="AA129" s="28"/>
      <c r="AB129" s="28"/>
    </row>
    <row r="130" spans="1:28" ht="12.75" x14ac:dyDescent="0.2">
      <c r="A130" s="31" t="s">
        <v>847</v>
      </c>
      <c r="B130" s="32" t="s">
        <v>848</v>
      </c>
      <c r="C130" s="16"/>
      <c r="D130" s="16" t="s">
        <v>53</v>
      </c>
      <c r="E130" s="6"/>
      <c r="F130" s="6"/>
      <c r="G130" s="6"/>
      <c r="H130" s="28"/>
      <c r="I130" s="28"/>
      <c r="J130" s="28"/>
      <c r="K130" s="28"/>
      <c r="L130" s="28"/>
      <c r="M130" s="28"/>
      <c r="N130" s="28"/>
      <c r="O130" s="28"/>
      <c r="P130" s="28"/>
      <c r="Q130" s="28"/>
      <c r="R130" s="28"/>
      <c r="S130" s="28"/>
      <c r="T130" s="28"/>
      <c r="U130" s="28"/>
      <c r="V130" s="28"/>
      <c r="W130" s="28"/>
      <c r="X130" s="28"/>
      <c r="Y130" s="28"/>
      <c r="Z130" s="28"/>
      <c r="AA130" s="28"/>
      <c r="AB130" s="28"/>
    </row>
    <row r="131" spans="1:28" ht="12.75" x14ac:dyDescent="0.2">
      <c r="A131" s="31" t="s">
        <v>851</v>
      </c>
      <c r="B131" s="32"/>
      <c r="C131" s="16" t="s">
        <v>852</v>
      </c>
      <c r="D131" s="16" t="s">
        <v>394</v>
      </c>
      <c r="E131" s="6"/>
      <c r="F131" s="6"/>
      <c r="G131" s="6"/>
      <c r="H131" s="28"/>
      <c r="I131" s="28"/>
      <c r="J131" s="28"/>
      <c r="K131" s="28"/>
      <c r="L131" s="28"/>
      <c r="M131" s="28"/>
      <c r="N131" s="28"/>
      <c r="O131" s="28"/>
      <c r="P131" s="28"/>
      <c r="Q131" s="28"/>
      <c r="R131" s="28"/>
      <c r="S131" s="28"/>
      <c r="T131" s="28"/>
      <c r="U131" s="28"/>
      <c r="V131" s="28"/>
      <c r="W131" s="28"/>
      <c r="X131" s="28"/>
      <c r="Y131" s="28"/>
      <c r="Z131" s="28"/>
      <c r="AA131" s="28"/>
      <c r="AB131" s="28"/>
    </row>
    <row r="132" spans="1:28" ht="25.5" x14ac:dyDescent="0.2">
      <c r="A132" s="31" t="s">
        <v>858</v>
      </c>
      <c r="B132" s="32" t="s">
        <v>860</v>
      </c>
      <c r="C132" s="16"/>
      <c r="D132" s="16" t="s">
        <v>121</v>
      </c>
      <c r="E132" s="6"/>
      <c r="F132" s="6"/>
      <c r="G132" s="6"/>
      <c r="H132" s="28"/>
      <c r="I132" s="28"/>
      <c r="J132" s="28"/>
      <c r="K132" s="28"/>
      <c r="L132" s="28"/>
      <c r="M132" s="28"/>
      <c r="N132" s="28"/>
      <c r="O132" s="28"/>
      <c r="P132" s="28"/>
      <c r="Q132" s="28"/>
      <c r="R132" s="28"/>
      <c r="S132" s="28"/>
      <c r="T132" s="28"/>
      <c r="U132" s="28"/>
      <c r="V132" s="28"/>
      <c r="W132" s="28"/>
      <c r="X132" s="28"/>
      <c r="Y132" s="28"/>
      <c r="Z132" s="28"/>
      <c r="AA132" s="28"/>
      <c r="AB132" s="28"/>
    </row>
    <row r="133" spans="1:28" ht="12.75" x14ac:dyDescent="0.2">
      <c r="A133" s="31" t="s">
        <v>863</v>
      </c>
      <c r="B133" s="32"/>
      <c r="C133" s="16" t="s">
        <v>864</v>
      </c>
      <c r="D133" s="16"/>
      <c r="E133" s="6"/>
      <c r="F133" s="6"/>
      <c r="G133" s="6"/>
      <c r="H133" s="28"/>
      <c r="I133" s="28"/>
      <c r="J133" s="28"/>
      <c r="K133" s="28"/>
      <c r="L133" s="28"/>
      <c r="M133" s="28"/>
      <c r="N133" s="28"/>
      <c r="O133" s="28"/>
      <c r="P133" s="28"/>
      <c r="Q133" s="28"/>
      <c r="R133" s="28"/>
      <c r="S133" s="28"/>
      <c r="T133" s="28"/>
      <c r="U133" s="28"/>
      <c r="V133" s="28"/>
      <c r="W133" s="28"/>
      <c r="X133" s="28"/>
      <c r="Y133" s="28"/>
      <c r="Z133" s="28"/>
      <c r="AA133" s="28"/>
      <c r="AB133" s="28"/>
    </row>
    <row r="134" spans="1:28" ht="12.75" x14ac:dyDescent="0.2">
      <c r="A134" s="31" t="s">
        <v>339</v>
      </c>
      <c r="B134" s="32" t="s">
        <v>340</v>
      </c>
      <c r="C134" s="16"/>
      <c r="D134" s="16" t="s">
        <v>53</v>
      </c>
      <c r="E134" s="6"/>
      <c r="F134" s="6"/>
      <c r="G134" s="6"/>
      <c r="H134" s="28"/>
      <c r="I134" s="28"/>
      <c r="J134" s="28"/>
      <c r="K134" s="28"/>
      <c r="L134" s="28"/>
      <c r="M134" s="28"/>
      <c r="N134" s="28"/>
      <c r="O134" s="28"/>
      <c r="P134" s="28"/>
      <c r="Q134" s="28"/>
      <c r="R134" s="28"/>
      <c r="S134" s="28"/>
      <c r="T134" s="28"/>
      <c r="U134" s="28"/>
      <c r="V134" s="28"/>
      <c r="W134" s="28"/>
      <c r="X134" s="28"/>
      <c r="Y134" s="28"/>
      <c r="Z134" s="28"/>
      <c r="AA134" s="28"/>
      <c r="AB134" s="28"/>
    </row>
    <row r="135" spans="1:28" ht="12.75" x14ac:dyDescent="0.2">
      <c r="A135" s="31" t="s">
        <v>872</v>
      </c>
      <c r="B135" s="32" t="s">
        <v>873</v>
      </c>
      <c r="C135" s="16"/>
      <c r="D135" s="16" t="s">
        <v>53</v>
      </c>
      <c r="E135" s="6"/>
      <c r="F135" s="6"/>
      <c r="G135" s="6"/>
      <c r="H135" s="28"/>
      <c r="I135" s="28"/>
      <c r="J135" s="28"/>
      <c r="K135" s="28"/>
      <c r="L135" s="28"/>
      <c r="M135" s="28"/>
      <c r="N135" s="28"/>
      <c r="O135" s="28"/>
      <c r="P135" s="28"/>
      <c r="Q135" s="28"/>
      <c r="R135" s="28"/>
      <c r="S135" s="28"/>
      <c r="T135" s="28"/>
      <c r="U135" s="28"/>
      <c r="V135" s="28"/>
      <c r="W135" s="28"/>
      <c r="X135" s="28"/>
      <c r="Y135" s="28"/>
      <c r="Z135" s="28"/>
      <c r="AA135" s="28"/>
      <c r="AB135" s="28"/>
    </row>
    <row r="136" spans="1:28" ht="12.75" x14ac:dyDescent="0.2">
      <c r="A136" s="31" t="s">
        <v>876</v>
      </c>
      <c r="B136" s="32" t="s">
        <v>878</v>
      </c>
      <c r="C136" s="16"/>
      <c r="D136" s="16" t="s">
        <v>53</v>
      </c>
      <c r="E136" s="6"/>
      <c r="F136" s="6"/>
      <c r="G136" s="6"/>
      <c r="H136" s="28"/>
      <c r="I136" s="28"/>
      <c r="J136" s="28"/>
      <c r="K136" s="28"/>
      <c r="L136" s="28"/>
      <c r="M136" s="28"/>
      <c r="N136" s="28"/>
      <c r="O136" s="28"/>
      <c r="P136" s="28"/>
      <c r="Q136" s="28"/>
      <c r="R136" s="28"/>
      <c r="S136" s="28"/>
      <c r="T136" s="28"/>
      <c r="U136" s="28"/>
      <c r="V136" s="28"/>
      <c r="W136" s="28"/>
      <c r="X136" s="28"/>
      <c r="Y136" s="28"/>
      <c r="Z136" s="28"/>
      <c r="AA136" s="28"/>
      <c r="AB136" s="28"/>
    </row>
    <row r="137" spans="1:28" ht="12.75" x14ac:dyDescent="0.2">
      <c r="A137" s="31" t="s">
        <v>885</v>
      </c>
      <c r="B137" s="32"/>
      <c r="C137" s="16" t="s">
        <v>886</v>
      </c>
      <c r="D137" s="16" t="s">
        <v>887</v>
      </c>
      <c r="E137" s="6"/>
      <c r="F137" s="6"/>
      <c r="G137" s="6"/>
      <c r="H137" s="28"/>
      <c r="I137" s="28"/>
      <c r="J137" s="28"/>
      <c r="K137" s="28"/>
      <c r="L137" s="28"/>
      <c r="M137" s="28"/>
      <c r="N137" s="28"/>
      <c r="O137" s="28"/>
      <c r="P137" s="28"/>
      <c r="Q137" s="28"/>
      <c r="R137" s="28"/>
      <c r="S137" s="28"/>
      <c r="T137" s="28"/>
      <c r="U137" s="28"/>
      <c r="V137" s="28"/>
      <c r="W137" s="28"/>
      <c r="X137" s="28"/>
      <c r="Y137" s="28"/>
      <c r="Z137" s="28"/>
      <c r="AA137" s="28"/>
      <c r="AB137" s="28"/>
    </row>
    <row r="138" spans="1:28" ht="12.75" x14ac:dyDescent="0.2">
      <c r="A138" s="31" t="s">
        <v>891</v>
      </c>
      <c r="B138" s="32"/>
      <c r="C138" s="16" t="s">
        <v>892</v>
      </c>
      <c r="D138" s="16" t="s">
        <v>394</v>
      </c>
      <c r="E138" s="6"/>
      <c r="F138" s="6"/>
      <c r="G138" s="6"/>
      <c r="H138" s="28"/>
      <c r="I138" s="28"/>
      <c r="J138" s="28"/>
      <c r="K138" s="28"/>
      <c r="L138" s="28"/>
      <c r="M138" s="28"/>
      <c r="N138" s="28"/>
      <c r="O138" s="28"/>
      <c r="P138" s="28"/>
      <c r="Q138" s="28"/>
      <c r="R138" s="28"/>
      <c r="S138" s="28"/>
      <c r="T138" s="28"/>
      <c r="U138" s="28"/>
      <c r="V138" s="28"/>
      <c r="W138" s="28"/>
      <c r="X138" s="28"/>
      <c r="Y138" s="28"/>
      <c r="Z138" s="28"/>
      <c r="AA138" s="28"/>
      <c r="AB138" s="28"/>
    </row>
    <row r="139" spans="1:28" ht="12.75" x14ac:dyDescent="0.2">
      <c r="A139" s="31" t="s">
        <v>900</v>
      </c>
      <c r="B139" s="32" t="s">
        <v>901</v>
      </c>
      <c r="C139" s="16"/>
      <c r="D139" s="16" t="s">
        <v>53</v>
      </c>
      <c r="E139" s="6"/>
      <c r="F139" s="6"/>
      <c r="G139" s="6"/>
      <c r="H139" s="28"/>
      <c r="I139" s="28"/>
      <c r="J139" s="28"/>
      <c r="K139" s="28"/>
      <c r="L139" s="28"/>
      <c r="M139" s="28"/>
      <c r="N139" s="28"/>
      <c r="O139" s="28"/>
      <c r="P139" s="28"/>
      <c r="Q139" s="28"/>
      <c r="R139" s="28"/>
      <c r="S139" s="28"/>
      <c r="T139" s="28"/>
      <c r="U139" s="28"/>
      <c r="V139" s="28"/>
      <c r="W139" s="28"/>
      <c r="X139" s="28"/>
      <c r="Y139" s="28"/>
      <c r="Z139" s="28"/>
      <c r="AA139" s="28"/>
      <c r="AB139" s="28"/>
    </row>
    <row r="140" spans="1:28" ht="12.75" x14ac:dyDescent="0.2">
      <c r="A140" s="31" t="s">
        <v>906</v>
      </c>
      <c r="B140" s="32"/>
      <c r="C140" s="16" t="s">
        <v>907</v>
      </c>
      <c r="D140" s="16" t="s">
        <v>394</v>
      </c>
      <c r="E140" s="6"/>
      <c r="F140" s="6"/>
      <c r="G140" s="6"/>
      <c r="H140" s="28"/>
      <c r="I140" s="28"/>
      <c r="J140" s="28"/>
      <c r="K140" s="28"/>
      <c r="L140" s="28"/>
      <c r="M140" s="28"/>
      <c r="N140" s="28"/>
      <c r="O140" s="28"/>
      <c r="P140" s="28"/>
      <c r="Q140" s="28"/>
      <c r="R140" s="28"/>
      <c r="S140" s="28"/>
      <c r="T140" s="28"/>
      <c r="U140" s="28"/>
      <c r="V140" s="28"/>
      <c r="W140" s="28"/>
      <c r="X140" s="28"/>
      <c r="Y140" s="28"/>
      <c r="Z140" s="28"/>
      <c r="AA140" s="28"/>
      <c r="AB140" s="28"/>
    </row>
    <row r="141" spans="1:28" ht="12.75" x14ac:dyDescent="0.2">
      <c r="A141" s="31" t="s">
        <v>908</v>
      </c>
      <c r="B141" s="32"/>
      <c r="C141" s="16" t="s">
        <v>909</v>
      </c>
      <c r="D141" s="16" t="s">
        <v>394</v>
      </c>
      <c r="E141" s="6"/>
      <c r="F141" s="6"/>
      <c r="G141" s="6"/>
      <c r="H141" s="28"/>
      <c r="I141" s="28"/>
      <c r="J141" s="28"/>
      <c r="K141" s="28"/>
      <c r="L141" s="28"/>
      <c r="M141" s="28"/>
      <c r="N141" s="28"/>
      <c r="O141" s="28"/>
      <c r="P141" s="28"/>
      <c r="Q141" s="28"/>
      <c r="R141" s="28"/>
      <c r="S141" s="28"/>
      <c r="T141" s="28"/>
      <c r="U141" s="28"/>
      <c r="V141" s="28"/>
      <c r="W141" s="28"/>
      <c r="X141" s="28"/>
      <c r="Y141" s="28"/>
      <c r="Z141" s="28"/>
      <c r="AA141" s="28"/>
      <c r="AB141" s="28"/>
    </row>
    <row r="142" spans="1:28" ht="12.75" x14ac:dyDescent="0.2">
      <c r="A142" s="31" t="s">
        <v>915</v>
      </c>
      <c r="B142" s="32"/>
      <c r="C142" s="16" t="s">
        <v>916</v>
      </c>
      <c r="D142" s="16" t="s">
        <v>394</v>
      </c>
      <c r="E142" s="6"/>
      <c r="F142" s="6"/>
      <c r="G142" s="6"/>
      <c r="H142" s="28"/>
      <c r="I142" s="28"/>
      <c r="J142" s="28"/>
      <c r="K142" s="28"/>
      <c r="L142" s="28"/>
      <c r="M142" s="28"/>
      <c r="N142" s="28"/>
      <c r="O142" s="28"/>
      <c r="P142" s="28"/>
      <c r="Q142" s="28"/>
      <c r="R142" s="28"/>
      <c r="S142" s="28"/>
      <c r="T142" s="28"/>
      <c r="U142" s="28"/>
      <c r="V142" s="28"/>
      <c r="W142" s="28"/>
      <c r="X142" s="28"/>
      <c r="Y142" s="28"/>
      <c r="Z142" s="28"/>
      <c r="AA142" s="28"/>
      <c r="AB142" s="28"/>
    </row>
    <row r="143" spans="1:28" ht="12.75" x14ac:dyDescent="0.2">
      <c r="A143" s="31" t="s">
        <v>925</v>
      </c>
      <c r="B143" s="32"/>
      <c r="C143" s="16" t="s">
        <v>926</v>
      </c>
      <c r="D143" s="16" t="s">
        <v>394</v>
      </c>
      <c r="E143" s="6"/>
      <c r="F143" s="6"/>
      <c r="G143" s="6"/>
      <c r="H143" s="28"/>
      <c r="I143" s="28"/>
      <c r="J143" s="28"/>
      <c r="K143" s="28"/>
      <c r="L143" s="28"/>
      <c r="M143" s="28"/>
      <c r="N143" s="28"/>
      <c r="O143" s="28"/>
      <c r="P143" s="28"/>
      <c r="Q143" s="28"/>
      <c r="R143" s="28"/>
      <c r="S143" s="28"/>
      <c r="T143" s="28"/>
      <c r="U143" s="28"/>
      <c r="V143" s="28"/>
      <c r="W143" s="28"/>
      <c r="X143" s="28"/>
      <c r="Y143" s="28"/>
      <c r="Z143" s="28"/>
      <c r="AA143" s="28"/>
      <c r="AB143" s="28"/>
    </row>
    <row r="144" spans="1:28" ht="12.75" x14ac:dyDescent="0.2">
      <c r="A144" s="31" t="s">
        <v>931</v>
      </c>
      <c r="B144" s="32"/>
      <c r="C144" s="16" t="s">
        <v>934</v>
      </c>
      <c r="D144" s="16" t="s">
        <v>394</v>
      </c>
      <c r="E144" s="6"/>
      <c r="F144" s="6"/>
      <c r="G144" s="6"/>
      <c r="H144" s="28"/>
      <c r="I144" s="28"/>
      <c r="J144" s="28"/>
      <c r="K144" s="28"/>
      <c r="L144" s="28"/>
      <c r="M144" s="28"/>
      <c r="N144" s="28"/>
      <c r="O144" s="28"/>
      <c r="P144" s="28"/>
      <c r="Q144" s="28"/>
      <c r="R144" s="28"/>
      <c r="S144" s="28"/>
      <c r="T144" s="28"/>
      <c r="U144" s="28"/>
      <c r="V144" s="28"/>
      <c r="W144" s="28"/>
      <c r="X144" s="28"/>
      <c r="Y144" s="28"/>
      <c r="Z144" s="28"/>
      <c r="AA144" s="28"/>
      <c r="AB144" s="28"/>
    </row>
    <row r="145" spans="1:28" ht="12.75" x14ac:dyDescent="0.2">
      <c r="A145" s="31" t="s">
        <v>936</v>
      </c>
      <c r="B145" s="32"/>
      <c r="C145" s="16" t="s">
        <v>937</v>
      </c>
      <c r="D145" s="16" t="s">
        <v>394</v>
      </c>
      <c r="E145" s="6"/>
      <c r="F145" s="6"/>
      <c r="G145" s="6"/>
      <c r="H145" s="28"/>
      <c r="I145" s="28"/>
      <c r="J145" s="28"/>
      <c r="K145" s="28"/>
      <c r="L145" s="28"/>
      <c r="M145" s="28"/>
      <c r="N145" s="28"/>
      <c r="O145" s="28"/>
      <c r="P145" s="28"/>
      <c r="Q145" s="28"/>
      <c r="R145" s="28"/>
      <c r="S145" s="28"/>
      <c r="T145" s="28"/>
      <c r="U145" s="28"/>
      <c r="V145" s="28"/>
      <c r="W145" s="28"/>
      <c r="X145" s="28"/>
      <c r="Y145" s="28"/>
      <c r="Z145" s="28"/>
      <c r="AA145" s="28"/>
      <c r="AB145" s="28"/>
    </row>
    <row r="146" spans="1:28" ht="12.75" x14ac:dyDescent="0.2">
      <c r="A146" s="31" t="s">
        <v>942</v>
      </c>
      <c r="B146" s="32"/>
      <c r="C146" s="16" t="s">
        <v>943</v>
      </c>
      <c r="D146" s="16" t="s">
        <v>394</v>
      </c>
      <c r="E146" s="6"/>
      <c r="F146" s="6"/>
      <c r="G146" s="6"/>
      <c r="H146" s="28"/>
      <c r="I146" s="28"/>
      <c r="J146" s="28"/>
      <c r="K146" s="28"/>
      <c r="L146" s="28"/>
      <c r="M146" s="28"/>
      <c r="N146" s="28"/>
      <c r="O146" s="28"/>
      <c r="P146" s="28"/>
      <c r="Q146" s="28"/>
      <c r="R146" s="28"/>
      <c r="S146" s="28"/>
      <c r="T146" s="28"/>
      <c r="U146" s="28"/>
      <c r="V146" s="28"/>
      <c r="W146" s="28"/>
      <c r="X146" s="28"/>
      <c r="Y146" s="28"/>
      <c r="Z146" s="28"/>
      <c r="AA146" s="28"/>
      <c r="AB146" s="28"/>
    </row>
    <row r="147" spans="1:28" ht="12.75" x14ac:dyDescent="0.2">
      <c r="A147" s="31" t="s">
        <v>949</v>
      </c>
      <c r="B147" s="32"/>
      <c r="C147" s="16" t="s">
        <v>950</v>
      </c>
      <c r="D147" s="16" t="s">
        <v>394</v>
      </c>
      <c r="E147" s="6"/>
      <c r="F147" s="6"/>
      <c r="G147" s="6"/>
      <c r="H147" s="28"/>
      <c r="I147" s="28"/>
      <c r="J147" s="28"/>
      <c r="K147" s="28"/>
      <c r="L147" s="28"/>
      <c r="M147" s="28"/>
      <c r="N147" s="28"/>
      <c r="O147" s="28"/>
      <c r="P147" s="28"/>
      <c r="Q147" s="28"/>
      <c r="R147" s="28"/>
      <c r="S147" s="28"/>
      <c r="T147" s="28"/>
      <c r="U147" s="28"/>
      <c r="V147" s="28"/>
      <c r="W147" s="28"/>
      <c r="X147" s="28"/>
      <c r="Y147" s="28"/>
      <c r="Z147" s="28"/>
      <c r="AA147" s="28"/>
      <c r="AB147" s="28"/>
    </row>
    <row r="148" spans="1:28" ht="12.75" x14ac:dyDescent="0.2">
      <c r="A148" s="31" t="s">
        <v>958</v>
      </c>
      <c r="B148" s="32"/>
      <c r="C148" s="16" t="s">
        <v>959</v>
      </c>
      <c r="D148" s="16" t="s">
        <v>394</v>
      </c>
      <c r="E148" s="6"/>
      <c r="F148" s="6"/>
      <c r="G148" s="6"/>
      <c r="H148" s="28"/>
      <c r="I148" s="28"/>
      <c r="J148" s="28"/>
      <c r="K148" s="28"/>
      <c r="L148" s="28"/>
      <c r="M148" s="28"/>
      <c r="N148" s="28"/>
      <c r="O148" s="28"/>
      <c r="P148" s="28"/>
      <c r="Q148" s="28"/>
      <c r="R148" s="28"/>
      <c r="S148" s="28"/>
      <c r="T148" s="28"/>
      <c r="U148" s="28"/>
      <c r="V148" s="28"/>
      <c r="W148" s="28"/>
      <c r="X148" s="28"/>
      <c r="Y148" s="28"/>
      <c r="Z148" s="28"/>
      <c r="AA148" s="28"/>
      <c r="AB148" s="28"/>
    </row>
    <row r="149" spans="1:28" ht="12.75" x14ac:dyDescent="0.2">
      <c r="A149" s="31" t="s">
        <v>963</v>
      </c>
      <c r="B149" s="32"/>
      <c r="C149" s="16" t="s">
        <v>964</v>
      </c>
      <c r="D149" s="16" t="s">
        <v>394</v>
      </c>
      <c r="E149" s="6"/>
      <c r="F149" s="6"/>
      <c r="G149" s="6"/>
      <c r="H149" s="28"/>
      <c r="I149" s="28"/>
      <c r="J149" s="28"/>
      <c r="K149" s="28"/>
      <c r="L149" s="28"/>
      <c r="M149" s="28"/>
      <c r="N149" s="28"/>
      <c r="O149" s="28"/>
      <c r="P149" s="28"/>
      <c r="Q149" s="28"/>
      <c r="R149" s="28"/>
      <c r="S149" s="28"/>
      <c r="T149" s="28"/>
      <c r="U149" s="28"/>
      <c r="V149" s="28"/>
      <c r="W149" s="28"/>
      <c r="X149" s="28"/>
      <c r="Y149" s="28"/>
      <c r="Z149" s="28"/>
      <c r="AA149" s="28"/>
      <c r="AB149" s="28"/>
    </row>
    <row r="150" spans="1:28" ht="12.75" x14ac:dyDescent="0.2">
      <c r="A150" s="31" t="s">
        <v>967</v>
      </c>
      <c r="B150" s="32" t="s">
        <v>968</v>
      </c>
      <c r="C150" s="16"/>
      <c r="D150" s="16" t="s">
        <v>53</v>
      </c>
      <c r="E150" s="6"/>
      <c r="F150" s="6"/>
      <c r="G150" s="6"/>
      <c r="H150" s="28"/>
      <c r="I150" s="28"/>
      <c r="J150" s="28"/>
      <c r="K150" s="28"/>
      <c r="L150" s="28"/>
      <c r="M150" s="28"/>
      <c r="N150" s="28"/>
      <c r="O150" s="28"/>
      <c r="P150" s="28"/>
      <c r="Q150" s="28"/>
      <c r="R150" s="28"/>
      <c r="S150" s="28"/>
      <c r="T150" s="28"/>
      <c r="U150" s="28"/>
      <c r="V150" s="28"/>
      <c r="W150" s="28"/>
      <c r="X150" s="28"/>
      <c r="Y150" s="28"/>
      <c r="Z150" s="28"/>
      <c r="AA150" s="28"/>
      <c r="AB150" s="28"/>
    </row>
    <row r="151" spans="1:28" ht="12.75" x14ac:dyDescent="0.2">
      <c r="A151" s="31" t="s">
        <v>972</v>
      </c>
      <c r="B151" s="32"/>
      <c r="C151" s="16" t="s">
        <v>973</v>
      </c>
      <c r="D151" s="16" t="s">
        <v>394</v>
      </c>
      <c r="E151" s="6"/>
      <c r="F151" s="6"/>
      <c r="G151" s="6"/>
      <c r="H151" s="28"/>
      <c r="I151" s="28"/>
      <c r="J151" s="28"/>
      <c r="K151" s="28"/>
      <c r="L151" s="28"/>
      <c r="M151" s="28"/>
      <c r="N151" s="28"/>
      <c r="O151" s="28"/>
      <c r="P151" s="28"/>
      <c r="Q151" s="28"/>
      <c r="R151" s="28"/>
      <c r="S151" s="28"/>
      <c r="T151" s="28"/>
      <c r="U151" s="28"/>
      <c r="V151" s="28"/>
      <c r="W151" s="28"/>
      <c r="X151" s="28"/>
      <c r="Y151" s="28"/>
      <c r="Z151" s="28"/>
      <c r="AA151" s="28"/>
      <c r="AB151" s="28"/>
    </row>
    <row r="152" spans="1:28" ht="12.75" x14ac:dyDescent="0.2">
      <c r="A152" s="31" t="s">
        <v>980</v>
      </c>
      <c r="B152" s="32"/>
      <c r="C152" s="16" t="s">
        <v>981</v>
      </c>
      <c r="D152" s="16" t="s">
        <v>394</v>
      </c>
      <c r="E152" s="6"/>
      <c r="F152" s="6"/>
      <c r="G152" s="6"/>
      <c r="H152" s="28"/>
      <c r="I152" s="28"/>
      <c r="J152" s="28"/>
      <c r="K152" s="28"/>
      <c r="L152" s="28"/>
      <c r="M152" s="28"/>
      <c r="N152" s="28"/>
      <c r="O152" s="28"/>
      <c r="P152" s="28"/>
      <c r="Q152" s="28"/>
      <c r="R152" s="28"/>
      <c r="S152" s="28"/>
      <c r="T152" s="28"/>
      <c r="U152" s="28"/>
      <c r="V152" s="28"/>
      <c r="W152" s="28"/>
      <c r="X152" s="28"/>
      <c r="Y152" s="28"/>
      <c r="Z152" s="28"/>
      <c r="AA152" s="28"/>
      <c r="AB152" s="28"/>
    </row>
    <row r="153" spans="1:28" ht="12.75" x14ac:dyDescent="0.2">
      <c r="A153" s="31" t="s">
        <v>983</v>
      </c>
      <c r="B153" s="32"/>
      <c r="C153" s="16" t="s">
        <v>984</v>
      </c>
      <c r="D153" s="16" t="s">
        <v>394</v>
      </c>
      <c r="E153" s="6"/>
      <c r="F153" s="6"/>
      <c r="G153" s="6"/>
      <c r="H153" s="28"/>
      <c r="I153" s="28"/>
      <c r="J153" s="28"/>
      <c r="K153" s="28"/>
      <c r="L153" s="28"/>
      <c r="M153" s="28"/>
      <c r="N153" s="28"/>
      <c r="O153" s="28"/>
      <c r="P153" s="28"/>
      <c r="Q153" s="28"/>
      <c r="R153" s="28"/>
      <c r="S153" s="28"/>
      <c r="T153" s="28"/>
      <c r="U153" s="28"/>
      <c r="V153" s="28"/>
      <c r="W153" s="28"/>
      <c r="X153" s="28"/>
      <c r="Y153" s="28"/>
      <c r="Z153" s="28"/>
      <c r="AA153" s="28"/>
      <c r="AB153" s="28"/>
    </row>
    <row r="154" spans="1:28" ht="12.75" x14ac:dyDescent="0.2">
      <c r="A154" s="31" t="s">
        <v>988</v>
      </c>
      <c r="B154" s="32"/>
      <c r="C154" s="16" t="s">
        <v>989</v>
      </c>
      <c r="D154" s="16" t="s">
        <v>394</v>
      </c>
      <c r="E154" s="6"/>
      <c r="F154" s="6"/>
      <c r="G154" s="6"/>
      <c r="H154" s="28"/>
      <c r="I154" s="28"/>
      <c r="J154" s="28"/>
      <c r="K154" s="28"/>
      <c r="L154" s="28"/>
      <c r="M154" s="28"/>
      <c r="N154" s="28"/>
      <c r="O154" s="28"/>
      <c r="P154" s="28"/>
      <c r="Q154" s="28"/>
      <c r="R154" s="28"/>
      <c r="S154" s="28"/>
      <c r="T154" s="28"/>
      <c r="U154" s="28"/>
      <c r="V154" s="28"/>
      <c r="W154" s="28"/>
      <c r="X154" s="28"/>
      <c r="Y154" s="28"/>
      <c r="Z154" s="28"/>
      <c r="AA154" s="28"/>
      <c r="AB154" s="28"/>
    </row>
    <row r="155" spans="1:28" ht="12.75" x14ac:dyDescent="0.2">
      <c r="A155" s="31" t="s">
        <v>991</v>
      </c>
      <c r="B155" s="32"/>
      <c r="C155" s="16" t="s">
        <v>992</v>
      </c>
      <c r="D155" s="16" t="s">
        <v>394</v>
      </c>
      <c r="E155" s="6"/>
      <c r="F155" s="6"/>
      <c r="G155" s="6"/>
      <c r="H155" s="28"/>
      <c r="I155" s="28"/>
      <c r="J155" s="28"/>
      <c r="K155" s="28"/>
      <c r="L155" s="28"/>
      <c r="M155" s="28"/>
      <c r="N155" s="28"/>
      <c r="O155" s="28"/>
      <c r="P155" s="28"/>
      <c r="Q155" s="28"/>
      <c r="R155" s="28"/>
      <c r="S155" s="28"/>
      <c r="T155" s="28"/>
      <c r="U155" s="28"/>
      <c r="V155" s="28"/>
      <c r="W155" s="28"/>
      <c r="X155" s="28"/>
      <c r="Y155" s="28"/>
      <c r="Z155" s="28"/>
      <c r="AA155" s="28"/>
      <c r="AB155" s="28"/>
    </row>
    <row r="156" spans="1:28" ht="12.75" x14ac:dyDescent="0.2">
      <c r="A156" s="31" t="s">
        <v>996</v>
      </c>
      <c r="B156" s="32"/>
      <c r="C156" s="16" t="s">
        <v>997</v>
      </c>
      <c r="D156" s="16" t="s">
        <v>394</v>
      </c>
      <c r="E156" s="6"/>
      <c r="F156" s="6"/>
      <c r="G156" s="6"/>
      <c r="H156" s="28"/>
      <c r="I156" s="28"/>
      <c r="J156" s="28"/>
      <c r="K156" s="28"/>
      <c r="L156" s="28"/>
      <c r="M156" s="28"/>
      <c r="N156" s="28"/>
      <c r="O156" s="28"/>
      <c r="P156" s="28"/>
      <c r="Q156" s="28"/>
      <c r="R156" s="28"/>
      <c r="S156" s="28"/>
      <c r="T156" s="28"/>
      <c r="U156" s="28"/>
      <c r="V156" s="28"/>
      <c r="W156" s="28"/>
      <c r="X156" s="28"/>
      <c r="Y156" s="28"/>
      <c r="Z156" s="28"/>
      <c r="AA156" s="28"/>
      <c r="AB156" s="28"/>
    </row>
    <row r="157" spans="1:28" ht="12.75" x14ac:dyDescent="0.2">
      <c r="A157" s="31" t="s">
        <v>1002</v>
      </c>
      <c r="B157" s="32"/>
      <c r="C157" s="16" t="s">
        <v>1003</v>
      </c>
      <c r="D157" s="16" t="s">
        <v>394</v>
      </c>
      <c r="E157" s="6"/>
      <c r="F157" s="6"/>
      <c r="G157" s="6"/>
      <c r="H157" s="28"/>
      <c r="I157" s="28"/>
      <c r="J157" s="28"/>
      <c r="K157" s="28"/>
      <c r="L157" s="28"/>
      <c r="M157" s="28"/>
      <c r="N157" s="28"/>
      <c r="O157" s="28"/>
      <c r="P157" s="28"/>
      <c r="Q157" s="28"/>
      <c r="R157" s="28"/>
      <c r="S157" s="28"/>
      <c r="T157" s="28"/>
      <c r="U157" s="28"/>
      <c r="V157" s="28"/>
      <c r="W157" s="28"/>
      <c r="X157" s="28"/>
      <c r="Y157" s="28"/>
      <c r="Z157" s="28"/>
      <c r="AA157" s="28"/>
      <c r="AB157" s="28"/>
    </row>
    <row r="158" spans="1:28" ht="25.5" x14ac:dyDescent="0.2">
      <c r="A158" s="31" t="s">
        <v>1009</v>
      </c>
      <c r="B158" s="32" t="s">
        <v>1010</v>
      </c>
      <c r="C158" s="16"/>
      <c r="D158" s="16" t="s">
        <v>53</v>
      </c>
      <c r="E158" s="6"/>
      <c r="F158" s="6"/>
      <c r="G158" s="6"/>
      <c r="H158" s="28"/>
      <c r="I158" s="28"/>
      <c r="J158" s="28"/>
      <c r="K158" s="28"/>
      <c r="L158" s="28"/>
      <c r="M158" s="28"/>
      <c r="N158" s="28"/>
      <c r="O158" s="28"/>
      <c r="P158" s="28"/>
      <c r="Q158" s="28"/>
      <c r="R158" s="28"/>
      <c r="S158" s="28"/>
      <c r="T158" s="28"/>
      <c r="U158" s="28"/>
      <c r="V158" s="28"/>
      <c r="W158" s="28"/>
      <c r="X158" s="28"/>
      <c r="Y158" s="28"/>
      <c r="Z158" s="28"/>
      <c r="AA158" s="28"/>
      <c r="AB158" s="28"/>
    </row>
    <row r="159" spans="1:28" ht="12.75" x14ac:dyDescent="0.2">
      <c r="A159" s="31" t="s">
        <v>1012</v>
      </c>
      <c r="B159" s="32"/>
      <c r="C159" s="16" t="s">
        <v>1014</v>
      </c>
      <c r="D159" s="16" t="s">
        <v>394</v>
      </c>
      <c r="E159" s="6"/>
      <c r="F159" s="6"/>
      <c r="G159" s="6"/>
      <c r="H159" s="28"/>
      <c r="I159" s="28"/>
      <c r="J159" s="28"/>
      <c r="K159" s="28"/>
      <c r="L159" s="28"/>
      <c r="M159" s="28"/>
      <c r="N159" s="28"/>
      <c r="O159" s="28"/>
      <c r="P159" s="28"/>
      <c r="Q159" s="28"/>
      <c r="R159" s="28"/>
      <c r="S159" s="28"/>
      <c r="T159" s="28"/>
      <c r="U159" s="28"/>
      <c r="V159" s="28"/>
      <c r="W159" s="28"/>
      <c r="X159" s="28"/>
      <c r="Y159" s="28"/>
      <c r="Z159" s="28"/>
      <c r="AA159" s="28"/>
      <c r="AB159" s="28"/>
    </row>
    <row r="160" spans="1:28" ht="12.75" x14ac:dyDescent="0.2">
      <c r="A160" s="31" t="s">
        <v>1019</v>
      </c>
      <c r="B160" s="32" t="s">
        <v>1020</v>
      </c>
      <c r="C160" s="16"/>
      <c r="D160" s="16"/>
      <c r="E160" s="6"/>
      <c r="F160" s="6"/>
      <c r="G160" s="6"/>
      <c r="H160" s="28"/>
      <c r="I160" s="28"/>
      <c r="J160" s="28"/>
      <c r="K160" s="28"/>
      <c r="L160" s="28"/>
      <c r="M160" s="28"/>
      <c r="N160" s="28"/>
      <c r="O160" s="28"/>
      <c r="P160" s="28"/>
      <c r="Q160" s="28"/>
      <c r="R160" s="28"/>
      <c r="S160" s="28"/>
      <c r="T160" s="28"/>
      <c r="U160" s="28"/>
      <c r="V160" s="28"/>
      <c r="W160" s="28"/>
      <c r="X160" s="28"/>
      <c r="Y160" s="28"/>
      <c r="Z160" s="28"/>
      <c r="AA160" s="28"/>
      <c r="AB160" s="28"/>
    </row>
    <row r="161" spans="1:28" ht="12.75" x14ac:dyDescent="0.2">
      <c r="A161" s="31" t="s">
        <v>1029</v>
      </c>
      <c r="B161" s="32"/>
      <c r="C161" s="16" t="s">
        <v>1030</v>
      </c>
      <c r="D161" s="16" t="s">
        <v>394</v>
      </c>
      <c r="E161" s="6"/>
      <c r="F161" s="6"/>
      <c r="G161" s="6"/>
      <c r="H161" s="28"/>
      <c r="I161" s="28"/>
      <c r="J161" s="28"/>
      <c r="K161" s="28"/>
      <c r="L161" s="28"/>
      <c r="M161" s="28"/>
      <c r="N161" s="28"/>
      <c r="O161" s="28"/>
      <c r="P161" s="28"/>
      <c r="Q161" s="28"/>
      <c r="R161" s="28"/>
      <c r="S161" s="28"/>
      <c r="T161" s="28"/>
      <c r="U161" s="28"/>
      <c r="V161" s="28"/>
      <c r="W161" s="28"/>
      <c r="X161" s="28"/>
      <c r="Y161" s="28"/>
      <c r="Z161" s="28"/>
      <c r="AA161" s="28"/>
      <c r="AB161" s="28"/>
    </row>
    <row r="162" spans="1:28" ht="25.5" x14ac:dyDescent="0.2">
      <c r="A162" s="31" t="s">
        <v>1035</v>
      </c>
      <c r="B162" s="32" t="s">
        <v>1037</v>
      </c>
      <c r="C162" s="16"/>
      <c r="D162" s="16" t="s">
        <v>53</v>
      </c>
      <c r="E162" s="6"/>
      <c r="F162" s="6"/>
      <c r="G162" s="6"/>
      <c r="H162" s="28"/>
      <c r="I162" s="28"/>
      <c r="J162" s="28"/>
      <c r="K162" s="28"/>
      <c r="L162" s="28"/>
      <c r="M162" s="28"/>
      <c r="N162" s="28"/>
      <c r="O162" s="28"/>
      <c r="P162" s="28"/>
      <c r="Q162" s="28"/>
      <c r="R162" s="28"/>
      <c r="S162" s="28"/>
      <c r="T162" s="28"/>
      <c r="U162" s="28"/>
      <c r="V162" s="28"/>
      <c r="W162" s="28"/>
      <c r="X162" s="28"/>
      <c r="Y162" s="28"/>
      <c r="Z162" s="28"/>
      <c r="AA162" s="28"/>
      <c r="AB162" s="28"/>
    </row>
    <row r="163" spans="1:28" ht="12.75" x14ac:dyDescent="0.2">
      <c r="A163" s="31" t="s">
        <v>1040</v>
      </c>
      <c r="B163" s="32"/>
      <c r="C163" s="16" t="s">
        <v>1042</v>
      </c>
      <c r="D163" s="16" t="s">
        <v>394</v>
      </c>
      <c r="E163" s="6"/>
      <c r="F163" s="6"/>
      <c r="G163" s="6"/>
      <c r="H163" s="28"/>
      <c r="I163" s="28"/>
      <c r="J163" s="28"/>
      <c r="K163" s="28"/>
      <c r="L163" s="28"/>
      <c r="M163" s="28"/>
      <c r="N163" s="28"/>
      <c r="O163" s="28"/>
      <c r="P163" s="28"/>
      <c r="Q163" s="28"/>
      <c r="R163" s="28"/>
      <c r="S163" s="28"/>
      <c r="T163" s="28"/>
      <c r="U163" s="28"/>
      <c r="V163" s="28"/>
      <c r="W163" s="28"/>
      <c r="X163" s="28"/>
      <c r="Y163" s="28"/>
      <c r="Z163" s="28"/>
      <c r="AA163" s="28"/>
      <c r="AB163" s="28"/>
    </row>
    <row r="164" spans="1:28" ht="12.75" x14ac:dyDescent="0.2">
      <c r="A164" s="31" t="s">
        <v>1048</v>
      </c>
      <c r="B164" s="32"/>
      <c r="C164" s="16" t="s">
        <v>1049</v>
      </c>
      <c r="D164" s="16" t="s">
        <v>394</v>
      </c>
      <c r="E164" s="6"/>
      <c r="F164" s="6"/>
      <c r="G164" s="6"/>
      <c r="H164" s="28"/>
      <c r="I164" s="28"/>
      <c r="J164" s="28"/>
      <c r="K164" s="28"/>
      <c r="L164" s="28"/>
      <c r="M164" s="28"/>
      <c r="N164" s="28"/>
      <c r="O164" s="28"/>
      <c r="P164" s="28"/>
      <c r="Q164" s="28"/>
      <c r="R164" s="28"/>
      <c r="S164" s="28"/>
      <c r="T164" s="28"/>
      <c r="U164" s="28"/>
      <c r="V164" s="28"/>
      <c r="W164" s="28"/>
      <c r="X164" s="28"/>
      <c r="Y164" s="28"/>
      <c r="Z164" s="28"/>
      <c r="AA164" s="28"/>
      <c r="AB164" s="28"/>
    </row>
    <row r="165" spans="1:28" ht="12.75" x14ac:dyDescent="0.2">
      <c r="A165" s="31" t="s">
        <v>1054</v>
      </c>
      <c r="B165" s="32" t="s">
        <v>1055</v>
      </c>
      <c r="C165" s="16"/>
      <c r="D165" s="16" t="s">
        <v>53</v>
      </c>
      <c r="E165" s="6"/>
      <c r="F165" s="6"/>
      <c r="G165" s="6"/>
      <c r="H165" s="28"/>
      <c r="I165" s="28"/>
      <c r="J165" s="28"/>
      <c r="K165" s="28"/>
      <c r="L165" s="28"/>
      <c r="M165" s="28"/>
      <c r="N165" s="28"/>
      <c r="O165" s="28"/>
      <c r="P165" s="28"/>
      <c r="Q165" s="28"/>
      <c r="R165" s="28"/>
      <c r="S165" s="28"/>
      <c r="T165" s="28"/>
      <c r="U165" s="28"/>
      <c r="V165" s="28"/>
      <c r="W165" s="28"/>
      <c r="X165" s="28"/>
      <c r="Y165" s="28"/>
      <c r="Z165" s="28"/>
      <c r="AA165" s="28"/>
      <c r="AB165" s="28"/>
    </row>
    <row r="166" spans="1:28" ht="12.75" x14ac:dyDescent="0.2">
      <c r="A166" s="31" t="s">
        <v>902</v>
      </c>
      <c r="B166" s="32" t="s">
        <v>1061</v>
      </c>
      <c r="C166" s="16"/>
      <c r="D166" s="16" t="s">
        <v>53</v>
      </c>
      <c r="E166" s="6"/>
      <c r="F166" s="6"/>
      <c r="G166" s="6"/>
      <c r="H166" s="28"/>
      <c r="I166" s="28"/>
      <c r="J166" s="28"/>
      <c r="K166" s="28"/>
      <c r="L166" s="28"/>
      <c r="M166" s="28"/>
      <c r="N166" s="28"/>
      <c r="O166" s="28"/>
      <c r="P166" s="28"/>
      <c r="Q166" s="28"/>
      <c r="R166" s="28"/>
      <c r="S166" s="28"/>
      <c r="T166" s="28"/>
      <c r="U166" s="28"/>
      <c r="V166" s="28"/>
      <c r="W166" s="28"/>
      <c r="X166" s="28"/>
      <c r="Y166" s="28"/>
      <c r="Z166" s="28"/>
      <c r="AA166" s="28"/>
      <c r="AB166" s="28"/>
    </row>
    <row r="167" spans="1:28" ht="25.5" x14ac:dyDescent="0.2">
      <c r="A167" s="31" t="s">
        <v>1063</v>
      </c>
      <c r="B167" s="32" t="s">
        <v>1064</v>
      </c>
      <c r="C167" s="16"/>
      <c r="D167" s="16" t="s">
        <v>53</v>
      </c>
      <c r="E167" s="6"/>
      <c r="F167" s="6"/>
      <c r="G167" s="6"/>
      <c r="H167" s="28"/>
      <c r="I167" s="28"/>
      <c r="J167" s="28"/>
      <c r="K167" s="28"/>
      <c r="L167" s="28"/>
      <c r="M167" s="28"/>
      <c r="N167" s="28"/>
      <c r="O167" s="28"/>
      <c r="P167" s="28"/>
      <c r="Q167" s="28"/>
      <c r="R167" s="28"/>
      <c r="S167" s="28"/>
      <c r="T167" s="28"/>
      <c r="U167" s="28"/>
      <c r="V167" s="28"/>
      <c r="W167" s="28"/>
      <c r="X167" s="28"/>
      <c r="Y167" s="28"/>
      <c r="Z167" s="28"/>
      <c r="AA167" s="28"/>
      <c r="AB167" s="28"/>
    </row>
    <row r="168" spans="1:28" ht="12.75" x14ac:dyDescent="0.2">
      <c r="A168" s="31" t="s">
        <v>1069</v>
      </c>
      <c r="B168" s="32" t="s">
        <v>1070</v>
      </c>
      <c r="C168" s="16" t="s">
        <v>1071</v>
      </c>
      <c r="D168" s="16" t="s">
        <v>53</v>
      </c>
      <c r="E168" s="6"/>
      <c r="F168" s="6"/>
      <c r="G168" s="6"/>
      <c r="H168" s="28"/>
      <c r="I168" s="28"/>
      <c r="J168" s="28"/>
      <c r="K168" s="28"/>
      <c r="L168" s="28"/>
      <c r="M168" s="28"/>
      <c r="N168" s="28"/>
      <c r="O168" s="28"/>
      <c r="P168" s="28"/>
      <c r="Q168" s="28"/>
      <c r="R168" s="28"/>
      <c r="S168" s="28"/>
      <c r="T168" s="28"/>
      <c r="U168" s="28"/>
      <c r="V168" s="28"/>
      <c r="W168" s="28"/>
      <c r="X168" s="28"/>
      <c r="Y168" s="28"/>
      <c r="Z168" s="28"/>
      <c r="AA168" s="28"/>
      <c r="AB168" s="28"/>
    </row>
    <row r="169" spans="1:28" ht="12.75" x14ac:dyDescent="0.2">
      <c r="A169" s="31" t="s">
        <v>1074</v>
      </c>
      <c r="B169" s="32" t="s">
        <v>1075</v>
      </c>
      <c r="C169" s="16" t="s">
        <v>1076</v>
      </c>
      <c r="D169" s="16" t="s">
        <v>53</v>
      </c>
      <c r="E169" s="6"/>
      <c r="F169" s="6"/>
      <c r="G169" s="6"/>
      <c r="H169" s="28"/>
      <c r="I169" s="28"/>
      <c r="J169" s="28"/>
      <c r="K169" s="28"/>
      <c r="L169" s="28"/>
      <c r="M169" s="28"/>
      <c r="N169" s="28"/>
      <c r="O169" s="28"/>
      <c r="P169" s="28"/>
      <c r="Q169" s="28"/>
      <c r="R169" s="28"/>
      <c r="S169" s="28"/>
      <c r="T169" s="28"/>
      <c r="U169" s="28"/>
      <c r="V169" s="28"/>
      <c r="W169" s="28"/>
      <c r="X169" s="28"/>
      <c r="Y169" s="28"/>
      <c r="Z169" s="28"/>
      <c r="AA169" s="28"/>
      <c r="AB169" s="28"/>
    </row>
    <row r="170" spans="1:28" ht="12.75" x14ac:dyDescent="0.2">
      <c r="A170" s="31" t="s">
        <v>1080</v>
      </c>
      <c r="B170" s="32" t="s">
        <v>1082</v>
      </c>
      <c r="C170" s="16"/>
      <c r="D170" s="16" t="s">
        <v>53</v>
      </c>
      <c r="E170" s="6"/>
      <c r="F170" s="6"/>
      <c r="G170" s="6"/>
      <c r="H170" s="28"/>
      <c r="I170" s="28"/>
      <c r="J170" s="28"/>
      <c r="K170" s="28"/>
      <c r="L170" s="28"/>
      <c r="M170" s="28"/>
      <c r="N170" s="28"/>
      <c r="O170" s="28"/>
      <c r="P170" s="28"/>
      <c r="Q170" s="28"/>
      <c r="R170" s="28"/>
      <c r="S170" s="28"/>
      <c r="T170" s="28"/>
      <c r="U170" s="28"/>
      <c r="V170" s="28"/>
      <c r="W170" s="28"/>
      <c r="X170" s="28"/>
      <c r="Y170" s="28"/>
      <c r="Z170" s="28"/>
      <c r="AA170" s="28"/>
      <c r="AB170" s="28"/>
    </row>
    <row r="171" spans="1:28" ht="12.75" x14ac:dyDescent="0.2">
      <c r="A171" s="31" t="s">
        <v>1086</v>
      </c>
      <c r="B171" s="32" t="s">
        <v>1087</v>
      </c>
      <c r="C171" s="16" t="s">
        <v>1088</v>
      </c>
      <c r="D171" s="16" t="s">
        <v>53</v>
      </c>
      <c r="E171" s="6"/>
      <c r="F171" s="6"/>
      <c r="G171" s="6"/>
      <c r="H171" s="28"/>
      <c r="I171" s="28"/>
      <c r="J171" s="28"/>
      <c r="K171" s="28"/>
      <c r="L171" s="28"/>
      <c r="M171" s="28"/>
      <c r="N171" s="28"/>
      <c r="O171" s="28"/>
      <c r="P171" s="28"/>
      <c r="Q171" s="28"/>
      <c r="R171" s="28"/>
      <c r="S171" s="28"/>
      <c r="T171" s="28"/>
      <c r="U171" s="28"/>
      <c r="V171" s="28"/>
      <c r="W171" s="28"/>
      <c r="X171" s="28"/>
      <c r="Y171" s="28"/>
      <c r="Z171" s="28"/>
      <c r="AA171" s="28"/>
      <c r="AB171" s="28"/>
    </row>
    <row r="172" spans="1:28" ht="12.75" x14ac:dyDescent="0.2">
      <c r="A172" s="31" t="s">
        <v>1095</v>
      </c>
      <c r="B172" s="32" t="s">
        <v>1096</v>
      </c>
      <c r="C172" s="16"/>
      <c r="D172" s="16" t="s">
        <v>53</v>
      </c>
      <c r="E172" s="6"/>
      <c r="F172" s="6"/>
      <c r="G172" s="6"/>
      <c r="H172" s="28"/>
      <c r="I172" s="28"/>
      <c r="J172" s="28"/>
      <c r="K172" s="28"/>
      <c r="L172" s="28"/>
      <c r="M172" s="28"/>
      <c r="N172" s="28"/>
      <c r="O172" s="28"/>
      <c r="P172" s="28"/>
      <c r="Q172" s="28"/>
      <c r="R172" s="28"/>
      <c r="S172" s="28"/>
      <c r="T172" s="28"/>
      <c r="U172" s="28"/>
      <c r="V172" s="28"/>
      <c r="W172" s="28"/>
      <c r="X172" s="28"/>
      <c r="Y172" s="28"/>
      <c r="Z172" s="28"/>
      <c r="AA172" s="28"/>
      <c r="AB172" s="28"/>
    </row>
    <row r="173" spans="1:28" ht="12.75" x14ac:dyDescent="0.2">
      <c r="A173" s="31" t="s">
        <v>1098</v>
      </c>
      <c r="B173" s="32" t="s">
        <v>1100</v>
      </c>
      <c r="C173" s="16"/>
      <c r="D173" s="16" t="s">
        <v>53</v>
      </c>
      <c r="E173" s="6"/>
      <c r="F173" s="6"/>
      <c r="G173" s="6"/>
      <c r="H173" s="28"/>
      <c r="I173" s="28"/>
      <c r="J173" s="28"/>
      <c r="K173" s="28"/>
      <c r="L173" s="28"/>
      <c r="M173" s="28"/>
      <c r="N173" s="28"/>
      <c r="O173" s="28"/>
      <c r="P173" s="28"/>
      <c r="Q173" s="28"/>
      <c r="R173" s="28"/>
      <c r="S173" s="28"/>
      <c r="T173" s="28"/>
      <c r="U173" s="28"/>
      <c r="V173" s="28"/>
      <c r="W173" s="28"/>
      <c r="X173" s="28"/>
      <c r="Y173" s="28"/>
      <c r="Z173" s="28"/>
      <c r="AA173" s="28"/>
      <c r="AB173" s="28"/>
    </row>
    <row r="174" spans="1:28" ht="12.75" x14ac:dyDescent="0.2">
      <c r="A174" s="31" t="s">
        <v>1104</v>
      </c>
      <c r="B174" s="32" t="s">
        <v>1105</v>
      </c>
      <c r="C174" s="16"/>
      <c r="D174" s="16" t="s">
        <v>53</v>
      </c>
      <c r="E174" s="6"/>
      <c r="F174" s="6"/>
      <c r="G174" s="6"/>
      <c r="H174" s="28"/>
      <c r="I174" s="28"/>
      <c r="J174" s="28"/>
      <c r="K174" s="28"/>
      <c r="L174" s="28"/>
      <c r="M174" s="28"/>
      <c r="N174" s="28"/>
      <c r="O174" s="28"/>
      <c r="P174" s="28"/>
      <c r="Q174" s="28"/>
      <c r="R174" s="28"/>
      <c r="S174" s="28"/>
      <c r="T174" s="28"/>
      <c r="U174" s="28"/>
      <c r="V174" s="28"/>
      <c r="W174" s="28"/>
      <c r="X174" s="28"/>
      <c r="Y174" s="28"/>
      <c r="Z174" s="28"/>
      <c r="AA174" s="28"/>
      <c r="AB174" s="28"/>
    </row>
    <row r="175" spans="1:28" ht="25.5" x14ac:dyDescent="0.2">
      <c r="A175" s="31" t="s">
        <v>1114</v>
      </c>
      <c r="B175" s="32" t="s">
        <v>1115</v>
      </c>
      <c r="C175" s="16"/>
      <c r="D175" s="16" t="s">
        <v>53</v>
      </c>
      <c r="E175" s="6"/>
      <c r="F175" s="6"/>
      <c r="G175" s="6"/>
      <c r="H175" s="28"/>
      <c r="I175" s="28"/>
      <c r="J175" s="28"/>
      <c r="K175" s="28"/>
      <c r="L175" s="28"/>
      <c r="M175" s="28"/>
      <c r="N175" s="28"/>
      <c r="O175" s="28"/>
      <c r="P175" s="28"/>
      <c r="Q175" s="28"/>
      <c r="R175" s="28"/>
      <c r="S175" s="28"/>
      <c r="T175" s="28"/>
      <c r="U175" s="28"/>
      <c r="V175" s="28"/>
      <c r="W175" s="28"/>
      <c r="X175" s="28"/>
      <c r="Y175" s="28"/>
      <c r="Z175" s="28"/>
      <c r="AA175" s="28"/>
      <c r="AB175" s="28"/>
    </row>
    <row r="176" spans="1:28" ht="12.75" x14ac:dyDescent="0.2">
      <c r="A176" s="31" t="s">
        <v>654</v>
      </c>
      <c r="B176" s="32" t="s">
        <v>652</v>
      </c>
      <c r="C176" s="16"/>
      <c r="D176" s="16" t="s">
        <v>53</v>
      </c>
      <c r="E176" s="6"/>
      <c r="F176" s="6"/>
      <c r="G176" s="6"/>
      <c r="H176" s="28"/>
      <c r="I176" s="28"/>
      <c r="J176" s="28"/>
      <c r="K176" s="28"/>
      <c r="L176" s="28"/>
      <c r="M176" s="28"/>
      <c r="N176" s="28"/>
      <c r="O176" s="28"/>
      <c r="P176" s="28"/>
      <c r="Q176" s="28"/>
      <c r="R176" s="28"/>
      <c r="S176" s="28"/>
      <c r="T176" s="28"/>
      <c r="U176" s="28"/>
      <c r="V176" s="28"/>
      <c r="W176" s="28"/>
      <c r="X176" s="28"/>
      <c r="Y176" s="28"/>
      <c r="Z176" s="28"/>
      <c r="AA176" s="28"/>
      <c r="AB176" s="28"/>
    </row>
    <row r="177" spans="1:28" ht="12.75" x14ac:dyDescent="0.2">
      <c r="A177" s="31" t="s">
        <v>772</v>
      </c>
      <c r="B177" s="32" t="s">
        <v>771</v>
      </c>
      <c r="C177" s="16"/>
      <c r="D177" s="16" t="s">
        <v>91</v>
      </c>
      <c r="E177" s="6"/>
      <c r="F177" s="6" t="s">
        <v>284</v>
      </c>
      <c r="G177" s="6" t="s">
        <v>55</v>
      </c>
      <c r="H177" s="28"/>
      <c r="I177" s="28"/>
      <c r="J177" s="28"/>
      <c r="K177" s="28"/>
      <c r="L177" s="28"/>
      <c r="M177" s="28"/>
      <c r="N177" s="28"/>
      <c r="O177" s="28"/>
      <c r="P177" s="28"/>
      <c r="Q177" s="28"/>
      <c r="R177" s="28"/>
      <c r="S177" s="28"/>
      <c r="T177" s="28"/>
      <c r="U177" s="28"/>
      <c r="V177" s="28"/>
      <c r="W177" s="28"/>
      <c r="X177" s="28"/>
      <c r="Y177" s="28"/>
      <c r="Z177" s="28"/>
      <c r="AA177" s="28"/>
      <c r="AB177" s="28"/>
    </row>
    <row r="178" spans="1:28" ht="12.75" x14ac:dyDescent="0.2">
      <c r="A178" s="31" t="s">
        <v>1127</v>
      </c>
      <c r="B178" s="32" t="s">
        <v>1128</v>
      </c>
      <c r="C178" s="16"/>
      <c r="D178" s="16" t="s">
        <v>53</v>
      </c>
      <c r="E178" s="6"/>
      <c r="F178" s="6"/>
      <c r="G178" s="6"/>
      <c r="H178" s="28"/>
      <c r="I178" s="28"/>
      <c r="J178" s="28"/>
      <c r="K178" s="28"/>
      <c r="L178" s="28"/>
      <c r="M178" s="28"/>
      <c r="N178" s="28"/>
      <c r="O178" s="28"/>
      <c r="P178" s="28"/>
      <c r="Q178" s="28"/>
      <c r="R178" s="28"/>
      <c r="S178" s="28"/>
      <c r="T178" s="28"/>
      <c r="U178" s="28"/>
      <c r="V178" s="28"/>
      <c r="W178" s="28"/>
      <c r="X178" s="28"/>
      <c r="Y178" s="28"/>
      <c r="Z178" s="28"/>
      <c r="AA178" s="28"/>
      <c r="AB178" s="28"/>
    </row>
    <row r="179" spans="1:28" ht="12.75" x14ac:dyDescent="0.2">
      <c r="A179" s="31" t="s">
        <v>1133</v>
      </c>
      <c r="B179" s="32"/>
      <c r="C179" s="16" t="s">
        <v>1134</v>
      </c>
      <c r="D179" s="16" t="s">
        <v>394</v>
      </c>
      <c r="E179" s="6"/>
      <c r="F179" s="6"/>
      <c r="G179" s="6"/>
      <c r="H179" s="28"/>
      <c r="I179" s="28"/>
      <c r="J179" s="28"/>
      <c r="K179" s="28"/>
      <c r="L179" s="28"/>
      <c r="M179" s="28"/>
      <c r="N179" s="28"/>
      <c r="O179" s="28"/>
      <c r="P179" s="28"/>
      <c r="Q179" s="28"/>
      <c r="R179" s="28"/>
      <c r="S179" s="28"/>
      <c r="T179" s="28"/>
      <c r="U179" s="28"/>
      <c r="V179" s="28"/>
      <c r="W179" s="28"/>
      <c r="X179" s="28"/>
      <c r="Y179" s="28"/>
      <c r="Z179" s="28"/>
      <c r="AA179" s="28"/>
      <c r="AB179" s="28"/>
    </row>
    <row r="180" spans="1:28" ht="12.75" x14ac:dyDescent="0.2">
      <c r="A180" s="31" t="s">
        <v>1141</v>
      </c>
      <c r="B180" s="32"/>
      <c r="C180" s="16" t="s">
        <v>1142</v>
      </c>
      <c r="D180" s="16" t="s">
        <v>394</v>
      </c>
      <c r="E180" s="6"/>
      <c r="F180" s="6"/>
      <c r="G180" s="6"/>
      <c r="H180" s="28"/>
      <c r="I180" s="28"/>
      <c r="J180" s="28"/>
      <c r="K180" s="28"/>
      <c r="L180" s="28"/>
      <c r="M180" s="28"/>
      <c r="N180" s="28"/>
      <c r="O180" s="28"/>
      <c r="P180" s="28"/>
      <c r="Q180" s="28"/>
      <c r="R180" s="28"/>
      <c r="S180" s="28"/>
      <c r="T180" s="28"/>
      <c r="U180" s="28"/>
      <c r="V180" s="28"/>
      <c r="W180" s="28"/>
      <c r="X180" s="28"/>
      <c r="Y180" s="28"/>
      <c r="Z180" s="28"/>
      <c r="AA180" s="28"/>
      <c r="AB180" s="28"/>
    </row>
    <row r="181" spans="1:28" ht="12.75" x14ac:dyDescent="0.2">
      <c r="A181" s="31" t="s">
        <v>990</v>
      </c>
      <c r="B181" s="32" t="s">
        <v>1149</v>
      </c>
      <c r="C181" s="16" t="s">
        <v>1150</v>
      </c>
      <c r="D181" s="16" t="s">
        <v>53</v>
      </c>
      <c r="E181" s="6"/>
      <c r="F181" s="6"/>
      <c r="G181" s="6"/>
      <c r="H181" s="28"/>
      <c r="I181" s="28"/>
      <c r="J181" s="28"/>
      <c r="K181" s="28"/>
      <c r="L181" s="28"/>
      <c r="M181" s="28"/>
      <c r="N181" s="28"/>
      <c r="O181" s="28"/>
      <c r="P181" s="28"/>
      <c r="Q181" s="28"/>
      <c r="R181" s="28"/>
      <c r="S181" s="28"/>
      <c r="T181" s="28"/>
      <c r="U181" s="28"/>
      <c r="V181" s="28"/>
      <c r="W181" s="28"/>
      <c r="X181" s="28"/>
      <c r="Y181" s="28"/>
      <c r="Z181" s="28"/>
      <c r="AA181" s="28"/>
      <c r="AB181" s="28"/>
    </row>
    <row r="182" spans="1:28" ht="12.75" x14ac:dyDescent="0.2">
      <c r="A182" s="31" t="s">
        <v>1151</v>
      </c>
      <c r="B182" s="32" t="s">
        <v>1153</v>
      </c>
      <c r="C182" s="16" t="s">
        <v>1155</v>
      </c>
      <c r="D182" s="16" t="s">
        <v>53</v>
      </c>
      <c r="E182" s="6"/>
      <c r="F182" s="6"/>
      <c r="G182" s="6"/>
      <c r="H182" s="28"/>
      <c r="I182" s="28"/>
      <c r="J182" s="28"/>
      <c r="K182" s="28"/>
      <c r="L182" s="28"/>
      <c r="M182" s="28"/>
      <c r="N182" s="28"/>
      <c r="O182" s="28"/>
      <c r="P182" s="28"/>
      <c r="Q182" s="28"/>
      <c r="R182" s="28"/>
      <c r="S182" s="28"/>
      <c r="T182" s="28"/>
      <c r="U182" s="28"/>
      <c r="V182" s="28"/>
      <c r="W182" s="28"/>
      <c r="X182" s="28"/>
      <c r="Y182" s="28"/>
      <c r="Z182" s="28"/>
      <c r="AA182" s="28"/>
      <c r="AB182" s="28"/>
    </row>
    <row r="183" spans="1:28" ht="12.75" x14ac:dyDescent="0.2">
      <c r="A183" s="31" t="s">
        <v>1157</v>
      </c>
      <c r="B183" s="32" t="s">
        <v>1158</v>
      </c>
      <c r="C183" s="16"/>
      <c r="D183" s="16" t="s">
        <v>53</v>
      </c>
      <c r="E183" s="6"/>
      <c r="F183" s="6"/>
      <c r="G183" s="6"/>
      <c r="H183" s="28"/>
      <c r="I183" s="28"/>
      <c r="J183" s="28"/>
      <c r="K183" s="28"/>
      <c r="L183" s="28"/>
      <c r="M183" s="28"/>
      <c r="N183" s="28"/>
      <c r="O183" s="28"/>
      <c r="P183" s="28"/>
      <c r="Q183" s="28"/>
      <c r="R183" s="28"/>
      <c r="S183" s="28"/>
      <c r="T183" s="28"/>
      <c r="U183" s="28"/>
      <c r="V183" s="28"/>
      <c r="W183" s="28"/>
      <c r="X183" s="28"/>
      <c r="Y183" s="28"/>
      <c r="Z183" s="28"/>
      <c r="AA183" s="28"/>
      <c r="AB183" s="28"/>
    </row>
    <row r="184" spans="1:28" ht="12.75" x14ac:dyDescent="0.2">
      <c r="A184" s="31" t="s">
        <v>1164</v>
      </c>
      <c r="B184" s="32" t="s">
        <v>1165</v>
      </c>
      <c r="C184" s="16"/>
      <c r="D184" s="16" t="s">
        <v>53</v>
      </c>
      <c r="E184" s="6"/>
      <c r="F184" s="6"/>
      <c r="G184" s="6"/>
      <c r="H184" s="28"/>
      <c r="I184" s="28"/>
      <c r="J184" s="28"/>
      <c r="K184" s="28"/>
      <c r="L184" s="28"/>
      <c r="M184" s="28"/>
      <c r="N184" s="28"/>
      <c r="O184" s="28"/>
      <c r="P184" s="28"/>
      <c r="Q184" s="28"/>
      <c r="R184" s="28"/>
      <c r="S184" s="28"/>
      <c r="T184" s="28"/>
      <c r="U184" s="28"/>
      <c r="V184" s="28"/>
      <c r="W184" s="28"/>
      <c r="X184" s="28"/>
      <c r="Y184" s="28"/>
      <c r="Z184" s="28"/>
      <c r="AA184" s="28"/>
      <c r="AB184" s="28"/>
    </row>
    <row r="185" spans="1:28" ht="12.75" x14ac:dyDescent="0.2">
      <c r="A185" s="31" t="s">
        <v>1166</v>
      </c>
      <c r="B185" s="32" t="s">
        <v>1167</v>
      </c>
      <c r="C185" s="16" t="s">
        <v>1168</v>
      </c>
      <c r="D185" s="16" t="s">
        <v>53</v>
      </c>
      <c r="E185" s="6"/>
      <c r="F185" s="6"/>
      <c r="G185" s="6"/>
      <c r="H185" s="28"/>
      <c r="I185" s="28"/>
      <c r="J185" s="28"/>
      <c r="K185" s="28"/>
      <c r="L185" s="28"/>
      <c r="M185" s="28"/>
      <c r="N185" s="28"/>
      <c r="O185" s="28"/>
      <c r="P185" s="28"/>
      <c r="Q185" s="28"/>
      <c r="R185" s="28"/>
      <c r="S185" s="28"/>
      <c r="T185" s="28"/>
      <c r="U185" s="28"/>
      <c r="V185" s="28"/>
      <c r="W185" s="28"/>
      <c r="X185" s="28"/>
      <c r="Y185" s="28"/>
      <c r="Z185" s="28"/>
      <c r="AA185" s="28"/>
      <c r="AB185" s="28"/>
    </row>
    <row r="186" spans="1:28" ht="12.75" x14ac:dyDescent="0.2">
      <c r="A186" s="31" t="s">
        <v>1175</v>
      </c>
      <c r="B186" s="32" t="s">
        <v>1176</v>
      </c>
      <c r="C186" s="16"/>
      <c r="D186" s="16" t="s">
        <v>53</v>
      </c>
      <c r="E186" s="6"/>
      <c r="F186" s="6"/>
      <c r="G186" s="6"/>
      <c r="H186" s="28"/>
      <c r="I186" s="28"/>
      <c r="J186" s="28"/>
      <c r="K186" s="28"/>
      <c r="L186" s="28"/>
      <c r="M186" s="28"/>
      <c r="N186" s="28"/>
      <c r="O186" s="28"/>
      <c r="P186" s="28"/>
      <c r="Q186" s="28"/>
      <c r="R186" s="28"/>
      <c r="S186" s="28"/>
      <c r="T186" s="28"/>
      <c r="U186" s="28"/>
      <c r="V186" s="28"/>
      <c r="W186" s="28"/>
      <c r="X186" s="28"/>
      <c r="Y186" s="28"/>
      <c r="Z186" s="28"/>
      <c r="AA186" s="28"/>
      <c r="AB186" s="28"/>
    </row>
    <row r="187" spans="1:28" ht="12.75" x14ac:dyDescent="0.2">
      <c r="A187" s="31" t="s">
        <v>1178</v>
      </c>
      <c r="B187" s="32" t="s">
        <v>1179</v>
      </c>
      <c r="C187" s="16"/>
      <c r="D187" s="16" t="s">
        <v>204</v>
      </c>
      <c r="E187" s="6"/>
      <c r="F187" s="6"/>
      <c r="G187" s="6"/>
      <c r="H187" s="28"/>
      <c r="I187" s="28"/>
      <c r="J187" s="28"/>
      <c r="K187" s="28"/>
      <c r="L187" s="28"/>
      <c r="M187" s="28"/>
      <c r="N187" s="28"/>
      <c r="O187" s="28"/>
      <c r="P187" s="28"/>
      <c r="Q187" s="28"/>
      <c r="R187" s="28"/>
      <c r="S187" s="28"/>
      <c r="T187" s="28"/>
      <c r="U187" s="28"/>
      <c r="V187" s="28"/>
      <c r="W187" s="28"/>
      <c r="X187" s="28"/>
      <c r="Y187" s="28"/>
      <c r="Z187" s="28"/>
      <c r="AA187" s="28"/>
      <c r="AB187" s="28"/>
    </row>
    <row r="188" spans="1:28" ht="12.75" x14ac:dyDescent="0.2">
      <c r="A188" s="31" t="s">
        <v>1183</v>
      </c>
      <c r="B188" s="32"/>
      <c r="C188" s="16" t="s">
        <v>1184</v>
      </c>
      <c r="D188" s="16" t="s">
        <v>394</v>
      </c>
      <c r="E188" s="6"/>
      <c r="F188" s="6"/>
      <c r="G188" s="6"/>
      <c r="H188" s="28"/>
      <c r="I188" s="28"/>
      <c r="J188" s="28"/>
      <c r="K188" s="28"/>
      <c r="L188" s="28"/>
      <c r="M188" s="28"/>
      <c r="N188" s="28"/>
      <c r="O188" s="28"/>
      <c r="P188" s="28"/>
      <c r="Q188" s="28"/>
      <c r="R188" s="28"/>
      <c r="S188" s="28"/>
      <c r="T188" s="28"/>
      <c r="U188" s="28"/>
      <c r="V188" s="28"/>
      <c r="W188" s="28"/>
      <c r="X188" s="28"/>
      <c r="Y188" s="28"/>
      <c r="Z188" s="28"/>
      <c r="AA188" s="28"/>
      <c r="AB188" s="28"/>
    </row>
    <row r="189" spans="1:28" ht="12.75" x14ac:dyDescent="0.2">
      <c r="A189" s="31" t="s">
        <v>1189</v>
      </c>
      <c r="B189" s="32"/>
      <c r="C189" s="16" t="s">
        <v>1190</v>
      </c>
      <c r="D189" s="16" t="s">
        <v>394</v>
      </c>
      <c r="E189" s="6"/>
      <c r="F189" s="6"/>
      <c r="G189" s="6"/>
      <c r="H189" s="28"/>
      <c r="I189" s="28"/>
      <c r="J189" s="28"/>
      <c r="K189" s="28"/>
      <c r="L189" s="28"/>
      <c r="M189" s="28"/>
      <c r="N189" s="28"/>
      <c r="O189" s="28"/>
      <c r="P189" s="28"/>
      <c r="Q189" s="28"/>
      <c r="R189" s="28"/>
      <c r="S189" s="28"/>
      <c r="T189" s="28"/>
      <c r="U189" s="28"/>
      <c r="V189" s="28"/>
      <c r="W189" s="28"/>
      <c r="X189" s="28"/>
      <c r="Y189" s="28"/>
      <c r="Z189" s="28"/>
      <c r="AA189" s="28"/>
      <c r="AB189" s="28"/>
    </row>
    <row r="190" spans="1:28" ht="25.5" x14ac:dyDescent="0.2">
      <c r="A190" s="31" t="s">
        <v>1191</v>
      </c>
      <c r="B190" s="32" t="s">
        <v>1192</v>
      </c>
      <c r="C190" s="16"/>
      <c r="D190" s="16" t="s">
        <v>121</v>
      </c>
      <c r="E190" s="6"/>
      <c r="F190" s="6"/>
      <c r="G190" s="6"/>
      <c r="H190" s="28"/>
      <c r="I190" s="28"/>
      <c r="J190" s="28"/>
      <c r="K190" s="28"/>
      <c r="L190" s="28"/>
      <c r="M190" s="28"/>
      <c r="N190" s="28"/>
      <c r="O190" s="28"/>
      <c r="P190" s="28"/>
      <c r="Q190" s="28"/>
      <c r="R190" s="28"/>
      <c r="S190" s="28"/>
      <c r="T190" s="28"/>
      <c r="U190" s="28"/>
      <c r="V190" s="28"/>
      <c r="W190" s="28"/>
      <c r="X190" s="28"/>
      <c r="Y190" s="28"/>
      <c r="Z190" s="28"/>
      <c r="AA190" s="28"/>
      <c r="AB190" s="28"/>
    </row>
    <row r="191" spans="1:28" ht="12.75" x14ac:dyDescent="0.2">
      <c r="A191" s="31" t="s">
        <v>1197</v>
      </c>
      <c r="B191" s="32" t="s">
        <v>1198</v>
      </c>
      <c r="C191" s="16"/>
      <c r="D191" s="16" t="s">
        <v>53</v>
      </c>
      <c r="E191" s="6"/>
      <c r="F191" s="6"/>
      <c r="G191" s="6"/>
      <c r="H191" s="28"/>
      <c r="I191" s="28"/>
      <c r="J191" s="28"/>
      <c r="K191" s="28"/>
      <c r="L191" s="28"/>
      <c r="M191" s="28"/>
      <c r="N191" s="28"/>
      <c r="O191" s="28"/>
      <c r="P191" s="28"/>
      <c r="Q191" s="28"/>
      <c r="R191" s="28"/>
      <c r="S191" s="28"/>
      <c r="T191" s="28"/>
      <c r="U191" s="28"/>
      <c r="V191" s="28"/>
      <c r="W191" s="28"/>
      <c r="X191" s="28"/>
      <c r="Y191" s="28"/>
      <c r="Z191" s="28"/>
      <c r="AA191" s="28"/>
      <c r="AB191" s="28"/>
    </row>
    <row r="192" spans="1:28" ht="12.75" x14ac:dyDescent="0.2">
      <c r="A192" s="31" t="s">
        <v>1199</v>
      </c>
      <c r="B192" s="32" t="s">
        <v>1200</v>
      </c>
      <c r="C192" s="16"/>
      <c r="D192" s="16" t="s">
        <v>53</v>
      </c>
      <c r="E192" s="6"/>
      <c r="F192" s="6"/>
      <c r="G192" s="6"/>
      <c r="H192" s="28"/>
      <c r="I192" s="28"/>
      <c r="J192" s="28"/>
      <c r="K192" s="28"/>
      <c r="L192" s="28"/>
      <c r="M192" s="28"/>
      <c r="N192" s="28"/>
      <c r="O192" s="28"/>
      <c r="P192" s="28"/>
      <c r="Q192" s="28"/>
      <c r="R192" s="28"/>
      <c r="S192" s="28"/>
      <c r="T192" s="28"/>
      <c r="U192" s="28"/>
      <c r="V192" s="28"/>
      <c r="W192" s="28"/>
      <c r="X192" s="28"/>
      <c r="Y192" s="28"/>
      <c r="Z192" s="28"/>
      <c r="AA192" s="28"/>
      <c r="AB192" s="28"/>
    </row>
    <row r="193" spans="1:28" ht="12.75" x14ac:dyDescent="0.2">
      <c r="A193" s="31" t="s">
        <v>1204</v>
      </c>
      <c r="B193" s="32" t="s">
        <v>1205</v>
      </c>
      <c r="C193" s="16"/>
      <c r="D193" s="16" t="s">
        <v>53</v>
      </c>
      <c r="E193" s="6"/>
      <c r="F193" s="6"/>
      <c r="G193" s="6"/>
      <c r="H193" s="28"/>
      <c r="I193" s="28"/>
      <c r="J193" s="28"/>
      <c r="K193" s="28"/>
      <c r="L193" s="28"/>
      <c r="M193" s="28"/>
      <c r="N193" s="28"/>
      <c r="O193" s="28"/>
      <c r="P193" s="28"/>
      <c r="Q193" s="28"/>
      <c r="R193" s="28"/>
      <c r="S193" s="28"/>
      <c r="T193" s="28"/>
      <c r="U193" s="28"/>
      <c r="V193" s="28"/>
      <c r="W193" s="28"/>
      <c r="X193" s="28"/>
      <c r="Y193" s="28"/>
      <c r="Z193" s="28"/>
      <c r="AA193" s="28"/>
      <c r="AB193" s="28"/>
    </row>
    <row r="194" spans="1:28" ht="12.75" x14ac:dyDescent="0.2">
      <c r="A194" s="31" t="s">
        <v>1210</v>
      </c>
      <c r="B194" s="32" t="s">
        <v>1211</v>
      </c>
      <c r="C194" s="16"/>
      <c r="D194" s="16" t="s">
        <v>53</v>
      </c>
      <c r="E194" s="6"/>
      <c r="F194" s="6" t="s">
        <v>284</v>
      </c>
      <c r="G194" s="6" t="s">
        <v>55</v>
      </c>
      <c r="H194" s="28"/>
      <c r="I194" s="28"/>
      <c r="J194" s="28"/>
      <c r="K194" s="28"/>
      <c r="L194" s="28"/>
      <c r="M194" s="28"/>
      <c r="N194" s="28"/>
      <c r="O194" s="28"/>
      <c r="P194" s="28"/>
      <c r="Q194" s="28"/>
      <c r="R194" s="28"/>
      <c r="S194" s="28"/>
      <c r="T194" s="28"/>
      <c r="U194" s="28"/>
      <c r="V194" s="28"/>
      <c r="W194" s="28"/>
      <c r="X194" s="28"/>
      <c r="Y194" s="28"/>
      <c r="Z194" s="28"/>
      <c r="AA194" s="28"/>
      <c r="AB194" s="28"/>
    </row>
    <row r="195" spans="1:28" ht="12.75" x14ac:dyDescent="0.2">
      <c r="A195" s="31" t="s">
        <v>1212</v>
      </c>
      <c r="B195" s="32" t="s">
        <v>1213</v>
      </c>
      <c r="C195" s="16"/>
      <c r="D195" s="16" t="s">
        <v>53</v>
      </c>
      <c r="E195" s="6"/>
      <c r="F195" s="6"/>
      <c r="G195" s="6"/>
      <c r="H195" s="28"/>
      <c r="I195" s="28"/>
      <c r="J195" s="28"/>
      <c r="K195" s="28"/>
      <c r="L195" s="28"/>
      <c r="M195" s="28"/>
      <c r="N195" s="28"/>
      <c r="O195" s="28"/>
      <c r="P195" s="28"/>
      <c r="Q195" s="28"/>
      <c r="R195" s="28"/>
      <c r="S195" s="28"/>
      <c r="T195" s="28"/>
      <c r="U195" s="28"/>
      <c r="V195" s="28"/>
      <c r="W195" s="28"/>
      <c r="X195" s="28"/>
      <c r="Y195" s="28"/>
      <c r="Z195" s="28"/>
      <c r="AA195" s="28"/>
      <c r="AB195" s="28"/>
    </row>
    <row r="196" spans="1:28" ht="12.75" x14ac:dyDescent="0.2">
      <c r="A196" s="31" t="s">
        <v>1220</v>
      </c>
      <c r="B196" s="32" t="s">
        <v>1221</v>
      </c>
      <c r="C196" s="16"/>
      <c r="D196" s="16" t="s">
        <v>53</v>
      </c>
      <c r="E196" s="6"/>
      <c r="F196" s="6"/>
      <c r="G196" s="6"/>
      <c r="H196" s="28"/>
      <c r="I196" s="28"/>
      <c r="J196" s="28"/>
      <c r="K196" s="28"/>
      <c r="L196" s="28"/>
      <c r="M196" s="28"/>
      <c r="N196" s="28"/>
      <c r="O196" s="28"/>
      <c r="P196" s="28"/>
      <c r="Q196" s="28"/>
      <c r="R196" s="28"/>
      <c r="S196" s="28"/>
      <c r="T196" s="28"/>
      <c r="U196" s="28"/>
      <c r="V196" s="28"/>
      <c r="W196" s="28"/>
      <c r="X196" s="28"/>
      <c r="Y196" s="28"/>
      <c r="Z196" s="28"/>
      <c r="AA196" s="28"/>
      <c r="AB196" s="28"/>
    </row>
    <row r="197" spans="1:28" ht="12.75" x14ac:dyDescent="0.2">
      <c r="A197" s="31" t="s">
        <v>1225</v>
      </c>
      <c r="B197" s="32" t="s">
        <v>1227</v>
      </c>
      <c r="C197" s="16"/>
      <c r="D197" s="16" t="s">
        <v>53</v>
      </c>
      <c r="E197" s="6"/>
      <c r="F197" s="6"/>
      <c r="G197" s="6"/>
      <c r="H197" s="28"/>
      <c r="I197" s="28"/>
      <c r="J197" s="28"/>
      <c r="K197" s="28"/>
      <c r="L197" s="28"/>
      <c r="M197" s="28"/>
      <c r="N197" s="28"/>
      <c r="O197" s="28"/>
      <c r="P197" s="28"/>
      <c r="Q197" s="28"/>
      <c r="R197" s="28"/>
      <c r="S197" s="28"/>
      <c r="T197" s="28"/>
      <c r="U197" s="28"/>
      <c r="V197" s="28"/>
      <c r="W197" s="28"/>
      <c r="X197" s="28"/>
      <c r="Y197" s="28"/>
      <c r="Z197" s="28"/>
      <c r="AA197" s="28"/>
      <c r="AB197" s="28"/>
    </row>
    <row r="198" spans="1:28" ht="12.75" x14ac:dyDescent="0.2">
      <c r="A198" s="31" t="s">
        <v>1233</v>
      </c>
      <c r="B198" s="32" t="s">
        <v>1234</v>
      </c>
      <c r="C198" s="16" t="s">
        <v>1235</v>
      </c>
      <c r="D198" s="16" t="s">
        <v>394</v>
      </c>
      <c r="E198" s="6"/>
      <c r="F198" s="6"/>
      <c r="G198" s="6"/>
      <c r="H198" s="28"/>
      <c r="I198" s="28"/>
      <c r="J198" s="28"/>
      <c r="K198" s="28"/>
      <c r="L198" s="28"/>
      <c r="M198" s="28"/>
      <c r="N198" s="28"/>
      <c r="O198" s="28"/>
      <c r="P198" s="28"/>
      <c r="Q198" s="28"/>
      <c r="R198" s="28"/>
      <c r="S198" s="28"/>
      <c r="T198" s="28"/>
      <c r="U198" s="28"/>
      <c r="V198" s="28"/>
      <c r="W198" s="28"/>
      <c r="X198" s="28"/>
      <c r="Y198" s="28"/>
      <c r="Z198" s="28"/>
      <c r="AA198" s="28"/>
      <c r="AB198" s="28"/>
    </row>
    <row r="199" spans="1:28" ht="12.75" x14ac:dyDescent="0.2">
      <c r="A199" s="31" t="s">
        <v>1242</v>
      </c>
      <c r="B199" s="32" t="s">
        <v>1243</v>
      </c>
      <c r="C199" s="16" t="s">
        <v>1244</v>
      </c>
      <c r="D199" s="16" t="s">
        <v>394</v>
      </c>
      <c r="E199" s="6"/>
      <c r="F199" s="6"/>
      <c r="G199" s="6"/>
      <c r="H199" s="28"/>
      <c r="I199" s="28"/>
      <c r="J199" s="28"/>
      <c r="K199" s="28"/>
      <c r="L199" s="28"/>
      <c r="M199" s="28"/>
      <c r="N199" s="28"/>
      <c r="O199" s="28"/>
      <c r="P199" s="28"/>
      <c r="Q199" s="28"/>
      <c r="R199" s="28"/>
      <c r="S199" s="28"/>
      <c r="T199" s="28"/>
      <c r="U199" s="28"/>
      <c r="V199" s="28"/>
      <c r="W199" s="28"/>
      <c r="X199" s="28"/>
      <c r="Y199" s="28"/>
      <c r="Z199" s="28"/>
      <c r="AA199" s="28"/>
      <c r="AB199" s="28"/>
    </row>
    <row r="200" spans="1:28" ht="12.75" x14ac:dyDescent="0.2">
      <c r="A200" s="31" t="s">
        <v>1246</v>
      </c>
      <c r="B200" s="32" t="s">
        <v>1248</v>
      </c>
      <c r="C200" s="16" t="s">
        <v>1250</v>
      </c>
      <c r="D200" s="16" t="s">
        <v>394</v>
      </c>
      <c r="E200" s="6"/>
      <c r="F200" s="6"/>
      <c r="G200" s="6"/>
      <c r="H200" s="28"/>
      <c r="I200" s="28"/>
      <c r="J200" s="28"/>
      <c r="K200" s="28"/>
      <c r="L200" s="28"/>
      <c r="M200" s="28"/>
      <c r="N200" s="28"/>
      <c r="O200" s="28"/>
      <c r="P200" s="28"/>
      <c r="Q200" s="28"/>
      <c r="R200" s="28"/>
      <c r="S200" s="28"/>
      <c r="T200" s="28"/>
      <c r="U200" s="28"/>
      <c r="V200" s="28"/>
      <c r="W200" s="28"/>
      <c r="X200" s="28"/>
      <c r="Y200" s="28"/>
      <c r="Z200" s="28"/>
      <c r="AA200" s="28"/>
      <c r="AB200" s="28"/>
    </row>
    <row r="201" spans="1:28" ht="12.75" x14ac:dyDescent="0.2">
      <c r="A201" s="31" t="s">
        <v>1252</v>
      </c>
      <c r="B201" s="32"/>
      <c r="C201" s="16" t="s">
        <v>1253</v>
      </c>
      <c r="D201" s="16" t="s">
        <v>394</v>
      </c>
      <c r="E201" s="6"/>
      <c r="F201" s="6"/>
      <c r="G201" s="6"/>
      <c r="H201" s="28"/>
      <c r="I201" s="28"/>
      <c r="J201" s="28"/>
      <c r="K201" s="28"/>
      <c r="L201" s="28"/>
      <c r="M201" s="28"/>
      <c r="N201" s="28"/>
      <c r="O201" s="28"/>
      <c r="P201" s="28"/>
      <c r="Q201" s="28"/>
      <c r="R201" s="28"/>
      <c r="S201" s="28"/>
      <c r="T201" s="28"/>
      <c r="U201" s="28"/>
      <c r="V201" s="28"/>
      <c r="W201" s="28"/>
      <c r="X201" s="28"/>
      <c r="Y201" s="28"/>
      <c r="Z201" s="28"/>
      <c r="AA201" s="28"/>
      <c r="AB201" s="28"/>
    </row>
    <row r="202" spans="1:28" ht="12.75" x14ac:dyDescent="0.2">
      <c r="A202" s="31" t="s">
        <v>1260</v>
      </c>
      <c r="B202" s="32"/>
      <c r="C202" s="16" t="s">
        <v>1261</v>
      </c>
      <c r="D202" s="16" t="s">
        <v>394</v>
      </c>
      <c r="E202" s="6"/>
      <c r="F202" s="6"/>
      <c r="G202" s="6"/>
      <c r="H202" s="28"/>
      <c r="I202" s="28"/>
      <c r="J202" s="28"/>
      <c r="K202" s="28"/>
      <c r="L202" s="28"/>
      <c r="M202" s="28"/>
      <c r="N202" s="28"/>
      <c r="O202" s="28"/>
      <c r="P202" s="28"/>
      <c r="Q202" s="28"/>
      <c r="R202" s="28"/>
      <c r="S202" s="28"/>
      <c r="T202" s="28"/>
      <c r="U202" s="28"/>
      <c r="V202" s="28"/>
      <c r="W202" s="28"/>
      <c r="X202" s="28"/>
      <c r="Y202" s="28"/>
      <c r="Z202" s="28"/>
      <c r="AA202" s="28"/>
      <c r="AB202" s="28"/>
    </row>
    <row r="203" spans="1:28" ht="12.75" x14ac:dyDescent="0.2">
      <c r="A203" s="31" t="s">
        <v>1267</v>
      </c>
      <c r="B203" s="32"/>
      <c r="C203" s="16" t="s">
        <v>1268</v>
      </c>
      <c r="D203" s="16" t="s">
        <v>394</v>
      </c>
      <c r="E203" s="6"/>
      <c r="F203" s="6"/>
      <c r="G203" s="6"/>
      <c r="H203" s="28"/>
      <c r="I203" s="28"/>
      <c r="J203" s="28"/>
      <c r="K203" s="28"/>
      <c r="L203" s="28"/>
      <c r="M203" s="28"/>
      <c r="N203" s="28"/>
      <c r="O203" s="28"/>
      <c r="P203" s="28"/>
      <c r="Q203" s="28"/>
      <c r="R203" s="28"/>
      <c r="S203" s="28"/>
      <c r="T203" s="28"/>
      <c r="U203" s="28"/>
      <c r="V203" s="28"/>
      <c r="W203" s="28"/>
      <c r="X203" s="28"/>
      <c r="Y203" s="28"/>
      <c r="Z203" s="28"/>
      <c r="AA203" s="28"/>
      <c r="AB203" s="28"/>
    </row>
    <row r="204" spans="1:28" ht="12.75" x14ac:dyDescent="0.2">
      <c r="A204" s="31" t="s">
        <v>1273</v>
      </c>
      <c r="B204" s="32"/>
      <c r="C204" s="16" t="s">
        <v>1276</v>
      </c>
      <c r="D204" s="16" t="s">
        <v>394</v>
      </c>
      <c r="E204" s="6"/>
      <c r="F204" s="6"/>
      <c r="G204" s="6"/>
      <c r="H204" s="28"/>
      <c r="I204" s="28"/>
      <c r="J204" s="28"/>
      <c r="K204" s="28"/>
      <c r="L204" s="28"/>
      <c r="M204" s="28"/>
      <c r="N204" s="28"/>
      <c r="O204" s="28"/>
      <c r="P204" s="28"/>
      <c r="Q204" s="28"/>
      <c r="R204" s="28"/>
      <c r="S204" s="28"/>
      <c r="T204" s="28"/>
      <c r="U204" s="28"/>
      <c r="V204" s="28"/>
      <c r="W204" s="28"/>
      <c r="X204" s="28"/>
      <c r="Y204" s="28"/>
      <c r="Z204" s="28"/>
      <c r="AA204" s="28"/>
      <c r="AB204" s="28"/>
    </row>
    <row r="205" spans="1:28" ht="12.75" x14ac:dyDescent="0.2">
      <c r="A205" s="31" t="s">
        <v>1277</v>
      </c>
      <c r="B205" s="32"/>
      <c r="C205" s="16" t="s">
        <v>1280</v>
      </c>
      <c r="D205" s="16" t="s">
        <v>394</v>
      </c>
      <c r="E205" s="6"/>
      <c r="F205" s="6"/>
      <c r="G205" s="6"/>
      <c r="H205" s="28"/>
      <c r="I205" s="28"/>
      <c r="J205" s="28"/>
      <c r="K205" s="28"/>
      <c r="L205" s="28"/>
      <c r="M205" s="28"/>
      <c r="N205" s="28"/>
      <c r="O205" s="28"/>
      <c r="P205" s="28"/>
      <c r="Q205" s="28"/>
      <c r="R205" s="28"/>
      <c r="S205" s="28"/>
      <c r="T205" s="28"/>
      <c r="U205" s="28"/>
      <c r="V205" s="28"/>
      <c r="W205" s="28"/>
      <c r="X205" s="28"/>
      <c r="Y205" s="28"/>
      <c r="Z205" s="28"/>
      <c r="AA205" s="28"/>
      <c r="AB205" s="28"/>
    </row>
    <row r="206" spans="1:28" ht="12.75" x14ac:dyDescent="0.2">
      <c r="A206" s="31" t="s">
        <v>1283</v>
      </c>
      <c r="B206" s="32"/>
      <c r="C206" s="16" t="s">
        <v>1284</v>
      </c>
      <c r="D206" s="16" t="s">
        <v>394</v>
      </c>
      <c r="E206" s="6"/>
      <c r="F206" s="6"/>
      <c r="G206" s="6"/>
      <c r="H206" s="28"/>
      <c r="I206" s="28"/>
      <c r="J206" s="28"/>
      <c r="K206" s="28"/>
      <c r="L206" s="28"/>
      <c r="M206" s="28"/>
      <c r="N206" s="28"/>
      <c r="O206" s="28"/>
      <c r="P206" s="28"/>
      <c r="Q206" s="28"/>
      <c r="R206" s="28"/>
      <c r="S206" s="28"/>
      <c r="T206" s="28"/>
      <c r="U206" s="28"/>
      <c r="V206" s="28"/>
      <c r="W206" s="28"/>
      <c r="X206" s="28"/>
      <c r="Y206" s="28"/>
      <c r="Z206" s="28"/>
      <c r="AA206" s="28"/>
      <c r="AB206" s="28"/>
    </row>
    <row r="207" spans="1:28" ht="12.75" x14ac:dyDescent="0.2">
      <c r="A207" s="31" t="s">
        <v>1222</v>
      </c>
      <c r="B207" s="32" t="s">
        <v>1291</v>
      </c>
      <c r="C207" s="16"/>
      <c r="D207" s="16" t="s">
        <v>53</v>
      </c>
      <c r="E207" s="6"/>
      <c r="F207" s="6"/>
      <c r="G207" s="6"/>
      <c r="H207" s="28"/>
      <c r="I207" s="28"/>
      <c r="J207" s="28"/>
      <c r="K207" s="28"/>
      <c r="L207" s="28"/>
      <c r="M207" s="28"/>
      <c r="N207" s="28"/>
      <c r="O207" s="28"/>
      <c r="P207" s="28"/>
      <c r="Q207" s="28"/>
      <c r="R207" s="28"/>
      <c r="S207" s="28"/>
      <c r="T207" s="28"/>
      <c r="U207" s="28"/>
      <c r="V207" s="28"/>
      <c r="W207" s="28"/>
      <c r="X207" s="28"/>
      <c r="Y207" s="28"/>
      <c r="Z207" s="28"/>
      <c r="AA207" s="28"/>
      <c r="AB207" s="28"/>
    </row>
    <row r="208" spans="1:28" ht="12.75" x14ac:dyDescent="0.2">
      <c r="A208" s="31" t="s">
        <v>1293</v>
      </c>
      <c r="B208" s="32" t="s">
        <v>1294</v>
      </c>
      <c r="C208" s="16"/>
      <c r="D208" s="16" t="s">
        <v>53</v>
      </c>
      <c r="E208" s="6"/>
      <c r="F208" s="6"/>
      <c r="G208" s="6"/>
      <c r="H208" s="28"/>
      <c r="I208" s="28"/>
      <c r="J208" s="28"/>
      <c r="K208" s="28"/>
      <c r="L208" s="28"/>
      <c r="M208" s="28"/>
      <c r="N208" s="28"/>
      <c r="O208" s="28"/>
      <c r="P208" s="28"/>
      <c r="Q208" s="28"/>
      <c r="R208" s="28"/>
      <c r="S208" s="28"/>
      <c r="T208" s="28"/>
      <c r="U208" s="28"/>
      <c r="V208" s="28"/>
      <c r="W208" s="28"/>
      <c r="X208" s="28"/>
      <c r="Y208" s="28"/>
      <c r="Z208" s="28"/>
      <c r="AA208" s="28"/>
      <c r="AB208" s="28"/>
    </row>
    <row r="209" spans="1:28" ht="12.75" x14ac:dyDescent="0.2">
      <c r="A209" s="31" t="s">
        <v>1298</v>
      </c>
      <c r="B209" s="32" t="s">
        <v>1299</v>
      </c>
      <c r="C209" s="16"/>
      <c r="D209" s="16" t="s">
        <v>53</v>
      </c>
      <c r="E209" s="6"/>
      <c r="F209" s="6"/>
      <c r="G209" s="6"/>
      <c r="H209" s="28"/>
      <c r="I209" s="28"/>
      <c r="J209" s="28"/>
      <c r="K209" s="28"/>
      <c r="L209" s="28"/>
      <c r="M209" s="28"/>
      <c r="N209" s="28"/>
      <c r="O209" s="28"/>
      <c r="P209" s="28"/>
      <c r="Q209" s="28"/>
      <c r="R209" s="28"/>
      <c r="S209" s="28"/>
      <c r="T209" s="28"/>
      <c r="U209" s="28"/>
      <c r="V209" s="28"/>
      <c r="W209" s="28"/>
      <c r="X209" s="28"/>
      <c r="Y209" s="28"/>
      <c r="Z209" s="28"/>
      <c r="AA209" s="28"/>
      <c r="AB209" s="28"/>
    </row>
    <row r="210" spans="1:28" ht="204" x14ac:dyDescent="0.2">
      <c r="A210" s="31" t="s">
        <v>1306</v>
      </c>
      <c r="B210" s="32" t="s">
        <v>1307</v>
      </c>
      <c r="C210" s="16"/>
      <c r="D210" s="16" t="s">
        <v>1308</v>
      </c>
      <c r="E210" s="6"/>
      <c r="F210" s="6" t="s">
        <v>284</v>
      </c>
      <c r="G210" s="6" t="s">
        <v>55</v>
      </c>
      <c r="H210" s="6" t="s">
        <v>1309</v>
      </c>
      <c r="I210" s="28"/>
      <c r="J210" s="28"/>
      <c r="K210" s="28"/>
      <c r="L210" s="28"/>
      <c r="M210" s="28"/>
      <c r="N210" s="28"/>
      <c r="O210" s="28"/>
      <c r="P210" s="28"/>
      <c r="Q210" s="28"/>
      <c r="R210" s="28"/>
      <c r="S210" s="28"/>
      <c r="T210" s="28"/>
      <c r="U210" s="28"/>
      <c r="V210" s="28"/>
      <c r="W210" s="28"/>
      <c r="X210" s="28"/>
      <c r="Y210" s="28"/>
      <c r="Z210" s="28"/>
      <c r="AA210" s="28"/>
      <c r="AB210" s="28"/>
    </row>
    <row r="211" spans="1:28" ht="12.75" x14ac:dyDescent="0.2">
      <c r="A211" s="31" t="s">
        <v>1314</v>
      </c>
      <c r="B211" s="32" t="s">
        <v>1316</v>
      </c>
      <c r="C211" s="16"/>
      <c r="D211" s="16" t="s">
        <v>53</v>
      </c>
      <c r="E211" s="6"/>
      <c r="F211" s="6"/>
      <c r="G211" s="6"/>
      <c r="H211" s="28" t="s">
        <v>1318</v>
      </c>
      <c r="I211" s="28"/>
      <c r="J211" s="28"/>
      <c r="K211" s="28"/>
      <c r="L211" s="28"/>
      <c r="M211" s="28"/>
      <c r="N211" s="28"/>
      <c r="O211" s="28"/>
      <c r="P211" s="28"/>
      <c r="Q211" s="28"/>
      <c r="R211" s="28"/>
      <c r="S211" s="28"/>
      <c r="T211" s="28"/>
      <c r="U211" s="28"/>
      <c r="V211" s="28"/>
      <c r="W211" s="28"/>
      <c r="X211" s="28"/>
      <c r="Y211" s="28"/>
      <c r="Z211" s="28"/>
      <c r="AA211" s="28"/>
      <c r="AB211" s="28"/>
    </row>
    <row r="212" spans="1:28" ht="12.75" x14ac:dyDescent="0.2">
      <c r="A212" s="31" t="s">
        <v>1322</v>
      </c>
      <c r="B212" s="32" t="s">
        <v>62</v>
      </c>
      <c r="C212" s="16"/>
      <c r="D212" s="16" t="s">
        <v>53</v>
      </c>
      <c r="E212" s="6"/>
      <c r="F212" s="6"/>
      <c r="G212" s="6"/>
      <c r="H212" s="28"/>
      <c r="I212" s="28"/>
      <c r="J212" s="28"/>
      <c r="K212" s="28"/>
      <c r="L212" s="28"/>
      <c r="M212" s="28"/>
      <c r="N212" s="28"/>
      <c r="O212" s="28"/>
      <c r="P212" s="28"/>
      <c r="Q212" s="28"/>
      <c r="R212" s="28"/>
      <c r="S212" s="28"/>
      <c r="T212" s="28"/>
      <c r="U212" s="28"/>
      <c r="V212" s="28"/>
      <c r="W212" s="28"/>
      <c r="X212" s="28"/>
      <c r="Y212" s="28"/>
      <c r="Z212" s="28"/>
      <c r="AA212" s="28"/>
      <c r="AB212" s="28"/>
    </row>
    <row r="213" spans="1:28" ht="12.75" x14ac:dyDescent="0.2">
      <c r="A213" s="31" t="s">
        <v>1323</v>
      </c>
      <c r="B213" s="32" t="s">
        <v>1324</v>
      </c>
      <c r="C213" s="16"/>
      <c r="D213" s="16" t="s">
        <v>53</v>
      </c>
      <c r="E213" s="6"/>
      <c r="F213" s="6"/>
      <c r="G213" s="6"/>
      <c r="H213" s="28"/>
      <c r="I213" s="28"/>
      <c r="J213" s="28"/>
      <c r="K213" s="28"/>
      <c r="L213" s="28"/>
      <c r="M213" s="28"/>
      <c r="N213" s="28"/>
      <c r="O213" s="28"/>
      <c r="P213" s="28"/>
      <c r="Q213" s="28"/>
      <c r="R213" s="28"/>
      <c r="S213" s="28"/>
      <c r="T213" s="28"/>
      <c r="U213" s="28"/>
      <c r="V213" s="28"/>
      <c r="W213" s="28"/>
      <c r="X213" s="28"/>
      <c r="Y213" s="28"/>
      <c r="Z213" s="28"/>
      <c r="AA213" s="28"/>
      <c r="AB213" s="28"/>
    </row>
    <row r="214" spans="1:28" ht="12.75" x14ac:dyDescent="0.2">
      <c r="A214" s="31" t="s">
        <v>1331</v>
      </c>
      <c r="B214" s="32" t="s">
        <v>1332</v>
      </c>
      <c r="C214" s="16"/>
      <c r="D214" s="16" t="s">
        <v>53</v>
      </c>
      <c r="E214" s="6"/>
      <c r="F214" s="6"/>
      <c r="G214" s="6"/>
      <c r="H214" s="28"/>
      <c r="I214" s="28"/>
      <c r="J214" s="28"/>
      <c r="K214" s="28"/>
      <c r="L214" s="28"/>
      <c r="M214" s="28"/>
      <c r="N214" s="28"/>
      <c r="O214" s="28"/>
      <c r="P214" s="28"/>
      <c r="Q214" s="28"/>
      <c r="R214" s="28"/>
      <c r="S214" s="28"/>
      <c r="T214" s="28"/>
      <c r="U214" s="28"/>
      <c r="V214" s="28"/>
      <c r="W214" s="28"/>
      <c r="X214" s="28"/>
      <c r="Y214" s="28"/>
      <c r="Z214" s="28"/>
      <c r="AA214" s="28"/>
      <c r="AB214" s="28"/>
    </row>
    <row r="215" spans="1:28" ht="12.75" x14ac:dyDescent="0.2">
      <c r="A215" s="31" t="s">
        <v>1336</v>
      </c>
      <c r="B215" s="32" t="s">
        <v>1337</v>
      </c>
      <c r="C215" s="16"/>
      <c r="D215" s="16" t="s">
        <v>53</v>
      </c>
      <c r="E215" s="6"/>
      <c r="F215" s="6"/>
      <c r="G215" s="6"/>
      <c r="H215" s="28"/>
      <c r="I215" s="28"/>
      <c r="J215" s="28"/>
      <c r="K215" s="28"/>
      <c r="L215" s="28"/>
      <c r="M215" s="28"/>
      <c r="N215" s="28"/>
      <c r="O215" s="28"/>
      <c r="P215" s="28"/>
      <c r="Q215" s="28"/>
      <c r="R215" s="28"/>
      <c r="S215" s="28"/>
      <c r="T215" s="28"/>
      <c r="U215" s="28"/>
      <c r="V215" s="28"/>
      <c r="W215" s="28"/>
      <c r="X215" s="28"/>
      <c r="Y215" s="28"/>
      <c r="Z215" s="28"/>
      <c r="AA215" s="28"/>
      <c r="AB215" s="28"/>
    </row>
    <row r="216" spans="1:28" ht="12.75" x14ac:dyDescent="0.2">
      <c r="A216" s="31" t="s">
        <v>1341</v>
      </c>
      <c r="B216" s="32" t="s">
        <v>1342</v>
      </c>
      <c r="C216" s="16"/>
      <c r="D216" s="16" t="s">
        <v>53</v>
      </c>
      <c r="E216" s="6"/>
      <c r="F216" s="6"/>
      <c r="G216" s="6"/>
      <c r="H216" s="28"/>
      <c r="I216" s="28"/>
      <c r="J216" s="28"/>
      <c r="K216" s="28"/>
      <c r="L216" s="28"/>
      <c r="M216" s="28"/>
      <c r="N216" s="28"/>
      <c r="O216" s="28"/>
      <c r="P216" s="28"/>
      <c r="Q216" s="28"/>
      <c r="R216" s="28"/>
      <c r="S216" s="28"/>
      <c r="T216" s="28"/>
      <c r="U216" s="28"/>
      <c r="V216" s="28"/>
      <c r="W216" s="28"/>
      <c r="X216" s="28"/>
      <c r="Y216" s="28"/>
      <c r="Z216" s="28"/>
      <c r="AA216" s="28"/>
      <c r="AB216" s="28"/>
    </row>
    <row r="217" spans="1:28" ht="12.75" x14ac:dyDescent="0.2">
      <c r="A217" s="31" t="s">
        <v>1343</v>
      </c>
      <c r="B217" s="32" t="s">
        <v>1345</v>
      </c>
      <c r="C217" s="16"/>
      <c r="D217" s="16" t="s">
        <v>53</v>
      </c>
      <c r="E217" s="6"/>
      <c r="F217" s="6"/>
      <c r="G217" s="6"/>
      <c r="H217" s="28"/>
      <c r="I217" s="28"/>
      <c r="J217" s="28"/>
      <c r="K217" s="28"/>
      <c r="L217" s="28"/>
      <c r="M217" s="28"/>
      <c r="N217" s="28"/>
      <c r="O217" s="28"/>
      <c r="P217" s="28"/>
      <c r="Q217" s="28"/>
      <c r="R217" s="28"/>
      <c r="S217" s="28"/>
      <c r="T217" s="28"/>
      <c r="U217" s="28"/>
      <c r="V217" s="28"/>
      <c r="W217" s="28"/>
      <c r="X217" s="28"/>
      <c r="Y217" s="28"/>
      <c r="Z217" s="28"/>
      <c r="AA217" s="28"/>
      <c r="AB217" s="28"/>
    </row>
    <row r="218" spans="1:28" ht="12.75" x14ac:dyDescent="0.2">
      <c r="A218" s="31" t="s">
        <v>1351</v>
      </c>
      <c r="B218" s="32" t="s">
        <v>1352</v>
      </c>
      <c r="C218" s="16"/>
      <c r="D218" s="16" t="s">
        <v>53</v>
      </c>
      <c r="E218" s="6"/>
      <c r="F218" s="6"/>
      <c r="G218" s="6"/>
      <c r="H218" s="28"/>
      <c r="I218" s="28"/>
      <c r="J218" s="28"/>
      <c r="K218" s="28"/>
      <c r="L218" s="28"/>
      <c r="M218" s="28"/>
      <c r="N218" s="28"/>
      <c r="O218" s="28"/>
      <c r="P218" s="28"/>
      <c r="Q218" s="28"/>
      <c r="R218" s="28"/>
      <c r="S218" s="28"/>
      <c r="T218" s="28"/>
      <c r="U218" s="28"/>
      <c r="V218" s="28"/>
      <c r="W218" s="28"/>
      <c r="X218" s="28"/>
      <c r="Y218" s="28"/>
      <c r="Z218" s="28"/>
      <c r="AA218" s="28"/>
      <c r="AB218" s="28"/>
    </row>
    <row r="219" spans="1:28" ht="12.75" x14ac:dyDescent="0.2">
      <c r="A219" s="31" t="s">
        <v>1357</v>
      </c>
      <c r="B219" s="32" t="s">
        <v>1358</v>
      </c>
      <c r="C219" s="16"/>
      <c r="D219" s="16" t="s">
        <v>53</v>
      </c>
      <c r="E219" s="6"/>
      <c r="F219" s="6"/>
      <c r="G219" s="6"/>
      <c r="H219" s="28"/>
      <c r="I219" s="28"/>
      <c r="J219" s="28"/>
      <c r="K219" s="28"/>
      <c r="L219" s="28"/>
      <c r="M219" s="28"/>
      <c r="N219" s="28"/>
      <c r="O219" s="28"/>
      <c r="P219" s="28"/>
      <c r="Q219" s="28"/>
      <c r="R219" s="28"/>
      <c r="S219" s="28"/>
      <c r="T219" s="28"/>
      <c r="U219" s="28"/>
      <c r="V219" s="28"/>
      <c r="W219" s="28"/>
      <c r="X219" s="28"/>
      <c r="Y219" s="28"/>
      <c r="Z219" s="28"/>
      <c r="AA219" s="28"/>
      <c r="AB219" s="28"/>
    </row>
    <row r="220" spans="1:28" ht="12.75" x14ac:dyDescent="0.2">
      <c r="A220" s="31" t="s">
        <v>1362</v>
      </c>
      <c r="B220" s="32" t="s">
        <v>1363</v>
      </c>
      <c r="C220" s="16"/>
      <c r="D220" s="16" t="s">
        <v>53</v>
      </c>
      <c r="E220" s="6"/>
      <c r="F220" s="6"/>
      <c r="G220" s="6"/>
      <c r="H220" s="28"/>
      <c r="I220" s="28"/>
      <c r="J220" s="28"/>
      <c r="K220" s="28"/>
      <c r="L220" s="28"/>
      <c r="M220" s="28"/>
      <c r="N220" s="28"/>
      <c r="O220" s="28"/>
      <c r="P220" s="28"/>
      <c r="Q220" s="28"/>
      <c r="R220" s="28"/>
      <c r="S220" s="28"/>
      <c r="T220" s="28"/>
      <c r="U220" s="28"/>
      <c r="V220" s="28"/>
      <c r="W220" s="28"/>
      <c r="X220" s="28"/>
      <c r="Y220" s="28"/>
      <c r="Z220" s="28"/>
      <c r="AA220" s="28"/>
      <c r="AB220" s="28"/>
    </row>
    <row r="221" spans="1:28" ht="12.75" x14ac:dyDescent="0.2">
      <c r="A221" s="31" t="s">
        <v>1364</v>
      </c>
      <c r="B221" s="32" t="s">
        <v>1366</v>
      </c>
      <c r="C221" s="16"/>
      <c r="D221" s="16" t="s">
        <v>53</v>
      </c>
      <c r="E221" s="6"/>
      <c r="F221" s="6"/>
      <c r="G221" s="6"/>
      <c r="H221" s="28"/>
      <c r="I221" s="28"/>
      <c r="J221" s="28"/>
      <c r="K221" s="28"/>
      <c r="L221" s="28"/>
      <c r="M221" s="28"/>
      <c r="N221" s="28"/>
      <c r="O221" s="28"/>
      <c r="P221" s="28"/>
      <c r="Q221" s="28"/>
      <c r="R221" s="28"/>
      <c r="S221" s="28"/>
      <c r="T221" s="28"/>
      <c r="U221" s="28"/>
      <c r="V221" s="28"/>
      <c r="W221" s="28"/>
      <c r="X221" s="28"/>
      <c r="Y221" s="28"/>
      <c r="Z221" s="28"/>
      <c r="AA221" s="28"/>
      <c r="AB221" s="28"/>
    </row>
    <row r="222" spans="1:28" ht="12.75" x14ac:dyDescent="0.2">
      <c r="A222" s="31" t="s">
        <v>1372</v>
      </c>
      <c r="B222" s="32" t="s">
        <v>1373</v>
      </c>
      <c r="C222" s="16"/>
      <c r="D222" s="16" t="s">
        <v>53</v>
      </c>
      <c r="E222" s="6"/>
      <c r="F222" s="6"/>
      <c r="G222" s="6"/>
      <c r="H222" s="28"/>
      <c r="I222" s="28"/>
      <c r="J222" s="28"/>
      <c r="K222" s="28"/>
      <c r="L222" s="28"/>
      <c r="M222" s="28"/>
      <c r="N222" s="28"/>
      <c r="O222" s="28"/>
      <c r="P222" s="28"/>
      <c r="Q222" s="28"/>
      <c r="R222" s="28"/>
      <c r="S222" s="28"/>
      <c r="T222" s="28"/>
      <c r="U222" s="28"/>
      <c r="V222" s="28"/>
      <c r="W222" s="28"/>
      <c r="X222" s="28"/>
      <c r="Y222" s="28"/>
      <c r="Z222" s="28"/>
      <c r="AA222" s="28"/>
      <c r="AB222" s="28"/>
    </row>
    <row r="223" spans="1:28" ht="12.75" x14ac:dyDescent="0.2">
      <c r="A223" s="31" t="s">
        <v>1378</v>
      </c>
      <c r="B223" s="32" t="s">
        <v>652</v>
      </c>
      <c r="C223" s="16"/>
      <c r="D223" s="16" t="s">
        <v>53</v>
      </c>
      <c r="E223" s="6"/>
      <c r="F223" s="6"/>
      <c r="G223" s="6"/>
      <c r="H223" s="28"/>
      <c r="I223" s="28"/>
      <c r="J223" s="28"/>
      <c r="K223" s="28"/>
      <c r="L223" s="28"/>
      <c r="M223" s="28"/>
      <c r="N223" s="28"/>
      <c r="O223" s="28"/>
      <c r="P223" s="28"/>
      <c r="Q223" s="28"/>
      <c r="R223" s="28"/>
      <c r="S223" s="28"/>
      <c r="T223" s="28"/>
      <c r="U223" s="28"/>
      <c r="V223" s="28"/>
      <c r="W223" s="28"/>
      <c r="X223" s="28"/>
      <c r="Y223" s="28"/>
      <c r="Z223" s="28"/>
      <c r="AA223" s="28"/>
      <c r="AB223" s="28"/>
    </row>
    <row r="224" spans="1:28" ht="12.75" x14ac:dyDescent="0.2">
      <c r="A224" s="31" t="s">
        <v>1386</v>
      </c>
      <c r="B224" s="32" t="s">
        <v>1387</v>
      </c>
      <c r="C224" s="16"/>
      <c r="D224" s="16" t="s">
        <v>53</v>
      </c>
      <c r="E224" s="6"/>
      <c r="F224" s="6"/>
      <c r="G224" s="6"/>
      <c r="H224" s="28"/>
      <c r="I224" s="28"/>
      <c r="J224" s="28"/>
      <c r="K224" s="28"/>
      <c r="L224" s="28"/>
      <c r="M224" s="28"/>
      <c r="N224" s="28"/>
      <c r="O224" s="28"/>
      <c r="P224" s="28"/>
      <c r="Q224" s="28"/>
      <c r="R224" s="28"/>
      <c r="S224" s="28"/>
      <c r="T224" s="28"/>
      <c r="U224" s="28"/>
      <c r="V224" s="28"/>
      <c r="W224" s="28"/>
      <c r="X224" s="28"/>
      <c r="Y224" s="28"/>
      <c r="Z224" s="28"/>
      <c r="AA224" s="28"/>
      <c r="AB224" s="28"/>
    </row>
    <row r="225" spans="1:28" ht="12.75" x14ac:dyDescent="0.2">
      <c r="A225" s="31" t="s">
        <v>1388</v>
      </c>
      <c r="B225" s="32" t="s">
        <v>1389</v>
      </c>
      <c r="C225" s="16"/>
      <c r="D225" s="16" t="s">
        <v>53</v>
      </c>
      <c r="E225" s="6"/>
      <c r="F225" s="6"/>
      <c r="G225" s="6"/>
      <c r="H225" s="28"/>
      <c r="I225" s="28"/>
      <c r="J225" s="28"/>
      <c r="K225" s="28"/>
      <c r="L225" s="28"/>
      <c r="M225" s="28"/>
      <c r="N225" s="28"/>
      <c r="O225" s="28"/>
      <c r="P225" s="28"/>
      <c r="Q225" s="28"/>
      <c r="R225" s="28"/>
      <c r="S225" s="28"/>
      <c r="T225" s="28"/>
      <c r="U225" s="28"/>
      <c r="V225" s="28"/>
      <c r="W225" s="28"/>
      <c r="X225" s="28"/>
      <c r="Y225" s="28"/>
      <c r="Z225" s="28"/>
      <c r="AA225" s="28"/>
      <c r="AB225" s="28"/>
    </row>
    <row r="226" spans="1:28" ht="12.75" x14ac:dyDescent="0.2">
      <c r="A226" s="31" t="s">
        <v>1396</v>
      </c>
      <c r="B226" s="32" t="s">
        <v>1398</v>
      </c>
      <c r="C226" s="16"/>
      <c r="D226" s="16" t="s">
        <v>53</v>
      </c>
      <c r="E226" s="6"/>
      <c r="F226" s="6"/>
      <c r="G226" s="6"/>
      <c r="H226" s="28"/>
      <c r="I226" s="28"/>
      <c r="J226" s="28"/>
      <c r="K226" s="28"/>
      <c r="L226" s="28"/>
      <c r="M226" s="28"/>
      <c r="N226" s="28"/>
      <c r="O226" s="28"/>
      <c r="P226" s="28"/>
      <c r="Q226" s="28"/>
      <c r="R226" s="28"/>
      <c r="S226" s="28"/>
      <c r="T226" s="28"/>
      <c r="U226" s="28"/>
      <c r="V226" s="28"/>
      <c r="W226" s="28"/>
      <c r="X226" s="28"/>
      <c r="Y226" s="28"/>
      <c r="Z226" s="28"/>
      <c r="AA226" s="28"/>
      <c r="AB226" s="28"/>
    </row>
    <row r="227" spans="1:28" ht="12.75" x14ac:dyDescent="0.2">
      <c r="A227" s="31" t="s">
        <v>1400</v>
      </c>
      <c r="B227" s="32"/>
      <c r="C227" s="16" t="s">
        <v>1401</v>
      </c>
      <c r="D227" s="16" t="s">
        <v>394</v>
      </c>
      <c r="E227" s="6"/>
      <c r="F227" s="6"/>
      <c r="G227" s="6"/>
      <c r="H227" s="28"/>
      <c r="I227" s="28"/>
      <c r="J227" s="28"/>
      <c r="K227" s="28"/>
      <c r="L227" s="28"/>
      <c r="M227" s="28"/>
      <c r="N227" s="28"/>
      <c r="O227" s="28"/>
      <c r="P227" s="28"/>
      <c r="Q227" s="28"/>
      <c r="R227" s="28"/>
      <c r="S227" s="28"/>
      <c r="T227" s="28"/>
      <c r="U227" s="28"/>
      <c r="V227" s="28"/>
      <c r="W227" s="28"/>
      <c r="X227" s="28"/>
      <c r="Y227" s="28"/>
      <c r="Z227" s="28"/>
      <c r="AA227" s="28"/>
      <c r="AB227" s="28"/>
    </row>
    <row r="228" spans="1:28" ht="12.75" x14ac:dyDescent="0.2">
      <c r="A228" s="31" t="s">
        <v>1404</v>
      </c>
      <c r="B228" s="32"/>
      <c r="C228" s="16" t="s">
        <v>1405</v>
      </c>
      <c r="D228" s="16"/>
      <c r="E228" s="6"/>
      <c r="F228" s="6"/>
      <c r="G228" s="6"/>
      <c r="H228" s="28"/>
      <c r="I228" s="28"/>
      <c r="J228" s="28"/>
      <c r="K228" s="28"/>
      <c r="L228" s="28"/>
      <c r="M228" s="28"/>
      <c r="N228" s="28"/>
      <c r="O228" s="28"/>
      <c r="P228" s="28"/>
      <c r="Q228" s="28"/>
      <c r="R228" s="28"/>
      <c r="S228" s="28"/>
      <c r="T228" s="28"/>
      <c r="U228" s="28"/>
      <c r="V228" s="28"/>
      <c r="W228" s="28"/>
      <c r="X228" s="28"/>
      <c r="Y228" s="28"/>
      <c r="Z228" s="28"/>
      <c r="AA228" s="28"/>
      <c r="AB228" s="28"/>
    </row>
    <row r="229" spans="1:28" ht="12.75" x14ac:dyDescent="0.2">
      <c r="A229" s="31" t="s">
        <v>1409</v>
      </c>
      <c r="B229" s="32" t="s">
        <v>1410</v>
      </c>
      <c r="C229" s="16"/>
      <c r="D229" s="16"/>
      <c r="E229" s="6"/>
      <c r="F229" s="6"/>
      <c r="G229" s="6"/>
      <c r="H229" s="28"/>
      <c r="I229" s="28"/>
      <c r="J229" s="28"/>
      <c r="K229" s="28"/>
      <c r="L229" s="28"/>
      <c r="M229" s="28"/>
      <c r="N229" s="28"/>
      <c r="O229" s="28"/>
      <c r="P229" s="28"/>
      <c r="Q229" s="28"/>
      <c r="R229" s="28"/>
      <c r="S229" s="28"/>
      <c r="T229" s="28"/>
      <c r="U229" s="28"/>
      <c r="V229" s="28"/>
      <c r="W229" s="28"/>
      <c r="X229" s="28"/>
      <c r="Y229" s="28"/>
      <c r="Z229" s="28"/>
      <c r="AA229" s="28"/>
      <c r="AB229" s="28"/>
    </row>
    <row r="230" spans="1:28" ht="12.75" x14ac:dyDescent="0.2">
      <c r="A230" s="31" t="s">
        <v>1414</v>
      </c>
      <c r="B230" s="32" t="s">
        <v>478</v>
      </c>
      <c r="C230" s="16"/>
      <c r="D230" s="16" t="s">
        <v>1415</v>
      </c>
      <c r="E230" s="6"/>
      <c r="F230" s="6"/>
      <c r="G230" s="6"/>
      <c r="H230" s="28"/>
      <c r="I230" s="28"/>
      <c r="J230" s="28"/>
      <c r="K230" s="28"/>
      <c r="L230" s="28"/>
      <c r="M230" s="28"/>
      <c r="N230" s="28"/>
      <c r="O230" s="28"/>
      <c r="P230" s="28"/>
      <c r="Q230" s="28"/>
      <c r="R230" s="28"/>
      <c r="S230" s="28"/>
      <c r="T230" s="28"/>
      <c r="U230" s="28"/>
      <c r="V230" s="28"/>
      <c r="W230" s="28"/>
      <c r="X230" s="28"/>
      <c r="Y230" s="28"/>
      <c r="Z230" s="28"/>
      <c r="AA230" s="28"/>
      <c r="AB230" s="28"/>
    </row>
    <row r="231" spans="1:28" ht="12.75" x14ac:dyDescent="0.2">
      <c r="A231" s="31" t="s">
        <v>1416</v>
      </c>
      <c r="B231" s="32" t="s">
        <v>1418</v>
      </c>
      <c r="C231" s="16"/>
      <c r="D231" s="16" t="s">
        <v>53</v>
      </c>
      <c r="E231" s="6"/>
      <c r="F231" s="6"/>
      <c r="G231" s="6"/>
      <c r="H231" s="28"/>
      <c r="I231" s="28"/>
      <c r="J231" s="28"/>
      <c r="K231" s="28"/>
      <c r="L231" s="28"/>
      <c r="M231" s="28"/>
      <c r="N231" s="28"/>
      <c r="O231" s="28"/>
      <c r="P231" s="28"/>
      <c r="Q231" s="28"/>
      <c r="R231" s="28"/>
      <c r="S231" s="28"/>
      <c r="T231" s="28"/>
      <c r="U231" s="28"/>
      <c r="V231" s="28"/>
      <c r="W231" s="28"/>
      <c r="X231" s="28"/>
      <c r="Y231" s="28"/>
      <c r="Z231" s="28"/>
      <c r="AA231" s="28"/>
      <c r="AB231" s="28"/>
    </row>
    <row r="232" spans="1:28" ht="12.75" x14ac:dyDescent="0.2">
      <c r="A232" s="31" t="s">
        <v>1419</v>
      </c>
      <c r="B232" s="32" t="s">
        <v>1420</v>
      </c>
      <c r="C232" s="16"/>
      <c r="D232" s="16" t="s">
        <v>53</v>
      </c>
      <c r="E232" s="6"/>
      <c r="F232" s="6"/>
      <c r="G232" s="6"/>
      <c r="H232" s="28"/>
      <c r="I232" s="28"/>
      <c r="J232" s="28"/>
      <c r="K232" s="28"/>
      <c r="L232" s="28"/>
      <c r="M232" s="28"/>
      <c r="N232" s="28"/>
      <c r="O232" s="28"/>
      <c r="P232" s="28"/>
      <c r="Q232" s="28"/>
      <c r="R232" s="28"/>
      <c r="S232" s="28"/>
      <c r="T232" s="28"/>
      <c r="U232" s="28"/>
      <c r="V232" s="28"/>
      <c r="W232" s="28"/>
      <c r="X232" s="28"/>
      <c r="Y232" s="28"/>
      <c r="Z232" s="28"/>
      <c r="AA232" s="28"/>
      <c r="AB232" s="28"/>
    </row>
    <row r="233" spans="1:28" ht="12.75" x14ac:dyDescent="0.2">
      <c r="A233" s="31" t="s">
        <v>1103</v>
      </c>
      <c r="B233" s="32" t="s">
        <v>1424</v>
      </c>
      <c r="C233" s="16"/>
      <c r="D233" s="16" t="s">
        <v>53</v>
      </c>
      <c r="E233" s="6"/>
      <c r="F233" s="6"/>
      <c r="G233" s="6"/>
      <c r="H233" s="28"/>
      <c r="I233" s="28"/>
      <c r="J233" s="28"/>
      <c r="K233" s="28"/>
      <c r="L233" s="28"/>
      <c r="M233" s="28"/>
      <c r="N233" s="28"/>
      <c r="O233" s="28"/>
      <c r="P233" s="28"/>
      <c r="Q233" s="28"/>
      <c r="R233" s="28"/>
      <c r="S233" s="28"/>
      <c r="T233" s="28"/>
      <c r="U233" s="28"/>
      <c r="V233" s="28"/>
      <c r="W233" s="28"/>
      <c r="X233" s="28"/>
      <c r="Y233" s="28"/>
      <c r="Z233" s="28"/>
      <c r="AA233" s="28"/>
      <c r="AB233" s="28"/>
    </row>
    <row r="234" spans="1:28" ht="12.75" x14ac:dyDescent="0.2">
      <c r="A234" s="31" t="s">
        <v>1427</v>
      </c>
      <c r="B234" s="32" t="s">
        <v>1055</v>
      </c>
      <c r="C234" s="16"/>
      <c r="D234" s="16" t="s">
        <v>53</v>
      </c>
      <c r="E234" s="6"/>
      <c r="F234" s="6"/>
      <c r="G234" s="6"/>
      <c r="H234" s="28"/>
      <c r="I234" s="28"/>
      <c r="J234" s="28"/>
      <c r="K234" s="28"/>
      <c r="L234" s="28"/>
      <c r="M234" s="28"/>
      <c r="N234" s="28"/>
      <c r="O234" s="28"/>
      <c r="P234" s="28"/>
      <c r="Q234" s="28"/>
      <c r="R234" s="28"/>
      <c r="S234" s="28"/>
      <c r="T234" s="28"/>
      <c r="U234" s="28"/>
      <c r="V234" s="28"/>
      <c r="W234" s="28"/>
      <c r="X234" s="28"/>
      <c r="Y234" s="28"/>
      <c r="Z234" s="28"/>
      <c r="AA234" s="28"/>
      <c r="AB234" s="28"/>
    </row>
    <row r="235" spans="1:28" ht="12.75" x14ac:dyDescent="0.2">
      <c r="A235" s="31" t="s">
        <v>1431</v>
      </c>
      <c r="B235" s="32" t="s">
        <v>1432</v>
      </c>
      <c r="C235" s="16"/>
      <c r="D235" s="16" t="s">
        <v>53</v>
      </c>
      <c r="E235" s="6"/>
      <c r="F235" s="6"/>
      <c r="G235" s="6"/>
      <c r="H235" s="28"/>
      <c r="I235" s="28"/>
      <c r="J235" s="28"/>
      <c r="K235" s="28"/>
      <c r="L235" s="28"/>
      <c r="M235" s="28"/>
      <c r="N235" s="28"/>
      <c r="O235" s="28"/>
      <c r="P235" s="28"/>
      <c r="Q235" s="28"/>
      <c r="R235" s="28"/>
      <c r="S235" s="28"/>
      <c r="T235" s="28"/>
      <c r="U235" s="28"/>
      <c r="V235" s="28"/>
      <c r="W235" s="28"/>
      <c r="X235" s="28"/>
      <c r="Y235" s="28"/>
      <c r="Z235" s="28"/>
      <c r="AA235" s="28"/>
      <c r="AB235" s="28"/>
    </row>
    <row r="236" spans="1:28" ht="25.5" x14ac:dyDescent="0.2">
      <c r="A236" s="31" t="s">
        <v>1435</v>
      </c>
      <c r="B236" s="32" t="s">
        <v>1437</v>
      </c>
      <c r="C236" s="16"/>
      <c r="D236" s="16" t="s">
        <v>53</v>
      </c>
      <c r="E236" s="6"/>
      <c r="F236" s="6"/>
      <c r="G236" s="6"/>
      <c r="H236" s="28"/>
      <c r="I236" s="28"/>
      <c r="J236" s="28"/>
      <c r="K236" s="28"/>
      <c r="L236" s="28"/>
      <c r="M236" s="28"/>
      <c r="N236" s="28"/>
      <c r="O236" s="28"/>
      <c r="P236" s="28"/>
      <c r="Q236" s="28"/>
      <c r="R236" s="28"/>
      <c r="S236" s="28"/>
      <c r="T236" s="28"/>
      <c r="U236" s="28"/>
      <c r="V236" s="28"/>
      <c r="W236" s="28"/>
      <c r="X236" s="28"/>
      <c r="Y236" s="28"/>
      <c r="Z236" s="28"/>
      <c r="AA236" s="28"/>
      <c r="AB236" s="28"/>
    </row>
    <row r="237" spans="1:28" ht="12.75" x14ac:dyDescent="0.2">
      <c r="A237" s="31" t="s">
        <v>1441</v>
      </c>
      <c r="B237" s="32" t="s">
        <v>1442</v>
      </c>
      <c r="C237" s="16"/>
      <c r="D237" s="16" t="s">
        <v>53</v>
      </c>
      <c r="E237" s="6"/>
      <c r="F237" s="6"/>
      <c r="G237" s="6"/>
      <c r="H237" s="28"/>
      <c r="I237" s="28"/>
      <c r="J237" s="28"/>
      <c r="K237" s="28"/>
      <c r="L237" s="28"/>
      <c r="M237" s="28"/>
      <c r="N237" s="28"/>
      <c r="O237" s="28"/>
      <c r="P237" s="28"/>
      <c r="Q237" s="28"/>
      <c r="R237" s="28"/>
      <c r="S237" s="28"/>
      <c r="T237" s="28"/>
      <c r="U237" s="28"/>
      <c r="V237" s="28"/>
      <c r="W237" s="28"/>
      <c r="X237" s="28"/>
      <c r="Y237" s="28"/>
      <c r="Z237" s="28"/>
      <c r="AA237" s="28"/>
      <c r="AB237" s="28"/>
    </row>
    <row r="238" spans="1:28" ht="12.75" x14ac:dyDescent="0.2">
      <c r="A238" s="31" t="s">
        <v>1446</v>
      </c>
      <c r="B238" s="32" t="s">
        <v>764</v>
      </c>
      <c r="C238" s="16"/>
      <c r="D238" s="16" t="s">
        <v>53</v>
      </c>
      <c r="E238" s="6"/>
      <c r="F238" s="6"/>
      <c r="G238" s="6"/>
      <c r="H238" s="28"/>
      <c r="I238" s="28"/>
      <c r="J238" s="28"/>
      <c r="K238" s="28"/>
      <c r="L238" s="28"/>
      <c r="M238" s="28"/>
      <c r="N238" s="28"/>
      <c r="O238" s="28"/>
      <c r="P238" s="28"/>
      <c r="Q238" s="28"/>
      <c r="R238" s="28"/>
      <c r="S238" s="28"/>
      <c r="T238" s="28"/>
      <c r="U238" s="28"/>
      <c r="V238" s="28"/>
      <c r="W238" s="28"/>
      <c r="X238" s="28"/>
      <c r="Y238" s="28"/>
      <c r="Z238" s="28"/>
      <c r="AA238" s="28"/>
      <c r="AB238" s="28"/>
    </row>
    <row r="239" spans="1:28" ht="12.75" x14ac:dyDescent="0.2">
      <c r="A239" s="31" t="s">
        <v>1451</v>
      </c>
      <c r="B239" s="32" t="s">
        <v>1452</v>
      </c>
      <c r="C239" s="16"/>
      <c r="D239" s="16" t="s">
        <v>53</v>
      </c>
      <c r="E239" s="6"/>
      <c r="F239" s="6"/>
      <c r="G239" s="6"/>
      <c r="H239" s="28"/>
      <c r="I239" s="28"/>
      <c r="J239" s="28"/>
      <c r="K239" s="28"/>
      <c r="L239" s="28"/>
      <c r="M239" s="28"/>
      <c r="N239" s="28"/>
      <c r="O239" s="28"/>
      <c r="P239" s="28"/>
      <c r="Q239" s="28"/>
      <c r="R239" s="28"/>
      <c r="S239" s="28"/>
      <c r="T239" s="28"/>
      <c r="U239" s="28"/>
      <c r="V239" s="28"/>
      <c r="W239" s="28"/>
      <c r="X239" s="28"/>
      <c r="Y239" s="28"/>
      <c r="Z239" s="28"/>
      <c r="AA239" s="28"/>
      <c r="AB239" s="28"/>
    </row>
    <row r="240" spans="1:28" ht="12.75" x14ac:dyDescent="0.2">
      <c r="A240" s="31" t="s">
        <v>1456</v>
      </c>
      <c r="B240" s="32" t="s">
        <v>1457</v>
      </c>
      <c r="C240" s="16"/>
      <c r="D240" s="16" t="s">
        <v>53</v>
      </c>
      <c r="E240" s="6"/>
      <c r="F240" s="6"/>
      <c r="G240" s="6"/>
      <c r="H240" s="28"/>
      <c r="I240" s="28"/>
      <c r="J240" s="28"/>
      <c r="K240" s="28"/>
      <c r="L240" s="28"/>
      <c r="M240" s="28"/>
      <c r="N240" s="28"/>
      <c r="O240" s="28"/>
      <c r="P240" s="28"/>
      <c r="Q240" s="28"/>
      <c r="R240" s="28"/>
      <c r="S240" s="28"/>
      <c r="T240" s="28"/>
      <c r="U240" s="28"/>
      <c r="V240" s="28"/>
      <c r="W240" s="28"/>
      <c r="X240" s="28"/>
      <c r="Y240" s="28"/>
      <c r="Z240" s="28"/>
      <c r="AA240" s="28"/>
      <c r="AB240" s="28"/>
    </row>
    <row r="241" spans="1:28" ht="12.75" x14ac:dyDescent="0.2">
      <c r="A241" s="31" t="s">
        <v>1458</v>
      </c>
      <c r="B241" s="32" t="s">
        <v>801</v>
      </c>
      <c r="C241" s="16"/>
      <c r="D241" s="16" t="s">
        <v>53</v>
      </c>
      <c r="E241" s="6"/>
      <c r="F241" s="6"/>
      <c r="G241" s="6"/>
      <c r="H241" s="28"/>
      <c r="I241" s="28"/>
      <c r="J241" s="28"/>
      <c r="K241" s="28"/>
      <c r="L241" s="28"/>
      <c r="M241" s="28"/>
      <c r="N241" s="28"/>
      <c r="O241" s="28"/>
      <c r="P241" s="28"/>
      <c r="Q241" s="28"/>
      <c r="R241" s="28"/>
      <c r="S241" s="28"/>
      <c r="T241" s="28"/>
      <c r="U241" s="28"/>
      <c r="V241" s="28"/>
      <c r="W241" s="28"/>
      <c r="X241" s="28"/>
      <c r="Y241" s="28"/>
      <c r="Z241" s="28"/>
      <c r="AA241" s="28"/>
      <c r="AB241" s="28"/>
    </row>
    <row r="242" spans="1:28" ht="12.75" x14ac:dyDescent="0.2">
      <c r="A242" s="31" t="s">
        <v>1004</v>
      </c>
      <c r="B242" s="32" t="s">
        <v>1461</v>
      </c>
      <c r="C242" s="16"/>
      <c r="D242" s="16" t="s">
        <v>345</v>
      </c>
      <c r="E242" s="6"/>
      <c r="F242" s="6"/>
      <c r="G242" s="6"/>
      <c r="H242" s="28"/>
      <c r="I242" s="28"/>
      <c r="J242" s="28"/>
      <c r="K242" s="28"/>
      <c r="L242" s="28"/>
      <c r="M242" s="28"/>
      <c r="N242" s="28"/>
      <c r="O242" s="28"/>
      <c r="P242" s="28"/>
      <c r="Q242" s="28"/>
      <c r="R242" s="28"/>
      <c r="S242" s="28"/>
      <c r="T242" s="28"/>
      <c r="U242" s="28"/>
      <c r="V242" s="28"/>
      <c r="W242" s="28"/>
      <c r="X242" s="28"/>
      <c r="Y242" s="28"/>
      <c r="Z242" s="28"/>
      <c r="AA242" s="28"/>
      <c r="AB242" s="28"/>
    </row>
    <row r="243" spans="1:28" ht="12.75" x14ac:dyDescent="0.2">
      <c r="A243" s="31" t="s">
        <v>1465</v>
      </c>
      <c r="B243" s="32" t="s">
        <v>1466</v>
      </c>
      <c r="C243" s="16"/>
      <c r="D243" s="16"/>
      <c r="E243" s="6"/>
      <c r="F243" s="6"/>
      <c r="G243" s="6"/>
      <c r="H243" s="28"/>
      <c r="I243" s="28"/>
      <c r="J243" s="28"/>
      <c r="K243" s="28"/>
      <c r="L243" s="28"/>
      <c r="M243" s="28"/>
      <c r="N243" s="28"/>
      <c r="O243" s="28"/>
      <c r="P243" s="28"/>
      <c r="Q243" s="28"/>
      <c r="R243" s="28"/>
      <c r="S243" s="28"/>
      <c r="T243" s="28"/>
      <c r="U243" s="28"/>
      <c r="V243" s="28"/>
      <c r="W243" s="28"/>
      <c r="X243" s="28"/>
      <c r="Y243" s="28"/>
      <c r="Z243" s="28"/>
      <c r="AA243" s="28"/>
      <c r="AB243" s="28"/>
    </row>
    <row r="244" spans="1:28" ht="12.75" x14ac:dyDescent="0.2">
      <c r="A244" s="31" t="s">
        <v>1473</v>
      </c>
      <c r="B244" s="32" t="s">
        <v>1474</v>
      </c>
      <c r="C244" s="16" t="s">
        <v>1475</v>
      </c>
      <c r="D244" s="16"/>
      <c r="E244" s="6"/>
      <c r="F244" s="6"/>
      <c r="G244" s="6"/>
      <c r="H244" s="28"/>
      <c r="I244" s="28"/>
      <c r="J244" s="28"/>
      <c r="K244" s="28"/>
      <c r="L244" s="28"/>
      <c r="M244" s="28"/>
      <c r="N244" s="28"/>
      <c r="O244" s="28"/>
      <c r="P244" s="28"/>
      <c r="Q244" s="28"/>
      <c r="R244" s="28"/>
      <c r="S244" s="28"/>
      <c r="T244" s="28"/>
      <c r="U244" s="28"/>
      <c r="V244" s="28"/>
      <c r="W244" s="28"/>
      <c r="X244" s="28"/>
      <c r="Y244" s="28"/>
      <c r="Z244" s="28"/>
      <c r="AA244" s="28"/>
      <c r="AB244" s="28"/>
    </row>
    <row r="245" spans="1:28" ht="12.75" x14ac:dyDescent="0.2">
      <c r="A245" s="31" t="s">
        <v>1479</v>
      </c>
      <c r="B245" s="32"/>
      <c r="C245" s="16" t="s">
        <v>1480</v>
      </c>
      <c r="D245" s="16" t="s">
        <v>394</v>
      </c>
      <c r="E245" s="6"/>
      <c r="F245" s="6"/>
      <c r="G245" s="6"/>
      <c r="H245" s="28"/>
      <c r="I245" s="28"/>
      <c r="J245" s="28"/>
      <c r="K245" s="28"/>
      <c r="L245" s="28"/>
      <c r="M245" s="28"/>
      <c r="N245" s="28"/>
      <c r="O245" s="28"/>
      <c r="P245" s="28"/>
      <c r="Q245" s="28"/>
      <c r="R245" s="28"/>
      <c r="S245" s="28"/>
      <c r="T245" s="28"/>
      <c r="U245" s="28"/>
      <c r="V245" s="28"/>
      <c r="W245" s="28"/>
      <c r="X245" s="28"/>
      <c r="Y245" s="28"/>
      <c r="Z245" s="28"/>
      <c r="AA245" s="28"/>
      <c r="AB245" s="28"/>
    </row>
    <row r="246" spans="1:28" ht="12.75" x14ac:dyDescent="0.2">
      <c r="A246" s="31" t="s">
        <v>1483</v>
      </c>
      <c r="B246" s="32" t="s">
        <v>1485</v>
      </c>
      <c r="C246" s="16"/>
      <c r="D246" s="16"/>
      <c r="E246" s="6"/>
      <c r="F246" s="6"/>
      <c r="G246" s="6"/>
      <c r="H246" s="28"/>
      <c r="I246" s="28"/>
      <c r="J246" s="28"/>
      <c r="K246" s="28"/>
      <c r="L246" s="28"/>
      <c r="M246" s="28"/>
      <c r="N246" s="28"/>
      <c r="O246" s="28"/>
      <c r="P246" s="28"/>
      <c r="Q246" s="28"/>
      <c r="R246" s="28"/>
      <c r="S246" s="28"/>
      <c r="T246" s="28"/>
      <c r="U246" s="28"/>
      <c r="V246" s="28"/>
      <c r="W246" s="28"/>
      <c r="X246" s="28"/>
      <c r="Y246" s="28"/>
      <c r="Z246" s="28"/>
      <c r="AA246" s="28"/>
      <c r="AB246" s="28"/>
    </row>
    <row r="247" spans="1:28" ht="12.75" x14ac:dyDescent="0.2">
      <c r="A247" s="31" t="s">
        <v>1489</v>
      </c>
      <c r="B247" s="32" t="s">
        <v>1490</v>
      </c>
      <c r="C247" s="16"/>
      <c r="D247" s="16"/>
      <c r="E247" s="6"/>
      <c r="F247" s="6"/>
      <c r="G247" s="6"/>
      <c r="H247" s="28"/>
      <c r="I247" s="28"/>
      <c r="J247" s="28"/>
      <c r="K247" s="28"/>
      <c r="L247" s="28"/>
      <c r="M247" s="28"/>
      <c r="N247" s="28"/>
      <c r="O247" s="28"/>
      <c r="P247" s="28"/>
      <c r="Q247" s="28"/>
      <c r="R247" s="28"/>
      <c r="S247" s="28"/>
      <c r="T247" s="28"/>
      <c r="U247" s="28"/>
      <c r="V247" s="28"/>
      <c r="W247" s="28"/>
      <c r="X247" s="28"/>
      <c r="Y247" s="28"/>
      <c r="Z247" s="28"/>
      <c r="AA247" s="28"/>
      <c r="AB247" s="28"/>
    </row>
    <row r="248" spans="1:28" ht="12.75" x14ac:dyDescent="0.2">
      <c r="A248" s="31" t="s">
        <v>1494</v>
      </c>
      <c r="B248" s="32"/>
      <c r="C248" s="16" t="s">
        <v>1496</v>
      </c>
      <c r="D248" s="16"/>
      <c r="E248" s="6"/>
      <c r="F248" s="6"/>
      <c r="G248" s="6"/>
      <c r="H248" s="28"/>
      <c r="I248" s="28"/>
      <c r="J248" s="28"/>
      <c r="K248" s="28"/>
      <c r="L248" s="28"/>
      <c r="M248" s="28"/>
      <c r="N248" s="28"/>
      <c r="O248" s="28"/>
      <c r="P248" s="28"/>
      <c r="Q248" s="28"/>
      <c r="R248" s="28"/>
      <c r="S248" s="28"/>
      <c r="T248" s="28"/>
      <c r="U248" s="28"/>
      <c r="V248" s="28"/>
      <c r="W248" s="28"/>
      <c r="X248" s="28"/>
      <c r="Y248" s="28"/>
      <c r="Z248" s="28"/>
      <c r="AA248" s="28"/>
      <c r="AB248" s="28"/>
    </row>
    <row r="249" spans="1:28" ht="12.75" x14ac:dyDescent="0.2">
      <c r="A249" s="31" t="s">
        <v>1502</v>
      </c>
      <c r="B249" s="32" t="s">
        <v>1503</v>
      </c>
      <c r="C249" s="16"/>
      <c r="D249" s="16"/>
      <c r="E249" s="6"/>
      <c r="F249" s="6"/>
      <c r="G249" s="6"/>
      <c r="H249" s="28"/>
      <c r="I249" s="28"/>
      <c r="J249" s="28"/>
      <c r="K249" s="28"/>
      <c r="L249" s="28"/>
      <c r="M249" s="28"/>
      <c r="N249" s="28"/>
      <c r="O249" s="28"/>
      <c r="P249" s="28"/>
      <c r="Q249" s="28"/>
      <c r="R249" s="28"/>
      <c r="S249" s="28"/>
      <c r="T249" s="28"/>
      <c r="U249" s="28"/>
      <c r="V249" s="28"/>
      <c r="W249" s="28"/>
      <c r="X249" s="28"/>
      <c r="Y249" s="28"/>
      <c r="Z249" s="28"/>
      <c r="AA249" s="28"/>
      <c r="AB249" s="28"/>
    </row>
    <row r="250" spans="1:28" ht="12.75" x14ac:dyDescent="0.2">
      <c r="A250" s="31" t="s">
        <v>1509</v>
      </c>
      <c r="B250" s="32" t="s">
        <v>1510</v>
      </c>
      <c r="C250" s="16"/>
      <c r="D250" s="16"/>
      <c r="E250" s="6"/>
      <c r="F250" s="6"/>
      <c r="G250" s="6"/>
      <c r="H250" s="28"/>
      <c r="I250" s="28"/>
      <c r="J250" s="28"/>
      <c r="K250" s="28"/>
      <c r="L250" s="28"/>
      <c r="M250" s="28"/>
      <c r="N250" s="28"/>
      <c r="O250" s="28"/>
      <c r="P250" s="28"/>
      <c r="Q250" s="28"/>
      <c r="R250" s="28"/>
      <c r="S250" s="28"/>
      <c r="T250" s="28"/>
      <c r="U250" s="28"/>
      <c r="V250" s="28"/>
      <c r="W250" s="28"/>
      <c r="X250" s="28"/>
      <c r="Y250" s="28"/>
      <c r="Z250" s="28"/>
      <c r="AA250" s="28"/>
      <c r="AB250" s="28"/>
    </row>
    <row r="251" spans="1:28" ht="12.75" x14ac:dyDescent="0.2">
      <c r="A251" s="31" t="s">
        <v>1516</v>
      </c>
      <c r="B251" s="32" t="s">
        <v>1518</v>
      </c>
      <c r="C251" s="16"/>
      <c r="D251" s="16"/>
      <c r="E251" s="6"/>
      <c r="F251" s="6"/>
      <c r="G251" s="6"/>
      <c r="H251" s="28"/>
      <c r="I251" s="28"/>
      <c r="J251" s="28"/>
      <c r="K251" s="28"/>
      <c r="L251" s="28"/>
      <c r="M251" s="28"/>
      <c r="N251" s="28"/>
      <c r="O251" s="28"/>
      <c r="P251" s="28"/>
      <c r="Q251" s="28"/>
      <c r="R251" s="28"/>
      <c r="S251" s="28"/>
      <c r="T251" s="28"/>
      <c r="U251" s="28"/>
      <c r="V251" s="28"/>
      <c r="W251" s="28"/>
      <c r="X251" s="28"/>
      <c r="Y251" s="28"/>
      <c r="Z251" s="28"/>
      <c r="AA251" s="28"/>
      <c r="AB251" s="28"/>
    </row>
    <row r="252" spans="1:28" ht="12.75" x14ac:dyDescent="0.2">
      <c r="A252" s="31" t="s">
        <v>1520</v>
      </c>
      <c r="B252" s="32" t="s">
        <v>1521</v>
      </c>
      <c r="C252" s="16"/>
      <c r="D252" s="16"/>
      <c r="E252" s="6"/>
      <c r="F252" s="6"/>
      <c r="G252" s="6"/>
      <c r="H252" s="28"/>
      <c r="I252" s="28"/>
      <c r="J252" s="28"/>
      <c r="K252" s="28"/>
      <c r="L252" s="28"/>
      <c r="M252" s="28"/>
      <c r="N252" s="28"/>
      <c r="O252" s="28"/>
      <c r="P252" s="28"/>
      <c r="Q252" s="28"/>
      <c r="R252" s="28"/>
      <c r="S252" s="28"/>
      <c r="T252" s="28"/>
      <c r="U252" s="28"/>
      <c r="V252" s="28"/>
      <c r="W252" s="28"/>
      <c r="X252" s="28"/>
      <c r="Y252" s="28"/>
      <c r="Z252" s="28"/>
      <c r="AA252" s="28"/>
      <c r="AB252" s="28"/>
    </row>
    <row r="253" spans="1:28" ht="12.75" x14ac:dyDescent="0.2">
      <c r="A253" s="31" t="s">
        <v>1524</v>
      </c>
      <c r="B253" s="32" t="s">
        <v>1525</v>
      </c>
      <c r="C253" s="16"/>
      <c r="D253" s="16"/>
      <c r="E253" s="6"/>
      <c r="F253" s="6"/>
      <c r="G253" s="6"/>
      <c r="H253" s="28"/>
      <c r="I253" s="28"/>
      <c r="J253" s="28"/>
      <c r="K253" s="28"/>
      <c r="L253" s="28"/>
      <c r="M253" s="28"/>
      <c r="N253" s="28"/>
      <c r="O253" s="28"/>
      <c r="P253" s="28"/>
      <c r="Q253" s="28"/>
      <c r="R253" s="28"/>
      <c r="S253" s="28"/>
      <c r="T253" s="28"/>
      <c r="U253" s="28"/>
      <c r="V253" s="28"/>
      <c r="W253" s="28"/>
      <c r="X253" s="28"/>
      <c r="Y253" s="28"/>
      <c r="Z253" s="28"/>
      <c r="AA253" s="28"/>
      <c r="AB253" s="28"/>
    </row>
    <row r="254" spans="1:28" ht="12.75" x14ac:dyDescent="0.2">
      <c r="A254" s="31" t="s">
        <v>1528</v>
      </c>
      <c r="B254" s="32" t="s">
        <v>1529</v>
      </c>
      <c r="C254" s="16"/>
      <c r="D254" s="16"/>
      <c r="E254" s="6"/>
      <c r="F254" s="6"/>
      <c r="G254" s="6"/>
      <c r="H254" s="28"/>
      <c r="I254" s="28"/>
      <c r="J254" s="28"/>
      <c r="K254" s="28"/>
      <c r="L254" s="28"/>
      <c r="M254" s="28"/>
      <c r="N254" s="28"/>
      <c r="O254" s="28"/>
      <c r="P254" s="28"/>
      <c r="Q254" s="28"/>
      <c r="R254" s="28"/>
      <c r="S254" s="28"/>
      <c r="T254" s="28"/>
      <c r="U254" s="28"/>
      <c r="V254" s="28"/>
      <c r="W254" s="28"/>
      <c r="X254" s="28"/>
      <c r="Y254" s="28"/>
      <c r="Z254" s="28"/>
      <c r="AA254" s="28"/>
      <c r="AB254" s="28"/>
    </row>
    <row r="255" spans="1:28" ht="12.75" x14ac:dyDescent="0.2">
      <c r="A255" s="31" t="s">
        <v>1532</v>
      </c>
      <c r="B255" s="32" t="s">
        <v>1533</v>
      </c>
      <c r="C255" s="16"/>
      <c r="D255" s="16"/>
      <c r="E255" s="6"/>
      <c r="F255" s="6"/>
      <c r="G255" s="6"/>
      <c r="H255" s="28"/>
      <c r="I255" s="28"/>
      <c r="J255" s="28"/>
      <c r="K255" s="28"/>
      <c r="L255" s="28"/>
      <c r="M255" s="28"/>
      <c r="N255" s="28"/>
      <c r="O255" s="28"/>
      <c r="P255" s="28"/>
      <c r="Q255" s="28"/>
      <c r="R255" s="28"/>
      <c r="S255" s="28"/>
      <c r="T255" s="28"/>
      <c r="U255" s="28"/>
      <c r="V255" s="28"/>
      <c r="W255" s="28"/>
      <c r="X255" s="28"/>
      <c r="Y255" s="28"/>
      <c r="Z255" s="28"/>
      <c r="AA255" s="28"/>
      <c r="AB255" s="28"/>
    </row>
    <row r="256" spans="1:28" ht="12.75" x14ac:dyDescent="0.2">
      <c r="A256" s="31" t="s">
        <v>1537</v>
      </c>
      <c r="B256" s="32" t="s">
        <v>1538</v>
      </c>
      <c r="C256" s="16"/>
      <c r="D256" s="16"/>
      <c r="E256" s="6"/>
      <c r="F256" s="6"/>
      <c r="G256" s="6"/>
      <c r="H256" s="28"/>
      <c r="I256" s="28"/>
      <c r="J256" s="28"/>
      <c r="K256" s="28"/>
      <c r="L256" s="28"/>
      <c r="M256" s="28"/>
      <c r="N256" s="28"/>
      <c r="O256" s="28"/>
      <c r="P256" s="28"/>
      <c r="Q256" s="28"/>
      <c r="R256" s="28"/>
      <c r="S256" s="28"/>
      <c r="T256" s="28"/>
      <c r="U256" s="28"/>
      <c r="V256" s="28"/>
      <c r="W256" s="28"/>
      <c r="X256" s="28"/>
      <c r="Y256" s="28"/>
      <c r="Z256" s="28"/>
      <c r="AA256" s="28"/>
      <c r="AB256" s="28"/>
    </row>
    <row r="257" spans="1:28" ht="12.75" x14ac:dyDescent="0.2">
      <c r="A257" s="31" t="s">
        <v>1541</v>
      </c>
      <c r="B257" s="32" t="s">
        <v>1543</v>
      </c>
      <c r="C257" s="16"/>
      <c r="D257" s="16"/>
      <c r="E257" s="6"/>
      <c r="F257" s="6"/>
      <c r="G257" s="6"/>
      <c r="H257" s="28"/>
      <c r="I257" s="28"/>
      <c r="J257" s="28"/>
      <c r="K257" s="28"/>
      <c r="L257" s="28"/>
      <c r="M257" s="28"/>
      <c r="N257" s="28"/>
      <c r="O257" s="28"/>
      <c r="P257" s="28"/>
      <c r="Q257" s="28"/>
      <c r="R257" s="28"/>
      <c r="S257" s="28"/>
      <c r="T257" s="28"/>
      <c r="U257" s="28"/>
      <c r="V257" s="28"/>
      <c r="W257" s="28"/>
      <c r="X257" s="28"/>
      <c r="Y257" s="28"/>
      <c r="Z257" s="28"/>
      <c r="AA257" s="28"/>
      <c r="AB257" s="28"/>
    </row>
    <row r="258" spans="1:28" ht="12.75" x14ac:dyDescent="0.2">
      <c r="A258" s="31" t="s">
        <v>1546</v>
      </c>
      <c r="B258" s="32" t="s">
        <v>1547</v>
      </c>
      <c r="C258" s="16"/>
      <c r="D258" s="16"/>
      <c r="E258" s="6"/>
      <c r="F258" s="6"/>
      <c r="G258" s="6"/>
      <c r="H258" s="28"/>
      <c r="I258" s="28"/>
      <c r="J258" s="28"/>
      <c r="K258" s="28"/>
      <c r="L258" s="28"/>
      <c r="M258" s="28"/>
      <c r="N258" s="28"/>
      <c r="O258" s="28"/>
      <c r="P258" s="28"/>
      <c r="Q258" s="28"/>
      <c r="R258" s="28"/>
      <c r="S258" s="28"/>
      <c r="T258" s="28"/>
      <c r="U258" s="28"/>
      <c r="V258" s="28"/>
      <c r="W258" s="28"/>
      <c r="X258" s="28"/>
      <c r="Y258" s="28"/>
      <c r="Z258" s="28"/>
      <c r="AA258" s="28"/>
      <c r="AB258" s="28"/>
    </row>
    <row r="259" spans="1:28" ht="12.75" x14ac:dyDescent="0.2">
      <c r="A259" s="31" t="s">
        <v>1551</v>
      </c>
      <c r="B259" s="32" t="s">
        <v>1552</v>
      </c>
      <c r="C259" s="16"/>
      <c r="D259" s="16"/>
      <c r="E259" s="6"/>
      <c r="F259" s="6"/>
      <c r="G259" s="6"/>
      <c r="H259" s="28"/>
      <c r="I259" s="28"/>
      <c r="J259" s="28"/>
      <c r="K259" s="28"/>
      <c r="L259" s="28"/>
      <c r="M259" s="28"/>
      <c r="N259" s="28"/>
      <c r="O259" s="28"/>
      <c r="P259" s="28"/>
      <c r="Q259" s="28"/>
      <c r="R259" s="28"/>
      <c r="S259" s="28"/>
      <c r="T259" s="28"/>
      <c r="U259" s="28"/>
      <c r="V259" s="28"/>
      <c r="W259" s="28"/>
      <c r="X259" s="28"/>
      <c r="Y259" s="28"/>
      <c r="Z259" s="28"/>
      <c r="AA259" s="28"/>
      <c r="AB259" s="28"/>
    </row>
    <row r="260" spans="1:28" ht="12.75" x14ac:dyDescent="0.2">
      <c r="A260" s="31" t="s">
        <v>1556</v>
      </c>
      <c r="B260" s="32"/>
      <c r="C260" s="16" t="s">
        <v>1557</v>
      </c>
      <c r="D260" s="16"/>
      <c r="E260" s="6"/>
      <c r="F260" s="6"/>
      <c r="G260" s="6"/>
      <c r="H260" s="28"/>
      <c r="I260" s="28"/>
      <c r="J260" s="28"/>
      <c r="K260" s="28"/>
      <c r="L260" s="28"/>
      <c r="M260" s="28"/>
      <c r="N260" s="28"/>
      <c r="O260" s="28"/>
      <c r="P260" s="28"/>
      <c r="Q260" s="28"/>
      <c r="R260" s="28"/>
      <c r="S260" s="28"/>
      <c r="T260" s="28"/>
      <c r="U260" s="28"/>
      <c r="V260" s="28"/>
      <c r="W260" s="28"/>
      <c r="X260" s="28"/>
      <c r="Y260" s="28"/>
      <c r="Z260" s="28"/>
      <c r="AA260" s="28"/>
      <c r="AB260" s="28"/>
    </row>
    <row r="261" spans="1:28" ht="12.75" x14ac:dyDescent="0.2">
      <c r="A261" s="31" t="s">
        <v>1563</v>
      </c>
      <c r="B261" s="32" t="s">
        <v>1564</v>
      </c>
      <c r="C261" s="16"/>
      <c r="D261" s="16"/>
      <c r="E261" s="6"/>
      <c r="F261" s="6"/>
      <c r="G261" s="6"/>
      <c r="H261" s="28"/>
      <c r="I261" s="28"/>
      <c r="J261" s="28"/>
      <c r="K261" s="28"/>
      <c r="L261" s="28"/>
      <c r="M261" s="28"/>
      <c r="N261" s="28"/>
      <c r="O261" s="28"/>
      <c r="P261" s="28"/>
      <c r="Q261" s="28"/>
      <c r="R261" s="28"/>
      <c r="S261" s="28"/>
      <c r="T261" s="28"/>
      <c r="U261" s="28"/>
      <c r="V261" s="28"/>
      <c r="W261" s="28"/>
      <c r="X261" s="28"/>
      <c r="Y261" s="28"/>
      <c r="Z261" s="28"/>
      <c r="AA261" s="28"/>
      <c r="AB261" s="28"/>
    </row>
    <row r="262" spans="1:28" ht="12.75" x14ac:dyDescent="0.2">
      <c r="A262" s="31" t="s">
        <v>1567</v>
      </c>
      <c r="B262" s="32" t="s">
        <v>1568</v>
      </c>
      <c r="C262" s="16"/>
      <c r="D262" s="16"/>
      <c r="E262" s="6"/>
      <c r="F262" s="6"/>
      <c r="G262" s="6"/>
      <c r="H262" s="28"/>
      <c r="I262" s="28"/>
      <c r="J262" s="28"/>
      <c r="K262" s="28"/>
      <c r="L262" s="28"/>
      <c r="M262" s="28"/>
      <c r="N262" s="28"/>
      <c r="O262" s="28"/>
      <c r="P262" s="28"/>
      <c r="Q262" s="28"/>
      <c r="R262" s="28"/>
      <c r="S262" s="28"/>
      <c r="T262" s="28"/>
      <c r="U262" s="28"/>
      <c r="V262" s="28"/>
      <c r="W262" s="28"/>
      <c r="X262" s="28"/>
      <c r="Y262" s="28"/>
      <c r="Z262" s="28"/>
      <c r="AA262" s="28"/>
      <c r="AB262" s="28"/>
    </row>
    <row r="263" spans="1:28" ht="12.75" x14ac:dyDescent="0.2">
      <c r="A263" s="31" t="s">
        <v>1570</v>
      </c>
      <c r="B263" s="32"/>
      <c r="C263" s="32" t="s">
        <v>1571</v>
      </c>
      <c r="D263" s="16" t="s">
        <v>394</v>
      </c>
      <c r="E263" s="6"/>
      <c r="F263" s="6"/>
      <c r="G263" s="6"/>
      <c r="H263" s="28"/>
      <c r="I263" s="28"/>
      <c r="J263" s="28"/>
      <c r="K263" s="28"/>
      <c r="L263" s="28"/>
      <c r="M263" s="28"/>
      <c r="N263" s="28"/>
      <c r="O263" s="28"/>
      <c r="P263" s="28"/>
      <c r="Q263" s="28"/>
      <c r="R263" s="28"/>
      <c r="S263" s="28"/>
      <c r="T263" s="28"/>
      <c r="U263" s="28"/>
      <c r="V263" s="28"/>
      <c r="W263" s="28"/>
      <c r="X263" s="28"/>
      <c r="Y263" s="28"/>
      <c r="Z263" s="28"/>
      <c r="AA263" s="28"/>
      <c r="AB263" s="28"/>
    </row>
    <row r="264" spans="1:28" ht="12.75" x14ac:dyDescent="0.2">
      <c r="A264" s="31" t="s">
        <v>1574</v>
      </c>
      <c r="B264" s="32"/>
      <c r="C264" s="16" t="s">
        <v>1575</v>
      </c>
      <c r="D264" s="16"/>
      <c r="E264" s="6"/>
      <c r="F264" s="6"/>
      <c r="G264" s="6"/>
      <c r="H264" s="28"/>
      <c r="I264" s="28"/>
      <c r="J264" s="28"/>
      <c r="K264" s="28"/>
      <c r="L264" s="28"/>
      <c r="M264" s="28"/>
      <c r="N264" s="28"/>
      <c r="O264" s="28"/>
      <c r="P264" s="28"/>
      <c r="Q264" s="28"/>
      <c r="R264" s="28"/>
      <c r="S264" s="28"/>
      <c r="T264" s="28"/>
      <c r="U264" s="28"/>
      <c r="V264" s="28"/>
      <c r="W264" s="28"/>
      <c r="X264" s="28"/>
      <c r="Y264" s="28"/>
      <c r="Z264" s="28"/>
      <c r="AA264" s="28"/>
      <c r="AB264" s="28"/>
    </row>
    <row r="265" spans="1:28" ht="25.5" x14ac:dyDescent="0.2">
      <c r="A265" s="31" t="s">
        <v>1578</v>
      </c>
      <c r="B265" s="32" t="s">
        <v>1579</v>
      </c>
      <c r="C265" s="16"/>
      <c r="D265" s="16"/>
      <c r="E265" s="6"/>
      <c r="F265" s="6"/>
      <c r="G265" s="6"/>
      <c r="H265" s="28"/>
      <c r="I265" s="28"/>
      <c r="J265" s="28"/>
      <c r="K265" s="28"/>
      <c r="L265" s="28"/>
      <c r="M265" s="28"/>
      <c r="N265" s="28"/>
      <c r="O265" s="28"/>
      <c r="P265" s="28"/>
      <c r="Q265" s="28"/>
      <c r="R265" s="28"/>
      <c r="S265" s="28"/>
      <c r="T265" s="28"/>
      <c r="U265" s="28"/>
      <c r="V265" s="28"/>
      <c r="W265" s="28"/>
      <c r="X265" s="28"/>
      <c r="Y265" s="28"/>
      <c r="Z265" s="28"/>
      <c r="AA265" s="28"/>
      <c r="AB265" s="28"/>
    </row>
    <row r="266" spans="1:28" ht="12.75" x14ac:dyDescent="0.2">
      <c r="A266" s="31" t="s">
        <v>1582</v>
      </c>
      <c r="B266" s="32" t="s">
        <v>1583</v>
      </c>
      <c r="C266" s="16"/>
      <c r="D266" s="16"/>
      <c r="E266" s="6"/>
      <c r="F266" s="6"/>
      <c r="G266" s="6"/>
      <c r="H266" s="28"/>
      <c r="I266" s="28"/>
      <c r="J266" s="28"/>
      <c r="K266" s="28"/>
      <c r="L266" s="28"/>
      <c r="M266" s="28"/>
      <c r="N266" s="28"/>
      <c r="O266" s="28"/>
      <c r="P266" s="28"/>
      <c r="Q266" s="28"/>
      <c r="R266" s="28"/>
      <c r="S266" s="28"/>
      <c r="T266" s="28"/>
      <c r="U266" s="28"/>
      <c r="V266" s="28"/>
      <c r="W266" s="28"/>
      <c r="X266" s="28"/>
      <c r="Y266" s="28"/>
      <c r="Z266" s="28"/>
      <c r="AA266" s="28"/>
      <c r="AB266" s="28"/>
    </row>
    <row r="267" spans="1:28" ht="12.75" x14ac:dyDescent="0.2">
      <c r="A267" s="31" t="s">
        <v>1589</v>
      </c>
      <c r="B267" s="32" t="s">
        <v>1591</v>
      </c>
      <c r="C267" s="16"/>
      <c r="D267" s="16"/>
      <c r="E267" s="6"/>
      <c r="F267" s="6"/>
      <c r="G267" s="6"/>
      <c r="H267" s="28"/>
      <c r="I267" s="28"/>
      <c r="J267" s="28"/>
      <c r="K267" s="28"/>
      <c r="L267" s="28"/>
      <c r="M267" s="28"/>
      <c r="N267" s="28"/>
      <c r="O267" s="28"/>
      <c r="P267" s="28"/>
      <c r="Q267" s="28"/>
      <c r="R267" s="28"/>
      <c r="S267" s="28"/>
      <c r="T267" s="28"/>
      <c r="U267" s="28"/>
      <c r="V267" s="28"/>
      <c r="W267" s="28"/>
      <c r="X267" s="28"/>
      <c r="Y267" s="28"/>
      <c r="Z267" s="28"/>
      <c r="AA267" s="28"/>
      <c r="AB267" s="28"/>
    </row>
    <row r="268" spans="1:28" ht="12.75" x14ac:dyDescent="0.2">
      <c r="A268" s="31" t="s">
        <v>1592</v>
      </c>
      <c r="B268" s="32"/>
      <c r="C268" s="16" t="s">
        <v>1594</v>
      </c>
      <c r="D268" s="16"/>
      <c r="E268" s="6"/>
      <c r="F268" s="6"/>
      <c r="G268" s="6"/>
      <c r="H268" s="28"/>
      <c r="I268" s="28"/>
      <c r="J268" s="28"/>
      <c r="K268" s="28"/>
      <c r="L268" s="28"/>
      <c r="M268" s="28"/>
      <c r="N268" s="28"/>
      <c r="O268" s="28"/>
      <c r="P268" s="28"/>
      <c r="Q268" s="28"/>
      <c r="R268" s="28"/>
      <c r="S268" s="28"/>
      <c r="T268" s="28"/>
      <c r="U268" s="28"/>
      <c r="V268" s="28"/>
      <c r="W268" s="28"/>
      <c r="X268" s="28"/>
      <c r="Y268" s="28"/>
      <c r="Z268" s="28"/>
      <c r="AA268" s="28"/>
      <c r="AB268" s="28"/>
    </row>
    <row r="269" spans="1:28" ht="12.75" x14ac:dyDescent="0.2">
      <c r="A269" s="31" t="s">
        <v>1596</v>
      </c>
      <c r="B269" s="32" t="s">
        <v>1597</v>
      </c>
      <c r="C269" s="16"/>
      <c r="D269" s="16"/>
      <c r="E269" s="6"/>
      <c r="F269" s="6"/>
      <c r="G269" s="6"/>
      <c r="H269" s="28"/>
      <c r="I269" s="28"/>
      <c r="J269" s="28"/>
      <c r="K269" s="28"/>
      <c r="L269" s="28"/>
      <c r="M269" s="28"/>
      <c r="N269" s="28"/>
      <c r="O269" s="28"/>
      <c r="P269" s="28"/>
      <c r="Q269" s="28"/>
      <c r="R269" s="28"/>
      <c r="S269" s="28"/>
      <c r="T269" s="28"/>
      <c r="U269" s="28"/>
      <c r="V269" s="28"/>
      <c r="W269" s="28"/>
      <c r="X269" s="28"/>
      <c r="Y269" s="28"/>
      <c r="Z269" s="28"/>
      <c r="AA269" s="28"/>
      <c r="AB269" s="28"/>
    </row>
    <row r="270" spans="1:28" ht="25.5" x14ac:dyDescent="0.2">
      <c r="A270" s="31" t="s">
        <v>1603</v>
      </c>
      <c r="B270" s="32" t="s">
        <v>1604</v>
      </c>
      <c r="C270" s="16"/>
      <c r="D270" s="16"/>
      <c r="E270" s="6"/>
      <c r="F270" s="6"/>
      <c r="G270" s="6"/>
      <c r="H270" s="28"/>
      <c r="I270" s="28"/>
      <c r="J270" s="28"/>
      <c r="K270" s="28"/>
      <c r="L270" s="28"/>
      <c r="M270" s="28"/>
      <c r="N270" s="28"/>
      <c r="O270" s="28"/>
      <c r="P270" s="28"/>
      <c r="Q270" s="28"/>
      <c r="R270" s="28"/>
      <c r="S270" s="28"/>
      <c r="T270" s="28"/>
      <c r="U270" s="28"/>
      <c r="V270" s="28"/>
      <c r="W270" s="28"/>
      <c r="X270" s="28"/>
      <c r="Y270" s="28"/>
      <c r="Z270" s="28"/>
      <c r="AA270" s="28"/>
      <c r="AB270" s="28"/>
    </row>
    <row r="271" spans="1:28" ht="12.75" x14ac:dyDescent="0.2">
      <c r="A271" s="31" t="s">
        <v>1608</v>
      </c>
      <c r="B271" s="32" t="s">
        <v>1609</v>
      </c>
      <c r="C271" s="16"/>
      <c r="D271" s="16"/>
      <c r="E271" s="6"/>
      <c r="F271" s="6"/>
      <c r="G271" s="6"/>
      <c r="H271" s="28"/>
      <c r="I271" s="28"/>
      <c r="J271" s="28"/>
      <c r="K271" s="28"/>
      <c r="L271" s="28"/>
      <c r="M271" s="28"/>
      <c r="N271" s="28"/>
      <c r="O271" s="28"/>
      <c r="P271" s="28"/>
      <c r="Q271" s="28"/>
      <c r="R271" s="28"/>
      <c r="S271" s="28"/>
      <c r="T271" s="28"/>
      <c r="U271" s="28"/>
      <c r="V271" s="28"/>
      <c r="W271" s="28"/>
      <c r="X271" s="28"/>
      <c r="Y271" s="28"/>
      <c r="Z271" s="28"/>
      <c r="AA271" s="28"/>
      <c r="AB271" s="28"/>
    </row>
    <row r="272" spans="1:28" ht="12.75" x14ac:dyDescent="0.2">
      <c r="A272" s="31" t="s">
        <v>1615</v>
      </c>
      <c r="B272" s="32"/>
      <c r="C272" s="16" t="s">
        <v>1616</v>
      </c>
      <c r="D272" s="16"/>
      <c r="E272" s="6"/>
      <c r="F272" s="6"/>
      <c r="G272" s="6"/>
      <c r="H272" s="28"/>
      <c r="I272" s="28"/>
      <c r="J272" s="28"/>
      <c r="K272" s="28"/>
      <c r="L272" s="28"/>
      <c r="M272" s="28"/>
      <c r="N272" s="28"/>
      <c r="O272" s="28"/>
      <c r="P272" s="28"/>
      <c r="Q272" s="28"/>
      <c r="R272" s="28"/>
      <c r="S272" s="28"/>
      <c r="T272" s="28"/>
      <c r="U272" s="28"/>
      <c r="V272" s="28"/>
      <c r="W272" s="28"/>
      <c r="X272" s="28"/>
      <c r="Y272" s="28"/>
      <c r="Z272" s="28"/>
      <c r="AA272" s="28"/>
      <c r="AB272" s="28"/>
    </row>
    <row r="273" spans="1:28" ht="12.75" x14ac:dyDescent="0.2">
      <c r="A273" s="31" t="s">
        <v>1618</v>
      </c>
      <c r="B273" s="32" t="s">
        <v>1620</v>
      </c>
      <c r="C273" s="16" t="s">
        <v>1622</v>
      </c>
      <c r="D273" s="16"/>
      <c r="E273" s="6"/>
      <c r="F273" s="6"/>
      <c r="G273" s="6"/>
      <c r="H273" s="28"/>
      <c r="I273" s="28"/>
      <c r="J273" s="28"/>
      <c r="K273" s="28"/>
      <c r="L273" s="28"/>
      <c r="M273" s="28"/>
      <c r="N273" s="28"/>
      <c r="O273" s="28"/>
      <c r="P273" s="28"/>
      <c r="Q273" s="28"/>
      <c r="R273" s="28"/>
      <c r="S273" s="28"/>
      <c r="T273" s="28"/>
      <c r="U273" s="28"/>
      <c r="V273" s="28"/>
      <c r="W273" s="28"/>
      <c r="X273" s="28"/>
      <c r="Y273" s="28"/>
      <c r="Z273" s="28"/>
      <c r="AA273" s="28"/>
      <c r="AB273" s="28"/>
    </row>
    <row r="274" spans="1:28" ht="12.75" x14ac:dyDescent="0.2">
      <c r="A274" s="31" t="s">
        <v>1624</v>
      </c>
      <c r="B274" s="32"/>
      <c r="C274" s="16" t="s">
        <v>1625</v>
      </c>
      <c r="D274" s="16"/>
      <c r="E274" s="6"/>
      <c r="F274" s="6"/>
      <c r="G274" s="6"/>
      <c r="H274" s="28"/>
      <c r="I274" s="28"/>
      <c r="J274" s="28"/>
      <c r="K274" s="28"/>
      <c r="L274" s="28"/>
      <c r="M274" s="28"/>
      <c r="N274" s="28"/>
      <c r="O274" s="28"/>
      <c r="P274" s="28"/>
      <c r="Q274" s="28"/>
      <c r="R274" s="28"/>
      <c r="S274" s="28"/>
      <c r="T274" s="28"/>
      <c r="U274" s="28"/>
      <c r="V274" s="28"/>
      <c r="W274" s="28"/>
      <c r="X274" s="28"/>
      <c r="Y274" s="28"/>
      <c r="Z274" s="28"/>
      <c r="AA274" s="28"/>
      <c r="AB274" s="28"/>
    </row>
    <row r="275" spans="1:28" ht="12.75" x14ac:dyDescent="0.2">
      <c r="A275" s="31" t="s">
        <v>1628</v>
      </c>
      <c r="B275" s="32"/>
      <c r="C275" s="6" t="s">
        <v>1629</v>
      </c>
      <c r="D275" s="16"/>
      <c r="E275" s="6"/>
      <c r="F275" s="6"/>
      <c r="G275" s="6"/>
      <c r="H275" s="28"/>
      <c r="I275" s="28"/>
      <c r="J275" s="28"/>
      <c r="K275" s="28"/>
      <c r="L275" s="28"/>
      <c r="M275" s="28"/>
      <c r="N275" s="28"/>
      <c r="O275" s="28"/>
      <c r="P275" s="28"/>
      <c r="Q275" s="28"/>
      <c r="R275" s="28"/>
      <c r="S275" s="28"/>
      <c r="T275" s="28"/>
      <c r="U275" s="28"/>
      <c r="V275" s="28"/>
      <c r="W275" s="28"/>
      <c r="X275" s="28"/>
      <c r="Y275" s="28"/>
      <c r="Z275" s="28"/>
      <c r="AA275" s="28"/>
      <c r="AB275" s="28"/>
    </row>
    <row r="276" spans="1:28" ht="12.75" x14ac:dyDescent="0.2">
      <c r="A276" s="31" t="s">
        <v>1633</v>
      </c>
      <c r="B276" s="32" t="s">
        <v>1634</v>
      </c>
      <c r="C276" s="16"/>
      <c r="D276" s="16"/>
      <c r="E276" s="6"/>
      <c r="F276" s="6"/>
      <c r="G276" s="6"/>
      <c r="H276" s="28"/>
      <c r="I276" s="28"/>
      <c r="J276" s="28"/>
      <c r="K276" s="28"/>
      <c r="L276" s="28"/>
      <c r="M276" s="28"/>
      <c r="N276" s="28"/>
      <c r="O276" s="28"/>
      <c r="P276" s="28"/>
      <c r="Q276" s="28"/>
      <c r="R276" s="28"/>
      <c r="S276" s="28"/>
      <c r="T276" s="28"/>
      <c r="U276" s="28"/>
      <c r="V276" s="28"/>
      <c r="W276" s="28"/>
      <c r="X276" s="28"/>
      <c r="Y276" s="28"/>
      <c r="Z276" s="28"/>
      <c r="AA276" s="28"/>
      <c r="AB276" s="28"/>
    </row>
    <row r="277" spans="1:28" ht="12.75" x14ac:dyDescent="0.2">
      <c r="A277" s="31" t="s">
        <v>1642</v>
      </c>
      <c r="B277" s="32" t="s">
        <v>1643</v>
      </c>
      <c r="C277" s="16"/>
      <c r="D277" s="16"/>
      <c r="E277" s="6"/>
      <c r="F277" s="6"/>
      <c r="G277" s="6"/>
      <c r="H277" s="28"/>
      <c r="I277" s="28"/>
      <c r="J277" s="28"/>
      <c r="K277" s="28"/>
      <c r="L277" s="28"/>
      <c r="M277" s="28"/>
      <c r="N277" s="28"/>
      <c r="O277" s="28"/>
      <c r="P277" s="28"/>
      <c r="Q277" s="28"/>
      <c r="R277" s="28"/>
      <c r="S277" s="28"/>
      <c r="T277" s="28"/>
      <c r="U277" s="28"/>
      <c r="V277" s="28"/>
      <c r="W277" s="28"/>
      <c r="X277" s="28"/>
      <c r="Y277" s="28"/>
      <c r="Z277" s="28"/>
      <c r="AA277" s="28"/>
      <c r="AB277" s="28"/>
    </row>
    <row r="278" spans="1:28" ht="12.75" x14ac:dyDescent="0.2">
      <c r="A278" s="31" t="s">
        <v>1650</v>
      </c>
      <c r="B278" s="32" t="s">
        <v>1651</v>
      </c>
      <c r="C278" s="16"/>
      <c r="D278" s="16"/>
      <c r="E278" s="6"/>
      <c r="F278" s="6"/>
      <c r="G278" s="6"/>
      <c r="H278" s="28"/>
      <c r="I278" s="28"/>
      <c r="J278" s="28"/>
      <c r="K278" s="28"/>
      <c r="L278" s="28"/>
      <c r="M278" s="28"/>
      <c r="N278" s="28"/>
      <c r="O278" s="28"/>
      <c r="P278" s="28"/>
      <c r="Q278" s="28"/>
      <c r="R278" s="28"/>
      <c r="S278" s="28"/>
      <c r="T278" s="28"/>
      <c r="U278" s="28"/>
      <c r="V278" s="28"/>
      <c r="W278" s="28"/>
      <c r="X278" s="28"/>
      <c r="Y278" s="28"/>
      <c r="Z278" s="28"/>
      <c r="AA278" s="28"/>
      <c r="AB278" s="28"/>
    </row>
    <row r="279" spans="1:28" ht="12.75" x14ac:dyDescent="0.2">
      <c r="A279" s="31" t="s">
        <v>1654</v>
      </c>
      <c r="B279" s="32"/>
      <c r="C279" s="16" t="s">
        <v>1655</v>
      </c>
      <c r="D279" s="16"/>
      <c r="E279" s="6"/>
      <c r="F279" s="6"/>
      <c r="G279" s="6"/>
      <c r="H279" s="28"/>
      <c r="I279" s="28"/>
      <c r="J279" s="28"/>
      <c r="K279" s="28"/>
      <c r="L279" s="28"/>
      <c r="M279" s="28"/>
      <c r="N279" s="28"/>
      <c r="O279" s="28"/>
      <c r="P279" s="28"/>
      <c r="Q279" s="28"/>
      <c r="R279" s="28"/>
      <c r="S279" s="28"/>
      <c r="T279" s="28"/>
      <c r="U279" s="28"/>
      <c r="V279" s="28"/>
      <c r="W279" s="28"/>
      <c r="X279" s="28"/>
      <c r="Y279" s="28"/>
      <c r="Z279" s="28"/>
      <c r="AA279" s="28"/>
      <c r="AB279" s="28"/>
    </row>
    <row r="280" spans="1:28" ht="12.75" x14ac:dyDescent="0.2">
      <c r="A280" s="31" t="s">
        <v>1662</v>
      </c>
      <c r="B280" s="32"/>
      <c r="C280" s="16" t="s">
        <v>1663</v>
      </c>
      <c r="D280" s="16"/>
      <c r="E280" s="6"/>
      <c r="F280" s="6"/>
      <c r="G280" s="6"/>
      <c r="H280" s="28"/>
      <c r="I280" s="28"/>
      <c r="J280" s="28"/>
      <c r="K280" s="28"/>
      <c r="L280" s="28"/>
      <c r="M280" s="28"/>
      <c r="N280" s="28"/>
      <c r="O280" s="28"/>
      <c r="P280" s="28"/>
      <c r="Q280" s="28"/>
      <c r="R280" s="28"/>
      <c r="S280" s="28"/>
      <c r="T280" s="28"/>
      <c r="U280" s="28"/>
      <c r="V280" s="28"/>
      <c r="W280" s="28"/>
      <c r="X280" s="28"/>
      <c r="Y280" s="28"/>
      <c r="Z280" s="28"/>
      <c r="AA280" s="28"/>
      <c r="AB280" s="28"/>
    </row>
    <row r="281" spans="1:28" ht="12.75" x14ac:dyDescent="0.2">
      <c r="A281" s="31" t="s">
        <v>1668</v>
      </c>
      <c r="B281" s="32" t="s">
        <v>1669</v>
      </c>
      <c r="C281" s="16"/>
      <c r="D281" s="16"/>
      <c r="E281" s="6"/>
      <c r="F281" s="6"/>
      <c r="G281" s="6"/>
      <c r="H281" s="28"/>
      <c r="I281" s="28"/>
      <c r="J281" s="28"/>
      <c r="K281" s="28"/>
      <c r="L281" s="28"/>
      <c r="M281" s="28"/>
      <c r="N281" s="28"/>
      <c r="O281" s="28"/>
      <c r="P281" s="28"/>
      <c r="Q281" s="28"/>
      <c r="R281" s="28"/>
      <c r="S281" s="28"/>
      <c r="T281" s="28"/>
      <c r="U281" s="28"/>
      <c r="V281" s="28"/>
      <c r="W281" s="28"/>
      <c r="X281" s="28"/>
      <c r="Y281" s="28"/>
      <c r="Z281" s="28"/>
      <c r="AA281" s="28"/>
      <c r="AB281" s="28"/>
    </row>
    <row r="282" spans="1:28" ht="12.75" x14ac:dyDescent="0.2">
      <c r="A282" s="31" t="s">
        <v>1673</v>
      </c>
      <c r="B282" s="32"/>
      <c r="C282" s="16" t="s">
        <v>1676</v>
      </c>
      <c r="D282" s="16"/>
      <c r="E282" s="6"/>
      <c r="F282" s="6"/>
      <c r="G282" s="6"/>
      <c r="H282" s="28"/>
      <c r="I282" s="28"/>
      <c r="J282" s="28"/>
      <c r="K282" s="28"/>
      <c r="L282" s="28"/>
      <c r="M282" s="28"/>
      <c r="N282" s="28"/>
      <c r="O282" s="28"/>
      <c r="P282" s="28"/>
      <c r="Q282" s="28"/>
      <c r="R282" s="28"/>
      <c r="S282" s="28"/>
      <c r="T282" s="28"/>
      <c r="U282" s="28"/>
      <c r="V282" s="28"/>
      <c r="W282" s="28"/>
      <c r="X282" s="28"/>
      <c r="Y282" s="28"/>
      <c r="Z282" s="28"/>
      <c r="AA282" s="28"/>
      <c r="AB282" s="28"/>
    </row>
    <row r="283" spans="1:28" ht="12.75" x14ac:dyDescent="0.2">
      <c r="A283" s="31" t="s">
        <v>1679</v>
      </c>
      <c r="B283" s="32"/>
      <c r="C283" s="16" t="s">
        <v>1680</v>
      </c>
      <c r="D283" s="16"/>
      <c r="E283" s="6"/>
      <c r="F283" s="6"/>
      <c r="G283" s="6"/>
      <c r="H283" s="28"/>
      <c r="I283" s="28"/>
      <c r="J283" s="28"/>
      <c r="K283" s="28"/>
      <c r="L283" s="28"/>
      <c r="M283" s="28"/>
      <c r="N283" s="28"/>
      <c r="O283" s="28"/>
      <c r="P283" s="28"/>
      <c r="Q283" s="28"/>
      <c r="R283" s="28"/>
      <c r="S283" s="28"/>
      <c r="T283" s="28"/>
      <c r="U283" s="28"/>
      <c r="V283" s="28"/>
      <c r="W283" s="28"/>
      <c r="X283" s="28"/>
      <c r="Y283" s="28"/>
      <c r="Z283" s="28"/>
      <c r="AA283" s="28"/>
      <c r="AB283" s="28"/>
    </row>
    <row r="284" spans="1:28" ht="12.75" x14ac:dyDescent="0.2">
      <c r="A284" s="31" t="s">
        <v>1685</v>
      </c>
      <c r="B284" s="32" t="s">
        <v>1686</v>
      </c>
      <c r="C284" s="16"/>
      <c r="D284" s="16"/>
      <c r="E284" s="6"/>
      <c r="F284" s="6"/>
      <c r="G284" s="6"/>
      <c r="H284" s="28"/>
      <c r="I284" s="28"/>
      <c r="J284" s="28"/>
      <c r="K284" s="28"/>
      <c r="L284" s="28"/>
      <c r="M284" s="28"/>
      <c r="N284" s="28"/>
      <c r="O284" s="28"/>
      <c r="P284" s="28"/>
      <c r="Q284" s="28"/>
      <c r="R284" s="28"/>
      <c r="S284" s="28"/>
      <c r="T284" s="28"/>
      <c r="U284" s="28"/>
      <c r="V284" s="28"/>
      <c r="W284" s="28"/>
      <c r="X284" s="28"/>
      <c r="Y284" s="28"/>
      <c r="Z284" s="28"/>
      <c r="AA284" s="28"/>
      <c r="AB284" s="28"/>
    </row>
    <row r="285" spans="1:28" ht="12.75" x14ac:dyDescent="0.2">
      <c r="A285" s="31" t="s">
        <v>1691</v>
      </c>
      <c r="B285" s="32"/>
      <c r="C285" s="16" t="s">
        <v>1694</v>
      </c>
      <c r="D285" s="16"/>
      <c r="E285" s="6"/>
      <c r="F285" s="6"/>
      <c r="G285" s="6"/>
      <c r="H285" s="28"/>
      <c r="I285" s="28"/>
      <c r="J285" s="28"/>
      <c r="K285" s="28"/>
      <c r="L285" s="28"/>
      <c r="M285" s="28"/>
      <c r="N285" s="28"/>
      <c r="O285" s="28"/>
      <c r="P285" s="28"/>
      <c r="Q285" s="28"/>
      <c r="R285" s="28"/>
      <c r="S285" s="28"/>
      <c r="T285" s="28"/>
      <c r="U285" s="28"/>
      <c r="V285" s="28"/>
      <c r="W285" s="28"/>
      <c r="X285" s="28"/>
      <c r="Y285" s="28"/>
      <c r="Z285" s="28"/>
      <c r="AA285" s="28"/>
      <c r="AB285" s="28"/>
    </row>
    <row r="286" spans="1:28" ht="12.75" x14ac:dyDescent="0.2">
      <c r="A286" s="31" t="s">
        <v>1696</v>
      </c>
      <c r="B286" s="32"/>
      <c r="C286" s="16" t="s">
        <v>1697</v>
      </c>
      <c r="D286" s="16"/>
      <c r="E286" s="6"/>
      <c r="F286" s="6"/>
      <c r="G286" s="6"/>
      <c r="H286" s="28"/>
      <c r="I286" s="28"/>
      <c r="J286" s="28"/>
      <c r="K286" s="28"/>
      <c r="L286" s="28"/>
      <c r="M286" s="28"/>
      <c r="N286" s="28"/>
      <c r="O286" s="28"/>
      <c r="P286" s="28"/>
      <c r="Q286" s="28"/>
      <c r="R286" s="28"/>
      <c r="S286" s="28"/>
      <c r="T286" s="28"/>
      <c r="U286" s="28"/>
      <c r="V286" s="28"/>
      <c r="W286" s="28"/>
      <c r="X286" s="28"/>
      <c r="Y286" s="28"/>
      <c r="Z286" s="28"/>
      <c r="AA286" s="28"/>
      <c r="AB286" s="28"/>
    </row>
    <row r="287" spans="1:28" ht="12.75" x14ac:dyDescent="0.2">
      <c r="A287" s="31" t="s">
        <v>1703</v>
      </c>
      <c r="B287" s="32" t="s">
        <v>1704</v>
      </c>
      <c r="C287" s="16"/>
      <c r="D287" s="16"/>
      <c r="E287" s="6"/>
      <c r="F287" s="6"/>
      <c r="G287" s="6"/>
      <c r="H287" s="28"/>
      <c r="I287" s="28"/>
      <c r="J287" s="28"/>
      <c r="K287" s="28"/>
      <c r="L287" s="28"/>
      <c r="M287" s="28"/>
      <c r="N287" s="28"/>
      <c r="O287" s="28"/>
      <c r="P287" s="28"/>
      <c r="Q287" s="28"/>
      <c r="R287" s="28"/>
      <c r="S287" s="28"/>
      <c r="T287" s="28"/>
      <c r="U287" s="28"/>
      <c r="V287" s="28"/>
      <c r="W287" s="28"/>
      <c r="X287" s="28"/>
      <c r="Y287" s="28"/>
      <c r="Z287" s="28"/>
      <c r="AA287" s="28"/>
      <c r="AB287" s="28"/>
    </row>
    <row r="288" spans="1:28" ht="12.75" x14ac:dyDescent="0.2">
      <c r="A288" s="31" t="s">
        <v>1705</v>
      </c>
      <c r="B288" s="32"/>
      <c r="C288" s="16" t="s">
        <v>1706</v>
      </c>
      <c r="D288" s="16"/>
      <c r="E288" s="6"/>
      <c r="F288" s="6"/>
      <c r="G288" s="6"/>
      <c r="H288" s="28"/>
      <c r="I288" s="28"/>
      <c r="J288" s="28"/>
      <c r="K288" s="28"/>
      <c r="L288" s="28"/>
      <c r="M288" s="28"/>
      <c r="N288" s="28"/>
      <c r="O288" s="28"/>
      <c r="P288" s="28"/>
      <c r="Q288" s="28"/>
      <c r="R288" s="28"/>
      <c r="S288" s="28"/>
      <c r="T288" s="28"/>
      <c r="U288" s="28"/>
      <c r="V288" s="28"/>
      <c r="W288" s="28"/>
      <c r="X288" s="28"/>
      <c r="Y288" s="28"/>
      <c r="Z288" s="28"/>
      <c r="AA288" s="28"/>
      <c r="AB288" s="28"/>
    </row>
    <row r="289" spans="1:28" ht="12.75" x14ac:dyDescent="0.2">
      <c r="A289" s="31" t="s">
        <v>1713</v>
      </c>
      <c r="B289" s="32" t="s">
        <v>647</v>
      </c>
      <c r="C289" s="16" t="s">
        <v>1714</v>
      </c>
      <c r="D289" s="16"/>
      <c r="E289" s="6"/>
      <c r="F289" s="6"/>
      <c r="G289" s="6"/>
      <c r="H289" s="28"/>
      <c r="I289" s="28"/>
      <c r="J289" s="28"/>
      <c r="K289" s="28"/>
      <c r="L289" s="28"/>
      <c r="M289" s="28"/>
      <c r="N289" s="28"/>
      <c r="O289" s="28"/>
      <c r="P289" s="28"/>
      <c r="Q289" s="28"/>
      <c r="R289" s="28"/>
      <c r="S289" s="28"/>
      <c r="T289" s="28"/>
      <c r="U289" s="28"/>
      <c r="V289" s="28"/>
      <c r="W289" s="28"/>
      <c r="X289" s="28"/>
      <c r="Y289" s="28"/>
      <c r="Z289" s="28"/>
      <c r="AA289" s="28"/>
      <c r="AB289" s="28"/>
    </row>
    <row r="290" spans="1:28" ht="12.75" x14ac:dyDescent="0.2">
      <c r="A290" s="31" t="s">
        <v>1715</v>
      </c>
      <c r="B290" s="32" t="s">
        <v>1149</v>
      </c>
      <c r="C290" s="16" t="s">
        <v>1716</v>
      </c>
      <c r="D290" s="16"/>
      <c r="E290" s="6"/>
      <c r="F290" s="6"/>
      <c r="G290" s="6"/>
      <c r="H290" s="28"/>
      <c r="I290" s="28"/>
      <c r="J290" s="28"/>
      <c r="K290" s="28"/>
      <c r="L290" s="28"/>
      <c r="M290" s="28"/>
      <c r="N290" s="28"/>
      <c r="O290" s="28"/>
      <c r="P290" s="28"/>
      <c r="Q290" s="28"/>
      <c r="R290" s="28"/>
      <c r="S290" s="28"/>
      <c r="T290" s="28"/>
      <c r="U290" s="28"/>
      <c r="V290" s="28"/>
      <c r="W290" s="28"/>
      <c r="X290" s="28"/>
      <c r="Y290" s="28"/>
      <c r="Z290" s="28"/>
      <c r="AA290" s="28"/>
      <c r="AB290" s="28"/>
    </row>
    <row r="291" spans="1:28" ht="12.75" x14ac:dyDescent="0.2">
      <c r="A291" s="31" t="s">
        <v>1723</v>
      </c>
      <c r="B291" s="32" t="s">
        <v>1724</v>
      </c>
      <c r="C291" s="16"/>
      <c r="D291" s="16"/>
      <c r="E291" s="6"/>
      <c r="F291" s="6"/>
      <c r="G291" s="6"/>
      <c r="H291" s="28"/>
      <c r="I291" s="28"/>
      <c r="J291" s="28"/>
      <c r="K291" s="28"/>
      <c r="L291" s="28"/>
      <c r="M291" s="28"/>
      <c r="N291" s="28"/>
      <c r="O291" s="28"/>
      <c r="P291" s="28"/>
      <c r="Q291" s="28"/>
      <c r="R291" s="28"/>
      <c r="S291" s="28"/>
      <c r="T291" s="28"/>
      <c r="U291" s="28"/>
      <c r="V291" s="28"/>
      <c r="W291" s="28"/>
      <c r="X291" s="28"/>
      <c r="Y291" s="28"/>
      <c r="Z291" s="28"/>
      <c r="AA291" s="28"/>
      <c r="AB291" s="28"/>
    </row>
    <row r="292" spans="1:28" ht="12.75" x14ac:dyDescent="0.2">
      <c r="A292" s="31" t="s">
        <v>1726</v>
      </c>
      <c r="B292" s="32"/>
      <c r="C292" s="16" t="s">
        <v>1729</v>
      </c>
      <c r="D292" s="16"/>
      <c r="E292" s="6"/>
      <c r="F292" s="6"/>
      <c r="G292" s="6"/>
      <c r="H292" s="28"/>
      <c r="I292" s="28"/>
      <c r="J292" s="28"/>
      <c r="K292" s="28"/>
      <c r="L292" s="28"/>
      <c r="M292" s="28"/>
      <c r="N292" s="28"/>
      <c r="O292" s="28"/>
      <c r="P292" s="28"/>
      <c r="Q292" s="28"/>
      <c r="R292" s="28"/>
      <c r="S292" s="28"/>
      <c r="T292" s="28"/>
      <c r="U292" s="28"/>
      <c r="V292" s="28"/>
      <c r="W292" s="28"/>
      <c r="X292" s="28"/>
      <c r="Y292" s="28"/>
      <c r="Z292" s="28"/>
      <c r="AA292" s="28"/>
      <c r="AB292" s="28"/>
    </row>
    <row r="293" spans="1:28" ht="12.75" x14ac:dyDescent="0.2">
      <c r="A293" s="31" t="s">
        <v>1733</v>
      </c>
      <c r="B293" s="32"/>
      <c r="C293" s="16" t="s">
        <v>1734</v>
      </c>
      <c r="D293" s="16"/>
      <c r="E293" s="6"/>
      <c r="F293" s="6"/>
      <c r="G293" s="6"/>
      <c r="H293" s="28"/>
      <c r="I293" s="28"/>
      <c r="J293" s="28"/>
      <c r="K293" s="28"/>
      <c r="L293" s="28"/>
      <c r="M293" s="28"/>
      <c r="N293" s="28"/>
      <c r="O293" s="28"/>
      <c r="P293" s="28"/>
      <c r="Q293" s="28"/>
      <c r="R293" s="28"/>
      <c r="S293" s="28"/>
      <c r="T293" s="28"/>
      <c r="U293" s="28"/>
      <c r="V293" s="28"/>
      <c r="W293" s="28"/>
      <c r="X293" s="28"/>
      <c r="Y293" s="28"/>
      <c r="Z293" s="28"/>
      <c r="AA293" s="28"/>
      <c r="AB293" s="28"/>
    </row>
    <row r="294" spans="1:28" ht="12.75" x14ac:dyDescent="0.2">
      <c r="A294" s="31" t="s">
        <v>1739</v>
      </c>
      <c r="B294" s="32" t="s">
        <v>1741</v>
      </c>
      <c r="C294" s="16"/>
      <c r="D294" s="16"/>
      <c r="E294" s="6"/>
      <c r="F294" s="6"/>
      <c r="G294" s="6"/>
      <c r="H294" s="28"/>
      <c r="I294" s="28"/>
      <c r="J294" s="28"/>
      <c r="K294" s="28"/>
      <c r="L294" s="28"/>
      <c r="M294" s="28"/>
      <c r="N294" s="28"/>
      <c r="O294" s="28"/>
      <c r="P294" s="28"/>
      <c r="Q294" s="28"/>
      <c r="R294" s="28"/>
      <c r="S294" s="28"/>
      <c r="T294" s="28"/>
      <c r="U294" s="28"/>
      <c r="V294" s="28"/>
      <c r="W294" s="28"/>
      <c r="X294" s="28"/>
      <c r="Y294" s="28"/>
      <c r="Z294" s="28"/>
      <c r="AA294" s="28"/>
      <c r="AB294" s="28"/>
    </row>
    <row r="295" spans="1:28" ht="12.75" x14ac:dyDescent="0.2">
      <c r="A295" s="31" t="s">
        <v>1743</v>
      </c>
      <c r="B295" s="32" t="s">
        <v>1744</v>
      </c>
      <c r="C295" s="16"/>
      <c r="D295" s="16"/>
      <c r="E295" s="6"/>
      <c r="F295" s="6"/>
      <c r="G295" s="6"/>
      <c r="H295" s="28"/>
      <c r="I295" s="28"/>
      <c r="J295" s="28"/>
      <c r="K295" s="28"/>
      <c r="L295" s="28"/>
      <c r="M295" s="28"/>
      <c r="N295" s="28"/>
      <c r="O295" s="28"/>
      <c r="P295" s="28"/>
      <c r="Q295" s="28"/>
      <c r="R295" s="28"/>
      <c r="S295" s="28"/>
      <c r="T295" s="28"/>
      <c r="U295" s="28"/>
      <c r="V295" s="28"/>
      <c r="W295" s="28"/>
      <c r="X295" s="28"/>
      <c r="Y295" s="28"/>
      <c r="Z295" s="28"/>
      <c r="AA295" s="28"/>
      <c r="AB295" s="28"/>
    </row>
    <row r="296" spans="1:28" ht="12.75" x14ac:dyDescent="0.2">
      <c r="A296" s="31" t="s">
        <v>1635</v>
      </c>
      <c r="B296" s="32" t="s">
        <v>1750</v>
      </c>
      <c r="C296" s="16"/>
      <c r="D296" s="16"/>
      <c r="E296" s="6"/>
      <c r="F296" s="6"/>
      <c r="G296" s="6"/>
      <c r="H296" s="28"/>
      <c r="I296" s="28"/>
      <c r="J296" s="28"/>
      <c r="K296" s="28"/>
      <c r="L296" s="28"/>
      <c r="M296" s="28"/>
      <c r="N296" s="28"/>
      <c r="O296" s="28"/>
      <c r="P296" s="28"/>
      <c r="Q296" s="28"/>
      <c r="R296" s="28"/>
      <c r="S296" s="28"/>
      <c r="T296" s="28"/>
      <c r="U296" s="28"/>
      <c r="V296" s="28"/>
      <c r="W296" s="28"/>
      <c r="X296" s="28"/>
      <c r="Y296" s="28"/>
      <c r="Z296" s="28"/>
      <c r="AA296" s="28"/>
      <c r="AB296" s="28"/>
    </row>
    <row r="297" spans="1:28" ht="12.75" x14ac:dyDescent="0.2">
      <c r="A297" s="31" t="s">
        <v>1753</v>
      </c>
      <c r="B297" s="32" t="s">
        <v>1755</v>
      </c>
      <c r="C297" s="16"/>
      <c r="D297" s="16"/>
      <c r="E297" s="6"/>
      <c r="F297" s="6"/>
      <c r="G297" s="6"/>
      <c r="H297" s="28"/>
      <c r="I297" s="28"/>
      <c r="J297" s="28"/>
      <c r="K297" s="28"/>
      <c r="L297" s="28"/>
      <c r="M297" s="28"/>
      <c r="N297" s="28"/>
      <c r="O297" s="28"/>
      <c r="P297" s="28"/>
      <c r="Q297" s="28"/>
      <c r="R297" s="28"/>
      <c r="S297" s="28"/>
      <c r="T297" s="28"/>
      <c r="U297" s="28"/>
      <c r="V297" s="28"/>
      <c r="W297" s="28"/>
      <c r="X297" s="28"/>
      <c r="Y297" s="28"/>
      <c r="Z297" s="28"/>
      <c r="AA297" s="28"/>
      <c r="AB297" s="28"/>
    </row>
    <row r="298" spans="1:28" ht="12.75" x14ac:dyDescent="0.2">
      <c r="A298" s="31" t="s">
        <v>1760</v>
      </c>
      <c r="B298" s="32" t="s">
        <v>1761</v>
      </c>
      <c r="C298" s="16"/>
      <c r="D298" s="16"/>
      <c r="E298" s="6"/>
      <c r="F298" s="6"/>
      <c r="G298" s="6"/>
      <c r="H298" s="28"/>
      <c r="I298" s="28"/>
      <c r="J298" s="28"/>
      <c r="K298" s="28"/>
      <c r="L298" s="28"/>
      <c r="M298" s="28"/>
      <c r="N298" s="28"/>
      <c r="O298" s="28"/>
      <c r="P298" s="28"/>
      <c r="Q298" s="28"/>
      <c r="R298" s="28"/>
      <c r="S298" s="28"/>
      <c r="T298" s="28"/>
      <c r="U298" s="28"/>
      <c r="V298" s="28"/>
      <c r="W298" s="28"/>
      <c r="X298" s="28"/>
      <c r="Y298" s="28"/>
      <c r="Z298" s="28"/>
      <c r="AA298" s="28"/>
      <c r="AB298" s="28"/>
    </row>
    <row r="299" spans="1:28" ht="12.75" x14ac:dyDescent="0.2">
      <c r="A299" s="31" t="s">
        <v>1763</v>
      </c>
      <c r="B299" s="32" t="s">
        <v>1764</v>
      </c>
      <c r="C299" s="16"/>
      <c r="D299" s="16"/>
      <c r="E299" s="6"/>
      <c r="F299" s="6"/>
      <c r="G299" s="6"/>
      <c r="H299" s="28"/>
      <c r="I299" s="28"/>
      <c r="J299" s="28"/>
      <c r="K299" s="28"/>
      <c r="L299" s="28"/>
      <c r="M299" s="28"/>
      <c r="N299" s="28"/>
      <c r="O299" s="28"/>
      <c r="P299" s="28"/>
      <c r="Q299" s="28"/>
      <c r="R299" s="28"/>
      <c r="S299" s="28"/>
      <c r="T299" s="28"/>
      <c r="U299" s="28"/>
      <c r="V299" s="28"/>
      <c r="W299" s="28"/>
      <c r="X299" s="28"/>
      <c r="Y299" s="28"/>
      <c r="Z299" s="28"/>
      <c r="AA299" s="28"/>
      <c r="AB299" s="28"/>
    </row>
    <row r="300" spans="1:28" ht="12.75" x14ac:dyDescent="0.2">
      <c r="A300" s="31" t="s">
        <v>1769</v>
      </c>
      <c r="B300" s="32" t="s">
        <v>1770</v>
      </c>
      <c r="C300" s="16" t="s">
        <v>1771</v>
      </c>
      <c r="D300" s="16"/>
      <c r="E300" s="6"/>
      <c r="F300" s="6"/>
      <c r="G300" s="6"/>
      <c r="H300" s="28"/>
      <c r="I300" s="28"/>
      <c r="J300" s="28"/>
      <c r="K300" s="28"/>
      <c r="L300" s="28"/>
      <c r="M300" s="28"/>
      <c r="N300" s="28"/>
      <c r="O300" s="28"/>
      <c r="P300" s="28"/>
      <c r="Q300" s="28"/>
      <c r="R300" s="28"/>
      <c r="S300" s="28"/>
      <c r="T300" s="28"/>
      <c r="U300" s="28"/>
      <c r="V300" s="28"/>
      <c r="W300" s="28"/>
      <c r="X300" s="28"/>
      <c r="Y300" s="28"/>
      <c r="Z300" s="28"/>
      <c r="AA300" s="28"/>
      <c r="AB300" s="28"/>
    </row>
    <row r="301" spans="1:28" ht="12.75" x14ac:dyDescent="0.2">
      <c r="A301" s="31" t="s">
        <v>1778</v>
      </c>
      <c r="B301" s="32" t="s">
        <v>1779</v>
      </c>
      <c r="C301" s="16"/>
      <c r="D301" s="16"/>
      <c r="E301" s="6"/>
      <c r="F301" s="6"/>
      <c r="G301" s="6"/>
      <c r="H301" s="28"/>
      <c r="I301" s="28"/>
      <c r="J301" s="28"/>
      <c r="K301" s="28"/>
      <c r="L301" s="28"/>
      <c r="M301" s="28"/>
      <c r="N301" s="28"/>
      <c r="O301" s="28"/>
      <c r="P301" s="28"/>
      <c r="Q301" s="28"/>
      <c r="R301" s="28"/>
      <c r="S301" s="28"/>
      <c r="T301" s="28"/>
      <c r="U301" s="28"/>
      <c r="V301" s="28"/>
      <c r="W301" s="28"/>
      <c r="X301" s="28"/>
      <c r="Y301" s="28"/>
      <c r="Z301" s="28"/>
      <c r="AA301" s="28"/>
      <c r="AB301" s="28"/>
    </row>
    <row r="302" spans="1:28" ht="12.75" x14ac:dyDescent="0.2">
      <c r="A302" s="31" t="s">
        <v>1781</v>
      </c>
      <c r="B302" s="32" t="s">
        <v>1783</v>
      </c>
      <c r="C302" s="16"/>
      <c r="D302" s="16"/>
      <c r="E302" s="6"/>
      <c r="F302" s="6"/>
      <c r="G302" s="6"/>
      <c r="H302" s="28"/>
      <c r="I302" s="28"/>
      <c r="J302" s="28"/>
      <c r="K302" s="28"/>
      <c r="L302" s="28"/>
      <c r="M302" s="28"/>
      <c r="N302" s="28"/>
      <c r="O302" s="28"/>
      <c r="P302" s="28"/>
      <c r="Q302" s="28"/>
      <c r="R302" s="28"/>
      <c r="S302" s="28"/>
      <c r="T302" s="28"/>
      <c r="U302" s="28"/>
      <c r="V302" s="28"/>
      <c r="W302" s="28"/>
      <c r="X302" s="28"/>
      <c r="Y302" s="28"/>
      <c r="Z302" s="28"/>
      <c r="AA302" s="28"/>
      <c r="AB302" s="28"/>
    </row>
    <row r="303" spans="1:28" ht="12.75" x14ac:dyDescent="0.2">
      <c r="A303" s="31" t="s">
        <v>1786</v>
      </c>
      <c r="B303" s="32" t="s">
        <v>1787</v>
      </c>
      <c r="C303" s="16"/>
      <c r="D303" s="16"/>
      <c r="E303" s="6"/>
      <c r="F303" s="6"/>
      <c r="G303" s="6"/>
      <c r="H303" s="28"/>
      <c r="I303" s="28"/>
      <c r="J303" s="28"/>
      <c r="K303" s="28"/>
      <c r="L303" s="28"/>
      <c r="M303" s="28"/>
      <c r="N303" s="28"/>
      <c r="O303" s="28"/>
      <c r="P303" s="28"/>
      <c r="Q303" s="28"/>
      <c r="R303" s="28"/>
      <c r="S303" s="28"/>
      <c r="T303" s="28"/>
      <c r="U303" s="28"/>
      <c r="V303" s="28"/>
      <c r="W303" s="28"/>
      <c r="X303" s="28"/>
      <c r="Y303" s="28"/>
      <c r="Z303" s="28"/>
      <c r="AA303" s="28"/>
      <c r="AB303" s="28"/>
    </row>
    <row r="304" spans="1:28" ht="25.5" x14ac:dyDescent="0.2">
      <c r="A304" s="31" t="s">
        <v>1794</v>
      </c>
      <c r="B304" s="32" t="s">
        <v>1795</v>
      </c>
      <c r="C304" s="16"/>
      <c r="D304" s="16"/>
      <c r="E304" s="6"/>
      <c r="F304" s="6"/>
      <c r="G304" s="6"/>
      <c r="H304" s="28"/>
      <c r="I304" s="28"/>
      <c r="J304" s="28"/>
      <c r="K304" s="28"/>
      <c r="L304" s="28"/>
      <c r="M304" s="28"/>
      <c r="N304" s="28"/>
      <c r="O304" s="28"/>
      <c r="P304" s="28"/>
      <c r="Q304" s="28"/>
      <c r="R304" s="28"/>
      <c r="S304" s="28"/>
      <c r="T304" s="28"/>
      <c r="U304" s="28"/>
      <c r="V304" s="28"/>
      <c r="W304" s="28"/>
      <c r="X304" s="28"/>
      <c r="Y304" s="28"/>
      <c r="Z304" s="28"/>
      <c r="AA304" s="28"/>
      <c r="AB304" s="28"/>
    </row>
    <row r="305" spans="1:28" ht="12.75" x14ac:dyDescent="0.2">
      <c r="A305" s="31" t="s">
        <v>1800</v>
      </c>
      <c r="B305" s="32" t="s">
        <v>1801</v>
      </c>
      <c r="C305" s="16"/>
      <c r="D305" s="16"/>
      <c r="E305" s="6"/>
      <c r="F305" s="6"/>
      <c r="G305" s="6"/>
      <c r="H305" s="28"/>
      <c r="I305" s="28"/>
      <c r="J305" s="28"/>
      <c r="K305" s="28"/>
      <c r="L305" s="28"/>
      <c r="M305" s="28"/>
      <c r="N305" s="28"/>
      <c r="O305" s="28"/>
      <c r="P305" s="28"/>
      <c r="Q305" s="28"/>
      <c r="R305" s="28"/>
      <c r="S305" s="28"/>
      <c r="T305" s="28"/>
      <c r="U305" s="28"/>
      <c r="V305" s="28"/>
      <c r="W305" s="28"/>
      <c r="X305" s="28"/>
      <c r="Y305" s="28"/>
      <c r="Z305" s="28"/>
      <c r="AA305" s="28"/>
      <c r="AB305" s="28"/>
    </row>
    <row r="306" spans="1:28" ht="12.75" x14ac:dyDescent="0.2">
      <c r="A306" s="31" t="s">
        <v>1805</v>
      </c>
      <c r="B306" s="32" t="s">
        <v>1806</v>
      </c>
      <c r="C306" s="16"/>
      <c r="D306" s="16"/>
      <c r="E306" s="6"/>
      <c r="F306" s="6"/>
      <c r="G306" s="6"/>
      <c r="H306" s="28"/>
      <c r="I306" s="28"/>
      <c r="J306" s="28"/>
      <c r="K306" s="28"/>
      <c r="L306" s="28"/>
      <c r="M306" s="28"/>
      <c r="N306" s="28"/>
      <c r="O306" s="28"/>
      <c r="P306" s="28"/>
      <c r="Q306" s="28"/>
      <c r="R306" s="28"/>
      <c r="S306" s="28"/>
      <c r="T306" s="28"/>
      <c r="U306" s="28"/>
      <c r="V306" s="28"/>
      <c r="W306" s="28"/>
      <c r="X306" s="28"/>
      <c r="Y306" s="28"/>
      <c r="Z306" s="28"/>
      <c r="AA306" s="28"/>
      <c r="AB306" s="28"/>
    </row>
    <row r="307" spans="1:28" ht="12.75" x14ac:dyDescent="0.2">
      <c r="A307" s="31" t="s">
        <v>390</v>
      </c>
      <c r="B307" s="32" t="s">
        <v>389</v>
      </c>
      <c r="C307" s="16"/>
      <c r="D307" s="16"/>
      <c r="E307" s="6"/>
      <c r="F307" s="6"/>
      <c r="G307" s="6"/>
      <c r="H307" s="28"/>
      <c r="I307" s="28"/>
      <c r="J307" s="28"/>
      <c r="K307" s="28"/>
      <c r="L307" s="28"/>
      <c r="M307" s="28"/>
      <c r="N307" s="28"/>
      <c r="O307" s="28"/>
      <c r="P307" s="28"/>
      <c r="Q307" s="28"/>
      <c r="R307" s="28"/>
      <c r="S307" s="28"/>
      <c r="T307" s="28"/>
      <c r="U307" s="28"/>
      <c r="V307" s="28"/>
      <c r="W307" s="28"/>
      <c r="X307" s="28"/>
      <c r="Y307" s="28"/>
      <c r="Z307" s="28"/>
      <c r="AA307" s="28"/>
      <c r="AB307" s="28"/>
    </row>
    <row r="308" spans="1:28" ht="12.75" x14ac:dyDescent="0.2">
      <c r="A308" s="31" t="s">
        <v>380</v>
      </c>
      <c r="B308" s="32" t="s">
        <v>379</v>
      </c>
      <c r="C308" s="16"/>
      <c r="D308" s="16"/>
      <c r="E308" s="6"/>
      <c r="F308" s="6"/>
      <c r="G308" s="6"/>
      <c r="H308" s="28"/>
      <c r="I308" s="28"/>
      <c r="J308" s="28"/>
      <c r="K308" s="28"/>
      <c r="L308" s="28"/>
      <c r="M308" s="28"/>
      <c r="N308" s="28"/>
      <c r="O308" s="28"/>
      <c r="P308" s="28"/>
      <c r="Q308" s="28"/>
      <c r="R308" s="28"/>
      <c r="S308" s="28"/>
      <c r="T308" s="28"/>
      <c r="U308" s="28"/>
      <c r="V308" s="28"/>
      <c r="W308" s="28"/>
      <c r="X308" s="28"/>
      <c r="Y308" s="28"/>
      <c r="Z308" s="28"/>
      <c r="AA308" s="28"/>
      <c r="AB308" s="28"/>
    </row>
    <row r="309" spans="1:28" ht="12.75" x14ac:dyDescent="0.2">
      <c r="A309" s="31" t="s">
        <v>1819</v>
      </c>
      <c r="B309" s="32" t="s">
        <v>1820</v>
      </c>
      <c r="C309" s="16"/>
      <c r="D309" s="16"/>
      <c r="E309" s="6"/>
      <c r="F309" s="6"/>
      <c r="G309" s="6"/>
      <c r="H309" s="28"/>
      <c r="I309" s="28"/>
      <c r="J309" s="28"/>
      <c r="K309" s="28"/>
      <c r="L309" s="28"/>
      <c r="M309" s="28"/>
      <c r="N309" s="28"/>
      <c r="O309" s="28"/>
      <c r="P309" s="28"/>
      <c r="Q309" s="28"/>
      <c r="R309" s="28"/>
      <c r="S309" s="28"/>
      <c r="T309" s="28"/>
      <c r="U309" s="28"/>
      <c r="V309" s="28"/>
      <c r="W309" s="28"/>
      <c r="X309" s="28"/>
      <c r="Y309" s="28"/>
      <c r="Z309" s="28"/>
      <c r="AA309" s="28"/>
      <c r="AB309" s="28"/>
    </row>
    <row r="310" spans="1:28" ht="12.75" x14ac:dyDescent="0.2">
      <c r="A310" s="31" t="s">
        <v>1823</v>
      </c>
      <c r="B310" s="32" t="s">
        <v>1824</v>
      </c>
      <c r="C310" s="16"/>
      <c r="D310" s="16"/>
      <c r="E310" s="6"/>
      <c r="F310" s="6"/>
      <c r="G310" s="6"/>
      <c r="H310" s="28"/>
      <c r="I310" s="28"/>
      <c r="J310" s="28"/>
      <c r="K310" s="28"/>
      <c r="L310" s="28"/>
      <c r="M310" s="28"/>
      <c r="N310" s="28"/>
      <c r="O310" s="28"/>
      <c r="P310" s="28"/>
      <c r="Q310" s="28"/>
      <c r="R310" s="28"/>
      <c r="S310" s="28"/>
      <c r="T310" s="28"/>
      <c r="U310" s="28"/>
      <c r="V310" s="28"/>
      <c r="W310" s="28"/>
      <c r="X310" s="28"/>
      <c r="Y310" s="28"/>
      <c r="Z310" s="28"/>
      <c r="AA310" s="28"/>
      <c r="AB310" s="28"/>
    </row>
    <row r="311" spans="1:28" ht="12.75" x14ac:dyDescent="0.2">
      <c r="A311" s="31" t="s">
        <v>1829</v>
      </c>
      <c r="B311" s="32" t="s">
        <v>1830</v>
      </c>
      <c r="C311" s="16"/>
      <c r="D311" s="16"/>
      <c r="E311" s="6"/>
      <c r="F311" s="6"/>
      <c r="G311" s="6"/>
      <c r="H311" s="28"/>
      <c r="I311" s="28"/>
      <c r="J311" s="28"/>
      <c r="K311" s="28"/>
      <c r="L311" s="28"/>
      <c r="M311" s="28"/>
      <c r="N311" s="28"/>
      <c r="O311" s="28"/>
      <c r="P311" s="28"/>
      <c r="Q311" s="28"/>
      <c r="R311" s="28"/>
      <c r="S311" s="28"/>
      <c r="T311" s="28"/>
      <c r="U311" s="28"/>
      <c r="V311" s="28"/>
      <c r="W311" s="28"/>
      <c r="X311" s="28"/>
      <c r="Y311" s="28"/>
      <c r="Z311" s="28"/>
      <c r="AA311" s="28"/>
      <c r="AB311" s="28"/>
    </row>
    <row r="312" spans="1:28" ht="12.75" x14ac:dyDescent="0.2">
      <c r="A312" s="31" t="s">
        <v>505</v>
      </c>
      <c r="B312" s="32" t="s">
        <v>1831</v>
      </c>
      <c r="C312" s="16"/>
      <c r="D312" s="16"/>
      <c r="E312" s="6"/>
      <c r="F312" s="6"/>
      <c r="G312" s="6"/>
      <c r="H312" s="28"/>
      <c r="I312" s="28"/>
      <c r="J312" s="28"/>
      <c r="K312" s="28"/>
      <c r="L312" s="28"/>
      <c r="M312" s="28"/>
      <c r="N312" s="28"/>
      <c r="O312" s="28"/>
      <c r="P312" s="28"/>
      <c r="Q312" s="28"/>
      <c r="R312" s="28"/>
      <c r="S312" s="28"/>
      <c r="T312" s="28"/>
      <c r="U312" s="28"/>
      <c r="V312" s="28"/>
      <c r="W312" s="28"/>
      <c r="X312" s="28"/>
      <c r="Y312" s="28"/>
      <c r="Z312" s="28"/>
      <c r="AA312" s="28"/>
      <c r="AB312" s="28"/>
    </row>
    <row r="313" spans="1:28" ht="12.75" x14ac:dyDescent="0.2">
      <c r="A313" s="31" t="s">
        <v>1836</v>
      </c>
      <c r="B313" s="32" t="s">
        <v>1837</v>
      </c>
      <c r="C313" s="16"/>
      <c r="D313" s="16"/>
      <c r="E313" s="6"/>
      <c r="F313" s="6"/>
      <c r="G313" s="6"/>
      <c r="H313" s="28"/>
      <c r="I313" s="28"/>
      <c r="J313" s="28"/>
      <c r="K313" s="28"/>
      <c r="L313" s="28"/>
      <c r="M313" s="28"/>
      <c r="N313" s="28"/>
      <c r="O313" s="28"/>
      <c r="P313" s="28"/>
      <c r="Q313" s="28"/>
      <c r="R313" s="28"/>
      <c r="S313" s="28"/>
      <c r="T313" s="28"/>
      <c r="U313" s="28"/>
      <c r="V313" s="28"/>
      <c r="W313" s="28"/>
      <c r="X313" s="28"/>
      <c r="Y313" s="28"/>
      <c r="Z313" s="28"/>
      <c r="AA313" s="28"/>
      <c r="AB313" s="28"/>
    </row>
    <row r="314" spans="1:28" ht="12.75" x14ac:dyDescent="0.2">
      <c r="A314" s="31" t="s">
        <v>521</v>
      </c>
      <c r="B314" s="32" t="s">
        <v>1838</v>
      </c>
      <c r="C314" s="16"/>
      <c r="D314" s="16"/>
      <c r="E314" s="6"/>
      <c r="F314" s="6"/>
      <c r="G314" s="6"/>
      <c r="H314" s="28"/>
      <c r="I314" s="28"/>
      <c r="J314" s="28"/>
      <c r="K314" s="28"/>
      <c r="L314" s="28"/>
      <c r="M314" s="28"/>
      <c r="N314" s="28"/>
      <c r="O314" s="28"/>
      <c r="P314" s="28"/>
      <c r="Q314" s="28"/>
      <c r="R314" s="28"/>
      <c r="S314" s="28"/>
      <c r="T314" s="28"/>
      <c r="U314" s="28"/>
      <c r="V314" s="28"/>
      <c r="W314" s="28"/>
      <c r="X314" s="28"/>
      <c r="Y314" s="28"/>
      <c r="Z314" s="28"/>
      <c r="AA314" s="28"/>
      <c r="AB314" s="28"/>
    </row>
    <row r="315" spans="1:28" ht="12.75" x14ac:dyDescent="0.2">
      <c r="A315" s="31" t="s">
        <v>780</v>
      </c>
      <c r="B315" s="32" t="s">
        <v>1842</v>
      </c>
      <c r="C315" s="16"/>
      <c r="D315" s="16"/>
      <c r="E315" s="6"/>
      <c r="F315" s="6"/>
      <c r="G315" s="6"/>
      <c r="H315" s="28"/>
      <c r="I315" s="28"/>
      <c r="J315" s="28"/>
      <c r="K315" s="28"/>
      <c r="L315" s="28"/>
      <c r="M315" s="28"/>
      <c r="N315" s="28"/>
      <c r="O315" s="28"/>
      <c r="P315" s="28"/>
      <c r="Q315" s="28"/>
      <c r="R315" s="28"/>
      <c r="S315" s="28"/>
      <c r="T315" s="28"/>
      <c r="U315" s="28"/>
      <c r="V315" s="28"/>
      <c r="W315" s="28"/>
      <c r="X315" s="28"/>
      <c r="Y315" s="28"/>
      <c r="Z315" s="28"/>
      <c r="AA315" s="28"/>
      <c r="AB315" s="28"/>
    </row>
    <row r="316" spans="1:28" ht="12.75" x14ac:dyDescent="0.2">
      <c r="A316" s="31" t="s">
        <v>1545</v>
      </c>
      <c r="B316" s="32" t="s">
        <v>1843</v>
      </c>
      <c r="C316" s="16"/>
      <c r="D316" s="16"/>
      <c r="E316" s="6"/>
      <c r="F316" s="6"/>
      <c r="G316" s="6"/>
      <c r="H316" s="28"/>
      <c r="I316" s="28"/>
      <c r="J316" s="28"/>
      <c r="K316" s="28"/>
      <c r="L316" s="28"/>
      <c r="M316" s="28"/>
      <c r="N316" s="28"/>
      <c r="O316" s="28"/>
      <c r="P316" s="28"/>
      <c r="Q316" s="28"/>
      <c r="R316" s="28"/>
      <c r="S316" s="28"/>
      <c r="T316" s="28"/>
      <c r="U316" s="28"/>
      <c r="V316" s="28"/>
      <c r="W316" s="28"/>
      <c r="X316" s="28"/>
      <c r="Y316" s="28"/>
      <c r="Z316" s="28"/>
      <c r="AA316" s="28"/>
      <c r="AB316" s="28"/>
    </row>
    <row r="317" spans="1:28" ht="12.75" x14ac:dyDescent="0.2">
      <c r="A317" s="31" t="s">
        <v>1850</v>
      </c>
      <c r="B317" s="32" t="s">
        <v>1227</v>
      </c>
      <c r="C317" s="16"/>
      <c r="D317" s="16"/>
      <c r="E317" s="6"/>
      <c r="F317" s="6"/>
      <c r="G317" s="6"/>
      <c r="H317" s="28"/>
      <c r="I317" s="28"/>
      <c r="J317" s="28"/>
      <c r="K317" s="28"/>
      <c r="L317" s="28"/>
      <c r="M317" s="28"/>
      <c r="N317" s="28"/>
      <c r="O317" s="28"/>
      <c r="P317" s="28"/>
      <c r="Q317" s="28"/>
      <c r="R317" s="28"/>
      <c r="S317" s="28"/>
      <c r="T317" s="28"/>
      <c r="U317" s="28"/>
      <c r="V317" s="28"/>
      <c r="W317" s="28"/>
      <c r="X317" s="28"/>
      <c r="Y317" s="28"/>
      <c r="Z317" s="28"/>
      <c r="AA317" s="28"/>
      <c r="AB317" s="28"/>
    </row>
    <row r="318" spans="1:28" ht="12.75" x14ac:dyDescent="0.2">
      <c r="A318" s="31" t="s">
        <v>1851</v>
      </c>
      <c r="B318" s="32" t="s">
        <v>1852</v>
      </c>
      <c r="C318" s="16"/>
      <c r="D318" s="16"/>
      <c r="E318" s="6"/>
      <c r="F318" s="6"/>
      <c r="G318" s="6"/>
      <c r="H318" s="28"/>
      <c r="I318" s="28"/>
      <c r="J318" s="28"/>
      <c r="K318" s="28"/>
      <c r="L318" s="28"/>
      <c r="M318" s="28"/>
      <c r="N318" s="28"/>
      <c r="O318" s="28"/>
      <c r="P318" s="28"/>
      <c r="Q318" s="28"/>
      <c r="R318" s="28"/>
      <c r="S318" s="28"/>
      <c r="T318" s="28"/>
      <c r="U318" s="28"/>
      <c r="V318" s="28"/>
      <c r="W318" s="28"/>
      <c r="X318" s="28"/>
      <c r="Y318" s="28"/>
      <c r="Z318" s="28"/>
      <c r="AA318" s="28"/>
      <c r="AB318" s="28"/>
    </row>
    <row r="319" spans="1:28" ht="12.75" x14ac:dyDescent="0.2">
      <c r="A319" s="31" t="s">
        <v>1859</v>
      </c>
      <c r="B319" s="32" t="s">
        <v>1860</v>
      </c>
      <c r="C319" s="16"/>
      <c r="D319" s="16"/>
      <c r="E319" s="6"/>
      <c r="F319" s="6"/>
      <c r="G319" s="6"/>
      <c r="H319" s="28"/>
      <c r="I319" s="28"/>
      <c r="J319" s="28"/>
      <c r="K319" s="28"/>
      <c r="L319" s="28"/>
      <c r="M319" s="28"/>
      <c r="N319" s="28"/>
      <c r="O319" s="28"/>
      <c r="P319" s="28"/>
      <c r="Q319" s="28"/>
      <c r="R319" s="28"/>
      <c r="S319" s="28"/>
      <c r="T319" s="28"/>
      <c r="U319" s="28"/>
      <c r="V319" s="28"/>
      <c r="W319" s="28"/>
      <c r="X319" s="28"/>
      <c r="Y319" s="28"/>
      <c r="Z319" s="28"/>
      <c r="AA319" s="28"/>
      <c r="AB319" s="28"/>
    </row>
    <row r="320" spans="1:28" ht="12.75" x14ac:dyDescent="0.2">
      <c r="A320" s="31" t="s">
        <v>1861</v>
      </c>
      <c r="B320" s="32" t="s">
        <v>1862</v>
      </c>
      <c r="C320" s="16"/>
      <c r="D320" s="16"/>
      <c r="E320" s="6"/>
      <c r="F320" s="6"/>
      <c r="G320" s="6"/>
      <c r="H320" s="28"/>
      <c r="I320" s="28"/>
      <c r="J320" s="28"/>
      <c r="K320" s="28"/>
      <c r="L320" s="28"/>
      <c r="M320" s="28"/>
      <c r="N320" s="28"/>
      <c r="O320" s="28"/>
      <c r="P320" s="28"/>
      <c r="Q320" s="28"/>
      <c r="R320" s="28"/>
      <c r="S320" s="28"/>
      <c r="T320" s="28"/>
      <c r="U320" s="28"/>
      <c r="V320" s="28"/>
      <c r="W320" s="28"/>
      <c r="X320" s="28"/>
      <c r="Y320" s="28"/>
      <c r="Z320" s="28"/>
      <c r="AA320" s="28"/>
      <c r="AB320" s="28"/>
    </row>
    <row r="321" spans="1:28" ht="12.75" x14ac:dyDescent="0.2">
      <c r="A321" s="31" t="s">
        <v>1868</v>
      </c>
      <c r="B321" s="32" t="s">
        <v>1869</v>
      </c>
      <c r="C321" s="16"/>
      <c r="D321" s="16"/>
      <c r="E321" s="6"/>
      <c r="F321" s="6"/>
      <c r="G321" s="6"/>
      <c r="H321" s="28"/>
      <c r="I321" s="28"/>
      <c r="J321" s="28"/>
      <c r="K321" s="28"/>
      <c r="L321" s="28"/>
      <c r="M321" s="28"/>
      <c r="N321" s="28"/>
      <c r="O321" s="28"/>
      <c r="P321" s="28"/>
      <c r="Q321" s="28"/>
      <c r="R321" s="28"/>
      <c r="S321" s="28"/>
      <c r="T321" s="28"/>
      <c r="U321" s="28"/>
      <c r="V321" s="28"/>
      <c r="W321" s="28"/>
      <c r="X321" s="28"/>
      <c r="Y321" s="28"/>
      <c r="Z321" s="28"/>
      <c r="AA321" s="28"/>
      <c r="AB321" s="28"/>
    </row>
    <row r="322" spans="1:28" ht="12.75" x14ac:dyDescent="0.2">
      <c r="A322" s="31" t="s">
        <v>1870</v>
      </c>
      <c r="B322" s="32" t="s">
        <v>1871</v>
      </c>
      <c r="C322" s="16"/>
      <c r="D322" s="16"/>
      <c r="E322" s="6"/>
      <c r="F322" s="6"/>
      <c r="G322" s="6"/>
      <c r="H322" s="28"/>
      <c r="I322" s="28"/>
      <c r="J322" s="28"/>
      <c r="K322" s="28"/>
      <c r="L322" s="28"/>
      <c r="M322" s="28"/>
      <c r="N322" s="28"/>
      <c r="O322" s="28"/>
      <c r="P322" s="28"/>
      <c r="Q322" s="28"/>
      <c r="R322" s="28"/>
      <c r="S322" s="28"/>
      <c r="T322" s="28"/>
      <c r="U322" s="28"/>
      <c r="V322" s="28"/>
      <c r="W322" s="28"/>
      <c r="X322" s="28"/>
      <c r="Y322" s="28"/>
      <c r="Z322" s="28"/>
      <c r="AA322" s="28"/>
      <c r="AB322" s="28"/>
    </row>
    <row r="323" spans="1:28" ht="12.75" x14ac:dyDescent="0.2">
      <c r="A323" s="31" t="s">
        <v>1874</v>
      </c>
      <c r="B323" s="32" t="s">
        <v>1875</v>
      </c>
      <c r="C323" s="16"/>
      <c r="D323" s="16"/>
      <c r="E323" s="6"/>
      <c r="F323" s="6"/>
      <c r="G323" s="6"/>
      <c r="H323" s="28"/>
      <c r="I323" s="28"/>
      <c r="J323" s="28"/>
      <c r="K323" s="28"/>
      <c r="L323" s="28"/>
      <c r="M323" s="28"/>
      <c r="N323" s="28"/>
      <c r="O323" s="28"/>
      <c r="P323" s="28"/>
      <c r="Q323" s="28"/>
      <c r="R323" s="28"/>
      <c r="S323" s="28"/>
      <c r="T323" s="28"/>
      <c r="U323" s="28"/>
      <c r="V323" s="28"/>
      <c r="W323" s="28"/>
      <c r="X323" s="28"/>
      <c r="Y323" s="28"/>
      <c r="Z323" s="28"/>
      <c r="AA323" s="28"/>
      <c r="AB323" s="28"/>
    </row>
    <row r="324" spans="1:28" ht="12.75" x14ac:dyDescent="0.2">
      <c r="A324" s="31" t="s">
        <v>1878</v>
      </c>
      <c r="B324" s="32" t="s">
        <v>1879</v>
      </c>
      <c r="C324" s="16"/>
      <c r="D324" s="16"/>
      <c r="E324" s="6"/>
      <c r="F324" s="6"/>
      <c r="G324" s="6"/>
      <c r="H324" s="28"/>
      <c r="I324" s="28"/>
      <c r="J324" s="28"/>
      <c r="K324" s="28"/>
      <c r="L324" s="28"/>
      <c r="M324" s="28"/>
      <c r="N324" s="28"/>
      <c r="O324" s="28"/>
      <c r="P324" s="28"/>
      <c r="Q324" s="28"/>
      <c r="R324" s="28"/>
      <c r="S324" s="28"/>
      <c r="T324" s="28"/>
      <c r="U324" s="28"/>
      <c r="V324" s="28"/>
      <c r="W324" s="28"/>
      <c r="X324" s="28"/>
      <c r="Y324" s="28"/>
      <c r="Z324" s="28"/>
      <c r="AA324" s="28"/>
      <c r="AB324" s="28"/>
    </row>
    <row r="325" spans="1:28" ht="12.75" x14ac:dyDescent="0.2">
      <c r="A325" s="31" t="s">
        <v>1883</v>
      </c>
      <c r="B325" s="32" t="s">
        <v>1884</v>
      </c>
      <c r="C325" s="16"/>
      <c r="D325" s="16"/>
      <c r="E325" s="6"/>
      <c r="F325" s="6"/>
      <c r="G325" s="6"/>
      <c r="H325" s="28"/>
      <c r="I325" s="28"/>
      <c r="J325" s="28"/>
      <c r="K325" s="28"/>
      <c r="L325" s="28"/>
      <c r="M325" s="28"/>
      <c r="N325" s="28"/>
      <c r="O325" s="28"/>
      <c r="P325" s="28"/>
      <c r="Q325" s="28"/>
      <c r="R325" s="28"/>
      <c r="S325" s="28"/>
      <c r="T325" s="28"/>
      <c r="U325" s="28"/>
      <c r="V325" s="28"/>
      <c r="W325" s="28"/>
      <c r="X325" s="28"/>
      <c r="Y325" s="28"/>
      <c r="Z325" s="28"/>
      <c r="AA325" s="28"/>
      <c r="AB325" s="28"/>
    </row>
    <row r="326" spans="1:28" ht="12.75" x14ac:dyDescent="0.2">
      <c r="A326" s="31" t="s">
        <v>1887</v>
      </c>
      <c r="B326" s="32" t="s">
        <v>1889</v>
      </c>
      <c r="C326" s="16"/>
      <c r="D326" s="16"/>
      <c r="E326" s="6"/>
      <c r="F326" s="6"/>
      <c r="G326" s="6"/>
      <c r="H326" s="28"/>
      <c r="I326" s="28"/>
      <c r="J326" s="28"/>
      <c r="K326" s="28"/>
      <c r="L326" s="28"/>
      <c r="M326" s="28"/>
      <c r="N326" s="28"/>
      <c r="O326" s="28"/>
      <c r="P326" s="28"/>
      <c r="Q326" s="28"/>
      <c r="R326" s="28"/>
      <c r="S326" s="28"/>
      <c r="T326" s="28"/>
      <c r="U326" s="28"/>
      <c r="V326" s="28"/>
      <c r="W326" s="28"/>
      <c r="X326" s="28"/>
      <c r="Y326" s="28"/>
      <c r="Z326" s="28"/>
      <c r="AA326" s="28"/>
      <c r="AB326" s="28"/>
    </row>
    <row r="327" spans="1:28" ht="12.75" x14ac:dyDescent="0.2">
      <c r="A327" s="31" t="s">
        <v>1891</v>
      </c>
      <c r="B327" s="32" t="s">
        <v>1893</v>
      </c>
      <c r="C327" s="16"/>
      <c r="D327" s="16"/>
      <c r="E327" s="6"/>
      <c r="F327" s="6"/>
      <c r="G327" s="6"/>
      <c r="H327" s="28"/>
      <c r="I327" s="28"/>
      <c r="J327" s="28"/>
      <c r="K327" s="28"/>
      <c r="L327" s="28"/>
      <c r="M327" s="28"/>
      <c r="N327" s="28"/>
      <c r="O327" s="28"/>
      <c r="P327" s="28"/>
      <c r="Q327" s="28"/>
      <c r="R327" s="28"/>
      <c r="S327" s="28"/>
      <c r="T327" s="28"/>
      <c r="U327" s="28"/>
      <c r="V327" s="28"/>
      <c r="W327" s="28"/>
      <c r="X327" s="28"/>
      <c r="Y327" s="28"/>
      <c r="Z327" s="28"/>
      <c r="AA327" s="28"/>
      <c r="AB327" s="28"/>
    </row>
    <row r="328" spans="1:28" ht="12.75" x14ac:dyDescent="0.2">
      <c r="A328" s="31" t="s">
        <v>1900</v>
      </c>
      <c r="B328" s="32" t="s">
        <v>1901</v>
      </c>
      <c r="C328" s="16"/>
      <c r="D328" s="16"/>
      <c r="E328" s="6"/>
      <c r="F328" s="6"/>
      <c r="G328" s="6"/>
      <c r="H328" s="28"/>
      <c r="I328" s="28"/>
      <c r="J328" s="28"/>
      <c r="K328" s="28"/>
      <c r="L328" s="28"/>
      <c r="M328" s="28"/>
      <c r="N328" s="28"/>
      <c r="O328" s="28"/>
      <c r="P328" s="28"/>
      <c r="Q328" s="28"/>
      <c r="R328" s="28"/>
      <c r="S328" s="28"/>
      <c r="T328" s="28"/>
      <c r="U328" s="28"/>
      <c r="V328" s="28"/>
      <c r="W328" s="28"/>
      <c r="X328" s="28"/>
      <c r="Y328" s="28"/>
      <c r="Z328" s="28"/>
      <c r="AA328" s="28"/>
      <c r="AB328" s="28"/>
    </row>
    <row r="329" spans="1:28" ht="12.75" x14ac:dyDescent="0.2">
      <c r="A329" s="31" t="s">
        <v>1907</v>
      </c>
      <c r="B329" s="32" t="s">
        <v>1908</v>
      </c>
      <c r="C329" s="16"/>
      <c r="D329" s="16"/>
      <c r="E329" s="6"/>
      <c r="F329" s="6"/>
      <c r="G329" s="6"/>
      <c r="H329" s="28"/>
      <c r="I329" s="28"/>
      <c r="J329" s="28"/>
      <c r="K329" s="28"/>
      <c r="L329" s="28"/>
      <c r="M329" s="28"/>
      <c r="N329" s="28"/>
      <c r="O329" s="28"/>
      <c r="P329" s="28"/>
      <c r="Q329" s="28"/>
      <c r="R329" s="28"/>
      <c r="S329" s="28"/>
      <c r="T329" s="28"/>
      <c r="U329" s="28"/>
      <c r="V329" s="28"/>
      <c r="W329" s="28"/>
      <c r="X329" s="28"/>
      <c r="Y329" s="28"/>
      <c r="Z329" s="28"/>
      <c r="AA329" s="28"/>
      <c r="AB329" s="28"/>
    </row>
    <row r="330" spans="1:28" ht="12.75" x14ac:dyDescent="0.2">
      <c r="A330" s="31" t="s">
        <v>1909</v>
      </c>
      <c r="B330" s="32" t="s">
        <v>1910</v>
      </c>
      <c r="C330" s="16"/>
      <c r="D330" s="16"/>
      <c r="E330" s="6"/>
      <c r="F330" s="6"/>
      <c r="G330" s="6"/>
      <c r="H330" s="28"/>
      <c r="I330" s="28"/>
      <c r="J330" s="28"/>
      <c r="K330" s="28"/>
      <c r="L330" s="28"/>
      <c r="M330" s="28"/>
      <c r="N330" s="28"/>
      <c r="O330" s="28"/>
      <c r="P330" s="28"/>
      <c r="Q330" s="28"/>
      <c r="R330" s="28"/>
      <c r="S330" s="28"/>
      <c r="T330" s="28"/>
      <c r="U330" s="28"/>
      <c r="V330" s="28"/>
      <c r="W330" s="28"/>
      <c r="X330" s="28"/>
      <c r="Y330" s="28"/>
      <c r="Z330" s="28"/>
      <c r="AA330" s="28"/>
      <c r="AB330" s="28"/>
    </row>
    <row r="331" spans="1:28" ht="12.75" x14ac:dyDescent="0.2">
      <c r="A331" s="31" t="s">
        <v>1915</v>
      </c>
      <c r="B331" s="32" t="s">
        <v>1916</v>
      </c>
      <c r="C331" s="16"/>
      <c r="D331" s="16"/>
      <c r="E331" s="6"/>
      <c r="F331" s="6"/>
      <c r="G331" s="6"/>
      <c r="H331" s="28"/>
      <c r="I331" s="28"/>
      <c r="J331" s="28"/>
      <c r="K331" s="28"/>
      <c r="L331" s="28"/>
      <c r="M331" s="28"/>
      <c r="N331" s="28"/>
      <c r="O331" s="28"/>
      <c r="P331" s="28"/>
      <c r="Q331" s="28"/>
      <c r="R331" s="28"/>
      <c r="S331" s="28"/>
      <c r="T331" s="28"/>
      <c r="U331" s="28"/>
      <c r="V331" s="28"/>
      <c r="W331" s="28"/>
      <c r="X331" s="28"/>
      <c r="Y331" s="28"/>
      <c r="Z331" s="28"/>
      <c r="AA331" s="28"/>
      <c r="AB331" s="28"/>
    </row>
    <row r="332" spans="1:28" ht="12.75" x14ac:dyDescent="0.2">
      <c r="A332" s="31" t="s">
        <v>1921</v>
      </c>
      <c r="B332" s="32" t="s">
        <v>1923</v>
      </c>
      <c r="C332" s="16"/>
      <c r="D332" s="16"/>
      <c r="E332" s="6"/>
      <c r="F332" s="6"/>
      <c r="G332" s="6"/>
      <c r="H332" s="28"/>
      <c r="I332" s="28"/>
      <c r="J332" s="28"/>
      <c r="K332" s="28"/>
      <c r="L332" s="28"/>
      <c r="M332" s="28"/>
      <c r="N332" s="28"/>
      <c r="O332" s="28"/>
      <c r="P332" s="28"/>
      <c r="Q332" s="28"/>
      <c r="R332" s="28"/>
      <c r="S332" s="28"/>
      <c r="T332" s="28"/>
      <c r="U332" s="28"/>
      <c r="V332" s="28"/>
      <c r="W332" s="28"/>
      <c r="X332" s="28"/>
      <c r="Y332" s="28"/>
      <c r="Z332" s="28"/>
      <c r="AA332" s="28"/>
      <c r="AB332" s="28"/>
    </row>
    <row r="333" spans="1:28" ht="12.75" x14ac:dyDescent="0.2">
      <c r="A333" s="31" t="s">
        <v>1925</v>
      </c>
      <c r="B333" s="32" t="s">
        <v>1926</v>
      </c>
      <c r="C333" s="16"/>
      <c r="D333" s="16"/>
      <c r="E333" s="6"/>
      <c r="F333" s="6"/>
      <c r="G333" s="6"/>
      <c r="H333" s="28"/>
      <c r="I333" s="28"/>
      <c r="J333" s="28"/>
      <c r="K333" s="28"/>
      <c r="L333" s="28"/>
      <c r="M333" s="28"/>
      <c r="N333" s="28"/>
      <c r="O333" s="28"/>
      <c r="P333" s="28"/>
      <c r="Q333" s="28"/>
      <c r="R333" s="28"/>
      <c r="S333" s="28"/>
      <c r="T333" s="28"/>
      <c r="U333" s="28"/>
      <c r="V333" s="28"/>
      <c r="W333" s="28"/>
      <c r="X333" s="28"/>
      <c r="Y333" s="28"/>
      <c r="Z333" s="28"/>
      <c r="AA333" s="28"/>
      <c r="AB333" s="28"/>
    </row>
    <row r="334" spans="1:28" ht="12.75" x14ac:dyDescent="0.2">
      <c r="A334" s="31" t="s">
        <v>1928</v>
      </c>
      <c r="B334" s="32" t="s">
        <v>1929</v>
      </c>
      <c r="C334" s="16"/>
      <c r="D334" s="16"/>
      <c r="E334" s="6"/>
      <c r="F334" s="6"/>
      <c r="G334" s="6"/>
      <c r="H334" s="28"/>
      <c r="I334" s="28"/>
      <c r="J334" s="28"/>
      <c r="K334" s="28"/>
      <c r="L334" s="28"/>
      <c r="M334" s="28"/>
      <c r="N334" s="28"/>
      <c r="O334" s="28"/>
      <c r="P334" s="28"/>
      <c r="Q334" s="28"/>
      <c r="R334" s="28"/>
      <c r="S334" s="28"/>
      <c r="T334" s="28"/>
      <c r="U334" s="28"/>
      <c r="V334" s="28"/>
      <c r="W334" s="28"/>
      <c r="X334" s="28"/>
      <c r="Y334" s="28"/>
      <c r="Z334" s="28"/>
      <c r="AA334" s="28"/>
      <c r="AB334" s="28"/>
    </row>
    <row r="335" spans="1:28" ht="12.75" x14ac:dyDescent="0.2">
      <c r="A335" s="31" t="s">
        <v>1930</v>
      </c>
      <c r="B335" s="32" t="s">
        <v>1931</v>
      </c>
      <c r="C335" s="16"/>
      <c r="D335" s="16"/>
      <c r="E335" s="6"/>
      <c r="F335" s="6"/>
      <c r="G335" s="6"/>
      <c r="H335" s="28"/>
      <c r="I335" s="28"/>
      <c r="J335" s="28"/>
      <c r="K335" s="28"/>
      <c r="L335" s="28"/>
      <c r="M335" s="28"/>
      <c r="N335" s="28"/>
      <c r="O335" s="28"/>
      <c r="P335" s="28"/>
      <c r="Q335" s="28"/>
      <c r="R335" s="28"/>
      <c r="S335" s="28"/>
      <c r="T335" s="28"/>
      <c r="U335" s="28"/>
      <c r="V335" s="28"/>
      <c r="W335" s="28"/>
      <c r="X335" s="28"/>
      <c r="Y335" s="28"/>
      <c r="Z335" s="28"/>
      <c r="AA335" s="28"/>
      <c r="AB335" s="28"/>
    </row>
    <row r="336" spans="1:28" ht="12.75" x14ac:dyDescent="0.2">
      <c r="A336" s="31" t="s">
        <v>1937</v>
      </c>
      <c r="B336" s="32" t="s">
        <v>1939</v>
      </c>
      <c r="C336" s="16"/>
      <c r="D336" s="16"/>
      <c r="E336" s="6"/>
      <c r="F336" s="6"/>
      <c r="G336" s="6"/>
      <c r="H336" s="28"/>
      <c r="I336" s="28"/>
      <c r="J336" s="28"/>
      <c r="K336" s="28"/>
      <c r="L336" s="28"/>
      <c r="M336" s="28"/>
      <c r="N336" s="28"/>
      <c r="O336" s="28"/>
      <c r="P336" s="28"/>
      <c r="Q336" s="28"/>
      <c r="R336" s="28"/>
      <c r="S336" s="28"/>
      <c r="T336" s="28"/>
      <c r="U336" s="28"/>
      <c r="V336" s="28"/>
      <c r="W336" s="28"/>
      <c r="X336" s="28"/>
      <c r="Y336" s="28"/>
      <c r="Z336" s="28"/>
      <c r="AA336" s="28"/>
      <c r="AB336" s="28"/>
    </row>
    <row r="337" spans="1:28" ht="12.75" x14ac:dyDescent="0.2">
      <c r="A337" s="31" t="s">
        <v>1940</v>
      </c>
      <c r="B337" s="32" t="s">
        <v>1941</v>
      </c>
      <c r="C337" s="16"/>
      <c r="D337" s="16"/>
      <c r="E337" s="6"/>
      <c r="F337" s="6"/>
      <c r="G337" s="6"/>
      <c r="H337" s="28"/>
      <c r="I337" s="28"/>
      <c r="J337" s="28"/>
      <c r="K337" s="28"/>
      <c r="L337" s="28"/>
      <c r="M337" s="28"/>
      <c r="N337" s="28"/>
      <c r="O337" s="28"/>
      <c r="P337" s="28"/>
      <c r="Q337" s="28"/>
      <c r="R337" s="28"/>
      <c r="S337" s="28"/>
      <c r="T337" s="28"/>
      <c r="U337" s="28"/>
      <c r="V337" s="28"/>
      <c r="W337" s="28"/>
      <c r="X337" s="28"/>
      <c r="Y337" s="28"/>
      <c r="Z337" s="28"/>
      <c r="AA337" s="28"/>
      <c r="AB337" s="28"/>
    </row>
    <row r="338" spans="1:28" ht="12.75" x14ac:dyDescent="0.2">
      <c r="A338" s="31" t="s">
        <v>1947</v>
      </c>
      <c r="B338" s="32" t="s">
        <v>1948</v>
      </c>
      <c r="C338" s="16"/>
      <c r="D338" s="16"/>
      <c r="E338" s="6"/>
      <c r="F338" s="6"/>
      <c r="G338" s="6"/>
      <c r="H338" s="28"/>
      <c r="I338" s="28"/>
      <c r="J338" s="28"/>
      <c r="K338" s="28"/>
      <c r="L338" s="28"/>
      <c r="M338" s="28"/>
      <c r="N338" s="28"/>
      <c r="O338" s="28"/>
      <c r="P338" s="28"/>
      <c r="Q338" s="28"/>
      <c r="R338" s="28"/>
      <c r="S338" s="28"/>
      <c r="T338" s="28"/>
      <c r="U338" s="28"/>
      <c r="V338" s="28"/>
      <c r="W338" s="28"/>
      <c r="X338" s="28"/>
      <c r="Y338" s="28"/>
      <c r="Z338" s="28"/>
      <c r="AA338" s="28"/>
      <c r="AB338" s="28"/>
    </row>
    <row r="339" spans="1:28" ht="12.75" x14ac:dyDescent="0.2">
      <c r="A339" s="31" t="s">
        <v>1949</v>
      </c>
      <c r="B339" s="32" t="s">
        <v>1950</v>
      </c>
      <c r="C339" s="16"/>
      <c r="D339" s="16"/>
      <c r="E339" s="6"/>
      <c r="F339" s="6"/>
      <c r="G339" s="6"/>
      <c r="H339" s="28"/>
      <c r="I339" s="28"/>
      <c r="J339" s="28"/>
      <c r="K339" s="28"/>
      <c r="L339" s="28"/>
      <c r="M339" s="28"/>
      <c r="N339" s="28"/>
      <c r="O339" s="28"/>
      <c r="P339" s="28"/>
      <c r="Q339" s="28"/>
      <c r="R339" s="28"/>
      <c r="S339" s="28"/>
      <c r="T339" s="28"/>
      <c r="U339" s="28"/>
      <c r="V339" s="28"/>
      <c r="W339" s="28"/>
      <c r="X339" s="28"/>
      <c r="Y339" s="28"/>
      <c r="Z339" s="28"/>
      <c r="AA339" s="28"/>
      <c r="AB339" s="28"/>
    </row>
    <row r="340" spans="1:28" ht="12.75" x14ac:dyDescent="0.2">
      <c r="A340" s="31" t="s">
        <v>1952</v>
      </c>
      <c r="B340" s="32" t="s">
        <v>1953</v>
      </c>
      <c r="C340" s="16"/>
      <c r="D340" s="16"/>
      <c r="E340" s="6"/>
      <c r="F340" s="6"/>
      <c r="G340" s="6"/>
      <c r="H340" s="28"/>
      <c r="I340" s="28"/>
      <c r="J340" s="28"/>
      <c r="K340" s="28"/>
      <c r="L340" s="28"/>
      <c r="M340" s="28"/>
      <c r="N340" s="28"/>
      <c r="O340" s="28"/>
      <c r="P340" s="28"/>
      <c r="Q340" s="28"/>
      <c r="R340" s="28"/>
      <c r="S340" s="28"/>
      <c r="T340" s="28"/>
      <c r="U340" s="28"/>
      <c r="V340" s="28"/>
      <c r="W340" s="28"/>
      <c r="X340" s="28"/>
      <c r="Y340" s="28"/>
      <c r="Z340" s="28"/>
      <c r="AA340" s="28"/>
      <c r="AB340" s="28"/>
    </row>
    <row r="341" spans="1:28" ht="12.75" x14ac:dyDescent="0.2">
      <c r="A341" s="31" t="s">
        <v>1954</v>
      </c>
      <c r="B341" s="32" t="s">
        <v>1955</v>
      </c>
      <c r="C341" s="16"/>
      <c r="D341" s="16"/>
      <c r="E341" s="6"/>
      <c r="F341" s="6"/>
      <c r="G341" s="6"/>
      <c r="H341" s="28"/>
      <c r="I341" s="28"/>
      <c r="J341" s="28"/>
      <c r="K341" s="28"/>
      <c r="L341" s="28"/>
      <c r="M341" s="28"/>
      <c r="N341" s="28"/>
      <c r="O341" s="28"/>
      <c r="P341" s="28"/>
      <c r="Q341" s="28"/>
      <c r="R341" s="28"/>
      <c r="S341" s="28"/>
      <c r="T341" s="28"/>
      <c r="U341" s="28"/>
      <c r="V341" s="28"/>
      <c r="W341" s="28"/>
      <c r="X341" s="28"/>
      <c r="Y341" s="28"/>
      <c r="Z341" s="28"/>
      <c r="AA341" s="28"/>
      <c r="AB341" s="28"/>
    </row>
    <row r="342" spans="1:28" ht="12.75" x14ac:dyDescent="0.2">
      <c r="A342" s="31" t="s">
        <v>1959</v>
      </c>
      <c r="B342" s="32" t="s">
        <v>1960</v>
      </c>
      <c r="C342" s="16"/>
      <c r="D342" s="16"/>
      <c r="E342" s="6"/>
      <c r="F342" s="6"/>
      <c r="G342" s="6"/>
      <c r="H342" s="28"/>
      <c r="I342" s="28"/>
      <c r="J342" s="28"/>
      <c r="K342" s="28"/>
      <c r="L342" s="28"/>
      <c r="M342" s="28"/>
      <c r="N342" s="28"/>
      <c r="O342" s="28"/>
      <c r="P342" s="28"/>
      <c r="Q342" s="28"/>
      <c r="R342" s="28"/>
      <c r="S342" s="28"/>
      <c r="T342" s="28"/>
      <c r="U342" s="28"/>
      <c r="V342" s="28"/>
      <c r="W342" s="28"/>
      <c r="X342" s="28"/>
      <c r="Y342" s="28"/>
      <c r="Z342" s="28"/>
      <c r="AA342" s="28"/>
      <c r="AB342" s="28"/>
    </row>
    <row r="343" spans="1:28" ht="12.75" x14ac:dyDescent="0.2">
      <c r="A343" s="31" t="s">
        <v>1962</v>
      </c>
      <c r="B343" s="32" t="s">
        <v>1963</v>
      </c>
      <c r="C343" s="16"/>
      <c r="D343" s="16"/>
      <c r="E343" s="6"/>
      <c r="F343" s="6"/>
      <c r="G343" s="6"/>
      <c r="H343" s="28"/>
      <c r="I343" s="28"/>
      <c r="J343" s="28"/>
      <c r="K343" s="28"/>
      <c r="L343" s="28"/>
      <c r="M343" s="28"/>
      <c r="N343" s="28"/>
      <c r="O343" s="28"/>
      <c r="P343" s="28"/>
      <c r="Q343" s="28"/>
      <c r="R343" s="28"/>
      <c r="S343" s="28"/>
      <c r="T343" s="28"/>
      <c r="U343" s="28"/>
      <c r="V343" s="28"/>
      <c r="W343" s="28"/>
      <c r="X343" s="28"/>
      <c r="Y343" s="28"/>
      <c r="Z343" s="28"/>
      <c r="AA343" s="28"/>
      <c r="AB343" s="28"/>
    </row>
    <row r="344" spans="1:28" ht="12.75" x14ac:dyDescent="0.2">
      <c r="A344" s="31" t="s">
        <v>1966</v>
      </c>
      <c r="B344" s="32" t="s">
        <v>1967</v>
      </c>
      <c r="C344" s="16"/>
      <c r="D344" s="16" t="s">
        <v>91</v>
      </c>
      <c r="E344" s="6"/>
      <c r="F344" s="6"/>
      <c r="G344" s="6"/>
      <c r="H344" s="28"/>
      <c r="I344" s="28"/>
      <c r="J344" s="28"/>
      <c r="K344" s="28"/>
      <c r="L344" s="28"/>
      <c r="M344" s="28"/>
      <c r="N344" s="28"/>
      <c r="O344" s="28"/>
      <c r="P344" s="28"/>
      <c r="Q344" s="28"/>
      <c r="R344" s="28"/>
      <c r="S344" s="28"/>
      <c r="T344" s="28"/>
      <c r="U344" s="28"/>
      <c r="V344" s="28"/>
      <c r="W344" s="28"/>
      <c r="X344" s="28"/>
      <c r="Y344" s="28"/>
      <c r="Z344" s="28"/>
      <c r="AA344" s="28"/>
      <c r="AB344" s="28"/>
    </row>
    <row r="345" spans="1:28" ht="12.75" x14ac:dyDescent="0.2">
      <c r="A345" s="31" t="s">
        <v>1968</v>
      </c>
      <c r="B345" s="32" t="s">
        <v>1969</v>
      </c>
      <c r="C345" s="16"/>
      <c r="D345" s="16"/>
      <c r="E345" s="6"/>
      <c r="F345" s="6"/>
      <c r="G345" s="6"/>
      <c r="H345" s="28"/>
      <c r="I345" s="28"/>
      <c r="J345" s="28"/>
      <c r="K345" s="28"/>
      <c r="L345" s="28"/>
      <c r="M345" s="28"/>
      <c r="N345" s="28"/>
      <c r="O345" s="28"/>
      <c r="P345" s="28"/>
      <c r="Q345" s="28"/>
      <c r="R345" s="28"/>
      <c r="S345" s="28"/>
      <c r="T345" s="28"/>
      <c r="U345" s="28"/>
      <c r="V345" s="28"/>
      <c r="W345" s="28"/>
      <c r="X345" s="28"/>
      <c r="Y345" s="28"/>
      <c r="Z345" s="28"/>
      <c r="AA345" s="28"/>
      <c r="AB345" s="28"/>
    </row>
    <row r="346" spans="1:28" ht="12.75" x14ac:dyDescent="0.2">
      <c r="A346" s="31" t="s">
        <v>1972</v>
      </c>
      <c r="B346" s="32" t="s">
        <v>1973</v>
      </c>
      <c r="C346" s="16"/>
      <c r="D346" s="16"/>
      <c r="E346" s="6"/>
      <c r="F346" s="6"/>
      <c r="G346" s="6"/>
      <c r="H346" s="28"/>
      <c r="I346" s="28"/>
      <c r="J346" s="28"/>
      <c r="K346" s="28"/>
      <c r="L346" s="28"/>
      <c r="M346" s="28"/>
      <c r="N346" s="28"/>
      <c r="O346" s="28"/>
      <c r="P346" s="28"/>
      <c r="Q346" s="28"/>
      <c r="R346" s="28"/>
      <c r="S346" s="28"/>
      <c r="T346" s="28"/>
      <c r="U346" s="28"/>
      <c r="V346" s="28"/>
      <c r="W346" s="28"/>
      <c r="X346" s="28"/>
      <c r="Y346" s="28"/>
      <c r="Z346" s="28"/>
      <c r="AA346" s="28"/>
      <c r="AB346" s="28"/>
    </row>
    <row r="347" spans="1:28" ht="12.75" x14ac:dyDescent="0.2">
      <c r="A347" s="31" t="s">
        <v>1978</v>
      </c>
      <c r="B347" s="32" t="s">
        <v>1980</v>
      </c>
      <c r="C347" s="16"/>
      <c r="D347" s="16"/>
      <c r="E347" s="6"/>
      <c r="F347" s="6"/>
      <c r="G347" s="6"/>
      <c r="H347" s="28"/>
      <c r="I347" s="28"/>
      <c r="J347" s="28"/>
      <c r="K347" s="28"/>
      <c r="L347" s="28"/>
      <c r="M347" s="28"/>
      <c r="N347" s="28"/>
      <c r="O347" s="28"/>
      <c r="P347" s="28"/>
      <c r="Q347" s="28"/>
      <c r="R347" s="28"/>
      <c r="S347" s="28"/>
      <c r="T347" s="28"/>
      <c r="U347" s="28"/>
      <c r="V347" s="28"/>
      <c r="W347" s="28"/>
      <c r="X347" s="28"/>
      <c r="Y347" s="28"/>
      <c r="Z347" s="28"/>
      <c r="AA347" s="28"/>
      <c r="AB347" s="28"/>
    </row>
    <row r="348" spans="1:28" ht="12.75" x14ac:dyDescent="0.2">
      <c r="A348" s="31" t="s">
        <v>1981</v>
      </c>
      <c r="B348" s="32" t="s">
        <v>1982</v>
      </c>
      <c r="C348" s="16"/>
      <c r="D348" s="16"/>
      <c r="E348" s="6"/>
      <c r="F348" s="6"/>
      <c r="G348" s="6"/>
      <c r="H348" s="28"/>
      <c r="I348" s="28"/>
      <c r="J348" s="28"/>
      <c r="K348" s="28"/>
      <c r="L348" s="28"/>
      <c r="M348" s="28"/>
      <c r="N348" s="28"/>
      <c r="O348" s="28"/>
      <c r="P348" s="28"/>
      <c r="Q348" s="28"/>
      <c r="R348" s="28"/>
      <c r="S348" s="28"/>
      <c r="T348" s="28"/>
      <c r="U348" s="28"/>
      <c r="V348" s="28"/>
      <c r="W348" s="28"/>
      <c r="X348" s="28"/>
      <c r="Y348" s="28"/>
      <c r="Z348" s="28"/>
      <c r="AA348" s="28"/>
      <c r="AB348" s="28"/>
    </row>
    <row r="349" spans="1:28" ht="12.75" x14ac:dyDescent="0.2">
      <c r="A349" s="31" t="s">
        <v>1984</v>
      </c>
      <c r="B349" s="32" t="s">
        <v>1985</v>
      </c>
      <c r="C349" s="16"/>
      <c r="D349" s="16"/>
      <c r="E349" s="6"/>
      <c r="F349" s="6"/>
      <c r="G349" s="6"/>
      <c r="H349" s="28"/>
      <c r="I349" s="28"/>
      <c r="J349" s="28"/>
      <c r="K349" s="28"/>
      <c r="L349" s="28"/>
      <c r="M349" s="28"/>
      <c r="N349" s="28"/>
      <c r="O349" s="28"/>
      <c r="P349" s="28"/>
      <c r="Q349" s="28"/>
      <c r="R349" s="28"/>
      <c r="S349" s="28"/>
      <c r="T349" s="28"/>
      <c r="U349" s="28"/>
      <c r="V349" s="28"/>
      <c r="W349" s="28"/>
      <c r="X349" s="28"/>
      <c r="Y349" s="28"/>
      <c r="Z349" s="28"/>
      <c r="AA349" s="28"/>
      <c r="AB349" s="28"/>
    </row>
    <row r="350" spans="1:28" ht="12.75" x14ac:dyDescent="0.2">
      <c r="A350" s="31" t="s">
        <v>1986</v>
      </c>
      <c r="B350" s="32" t="s">
        <v>1987</v>
      </c>
      <c r="C350" s="16"/>
      <c r="D350" s="16"/>
      <c r="E350" s="6"/>
      <c r="F350" s="6"/>
      <c r="G350" s="6"/>
      <c r="H350" s="28"/>
      <c r="I350" s="28"/>
      <c r="J350" s="28"/>
      <c r="K350" s="28"/>
      <c r="L350" s="28"/>
      <c r="M350" s="28"/>
      <c r="N350" s="28"/>
      <c r="O350" s="28"/>
      <c r="P350" s="28"/>
      <c r="Q350" s="28"/>
      <c r="R350" s="28"/>
      <c r="S350" s="28"/>
      <c r="T350" s="28"/>
      <c r="U350" s="28"/>
      <c r="V350" s="28"/>
      <c r="W350" s="28"/>
      <c r="X350" s="28"/>
      <c r="Y350" s="28"/>
      <c r="Z350" s="28"/>
      <c r="AA350" s="28"/>
      <c r="AB350" s="28"/>
    </row>
    <row r="351" spans="1:28" ht="12.75" x14ac:dyDescent="0.2">
      <c r="A351" s="31" t="s">
        <v>1994</v>
      </c>
      <c r="B351" s="32" t="s">
        <v>1995</v>
      </c>
      <c r="C351" s="16"/>
      <c r="D351" s="16"/>
      <c r="E351" s="6"/>
      <c r="F351" s="6"/>
      <c r="G351" s="6"/>
      <c r="H351" s="28"/>
      <c r="I351" s="28"/>
      <c r="J351" s="28"/>
      <c r="K351" s="28"/>
      <c r="L351" s="28"/>
      <c r="M351" s="28"/>
      <c r="N351" s="28"/>
      <c r="O351" s="28"/>
      <c r="P351" s="28"/>
      <c r="Q351" s="28"/>
      <c r="R351" s="28"/>
      <c r="S351" s="28"/>
      <c r="T351" s="28"/>
      <c r="U351" s="28"/>
      <c r="V351" s="28"/>
      <c r="W351" s="28"/>
      <c r="X351" s="28"/>
      <c r="Y351" s="28"/>
      <c r="Z351" s="28"/>
      <c r="AA351" s="28"/>
      <c r="AB351" s="28"/>
    </row>
    <row r="352" spans="1:28" ht="12.75" x14ac:dyDescent="0.2">
      <c r="A352" s="31" t="s">
        <v>1996</v>
      </c>
      <c r="B352" s="32" t="s">
        <v>1997</v>
      </c>
      <c r="C352" s="16"/>
      <c r="D352" s="16"/>
      <c r="E352" s="6"/>
      <c r="F352" s="6"/>
      <c r="G352" s="6"/>
      <c r="H352" s="28"/>
      <c r="I352" s="28"/>
      <c r="J352" s="28"/>
      <c r="K352" s="28"/>
      <c r="L352" s="28"/>
      <c r="M352" s="28"/>
      <c r="N352" s="28"/>
      <c r="O352" s="28"/>
      <c r="P352" s="28"/>
      <c r="Q352" s="28"/>
      <c r="R352" s="28"/>
      <c r="S352" s="28"/>
      <c r="T352" s="28"/>
      <c r="U352" s="28"/>
      <c r="V352" s="28"/>
      <c r="W352" s="28"/>
      <c r="X352" s="28"/>
      <c r="Y352" s="28"/>
      <c r="Z352" s="28"/>
      <c r="AA352" s="28"/>
      <c r="AB352" s="28"/>
    </row>
    <row r="353" spans="1:28" ht="12.75" x14ac:dyDescent="0.2">
      <c r="A353" s="31" t="s">
        <v>2001</v>
      </c>
      <c r="B353" s="32" t="s">
        <v>2002</v>
      </c>
      <c r="C353" s="16"/>
      <c r="D353" s="16"/>
      <c r="E353" s="6"/>
      <c r="F353" s="6"/>
      <c r="G353" s="6"/>
      <c r="H353" s="28"/>
      <c r="I353" s="28"/>
      <c r="J353" s="28"/>
      <c r="K353" s="28"/>
      <c r="L353" s="28"/>
      <c r="M353" s="28"/>
      <c r="N353" s="28"/>
      <c r="O353" s="28"/>
      <c r="P353" s="28"/>
      <c r="Q353" s="28"/>
      <c r="R353" s="28"/>
      <c r="S353" s="28"/>
      <c r="T353" s="28"/>
      <c r="U353" s="28"/>
      <c r="V353" s="28"/>
      <c r="W353" s="28"/>
      <c r="X353" s="28"/>
      <c r="Y353" s="28"/>
      <c r="Z353" s="28"/>
      <c r="AA353" s="28"/>
      <c r="AB353" s="28"/>
    </row>
    <row r="354" spans="1:28" ht="12.75" x14ac:dyDescent="0.2">
      <c r="A354" s="31" t="s">
        <v>2003</v>
      </c>
      <c r="B354" s="32" t="s">
        <v>2004</v>
      </c>
      <c r="C354" s="16"/>
      <c r="D354" s="16"/>
      <c r="E354" s="6"/>
      <c r="F354" s="6"/>
      <c r="G354" s="6"/>
      <c r="H354" s="28"/>
      <c r="I354" s="28"/>
      <c r="J354" s="28"/>
      <c r="K354" s="28"/>
      <c r="L354" s="28"/>
      <c r="M354" s="28"/>
      <c r="N354" s="28"/>
      <c r="O354" s="28"/>
      <c r="P354" s="28"/>
      <c r="Q354" s="28"/>
      <c r="R354" s="28"/>
      <c r="S354" s="28"/>
      <c r="T354" s="28"/>
      <c r="U354" s="28"/>
      <c r="V354" s="28"/>
      <c r="W354" s="28"/>
      <c r="X354" s="28"/>
      <c r="Y354" s="28"/>
      <c r="Z354" s="28"/>
      <c r="AA354" s="28"/>
      <c r="AB354" s="28"/>
    </row>
    <row r="355" spans="1:28" ht="12.75" x14ac:dyDescent="0.2">
      <c r="A355" s="31" t="s">
        <v>1113</v>
      </c>
      <c r="B355" s="32" t="s">
        <v>2007</v>
      </c>
      <c r="C355" s="16"/>
      <c r="D355" s="16"/>
      <c r="E355" s="6"/>
      <c r="F355" s="6"/>
      <c r="G355" s="6"/>
      <c r="H355" s="28"/>
      <c r="I355" s="28"/>
      <c r="J355" s="28"/>
      <c r="K355" s="28"/>
      <c r="L355" s="28"/>
      <c r="M355" s="28"/>
      <c r="N355" s="28"/>
      <c r="O355" s="28"/>
      <c r="P355" s="28"/>
      <c r="Q355" s="28"/>
      <c r="R355" s="28"/>
      <c r="S355" s="28"/>
      <c r="T355" s="28"/>
      <c r="U355" s="28"/>
      <c r="V355" s="28"/>
      <c r="W355" s="28"/>
      <c r="X355" s="28"/>
      <c r="Y355" s="28"/>
      <c r="Z355" s="28"/>
      <c r="AA355" s="28"/>
      <c r="AB355" s="28"/>
    </row>
    <row r="356" spans="1:28" ht="12.75" x14ac:dyDescent="0.2">
      <c r="A356" s="31" t="s">
        <v>2008</v>
      </c>
      <c r="B356" s="32" t="s">
        <v>2010</v>
      </c>
      <c r="C356" s="16"/>
      <c r="D356" s="16"/>
      <c r="E356" s="6"/>
      <c r="F356" s="6"/>
      <c r="G356" s="6"/>
      <c r="H356" s="28"/>
      <c r="I356" s="28"/>
      <c r="J356" s="28"/>
      <c r="K356" s="28"/>
      <c r="L356" s="28"/>
      <c r="M356" s="28"/>
      <c r="N356" s="28"/>
      <c r="O356" s="28"/>
      <c r="P356" s="28"/>
      <c r="Q356" s="28"/>
      <c r="R356" s="28"/>
      <c r="S356" s="28"/>
      <c r="T356" s="28"/>
      <c r="U356" s="28"/>
      <c r="V356" s="28"/>
      <c r="W356" s="28"/>
      <c r="X356" s="28"/>
      <c r="Y356" s="28"/>
      <c r="Z356" s="28"/>
      <c r="AA356" s="28"/>
      <c r="AB356" s="28"/>
    </row>
    <row r="357" spans="1:28" ht="12.75" x14ac:dyDescent="0.2">
      <c r="A357" s="31" t="s">
        <v>2014</v>
      </c>
      <c r="B357" s="32" t="s">
        <v>1227</v>
      </c>
      <c r="C357" s="16"/>
      <c r="D357" s="16"/>
      <c r="E357" s="6"/>
      <c r="F357" s="6"/>
      <c r="G357" s="6"/>
      <c r="H357" s="28"/>
      <c r="I357" s="28"/>
      <c r="J357" s="28"/>
      <c r="K357" s="28"/>
      <c r="L357" s="28"/>
      <c r="M357" s="28"/>
      <c r="N357" s="28"/>
      <c r="O357" s="28"/>
      <c r="P357" s="28"/>
      <c r="Q357" s="28"/>
      <c r="R357" s="28"/>
      <c r="S357" s="28"/>
      <c r="T357" s="28"/>
      <c r="U357" s="28"/>
      <c r="V357" s="28"/>
      <c r="W357" s="28"/>
      <c r="X357" s="28"/>
      <c r="Y357" s="28"/>
      <c r="Z357" s="28"/>
      <c r="AA357" s="28"/>
      <c r="AB357" s="28"/>
    </row>
    <row r="358" spans="1:28" ht="12.75" x14ac:dyDescent="0.2">
      <c r="A358" s="31" t="s">
        <v>2017</v>
      </c>
      <c r="B358" s="32" t="s">
        <v>2019</v>
      </c>
      <c r="C358" s="16"/>
      <c r="D358" s="16"/>
      <c r="E358" s="6"/>
      <c r="F358" s="6"/>
      <c r="G358" s="6"/>
      <c r="H358" s="28"/>
      <c r="I358" s="28"/>
      <c r="J358" s="28"/>
      <c r="K358" s="28"/>
      <c r="L358" s="28"/>
      <c r="M358" s="28"/>
      <c r="N358" s="28"/>
      <c r="O358" s="28"/>
      <c r="P358" s="28"/>
      <c r="Q358" s="28"/>
      <c r="R358" s="28"/>
      <c r="S358" s="28"/>
      <c r="T358" s="28"/>
      <c r="U358" s="28"/>
      <c r="V358" s="28"/>
      <c r="W358" s="28"/>
      <c r="X358" s="28"/>
      <c r="Y358" s="28"/>
      <c r="Z358" s="28"/>
      <c r="AA358" s="28"/>
      <c r="AB358" s="28"/>
    </row>
    <row r="359" spans="1:28" ht="25.5" x14ac:dyDescent="0.2">
      <c r="A359" s="31" t="s">
        <v>2020</v>
      </c>
      <c r="B359" s="32" t="s">
        <v>2021</v>
      </c>
      <c r="C359" s="16"/>
      <c r="D359" s="16"/>
      <c r="E359" s="6"/>
      <c r="F359" s="6"/>
      <c r="G359" s="6"/>
      <c r="H359" s="28"/>
      <c r="I359" s="28"/>
      <c r="J359" s="28"/>
      <c r="K359" s="28"/>
      <c r="L359" s="28"/>
      <c r="M359" s="28"/>
      <c r="N359" s="28"/>
      <c r="O359" s="28"/>
      <c r="P359" s="28"/>
      <c r="Q359" s="28"/>
      <c r="R359" s="28"/>
      <c r="S359" s="28"/>
      <c r="T359" s="28"/>
      <c r="U359" s="28"/>
      <c r="V359" s="28"/>
      <c r="W359" s="28"/>
      <c r="X359" s="28"/>
      <c r="Y359" s="28"/>
      <c r="Z359" s="28"/>
      <c r="AA359" s="28"/>
      <c r="AB359" s="28"/>
    </row>
    <row r="360" spans="1:28" ht="12.75" x14ac:dyDescent="0.2">
      <c r="A360" s="31" t="s">
        <v>2025</v>
      </c>
      <c r="B360" s="32" t="s">
        <v>2026</v>
      </c>
      <c r="C360" s="16"/>
      <c r="D360" s="16"/>
      <c r="E360" s="6"/>
      <c r="F360" s="6"/>
      <c r="G360" s="6"/>
      <c r="H360" s="28"/>
      <c r="I360" s="28"/>
      <c r="J360" s="28"/>
      <c r="K360" s="28"/>
      <c r="L360" s="28"/>
      <c r="M360" s="28"/>
      <c r="N360" s="28"/>
      <c r="O360" s="28"/>
      <c r="P360" s="28"/>
      <c r="Q360" s="28"/>
      <c r="R360" s="28"/>
      <c r="S360" s="28"/>
      <c r="T360" s="28"/>
      <c r="U360" s="28"/>
      <c r="V360" s="28"/>
      <c r="W360" s="28"/>
      <c r="X360" s="28"/>
      <c r="Y360" s="28"/>
      <c r="Z360" s="28"/>
      <c r="AA360" s="28"/>
      <c r="AB360" s="28"/>
    </row>
    <row r="361" spans="1:28" ht="12.75" x14ac:dyDescent="0.2">
      <c r="A361" s="31" t="s">
        <v>2027</v>
      </c>
      <c r="B361" s="32" t="s">
        <v>2028</v>
      </c>
      <c r="C361" s="16"/>
      <c r="D361" s="16"/>
      <c r="E361" s="6"/>
      <c r="F361" s="6"/>
      <c r="G361" s="6"/>
      <c r="H361" s="28"/>
      <c r="I361" s="28"/>
      <c r="J361" s="28"/>
      <c r="K361" s="28"/>
      <c r="L361" s="28"/>
      <c r="M361" s="28"/>
      <c r="N361" s="28"/>
      <c r="O361" s="28"/>
      <c r="P361" s="28"/>
      <c r="Q361" s="28"/>
      <c r="R361" s="28"/>
      <c r="S361" s="28"/>
      <c r="T361" s="28"/>
      <c r="U361" s="28"/>
      <c r="V361" s="28"/>
      <c r="W361" s="28"/>
      <c r="X361" s="28"/>
      <c r="Y361" s="28"/>
      <c r="Z361" s="28"/>
      <c r="AA361" s="28"/>
      <c r="AB361" s="28"/>
    </row>
    <row r="362" spans="1:28" ht="12.75" x14ac:dyDescent="0.2">
      <c r="A362" s="31" t="s">
        <v>2035</v>
      </c>
      <c r="B362" s="32" t="s">
        <v>2036</v>
      </c>
      <c r="C362" s="16"/>
      <c r="D362" s="16"/>
      <c r="E362" s="6"/>
      <c r="F362" s="6"/>
      <c r="G362" s="6"/>
      <c r="H362" s="28"/>
      <c r="I362" s="28"/>
      <c r="J362" s="28"/>
      <c r="K362" s="28"/>
      <c r="L362" s="28"/>
      <c r="M362" s="28"/>
      <c r="N362" s="28"/>
      <c r="O362" s="28"/>
      <c r="P362" s="28"/>
      <c r="Q362" s="28"/>
      <c r="R362" s="28"/>
      <c r="S362" s="28"/>
      <c r="T362" s="28"/>
      <c r="U362" s="28"/>
      <c r="V362" s="28"/>
      <c r="W362" s="28"/>
      <c r="X362" s="28"/>
      <c r="Y362" s="28"/>
      <c r="Z362" s="28"/>
      <c r="AA362" s="28"/>
      <c r="AB362" s="28"/>
    </row>
    <row r="363" spans="1:28" ht="12.75" x14ac:dyDescent="0.2">
      <c r="A363" s="31" t="s">
        <v>2037</v>
      </c>
      <c r="B363" s="32" t="s">
        <v>2038</v>
      </c>
      <c r="C363" s="16"/>
      <c r="D363" s="16"/>
      <c r="E363" s="6"/>
      <c r="F363" s="6"/>
      <c r="G363" s="6"/>
      <c r="H363" s="28"/>
      <c r="I363" s="28"/>
      <c r="J363" s="28"/>
      <c r="K363" s="28"/>
      <c r="L363" s="28"/>
      <c r="M363" s="28"/>
      <c r="N363" s="28"/>
      <c r="O363" s="28"/>
      <c r="P363" s="28"/>
      <c r="Q363" s="28"/>
      <c r="R363" s="28"/>
      <c r="S363" s="28"/>
      <c r="T363" s="28"/>
      <c r="U363" s="28"/>
      <c r="V363" s="28"/>
      <c r="W363" s="28"/>
      <c r="X363" s="28"/>
      <c r="Y363" s="28"/>
      <c r="Z363" s="28"/>
      <c r="AA363" s="28"/>
      <c r="AB363" s="28"/>
    </row>
    <row r="364" spans="1:28" ht="12.75" x14ac:dyDescent="0.2">
      <c r="A364" s="31" t="s">
        <v>2041</v>
      </c>
      <c r="B364" s="32" t="s">
        <v>2042</v>
      </c>
      <c r="C364" s="16"/>
      <c r="D364" s="16"/>
      <c r="E364" s="6"/>
      <c r="F364" s="6"/>
      <c r="G364" s="6"/>
      <c r="H364" s="28"/>
      <c r="I364" s="28"/>
      <c r="J364" s="28"/>
      <c r="K364" s="28"/>
      <c r="L364" s="28"/>
      <c r="M364" s="28"/>
      <c r="N364" s="28"/>
      <c r="O364" s="28"/>
      <c r="P364" s="28"/>
      <c r="Q364" s="28"/>
      <c r="R364" s="28"/>
      <c r="S364" s="28"/>
      <c r="T364" s="28"/>
      <c r="U364" s="28"/>
      <c r="V364" s="28"/>
      <c r="W364" s="28"/>
      <c r="X364" s="28"/>
      <c r="Y364" s="28"/>
      <c r="Z364" s="28"/>
      <c r="AA364" s="28"/>
      <c r="AB364" s="28"/>
    </row>
    <row r="365" spans="1:28" ht="12.75" x14ac:dyDescent="0.2">
      <c r="A365" s="31" t="s">
        <v>2043</v>
      </c>
      <c r="B365" s="32" t="s">
        <v>2044</v>
      </c>
      <c r="C365" s="16"/>
      <c r="D365" s="16"/>
      <c r="E365" s="6"/>
      <c r="F365" s="6"/>
      <c r="G365" s="6"/>
      <c r="H365" s="28"/>
      <c r="I365" s="28"/>
      <c r="J365" s="28"/>
      <c r="K365" s="28"/>
      <c r="L365" s="28"/>
      <c r="M365" s="28"/>
      <c r="N365" s="28"/>
      <c r="O365" s="28"/>
      <c r="P365" s="28"/>
      <c r="Q365" s="28"/>
      <c r="R365" s="28"/>
      <c r="S365" s="28"/>
      <c r="T365" s="28"/>
      <c r="U365" s="28"/>
      <c r="V365" s="28"/>
      <c r="W365" s="28"/>
      <c r="X365" s="28"/>
      <c r="Y365" s="28"/>
      <c r="Z365" s="28"/>
      <c r="AA365" s="28"/>
      <c r="AB365" s="28"/>
    </row>
    <row r="366" spans="1:28" ht="12.75" x14ac:dyDescent="0.2">
      <c r="A366" s="31" t="s">
        <v>2051</v>
      </c>
      <c r="B366" s="32" t="s">
        <v>2052</v>
      </c>
      <c r="C366" s="16"/>
      <c r="D366" s="16"/>
      <c r="E366" s="6"/>
      <c r="F366" s="6"/>
      <c r="G366" s="6"/>
      <c r="H366" s="28"/>
      <c r="I366" s="28"/>
      <c r="J366" s="28"/>
      <c r="K366" s="28"/>
      <c r="L366" s="28"/>
      <c r="M366" s="28"/>
      <c r="N366" s="28"/>
      <c r="O366" s="28"/>
      <c r="P366" s="28"/>
      <c r="Q366" s="28"/>
      <c r="R366" s="28"/>
      <c r="S366" s="28"/>
      <c r="T366" s="28"/>
      <c r="U366" s="28"/>
      <c r="V366" s="28"/>
      <c r="W366" s="28"/>
      <c r="X366" s="28"/>
      <c r="Y366" s="28"/>
      <c r="Z366" s="28"/>
      <c r="AA366" s="28"/>
      <c r="AB366" s="28"/>
    </row>
    <row r="367" spans="1:28" ht="12.75" x14ac:dyDescent="0.2">
      <c r="A367" s="31" t="s">
        <v>2053</v>
      </c>
      <c r="B367" s="32" t="s">
        <v>2054</v>
      </c>
      <c r="C367" s="16"/>
      <c r="D367" s="16"/>
      <c r="E367" s="6"/>
      <c r="F367" s="6"/>
      <c r="G367" s="6"/>
      <c r="H367" s="28"/>
      <c r="I367" s="28"/>
      <c r="J367" s="28"/>
      <c r="K367" s="28"/>
      <c r="L367" s="28"/>
      <c r="M367" s="28"/>
      <c r="N367" s="28"/>
      <c r="O367" s="28"/>
      <c r="P367" s="28"/>
      <c r="Q367" s="28"/>
      <c r="R367" s="28"/>
      <c r="S367" s="28"/>
      <c r="T367" s="28"/>
      <c r="U367" s="28"/>
      <c r="V367" s="28"/>
      <c r="W367" s="28"/>
      <c r="X367" s="28"/>
      <c r="Y367" s="28"/>
      <c r="Z367" s="28"/>
      <c r="AA367" s="28"/>
      <c r="AB367" s="28"/>
    </row>
    <row r="368" spans="1:28" ht="12.75" x14ac:dyDescent="0.2">
      <c r="A368" s="31" t="s">
        <v>2062</v>
      </c>
      <c r="B368" s="32" t="s">
        <v>2063</v>
      </c>
      <c r="C368" s="16"/>
      <c r="D368" s="16"/>
      <c r="E368" s="6"/>
      <c r="F368" s="6"/>
      <c r="G368" s="6"/>
      <c r="H368" s="28"/>
      <c r="I368" s="28"/>
      <c r="J368" s="28"/>
      <c r="K368" s="28"/>
      <c r="L368" s="28"/>
      <c r="M368" s="28"/>
      <c r="N368" s="28"/>
      <c r="O368" s="28"/>
      <c r="P368" s="28"/>
      <c r="Q368" s="28"/>
      <c r="R368" s="28"/>
      <c r="S368" s="28"/>
      <c r="T368" s="28"/>
      <c r="U368" s="28"/>
      <c r="V368" s="28"/>
      <c r="W368" s="28"/>
      <c r="X368" s="28"/>
      <c r="Y368" s="28"/>
      <c r="Z368" s="28"/>
      <c r="AA368" s="28"/>
      <c r="AB368" s="28"/>
    </row>
    <row r="369" spans="1:28" ht="12.75" x14ac:dyDescent="0.2">
      <c r="A369" s="31" t="s">
        <v>2064</v>
      </c>
      <c r="B369" s="32" t="s">
        <v>2065</v>
      </c>
      <c r="C369" s="16"/>
      <c r="D369" s="16"/>
      <c r="E369" s="6"/>
      <c r="F369" s="6"/>
      <c r="G369" s="6"/>
      <c r="H369" s="28"/>
      <c r="I369" s="28"/>
      <c r="J369" s="28"/>
      <c r="K369" s="28"/>
      <c r="L369" s="28"/>
      <c r="M369" s="28"/>
      <c r="N369" s="28"/>
      <c r="O369" s="28"/>
      <c r="P369" s="28"/>
      <c r="Q369" s="28"/>
      <c r="R369" s="28"/>
      <c r="S369" s="28"/>
      <c r="T369" s="28"/>
      <c r="U369" s="28"/>
      <c r="V369" s="28"/>
      <c r="W369" s="28"/>
      <c r="X369" s="28"/>
      <c r="Y369" s="28"/>
      <c r="Z369" s="28"/>
      <c r="AA369" s="28"/>
      <c r="AB369" s="28"/>
    </row>
    <row r="370" spans="1:28" ht="12.75" x14ac:dyDescent="0.2">
      <c r="A370" s="31" t="s">
        <v>2072</v>
      </c>
      <c r="B370" s="32" t="s">
        <v>2073</v>
      </c>
      <c r="C370" s="16"/>
      <c r="D370" s="16"/>
      <c r="E370" s="6"/>
      <c r="F370" s="6"/>
      <c r="G370" s="6"/>
      <c r="H370" s="28"/>
      <c r="I370" s="28"/>
      <c r="J370" s="28"/>
      <c r="K370" s="28"/>
      <c r="L370" s="28"/>
      <c r="M370" s="28"/>
      <c r="N370" s="28"/>
      <c r="O370" s="28"/>
      <c r="P370" s="28"/>
      <c r="Q370" s="28"/>
      <c r="R370" s="28"/>
      <c r="S370" s="28"/>
      <c r="T370" s="28"/>
      <c r="U370" s="28"/>
      <c r="V370" s="28"/>
      <c r="W370" s="28"/>
      <c r="X370" s="28"/>
      <c r="Y370" s="28"/>
      <c r="Z370" s="28"/>
      <c r="AA370" s="28"/>
      <c r="AB370" s="28"/>
    </row>
    <row r="371" spans="1:28" ht="25.5" x14ac:dyDescent="0.2">
      <c r="A371" s="31" t="s">
        <v>2074</v>
      </c>
      <c r="B371" s="32" t="s">
        <v>2075</v>
      </c>
      <c r="C371" s="16"/>
      <c r="D371" s="16"/>
      <c r="E371" s="6"/>
      <c r="F371" s="6"/>
      <c r="G371" s="6"/>
      <c r="H371" s="28"/>
      <c r="I371" s="28"/>
      <c r="J371" s="28"/>
      <c r="K371" s="28"/>
      <c r="L371" s="28"/>
      <c r="M371" s="28"/>
      <c r="N371" s="28"/>
      <c r="O371" s="28"/>
      <c r="P371" s="28"/>
      <c r="Q371" s="28"/>
      <c r="R371" s="28"/>
      <c r="S371" s="28"/>
      <c r="T371" s="28"/>
      <c r="U371" s="28"/>
      <c r="V371" s="28"/>
      <c r="W371" s="28"/>
      <c r="X371" s="28"/>
      <c r="Y371" s="28"/>
      <c r="Z371" s="28"/>
      <c r="AA371" s="28"/>
      <c r="AB371" s="28"/>
    </row>
    <row r="372" spans="1:28" ht="12.75" x14ac:dyDescent="0.2">
      <c r="A372" s="31" t="s">
        <v>2077</v>
      </c>
      <c r="B372" s="32" t="s">
        <v>2078</v>
      </c>
      <c r="C372" s="16"/>
      <c r="D372" s="16"/>
      <c r="E372" s="6"/>
      <c r="F372" s="6"/>
      <c r="G372" s="6"/>
      <c r="H372" s="28"/>
      <c r="I372" s="28"/>
      <c r="J372" s="28"/>
      <c r="K372" s="28"/>
      <c r="L372" s="28"/>
      <c r="M372" s="28"/>
      <c r="N372" s="28"/>
      <c r="O372" s="28"/>
      <c r="P372" s="28"/>
      <c r="Q372" s="28"/>
      <c r="R372" s="28"/>
      <c r="S372" s="28"/>
      <c r="T372" s="28"/>
      <c r="U372" s="28"/>
      <c r="V372" s="28"/>
      <c r="W372" s="28"/>
      <c r="X372" s="28"/>
      <c r="Y372" s="28"/>
      <c r="Z372" s="28"/>
      <c r="AA372" s="28"/>
      <c r="AB372" s="28"/>
    </row>
    <row r="373" spans="1:28" ht="12.75" x14ac:dyDescent="0.2">
      <c r="A373" s="31" t="s">
        <v>2082</v>
      </c>
      <c r="B373" s="32" t="s">
        <v>2083</v>
      </c>
      <c r="C373" s="16"/>
      <c r="D373" s="16"/>
      <c r="E373" s="6"/>
      <c r="F373" s="6"/>
      <c r="G373" s="6"/>
      <c r="H373" s="28"/>
      <c r="I373" s="28"/>
      <c r="J373" s="28"/>
      <c r="K373" s="28"/>
      <c r="L373" s="28"/>
      <c r="M373" s="28"/>
      <c r="N373" s="28"/>
      <c r="O373" s="28"/>
      <c r="P373" s="28"/>
      <c r="Q373" s="28"/>
      <c r="R373" s="28"/>
      <c r="S373" s="28"/>
      <c r="T373" s="28"/>
      <c r="U373" s="28"/>
      <c r="V373" s="28"/>
      <c r="W373" s="28"/>
      <c r="X373" s="28"/>
      <c r="Y373" s="28"/>
      <c r="Z373" s="28"/>
      <c r="AA373" s="28"/>
      <c r="AB373" s="28"/>
    </row>
    <row r="374" spans="1:28" ht="12.75" x14ac:dyDescent="0.2">
      <c r="A374" s="31" t="s">
        <v>2084</v>
      </c>
      <c r="B374" s="41" t="s">
        <v>2085</v>
      </c>
      <c r="C374" s="16"/>
      <c r="D374" s="16"/>
      <c r="E374" s="6"/>
      <c r="F374" s="6"/>
      <c r="G374" s="6"/>
      <c r="H374" s="28"/>
      <c r="I374" s="28"/>
      <c r="J374" s="28"/>
      <c r="K374" s="28"/>
      <c r="L374" s="28"/>
      <c r="M374" s="28"/>
      <c r="N374" s="28"/>
      <c r="O374" s="28"/>
      <c r="P374" s="28"/>
      <c r="Q374" s="28"/>
      <c r="R374" s="28"/>
      <c r="S374" s="28"/>
      <c r="T374" s="28"/>
      <c r="U374" s="28"/>
      <c r="V374" s="28"/>
      <c r="W374" s="28"/>
      <c r="X374" s="28"/>
      <c r="Y374" s="28"/>
      <c r="Z374" s="28"/>
      <c r="AA374" s="28"/>
      <c r="AB374" s="28"/>
    </row>
    <row r="375" spans="1:28" ht="12.75" x14ac:dyDescent="0.2">
      <c r="A375" s="31" t="s">
        <v>2090</v>
      </c>
      <c r="B375" s="32" t="s">
        <v>2091</v>
      </c>
      <c r="C375" s="16"/>
      <c r="D375" s="16"/>
      <c r="E375" s="6"/>
      <c r="F375" s="6"/>
      <c r="G375" s="6"/>
      <c r="H375" s="28"/>
      <c r="I375" s="28"/>
      <c r="J375" s="28"/>
      <c r="K375" s="28"/>
      <c r="L375" s="28"/>
      <c r="M375" s="28"/>
      <c r="N375" s="28"/>
      <c r="O375" s="28"/>
      <c r="P375" s="28"/>
      <c r="Q375" s="28"/>
      <c r="R375" s="28"/>
      <c r="S375" s="28"/>
      <c r="T375" s="28"/>
      <c r="U375" s="28"/>
      <c r="V375" s="28"/>
      <c r="W375" s="28"/>
      <c r="X375" s="28"/>
      <c r="Y375" s="28"/>
      <c r="Z375" s="28"/>
      <c r="AA375" s="28"/>
      <c r="AB375" s="28"/>
    </row>
    <row r="376" spans="1:28" ht="12.75" x14ac:dyDescent="0.2">
      <c r="A376" s="31" t="s">
        <v>1965</v>
      </c>
      <c r="B376" s="32" t="s">
        <v>2092</v>
      </c>
      <c r="C376" s="16"/>
      <c r="D376" s="16"/>
      <c r="E376" s="6"/>
      <c r="F376" s="6"/>
      <c r="G376" s="6"/>
      <c r="H376" s="28"/>
      <c r="I376" s="28"/>
      <c r="J376" s="28"/>
      <c r="K376" s="28"/>
      <c r="L376" s="28"/>
      <c r="M376" s="28"/>
      <c r="N376" s="28"/>
      <c r="O376" s="28"/>
      <c r="P376" s="28"/>
      <c r="Q376" s="28"/>
      <c r="R376" s="28"/>
      <c r="S376" s="28"/>
      <c r="T376" s="28"/>
      <c r="U376" s="28"/>
      <c r="V376" s="28"/>
      <c r="W376" s="28"/>
      <c r="X376" s="28"/>
      <c r="Y376" s="28"/>
      <c r="Z376" s="28"/>
      <c r="AA376" s="28"/>
      <c r="AB376" s="28"/>
    </row>
    <row r="377" spans="1:28" ht="12.75" x14ac:dyDescent="0.2">
      <c r="A377" s="31" t="s">
        <v>2095</v>
      </c>
      <c r="B377" s="32" t="s">
        <v>2096</v>
      </c>
      <c r="C377" s="16"/>
      <c r="D377" s="16"/>
      <c r="E377" s="6"/>
      <c r="F377" s="6"/>
      <c r="G377" s="6"/>
      <c r="H377" s="28"/>
      <c r="I377" s="28"/>
      <c r="J377" s="28"/>
      <c r="K377" s="28"/>
      <c r="L377" s="28"/>
      <c r="M377" s="28"/>
      <c r="N377" s="28"/>
      <c r="O377" s="28"/>
      <c r="P377" s="28"/>
      <c r="Q377" s="28"/>
      <c r="R377" s="28"/>
      <c r="S377" s="28"/>
      <c r="T377" s="28"/>
      <c r="U377" s="28"/>
      <c r="V377" s="28"/>
      <c r="W377" s="28"/>
      <c r="X377" s="28"/>
      <c r="Y377" s="28"/>
      <c r="Z377" s="28"/>
      <c r="AA377" s="28"/>
      <c r="AB377" s="28"/>
    </row>
    <row r="378" spans="1:28" ht="12.75" x14ac:dyDescent="0.2">
      <c r="A378" s="31" t="s">
        <v>2103</v>
      </c>
      <c r="B378" s="32" t="s">
        <v>2104</v>
      </c>
      <c r="C378" s="16"/>
      <c r="D378" s="16"/>
      <c r="E378" s="6"/>
      <c r="F378" s="6"/>
      <c r="G378" s="6"/>
      <c r="H378" s="28"/>
      <c r="I378" s="28"/>
      <c r="J378" s="28"/>
      <c r="K378" s="28"/>
      <c r="L378" s="28"/>
      <c r="M378" s="28"/>
      <c r="N378" s="28"/>
      <c r="O378" s="28"/>
      <c r="P378" s="28"/>
      <c r="Q378" s="28"/>
      <c r="R378" s="28"/>
      <c r="S378" s="28"/>
      <c r="T378" s="28"/>
      <c r="U378" s="28"/>
      <c r="V378" s="28"/>
      <c r="W378" s="28"/>
      <c r="X378" s="28"/>
      <c r="Y378" s="28"/>
      <c r="Z378" s="28"/>
      <c r="AA378" s="28"/>
      <c r="AB378" s="28"/>
    </row>
    <row r="379" spans="1:28" ht="12.75" x14ac:dyDescent="0.2">
      <c r="A379" s="31" t="s">
        <v>2108</v>
      </c>
      <c r="B379" s="32" t="s">
        <v>2110</v>
      </c>
      <c r="C379" s="16"/>
      <c r="D379" s="16"/>
      <c r="E379" s="6"/>
      <c r="F379" s="6"/>
      <c r="G379" s="6"/>
      <c r="H379" s="28"/>
      <c r="I379" s="28"/>
      <c r="J379" s="28"/>
      <c r="K379" s="28"/>
      <c r="L379" s="28"/>
      <c r="M379" s="28"/>
      <c r="N379" s="28"/>
      <c r="O379" s="28"/>
      <c r="P379" s="28"/>
      <c r="Q379" s="28"/>
      <c r="R379" s="28"/>
      <c r="S379" s="28"/>
      <c r="T379" s="28"/>
      <c r="U379" s="28"/>
      <c r="V379" s="28"/>
      <c r="W379" s="28"/>
      <c r="X379" s="28"/>
      <c r="Y379" s="28"/>
      <c r="Z379" s="28"/>
      <c r="AA379" s="28"/>
      <c r="AB379" s="28"/>
    </row>
    <row r="380" spans="1:28" ht="12.75" x14ac:dyDescent="0.2">
      <c r="A380" s="31" t="s">
        <v>2111</v>
      </c>
      <c r="B380" s="32" t="s">
        <v>2112</v>
      </c>
      <c r="C380" s="16"/>
      <c r="D380" s="16"/>
      <c r="E380" s="6"/>
      <c r="F380" s="6"/>
      <c r="G380" s="6"/>
      <c r="H380" s="28"/>
      <c r="I380" s="28"/>
      <c r="J380" s="28"/>
      <c r="K380" s="28"/>
      <c r="L380" s="28"/>
      <c r="M380" s="28"/>
      <c r="N380" s="28"/>
      <c r="O380" s="28"/>
      <c r="P380" s="28"/>
      <c r="Q380" s="28"/>
      <c r="R380" s="28"/>
      <c r="S380" s="28"/>
      <c r="T380" s="28"/>
      <c r="U380" s="28"/>
      <c r="V380" s="28"/>
      <c r="W380" s="28"/>
      <c r="X380" s="28"/>
      <c r="Y380" s="28"/>
      <c r="Z380" s="28"/>
      <c r="AA380" s="28"/>
      <c r="AB380" s="28"/>
    </row>
    <row r="381" spans="1:28" ht="12.75" x14ac:dyDescent="0.2">
      <c r="A381" s="31" t="s">
        <v>2117</v>
      </c>
      <c r="B381" s="32" t="s">
        <v>2118</v>
      </c>
      <c r="C381" s="16"/>
      <c r="D381" s="16"/>
      <c r="E381" s="6"/>
      <c r="F381" s="6"/>
      <c r="G381" s="6"/>
      <c r="H381" s="28"/>
      <c r="I381" s="28"/>
      <c r="J381" s="28"/>
      <c r="K381" s="28"/>
      <c r="L381" s="28"/>
      <c r="M381" s="28"/>
      <c r="N381" s="28"/>
      <c r="O381" s="28"/>
      <c r="P381" s="28"/>
      <c r="Q381" s="28"/>
      <c r="R381" s="28"/>
      <c r="S381" s="28"/>
      <c r="T381" s="28"/>
      <c r="U381" s="28"/>
      <c r="V381" s="28"/>
      <c r="W381" s="28"/>
      <c r="X381" s="28"/>
      <c r="Y381" s="28"/>
      <c r="Z381" s="28"/>
      <c r="AA381" s="28"/>
      <c r="AB381" s="28"/>
    </row>
    <row r="382" spans="1:28" ht="12.75" x14ac:dyDescent="0.2">
      <c r="A382" s="31" t="s">
        <v>2123</v>
      </c>
      <c r="B382" s="32" t="s">
        <v>2124</v>
      </c>
      <c r="C382" s="16"/>
      <c r="D382" s="16"/>
      <c r="E382" s="6"/>
      <c r="F382" s="6"/>
      <c r="G382" s="6"/>
      <c r="H382" s="28"/>
      <c r="I382" s="28"/>
      <c r="J382" s="28"/>
      <c r="K382" s="28"/>
      <c r="L382" s="28"/>
      <c r="M382" s="28"/>
      <c r="N382" s="28"/>
      <c r="O382" s="28"/>
      <c r="P382" s="28"/>
      <c r="Q382" s="28"/>
      <c r="R382" s="28"/>
      <c r="S382" s="28"/>
      <c r="T382" s="28"/>
      <c r="U382" s="28"/>
      <c r="V382" s="28"/>
      <c r="W382" s="28"/>
      <c r="X382" s="28"/>
      <c r="Y382" s="28"/>
      <c r="Z382" s="28"/>
      <c r="AA382" s="28"/>
      <c r="AB382" s="28"/>
    </row>
    <row r="383" spans="1:28" ht="12.75" x14ac:dyDescent="0.2">
      <c r="A383" s="31" t="s">
        <v>2126</v>
      </c>
      <c r="B383" s="32" t="s">
        <v>2128</v>
      </c>
      <c r="C383" s="16"/>
      <c r="D383" s="16"/>
      <c r="E383" s="6"/>
      <c r="F383" s="6"/>
      <c r="G383" s="6"/>
      <c r="H383" s="28"/>
      <c r="I383" s="28"/>
      <c r="J383" s="28"/>
      <c r="K383" s="28"/>
      <c r="L383" s="28"/>
      <c r="M383" s="28"/>
      <c r="N383" s="28"/>
      <c r="O383" s="28"/>
      <c r="P383" s="28"/>
      <c r="Q383" s="28"/>
      <c r="R383" s="28"/>
      <c r="S383" s="28"/>
      <c r="T383" s="28"/>
      <c r="U383" s="28"/>
      <c r="V383" s="28"/>
      <c r="W383" s="28"/>
      <c r="X383" s="28"/>
      <c r="Y383" s="28"/>
      <c r="Z383" s="28"/>
      <c r="AA383" s="28"/>
      <c r="AB383" s="28"/>
    </row>
    <row r="384" spans="1:28" ht="12.75" x14ac:dyDescent="0.2">
      <c r="A384" s="31" t="s">
        <v>2130</v>
      </c>
      <c r="B384" s="32" t="s">
        <v>2131</v>
      </c>
      <c r="C384" s="16"/>
      <c r="D384" s="16"/>
      <c r="E384" s="6"/>
      <c r="F384" s="6"/>
      <c r="G384" s="6"/>
      <c r="H384" s="28"/>
      <c r="I384" s="28"/>
      <c r="J384" s="28"/>
      <c r="K384" s="28"/>
      <c r="L384" s="28"/>
      <c r="M384" s="28"/>
      <c r="N384" s="28"/>
      <c r="O384" s="28"/>
      <c r="P384" s="28"/>
      <c r="Q384" s="28"/>
      <c r="R384" s="28"/>
      <c r="S384" s="28"/>
      <c r="T384" s="28"/>
      <c r="U384" s="28"/>
      <c r="V384" s="28"/>
      <c r="W384" s="28"/>
      <c r="X384" s="28"/>
      <c r="Y384" s="28"/>
      <c r="Z384" s="28"/>
      <c r="AA384" s="28"/>
      <c r="AB384" s="28"/>
    </row>
    <row r="385" spans="1:28" ht="12.75" x14ac:dyDescent="0.2">
      <c r="A385" s="31" t="s">
        <v>2137</v>
      </c>
      <c r="B385" s="32" t="s">
        <v>2138</v>
      </c>
      <c r="C385" s="16"/>
      <c r="D385" s="16"/>
      <c r="E385" s="6"/>
      <c r="F385" s="6"/>
      <c r="G385" s="6"/>
      <c r="H385" s="28"/>
      <c r="I385" s="28"/>
      <c r="J385" s="28"/>
      <c r="K385" s="28"/>
      <c r="L385" s="28"/>
      <c r="M385" s="28"/>
      <c r="N385" s="28"/>
      <c r="O385" s="28"/>
      <c r="P385" s="28"/>
      <c r="Q385" s="28"/>
      <c r="R385" s="28"/>
      <c r="S385" s="28"/>
      <c r="T385" s="28"/>
      <c r="U385" s="28"/>
      <c r="V385" s="28"/>
      <c r="W385" s="28"/>
      <c r="X385" s="28"/>
      <c r="Y385" s="28"/>
      <c r="Z385" s="28"/>
      <c r="AA385" s="28"/>
      <c r="AB385" s="28"/>
    </row>
    <row r="386" spans="1:28" ht="12.75" x14ac:dyDescent="0.2">
      <c r="A386" s="31" t="s">
        <v>2139</v>
      </c>
      <c r="B386" s="32" t="s">
        <v>2140</v>
      </c>
      <c r="C386" s="16"/>
      <c r="D386" s="16"/>
      <c r="E386" s="6"/>
      <c r="F386" s="6"/>
      <c r="G386" s="6"/>
      <c r="H386" s="28"/>
      <c r="I386" s="28"/>
      <c r="J386" s="28"/>
      <c r="K386" s="28"/>
      <c r="L386" s="28"/>
      <c r="M386" s="28"/>
      <c r="N386" s="28"/>
      <c r="O386" s="28"/>
      <c r="P386" s="28"/>
      <c r="Q386" s="28"/>
      <c r="R386" s="28"/>
      <c r="S386" s="28"/>
      <c r="T386" s="28"/>
      <c r="U386" s="28"/>
      <c r="V386" s="28"/>
      <c r="W386" s="28"/>
      <c r="X386" s="28"/>
      <c r="Y386" s="28"/>
      <c r="Z386" s="28"/>
      <c r="AA386" s="28"/>
      <c r="AB386" s="28"/>
    </row>
    <row r="387" spans="1:28" ht="12.75" x14ac:dyDescent="0.2">
      <c r="A387" s="31" t="s">
        <v>2143</v>
      </c>
      <c r="B387" s="32" t="s">
        <v>2144</v>
      </c>
      <c r="C387" s="16"/>
      <c r="D387" s="16"/>
      <c r="E387" s="6"/>
      <c r="F387" s="6"/>
      <c r="G387" s="6"/>
      <c r="H387" s="28"/>
      <c r="I387" s="28"/>
      <c r="J387" s="28"/>
      <c r="K387" s="28"/>
      <c r="L387" s="28"/>
      <c r="M387" s="28"/>
      <c r="N387" s="28"/>
      <c r="O387" s="28"/>
      <c r="P387" s="28"/>
      <c r="Q387" s="28"/>
      <c r="R387" s="28"/>
      <c r="S387" s="28"/>
      <c r="T387" s="28"/>
      <c r="U387" s="28"/>
      <c r="V387" s="28"/>
      <c r="W387" s="28"/>
      <c r="X387" s="28"/>
      <c r="Y387" s="28"/>
      <c r="Z387" s="28"/>
      <c r="AA387" s="28"/>
      <c r="AB387" s="28"/>
    </row>
    <row r="388" spans="1:28" ht="12.75" x14ac:dyDescent="0.2">
      <c r="A388" s="31" t="s">
        <v>2145</v>
      </c>
      <c r="B388" s="32" t="s">
        <v>2146</v>
      </c>
      <c r="C388" s="16"/>
      <c r="D388" s="16"/>
      <c r="E388" s="6"/>
      <c r="F388" s="6"/>
      <c r="G388" s="6"/>
      <c r="H388" s="28"/>
      <c r="I388" s="28"/>
      <c r="J388" s="28"/>
      <c r="K388" s="28"/>
      <c r="L388" s="28"/>
      <c r="M388" s="28"/>
      <c r="N388" s="28"/>
      <c r="O388" s="28"/>
      <c r="P388" s="28"/>
      <c r="Q388" s="28"/>
      <c r="R388" s="28"/>
      <c r="S388" s="28"/>
      <c r="T388" s="28"/>
      <c r="U388" s="28"/>
      <c r="V388" s="28"/>
      <c r="W388" s="28"/>
      <c r="X388" s="28"/>
      <c r="Y388" s="28"/>
      <c r="Z388" s="28"/>
      <c r="AA388" s="28"/>
      <c r="AB388" s="28"/>
    </row>
    <row r="389" spans="1:28" ht="12.75" x14ac:dyDescent="0.2">
      <c r="A389" s="31" t="s">
        <v>2152</v>
      </c>
      <c r="B389" s="32" t="s">
        <v>2153</v>
      </c>
      <c r="C389" s="16"/>
      <c r="D389" s="16"/>
      <c r="E389" s="6"/>
      <c r="F389" s="6"/>
      <c r="G389" s="6"/>
      <c r="H389" s="28"/>
      <c r="I389" s="28"/>
      <c r="J389" s="28"/>
      <c r="K389" s="28"/>
      <c r="L389" s="28"/>
      <c r="M389" s="28"/>
      <c r="N389" s="28"/>
      <c r="O389" s="28"/>
      <c r="P389" s="28"/>
      <c r="Q389" s="28"/>
      <c r="R389" s="28"/>
      <c r="S389" s="28"/>
      <c r="T389" s="28"/>
      <c r="U389" s="28"/>
      <c r="V389" s="28"/>
      <c r="W389" s="28"/>
      <c r="X389" s="28"/>
      <c r="Y389" s="28"/>
      <c r="Z389" s="28"/>
      <c r="AA389" s="28"/>
      <c r="AB389" s="28"/>
    </row>
    <row r="390" spans="1:28" ht="12.75" x14ac:dyDescent="0.2">
      <c r="A390" s="31" t="s">
        <v>2157</v>
      </c>
      <c r="B390" s="32" t="s">
        <v>2159</v>
      </c>
      <c r="C390" s="16"/>
      <c r="D390" s="16"/>
      <c r="E390" s="6"/>
      <c r="F390" s="6"/>
      <c r="G390" s="6"/>
      <c r="H390" s="28"/>
      <c r="I390" s="28"/>
      <c r="J390" s="28"/>
      <c r="K390" s="28"/>
      <c r="L390" s="28"/>
      <c r="M390" s="28"/>
      <c r="N390" s="28"/>
      <c r="O390" s="28"/>
      <c r="P390" s="28"/>
      <c r="Q390" s="28"/>
      <c r="R390" s="28"/>
      <c r="S390" s="28"/>
      <c r="T390" s="28"/>
      <c r="U390" s="28"/>
      <c r="V390" s="28"/>
      <c r="W390" s="28"/>
      <c r="X390" s="28"/>
      <c r="Y390" s="28"/>
      <c r="Z390" s="28"/>
      <c r="AA390" s="28"/>
      <c r="AB390" s="28"/>
    </row>
    <row r="391" spans="1:28" ht="12.75" x14ac:dyDescent="0.2">
      <c r="A391" s="31" t="s">
        <v>2161</v>
      </c>
      <c r="B391" s="32" t="s">
        <v>2162</v>
      </c>
      <c r="C391" s="16"/>
      <c r="D391" s="16"/>
      <c r="E391" s="6"/>
      <c r="F391" s="6"/>
      <c r="G391" s="6"/>
      <c r="H391" s="28"/>
      <c r="I391" s="28"/>
      <c r="J391" s="28"/>
      <c r="K391" s="28"/>
      <c r="L391" s="28"/>
      <c r="M391" s="28"/>
      <c r="N391" s="28"/>
      <c r="O391" s="28"/>
      <c r="P391" s="28"/>
      <c r="Q391" s="28"/>
      <c r="R391" s="28"/>
      <c r="S391" s="28"/>
      <c r="T391" s="28"/>
      <c r="U391" s="28"/>
      <c r="V391" s="28"/>
      <c r="W391" s="28"/>
      <c r="X391" s="28"/>
      <c r="Y391" s="28"/>
      <c r="Z391" s="28"/>
      <c r="AA391" s="28"/>
      <c r="AB391" s="28"/>
    </row>
    <row r="392" spans="1:28" ht="12.75" x14ac:dyDescent="0.2">
      <c r="A392" s="31" t="s">
        <v>2169</v>
      </c>
      <c r="B392" s="32" t="s">
        <v>2170</v>
      </c>
      <c r="C392" s="16"/>
      <c r="D392" s="16"/>
      <c r="E392" s="6"/>
      <c r="F392" s="6"/>
      <c r="G392" s="6"/>
      <c r="H392" s="28"/>
      <c r="I392" s="28"/>
      <c r="J392" s="28"/>
      <c r="K392" s="28"/>
      <c r="L392" s="28"/>
      <c r="M392" s="28"/>
      <c r="N392" s="28"/>
      <c r="O392" s="28"/>
      <c r="P392" s="28"/>
      <c r="Q392" s="28"/>
      <c r="R392" s="28"/>
      <c r="S392" s="28"/>
      <c r="T392" s="28"/>
      <c r="U392" s="28"/>
      <c r="V392" s="28"/>
      <c r="W392" s="28"/>
      <c r="X392" s="28"/>
      <c r="Y392" s="28"/>
      <c r="Z392" s="28"/>
      <c r="AA392" s="28"/>
      <c r="AB392" s="28"/>
    </row>
    <row r="393" spans="1:28" ht="25.5" x14ac:dyDescent="0.2">
      <c r="A393" s="31" t="s">
        <v>2174</v>
      </c>
      <c r="B393" s="32" t="s">
        <v>2175</v>
      </c>
      <c r="C393" s="16"/>
      <c r="D393" s="16"/>
      <c r="E393" s="6"/>
      <c r="F393" s="6"/>
      <c r="G393" s="6"/>
      <c r="H393" s="28"/>
      <c r="I393" s="28"/>
      <c r="J393" s="28"/>
      <c r="K393" s="28"/>
      <c r="L393" s="28"/>
      <c r="M393" s="28"/>
      <c r="N393" s="28"/>
      <c r="O393" s="28"/>
      <c r="P393" s="28"/>
      <c r="Q393" s="28"/>
      <c r="R393" s="28"/>
      <c r="S393" s="28"/>
      <c r="T393" s="28"/>
      <c r="U393" s="28"/>
      <c r="V393" s="28"/>
      <c r="W393" s="28"/>
      <c r="X393" s="28"/>
      <c r="Y393" s="28"/>
      <c r="Z393" s="28"/>
      <c r="AA393" s="28"/>
      <c r="AB393" s="28"/>
    </row>
    <row r="394" spans="1:28" ht="12.75" x14ac:dyDescent="0.2">
      <c r="A394" s="31" t="s">
        <v>2177</v>
      </c>
      <c r="B394" s="32" t="s">
        <v>2178</v>
      </c>
      <c r="C394" s="16"/>
      <c r="D394" s="16"/>
      <c r="E394" s="6"/>
      <c r="F394" s="6"/>
      <c r="G394" s="6"/>
      <c r="H394" s="28"/>
      <c r="I394" s="28"/>
      <c r="J394" s="28"/>
      <c r="K394" s="28"/>
      <c r="L394" s="28"/>
      <c r="M394" s="28"/>
      <c r="N394" s="28"/>
      <c r="O394" s="28"/>
      <c r="P394" s="28"/>
      <c r="Q394" s="28"/>
      <c r="R394" s="28"/>
      <c r="S394" s="28"/>
      <c r="T394" s="28"/>
      <c r="U394" s="28"/>
      <c r="V394" s="28"/>
      <c r="W394" s="28"/>
      <c r="X394" s="28"/>
      <c r="Y394" s="28"/>
      <c r="Z394" s="28"/>
      <c r="AA394" s="28"/>
      <c r="AB394" s="28"/>
    </row>
    <row r="395" spans="1:28" ht="12.75" x14ac:dyDescent="0.2">
      <c r="A395" s="31" t="s">
        <v>2179</v>
      </c>
      <c r="B395" s="32" t="s">
        <v>2182</v>
      </c>
      <c r="C395" s="16"/>
      <c r="D395" s="16"/>
      <c r="E395" s="6"/>
      <c r="F395" s="6"/>
      <c r="G395" s="6"/>
      <c r="H395" s="28"/>
      <c r="I395" s="28"/>
      <c r="J395" s="28"/>
      <c r="K395" s="28"/>
      <c r="L395" s="28"/>
      <c r="M395" s="28"/>
      <c r="N395" s="28"/>
      <c r="O395" s="28"/>
      <c r="P395" s="28"/>
      <c r="Q395" s="28"/>
      <c r="R395" s="28"/>
      <c r="S395" s="28"/>
      <c r="T395" s="28"/>
      <c r="U395" s="28"/>
      <c r="V395" s="28"/>
      <c r="W395" s="28"/>
      <c r="X395" s="28"/>
      <c r="Y395" s="28"/>
      <c r="Z395" s="28"/>
      <c r="AA395" s="28"/>
      <c r="AB395" s="28"/>
    </row>
    <row r="396" spans="1:28" ht="12.75" x14ac:dyDescent="0.2">
      <c r="A396" s="31" t="s">
        <v>2185</v>
      </c>
      <c r="B396" s="32" t="s">
        <v>2186</v>
      </c>
      <c r="C396" s="16"/>
      <c r="D396" s="16"/>
      <c r="E396" s="6"/>
      <c r="F396" s="6"/>
      <c r="G396" s="6"/>
      <c r="H396" s="28"/>
      <c r="I396" s="28"/>
      <c r="J396" s="28"/>
      <c r="K396" s="28"/>
      <c r="L396" s="28"/>
      <c r="M396" s="28"/>
      <c r="N396" s="28"/>
      <c r="O396" s="28"/>
      <c r="P396" s="28"/>
      <c r="Q396" s="28"/>
      <c r="R396" s="28"/>
      <c r="S396" s="28"/>
      <c r="T396" s="28"/>
      <c r="U396" s="28"/>
      <c r="V396" s="28"/>
      <c r="W396" s="28"/>
      <c r="X396" s="28"/>
      <c r="Y396" s="28"/>
      <c r="Z396" s="28"/>
      <c r="AA396" s="28"/>
      <c r="AB396" s="28"/>
    </row>
    <row r="397" spans="1:28" ht="12.75" x14ac:dyDescent="0.2">
      <c r="A397" s="31" t="s">
        <v>2193</v>
      </c>
      <c r="B397" s="32" t="s">
        <v>2194</v>
      </c>
      <c r="C397" s="16"/>
      <c r="D397" s="16"/>
      <c r="E397" s="6"/>
      <c r="F397" s="6"/>
      <c r="G397" s="6"/>
      <c r="H397" s="28"/>
      <c r="I397" s="28"/>
      <c r="J397" s="28"/>
      <c r="K397" s="28"/>
      <c r="L397" s="28"/>
      <c r="M397" s="28"/>
      <c r="N397" s="28"/>
      <c r="O397" s="28"/>
      <c r="P397" s="28"/>
      <c r="Q397" s="28"/>
      <c r="R397" s="28"/>
      <c r="S397" s="28"/>
      <c r="T397" s="28"/>
      <c r="U397" s="28"/>
      <c r="V397" s="28"/>
      <c r="W397" s="28"/>
      <c r="X397" s="28"/>
      <c r="Y397" s="28"/>
      <c r="Z397" s="28"/>
      <c r="AA397" s="28"/>
      <c r="AB397" s="28"/>
    </row>
    <row r="398" spans="1:28" ht="12.75" x14ac:dyDescent="0.2">
      <c r="A398" s="31" t="s">
        <v>2199</v>
      </c>
      <c r="B398" s="32" t="s">
        <v>2200</v>
      </c>
      <c r="C398" s="16"/>
      <c r="D398" s="16"/>
      <c r="E398" s="6"/>
      <c r="F398" s="6"/>
      <c r="G398" s="6"/>
      <c r="H398" s="28"/>
      <c r="I398" s="28"/>
      <c r="J398" s="28"/>
      <c r="K398" s="28"/>
      <c r="L398" s="28"/>
      <c r="M398" s="28"/>
      <c r="N398" s="28"/>
      <c r="O398" s="28"/>
      <c r="P398" s="28"/>
      <c r="Q398" s="28"/>
      <c r="R398" s="28"/>
      <c r="S398" s="28"/>
      <c r="T398" s="28"/>
      <c r="U398" s="28"/>
      <c r="V398" s="28"/>
      <c r="W398" s="28"/>
      <c r="X398" s="28"/>
      <c r="Y398" s="28"/>
      <c r="Z398" s="28"/>
      <c r="AA398" s="28"/>
      <c r="AB398" s="28"/>
    </row>
    <row r="399" spans="1:28" ht="25.5" x14ac:dyDescent="0.2">
      <c r="A399" s="31" t="s">
        <v>2203</v>
      </c>
      <c r="B399" s="32" t="s">
        <v>2204</v>
      </c>
      <c r="C399" s="16"/>
      <c r="D399" s="16"/>
      <c r="E399" s="6"/>
      <c r="F399" s="6"/>
      <c r="G399" s="6"/>
      <c r="H399" s="28"/>
      <c r="I399" s="28"/>
      <c r="J399" s="28"/>
      <c r="K399" s="28"/>
      <c r="L399" s="28"/>
      <c r="M399" s="28"/>
      <c r="N399" s="28"/>
      <c r="O399" s="28"/>
      <c r="P399" s="28"/>
      <c r="Q399" s="28"/>
      <c r="R399" s="28"/>
      <c r="S399" s="28"/>
      <c r="T399" s="28"/>
      <c r="U399" s="28"/>
      <c r="V399" s="28"/>
      <c r="W399" s="28"/>
      <c r="X399" s="28"/>
      <c r="Y399" s="28"/>
      <c r="Z399" s="28"/>
      <c r="AA399" s="28"/>
      <c r="AB399" s="28"/>
    </row>
    <row r="400" spans="1:28" ht="12.75" x14ac:dyDescent="0.2">
      <c r="A400" s="31" t="s">
        <v>2208</v>
      </c>
      <c r="B400" s="32" t="s">
        <v>2209</v>
      </c>
      <c r="C400" s="16"/>
      <c r="D400" s="16"/>
      <c r="E400" s="6"/>
      <c r="F400" s="6"/>
      <c r="G400" s="6"/>
      <c r="H400" s="28"/>
      <c r="I400" s="28"/>
      <c r="J400" s="28"/>
      <c r="K400" s="28"/>
      <c r="L400" s="28"/>
      <c r="M400" s="28"/>
      <c r="N400" s="28"/>
      <c r="O400" s="28"/>
      <c r="P400" s="28"/>
      <c r="Q400" s="28"/>
      <c r="R400" s="28"/>
      <c r="S400" s="28"/>
      <c r="T400" s="28"/>
      <c r="U400" s="28"/>
      <c r="V400" s="28"/>
      <c r="W400" s="28"/>
      <c r="X400" s="28"/>
      <c r="Y400" s="28"/>
      <c r="Z400" s="28"/>
      <c r="AA400" s="28"/>
      <c r="AB400" s="28"/>
    </row>
    <row r="401" spans="1:28" ht="12.75" x14ac:dyDescent="0.2">
      <c r="A401" s="31" t="s">
        <v>2216</v>
      </c>
      <c r="B401" s="32" t="s">
        <v>2217</v>
      </c>
      <c r="C401" s="16"/>
      <c r="D401" s="16"/>
      <c r="E401" s="6"/>
      <c r="F401" s="6"/>
      <c r="G401" s="6"/>
      <c r="H401" s="28"/>
      <c r="I401" s="28"/>
      <c r="J401" s="28"/>
      <c r="K401" s="28"/>
      <c r="L401" s="28"/>
      <c r="M401" s="28"/>
      <c r="N401" s="28"/>
      <c r="O401" s="28"/>
      <c r="P401" s="28"/>
      <c r="Q401" s="28"/>
      <c r="R401" s="28"/>
      <c r="S401" s="28"/>
      <c r="T401" s="28"/>
      <c r="U401" s="28"/>
      <c r="V401" s="28"/>
      <c r="W401" s="28"/>
      <c r="X401" s="28"/>
      <c r="Y401" s="28"/>
      <c r="Z401" s="28"/>
      <c r="AA401" s="28"/>
      <c r="AB401" s="28"/>
    </row>
    <row r="402" spans="1:28" ht="12.75" x14ac:dyDescent="0.2">
      <c r="A402" s="31" t="s">
        <v>2221</v>
      </c>
      <c r="B402" s="32" t="s">
        <v>2222</v>
      </c>
      <c r="C402" s="16"/>
      <c r="D402" s="16"/>
      <c r="E402" s="6"/>
      <c r="F402" s="6"/>
      <c r="G402" s="6"/>
      <c r="H402" s="28"/>
      <c r="I402" s="28"/>
      <c r="J402" s="28"/>
      <c r="K402" s="28"/>
      <c r="L402" s="28"/>
      <c r="M402" s="28"/>
      <c r="N402" s="28"/>
      <c r="O402" s="28"/>
      <c r="P402" s="28"/>
      <c r="Q402" s="28"/>
      <c r="R402" s="28"/>
      <c r="S402" s="28"/>
      <c r="T402" s="28"/>
      <c r="U402" s="28"/>
      <c r="V402" s="28"/>
      <c r="W402" s="28"/>
      <c r="X402" s="28"/>
      <c r="Y402" s="28"/>
      <c r="Z402" s="28"/>
      <c r="AA402" s="28"/>
      <c r="AB402" s="28"/>
    </row>
    <row r="403" spans="1:28" ht="25.5" x14ac:dyDescent="0.2">
      <c r="A403" s="31" t="s">
        <v>2224</v>
      </c>
      <c r="B403" s="32" t="s">
        <v>2226</v>
      </c>
      <c r="C403" s="16"/>
      <c r="D403" s="16"/>
      <c r="E403" s="6"/>
      <c r="F403" s="6"/>
      <c r="G403" s="6"/>
      <c r="H403" s="28"/>
      <c r="I403" s="28"/>
      <c r="J403" s="28"/>
      <c r="K403" s="28"/>
      <c r="L403" s="28"/>
      <c r="M403" s="28"/>
      <c r="N403" s="28"/>
      <c r="O403" s="28"/>
      <c r="P403" s="28"/>
      <c r="Q403" s="28"/>
      <c r="R403" s="28"/>
      <c r="S403" s="28"/>
      <c r="T403" s="28"/>
      <c r="U403" s="28"/>
      <c r="V403" s="28"/>
      <c r="W403" s="28"/>
      <c r="X403" s="28"/>
      <c r="Y403" s="28"/>
      <c r="Z403" s="28"/>
      <c r="AA403" s="28"/>
      <c r="AB403" s="28"/>
    </row>
    <row r="404" spans="1:28" ht="12.75" x14ac:dyDescent="0.2">
      <c r="A404" s="31" t="s">
        <v>2229</v>
      </c>
      <c r="B404" s="32" t="s">
        <v>2230</v>
      </c>
      <c r="C404" s="16"/>
      <c r="D404" s="16"/>
      <c r="E404" s="6"/>
      <c r="F404" s="6"/>
      <c r="G404" s="6"/>
      <c r="H404" s="28"/>
      <c r="I404" s="28"/>
      <c r="J404" s="28"/>
      <c r="K404" s="28"/>
      <c r="L404" s="28"/>
      <c r="M404" s="28"/>
      <c r="N404" s="28"/>
      <c r="O404" s="28"/>
      <c r="P404" s="28"/>
      <c r="Q404" s="28"/>
      <c r="R404" s="28"/>
      <c r="S404" s="28"/>
      <c r="T404" s="28"/>
      <c r="U404" s="28"/>
      <c r="V404" s="28"/>
      <c r="W404" s="28"/>
      <c r="X404" s="28"/>
      <c r="Y404" s="28"/>
      <c r="Z404" s="28"/>
      <c r="AA404" s="28"/>
      <c r="AB404" s="28"/>
    </row>
    <row r="405" spans="1:28" ht="12.75" x14ac:dyDescent="0.2">
      <c r="A405" s="31" t="s">
        <v>2232</v>
      </c>
      <c r="B405" s="32" t="s">
        <v>2233</v>
      </c>
      <c r="C405" s="16"/>
      <c r="D405" s="16"/>
      <c r="E405" s="6"/>
      <c r="F405" s="6"/>
      <c r="G405" s="6"/>
      <c r="H405" s="28"/>
      <c r="I405" s="28"/>
      <c r="J405" s="28"/>
      <c r="K405" s="28"/>
      <c r="L405" s="28"/>
      <c r="M405" s="28"/>
      <c r="N405" s="28"/>
      <c r="O405" s="28"/>
      <c r="P405" s="28"/>
      <c r="Q405" s="28"/>
      <c r="R405" s="28"/>
      <c r="S405" s="28"/>
      <c r="T405" s="28"/>
      <c r="U405" s="28"/>
      <c r="V405" s="28"/>
      <c r="W405" s="28"/>
      <c r="X405" s="28"/>
      <c r="Y405" s="28"/>
      <c r="Z405" s="28"/>
      <c r="AA405" s="28"/>
      <c r="AB405" s="28"/>
    </row>
    <row r="406" spans="1:28" ht="12.75" x14ac:dyDescent="0.2">
      <c r="A406" s="31" t="s">
        <v>2236</v>
      </c>
      <c r="B406" s="32" t="s">
        <v>2237</v>
      </c>
      <c r="C406" s="16"/>
      <c r="D406" s="16"/>
      <c r="E406" s="6"/>
      <c r="F406" s="6"/>
      <c r="G406" s="6"/>
      <c r="H406" s="28"/>
      <c r="I406" s="28"/>
      <c r="J406" s="28"/>
      <c r="K406" s="28"/>
      <c r="L406" s="28"/>
      <c r="M406" s="28"/>
      <c r="N406" s="28"/>
      <c r="O406" s="28"/>
      <c r="P406" s="28"/>
      <c r="Q406" s="28"/>
      <c r="R406" s="28"/>
      <c r="S406" s="28"/>
      <c r="T406" s="28"/>
      <c r="U406" s="28"/>
      <c r="V406" s="28"/>
      <c r="W406" s="28"/>
      <c r="X406" s="28"/>
      <c r="Y406" s="28"/>
      <c r="Z406" s="28"/>
      <c r="AA406" s="28"/>
      <c r="AB406" s="28"/>
    </row>
    <row r="407" spans="1:28" ht="12.75" x14ac:dyDescent="0.2">
      <c r="A407" s="31" t="s">
        <v>2243</v>
      </c>
      <c r="B407" s="32" t="s">
        <v>2244</v>
      </c>
      <c r="C407" s="16"/>
      <c r="D407" s="16"/>
      <c r="E407" s="6"/>
      <c r="F407" s="6"/>
      <c r="G407" s="6"/>
      <c r="H407" s="28"/>
      <c r="I407" s="28"/>
      <c r="J407" s="28"/>
      <c r="K407" s="28"/>
      <c r="L407" s="28"/>
      <c r="M407" s="28"/>
      <c r="N407" s="28"/>
      <c r="O407" s="28"/>
      <c r="P407" s="28"/>
      <c r="Q407" s="28"/>
      <c r="R407" s="28"/>
      <c r="S407" s="28"/>
      <c r="T407" s="28"/>
      <c r="U407" s="28"/>
      <c r="V407" s="28"/>
      <c r="W407" s="28"/>
      <c r="X407" s="28"/>
      <c r="Y407" s="28"/>
      <c r="Z407" s="28"/>
      <c r="AA407" s="28"/>
      <c r="AB407" s="28"/>
    </row>
    <row r="408" spans="1:28" ht="12.75" x14ac:dyDescent="0.2">
      <c r="A408" s="31" t="s">
        <v>2248</v>
      </c>
      <c r="B408" s="32" t="s">
        <v>2249</v>
      </c>
      <c r="C408" s="16"/>
      <c r="D408" s="16"/>
      <c r="E408" s="6"/>
      <c r="F408" s="6"/>
      <c r="G408" s="6"/>
      <c r="H408" s="28"/>
      <c r="I408" s="28"/>
      <c r="J408" s="28"/>
      <c r="K408" s="28"/>
      <c r="L408" s="28"/>
      <c r="M408" s="28"/>
      <c r="N408" s="28"/>
      <c r="O408" s="28"/>
      <c r="P408" s="28"/>
      <c r="Q408" s="28"/>
      <c r="R408" s="28"/>
      <c r="S408" s="28"/>
      <c r="T408" s="28"/>
      <c r="U408" s="28"/>
      <c r="V408" s="28"/>
      <c r="W408" s="28"/>
      <c r="X408" s="28"/>
      <c r="Y408" s="28"/>
      <c r="Z408" s="28"/>
      <c r="AA408" s="28"/>
      <c r="AB408" s="28"/>
    </row>
    <row r="409" spans="1:28" ht="12.75" x14ac:dyDescent="0.2">
      <c r="A409" s="31" t="s">
        <v>2250</v>
      </c>
      <c r="B409" s="32" t="s">
        <v>2251</v>
      </c>
      <c r="C409" s="16"/>
      <c r="D409" s="16"/>
      <c r="E409" s="6"/>
      <c r="F409" s="6"/>
      <c r="G409" s="6"/>
      <c r="H409" s="28"/>
      <c r="I409" s="28"/>
      <c r="J409" s="28"/>
      <c r="K409" s="28"/>
      <c r="L409" s="28"/>
      <c r="M409" s="28"/>
      <c r="N409" s="28"/>
      <c r="O409" s="28"/>
      <c r="P409" s="28"/>
      <c r="Q409" s="28"/>
      <c r="R409" s="28"/>
      <c r="S409" s="28"/>
      <c r="T409" s="28"/>
      <c r="U409" s="28"/>
      <c r="V409" s="28"/>
      <c r="W409" s="28"/>
      <c r="X409" s="28"/>
      <c r="Y409" s="28"/>
      <c r="Z409" s="28"/>
      <c r="AA409" s="28"/>
      <c r="AB409" s="28"/>
    </row>
    <row r="410" spans="1:28" ht="12.75" x14ac:dyDescent="0.2">
      <c r="A410" s="31" t="s">
        <v>2257</v>
      </c>
      <c r="B410" s="32" t="s">
        <v>2258</v>
      </c>
      <c r="C410" s="16"/>
      <c r="D410" s="16"/>
      <c r="E410" s="6"/>
      <c r="F410" s="6"/>
      <c r="G410" s="6"/>
      <c r="H410" s="28"/>
      <c r="I410" s="28"/>
      <c r="J410" s="28"/>
      <c r="K410" s="28"/>
      <c r="L410" s="28"/>
      <c r="M410" s="28"/>
      <c r="N410" s="28"/>
      <c r="O410" s="28"/>
      <c r="P410" s="28"/>
      <c r="Q410" s="28"/>
      <c r="R410" s="28"/>
      <c r="S410" s="28"/>
      <c r="T410" s="28"/>
      <c r="U410" s="28"/>
      <c r="V410" s="28"/>
      <c r="W410" s="28"/>
      <c r="X410" s="28"/>
      <c r="Y410" s="28"/>
      <c r="Z410" s="28"/>
      <c r="AA410" s="28"/>
      <c r="AB410" s="28"/>
    </row>
    <row r="411" spans="1:28" ht="12.75" x14ac:dyDescent="0.2">
      <c r="A411" s="31" t="s">
        <v>2264</v>
      </c>
      <c r="B411" s="32" t="s">
        <v>2265</v>
      </c>
      <c r="C411" s="16"/>
      <c r="D411" s="16"/>
      <c r="E411" s="6"/>
      <c r="F411" s="6"/>
      <c r="G411" s="6"/>
      <c r="H411" s="28"/>
      <c r="I411" s="28"/>
      <c r="J411" s="28"/>
      <c r="K411" s="28"/>
      <c r="L411" s="28"/>
      <c r="M411" s="28"/>
      <c r="N411" s="28"/>
      <c r="O411" s="28"/>
      <c r="P411" s="28"/>
      <c r="Q411" s="28"/>
      <c r="R411" s="28"/>
      <c r="S411" s="28"/>
      <c r="T411" s="28"/>
      <c r="U411" s="28"/>
      <c r="V411" s="28"/>
      <c r="W411" s="28"/>
      <c r="X411" s="28"/>
      <c r="Y411" s="28"/>
      <c r="Z411" s="28"/>
      <c r="AA411" s="28"/>
      <c r="AB411" s="28"/>
    </row>
    <row r="412" spans="1:28" ht="12.75" x14ac:dyDescent="0.2">
      <c r="A412" s="31" t="s">
        <v>2271</v>
      </c>
      <c r="B412" s="32" t="s">
        <v>2273</v>
      </c>
      <c r="C412" s="16"/>
      <c r="D412" s="16"/>
      <c r="E412" s="6"/>
      <c r="F412" s="6"/>
      <c r="G412" s="6"/>
      <c r="H412" s="28"/>
      <c r="I412" s="28"/>
      <c r="J412" s="28"/>
      <c r="K412" s="28"/>
      <c r="L412" s="28"/>
      <c r="M412" s="28"/>
      <c r="N412" s="28"/>
      <c r="O412" s="28"/>
      <c r="P412" s="28"/>
      <c r="Q412" s="28"/>
      <c r="R412" s="28"/>
      <c r="S412" s="28"/>
      <c r="T412" s="28"/>
      <c r="U412" s="28"/>
      <c r="V412" s="28"/>
      <c r="W412" s="28"/>
      <c r="X412" s="28"/>
      <c r="Y412" s="28"/>
      <c r="Z412" s="28"/>
      <c r="AA412" s="28"/>
      <c r="AB412" s="28"/>
    </row>
    <row r="413" spans="1:28" ht="12.75" x14ac:dyDescent="0.2">
      <c r="A413" s="31" t="s">
        <v>2274</v>
      </c>
      <c r="B413" s="32" t="s">
        <v>2275</v>
      </c>
      <c r="C413" s="16"/>
      <c r="D413" s="16"/>
      <c r="E413" s="6"/>
      <c r="F413" s="6"/>
      <c r="G413" s="6"/>
      <c r="H413" s="28"/>
      <c r="I413" s="28"/>
      <c r="J413" s="28"/>
      <c r="K413" s="28"/>
      <c r="L413" s="28"/>
      <c r="M413" s="28"/>
      <c r="N413" s="28"/>
      <c r="O413" s="28"/>
      <c r="P413" s="28"/>
      <c r="Q413" s="28"/>
      <c r="R413" s="28"/>
      <c r="S413" s="28"/>
      <c r="T413" s="28"/>
      <c r="U413" s="28"/>
      <c r="V413" s="28"/>
      <c r="W413" s="28"/>
      <c r="X413" s="28"/>
      <c r="Y413" s="28"/>
      <c r="Z413" s="28"/>
      <c r="AA413" s="28"/>
      <c r="AB413" s="28"/>
    </row>
    <row r="414" spans="1:28" ht="12.75" x14ac:dyDescent="0.2">
      <c r="A414" s="31" t="s">
        <v>2281</v>
      </c>
      <c r="B414" s="32" t="s">
        <v>2282</v>
      </c>
      <c r="C414" s="16"/>
      <c r="D414" s="16"/>
      <c r="E414" s="6"/>
      <c r="F414" s="6"/>
      <c r="G414" s="6"/>
      <c r="H414" s="28"/>
      <c r="I414" s="28"/>
      <c r="J414" s="28"/>
      <c r="K414" s="28"/>
      <c r="L414" s="28"/>
      <c r="M414" s="28"/>
      <c r="N414" s="28"/>
      <c r="O414" s="28"/>
      <c r="P414" s="28"/>
      <c r="Q414" s="28"/>
      <c r="R414" s="28"/>
      <c r="S414" s="28"/>
      <c r="T414" s="28"/>
      <c r="U414" s="28"/>
      <c r="V414" s="28"/>
      <c r="W414" s="28"/>
      <c r="X414" s="28"/>
      <c r="Y414" s="28"/>
      <c r="Z414" s="28"/>
      <c r="AA414" s="28"/>
      <c r="AB414" s="28"/>
    </row>
    <row r="415" spans="1:28" ht="12.75" x14ac:dyDescent="0.2">
      <c r="A415" s="31" t="s">
        <v>2286</v>
      </c>
      <c r="B415" s="32" t="s">
        <v>2287</v>
      </c>
      <c r="C415" s="16"/>
      <c r="D415" s="16"/>
      <c r="E415" s="6"/>
      <c r="F415" s="6"/>
      <c r="G415" s="6"/>
      <c r="H415" s="28"/>
      <c r="I415" s="28"/>
      <c r="J415" s="28"/>
      <c r="K415" s="28"/>
      <c r="L415" s="28"/>
      <c r="M415" s="28"/>
      <c r="N415" s="28"/>
      <c r="O415" s="28"/>
      <c r="P415" s="28"/>
      <c r="Q415" s="28"/>
      <c r="R415" s="28"/>
      <c r="S415" s="28"/>
      <c r="T415" s="28"/>
      <c r="U415" s="28"/>
      <c r="V415" s="28"/>
      <c r="W415" s="28"/>
      <c r="X415" s="28"/>
      <c r="Y415" s="28"/>
      <c r="Z415" s="28"/>
      <c r="AA415" s="28"/>
      <c r="AB415" s="28"/>
    </row>
    <row r="416" spans="1:28" ht="12.75" x14ac:dyDescent="0.2">
      <c r="A416" s="31" t="s">
        <v>1266</v>
      </c>
      <c r="B416" s="32" t="s">
        <v>2291</v>
      </c>
      <c r="C416" s="16" t="s">
        <v>2292</v>
      </c>
      <c r="D416" s="16"/>
      <c r="E416" s="6"/>
      <c r="F416" s="6"/>
      <c r="G416" s="6"/>
      <c r="H416" s="28"/>
      <c r="I416" s="28"/>
      <c r="J416" s="28"/>
      <c r="K416" s="28"/>
      <c r="L416" s="28"/>
      <c r="M416" s="28"/>
      <c r="N416" s="28"/>
      <c r="O416" s="28"/>
      <c r="P416" s="28"/>
      <c r="Q416" s="28"/>
      <c r="R416" s="28"/>
      <c r="S416" s="28"/>
      <c r="T416" s="28"/>
      <c r="U416" s="28"/>
      <c r="V416" s="28"/>
      <c r="W416" s="28"/>
      <c r="X416" s="28"/>
      <c r="Y416" s="28"/>
      <c r="Z416" s="28"/>
      <c r="AA416" s="28"/>
      <c r="AB416" s="28"/>
    </row>
    <row r="417" spans="1:28" ht="12.75" x14ac:dyDescent="0.2">
      <c r="A417" s="31" t="s">
        <v>2293</v>
      </c>
      <c r="B417" s="32" t="s">
        <v>2294</v>
      </c>
      <c r="C417" s="16"/>
      <c r="D417" s="16"/>
      <c r="E417" s="6"/>
      <c r="F417" s="6"/>
      <c r="G417" s="6"/>
      <c r="H417" s="28"/>
      <c r="I417" s="28"/>
      <c r="J417" s="28"/>
      <c r="K417" s="28"/>
      <c r="L417" s="28"/>
      <c r="M417" s="28"/>
      <c r="N417" s="28"/>
      <c r="O417" s="28"/>
      <c r="P417" s="28"/>
      <c r="Q417" s="28"/>
      <c r="R417" s="28"/>
      <c r="S417" s="28"/>
      <c r="T417" s="28"/>
      <c r="U417" s="28"/>
      <c r="V417" s="28"/>
      <c r="W417" s="28"/>
      <c r="X417" s="28"/>
      <c r="Y417" s="28"/>
      <c r="Z417" s="28"/>
      <c r="AA417" s="28"/>
      <c r="AB417" s="28"/>
    </row>
    <row r="418" spans="1:28" ht="12.75" x14ac:dyDescent="0.2">
      <c r="A418" s="31" t="s">
        <v>2299</v>
      </c>
      <c r="B418" s="32" t="s">
        <v>2300</v>
      </c>
      <c r="C418" s="16"/>
      <c r="D418" s="16"/>
      <c r="E418" s="6"/>
      <c r="F418" s="6"/>
      <c r="G418" s="6"/>
      <c r="H418" s="28"/>
      <c r="I418" s="28"/>
      <c r="J418" s="28"/>
      <c r="K418" s="28"/>
      <c r="L418" s="28"/>
      <c r="M418" s="28"/>
      <c r="N418" s="28"/>
      <c r="O418" s="28"/>
      <c r="P418" s="28"/>
      <c r="Q418" s="28"/>
      <c r="R418" s="28"/>
      <c r="S418" s="28"/>
      <c r="T418" s="28"/>
      <c r="U418" s="28"/>
      <c r="V418" s="28"/>
      <c r="W418" s="28"/>
      <c r="X418" s="28"/>
      <c r="Y418" s="28"/>
      <c r="Z418" s="28"/>
      <c r="AA418" s="28"/>
      <c r="AB418" s="28"/>
    </row>
    <row r="419" spans="1:28" ht="12.75" x14ac:dyDescent="0.2">
      <c r="A419" s="31" t="s">
        <v>2302</v>
      </c>
      <c r="B419" s="32" t="s">
        <v>2304</v>
      </c>
      <c r="C419" s="16"/>
      <c r="D419" s="16"/>
      <c r="E419" s="6"/>
      <c r="F419" s="6"/>
      <c r="G419" s="6"/>
      <c r="H419" s="28"/>
      <c r="I419" s="28"/>
      <c r="J419" s="28"/>
      <c r="K419" s="28"/>
      <c r="L419" s="28"/>
      <c r="M419" s="28"/>
      <c r="N419" s="28"/>
      <c r="O419" s="28"/>
      <c r="P419" s="28"/>
      <c r="Q419" s="28"/>
      <c r="R419" s="28"/>
      <c r="S419" s="28"/>
      <c r="T419" s="28"/>
      <c r="U419" s="28"/>
      <c r="V419" s="28"/>
      <c r="W419" s="28"/>
      <c r="X419" s="28"/>
      <c r="Y419" s="28"/>
      <c r="Z419" s="28"/>
      <c r="AA419" s="28"/>
      <c r="AB419" s="28"/>
    </row>
    <row r="420" spans="1:28" ht="12.75" x14ac:dyDescent="0.2">
      <c r="A420" s="31" t="s">
        <v>2308</v>
      </c>
      <c r="B420" s="32" t="s">
        <v>2309</v>
      </c>
      <c r="C420" s="16"/>
      <c r="D420" s="16"/>
      <c r="E420" s="6"/>
      <c r="F420" s="6"/>
      <c r="G420" s="6"/>
      <c r="H420" s="28"/>
      <c r="I420" s="28"/>
      <c r="J420" s="28"/>
      <c r="K420" s="28"/>
      <c r="L420" s="28"/>
      <c r="M420" s="28"/>
      <c r="N420" s="28"/>
      <c r="O420" s="28"/>
      <c r="P420" s="28"/>
      <c r="Q420" s="28"/>
      <c r="R420" s="28"/>
      <c r="S420" s="28"/>
      <c r="T420" s="28"/>
      <c r="U420" s="28"/>
      <c r="V420" s="28"/>
      <c r="W420" s="28"/>
      <c r="X420" s="28"/>
      <c r="Y420" s="28"/>
      <c r="Z420" s="28"/>
      <c r="AA420" s="28"/>
      <c r="AB420" s="28"/>
    </row>
    <row r="421" spans="1:28" ht="12.75" x14ac:dyDescent="0.2">
      <c r="A421" s="31" t="s">
        <v>2018</v>
      </c>
      <c r="B421" s="32" t="s">
        <v>2312</v>
      </c>
      <c r="C421" s="16"/>
      <c r="D421" s="16"/>
      <c r="E421" s="6"/>
      <c r="F421" s="6"/>
      <c r="G421" s="6"/>
      <c r="H421" s="28"/>
      <c r="I421" s="28"/>
      <c r="J421" s="28"/>
      <c r="K421" s="28"/>
      <c r="L421" s="28"/>
      <c r="M421" s="28"/>
      <c r="N421" s="28"/>
      <c r="O421" s="28"/>
      <c r="P421" s="28"/>
      <c r="Q421" s="28"/>
      <c r="R421" s="28"/>
      <c r="S421" s="28"/>
      <c r="T421" s="28"/>
      <c r="U421" s="28"/>
      <c r="V421" s="28"/>
      <c r="W421" s="28"/>
      <c r="X421" s="28"/>
      <c r="Y421" s="28"/>
      <c r="Z421" s="28"/>
      <c r="AA421" s="28"/>
      <c r="AB421" s="28"/>
    </row>
    <row r="422" spans="1:28" ht="12.75" x14ac:dyDescent="0.2">
      <c r="A422" s="31" t="s">
        <v>2315</v>
      </c>
      <c r="B422" s="32" t="s">
        <v>2317</v>
      </c>
      <c r="C422" s="16"/>
      <c r="D422" s="16"/>
      <c r="E422" s="6"/>
      <c r="F422" s="6"/>
      <c r="G422" s="6"/>
      <c r="H422" s="28"/>
      <c r="I422" s="28"/>
      <c r="J422" s="28"/>
      <c r="K422" s="28"/>
      <c r="L422" s="28"/>
      <c r="M422" s="28"/>
      <c r="N422" s="28"/>
      <c r="O422" s="28"/>
      <c r="P422" s="28"/>
      <c r="Q422" s="28"/>
      <c r="R422" s="28"/>
      <c r="S422" s="28"/>
      <c r="T422" s="28"/>
      <c r="U422" s="28"/>
      <c r="V422" s="28"/>
      <c r="W422" s="28"/>
      <c r="X422" s="28"/>
      <c r="Y422" s="28"/>
      <c r="Z422" s="28"/>
      <c r="AA422" s="28"/>
      <c r="AB422" s="28"/>
    </row>
    <row r="423" spans="1:28" ht="12.75" x14ac:dyDescent="0.2">
      <c r="A423" s="31" t="s">
        <v>2321</v>
      </c>
      <c r="B423" s="32" t="s">
        <v>2322</v>
      </c>
      <c r="C423" s="16"/>
      <c r="D423" s="16"/>
      <c r="E423" s="6"/>
      <c r="F423" s="6"/>
      <c r="G423" s="6"/>
      <c r="H423" s="28"/>
      <c r="I423" s="28"/>
      <c r="J423" s="28"/>
      <c r="K423" s="28"/>
      <c r="L423" s="28"/>
      <c r="M423" s="28"/>
      <c r="N423" s="28"/>
      <c r="O423" s="28"/>
      <c r="P423" s="28"/>
      <c r="Q423" s="28"/>
      <c r="R423" s="28"/>
      <c r="S423" s="28"/>
      <c r="T423" s="28"/>
      <c r="U423" s="28"/>
      <c r="V423" s="28"/>
      <c r="W423" s="28"/>
      <c r="X423" s="28"/>
      <c r="Y423" s="28"/>
      <c r="Z423" s="28"/>
      <c r="AA423" s="28"/>
      <c r="AB423" s="28"/>
    </row>
    <row r="424" spans="1:28" ht="12.75" x14ac:dyDescent="0.2">
      <c r="A424" s="31" t="s">
        <v>2327</v>
      </c>
      <c r="B424" s="32" t="s">
        <v>2329</v>
      </c>
      <c r="C424" s="16"/>
      <c r="D424" s="16"/>
      <c r="E424" s="6"/>
      <c r="F424" s="6"/>
      <c r="G424" s="6"/>
      <c r="H424" s="28"/>
      <c r="I424" s="28"/>
      <c r="J424" s="28"/>
      <c r="K424" s="28"/>
      <c r="L424" s="28"/>
      <c r="M424" s="28"/>
      <c r="N424" s="28"/>
      <c r="O424" s="28"/>
      <c r="P424" s="28"/>
      <c r="Q424" s="28"/>
      <c r="R424" s="28"/>
      <c r="S424" s="28"/>
      <c r="T424" s="28"/>
      <c r="U424" s="28"/>
      <c r="V424" s="28"/>
      <c r="W424" s="28"/>
      <c r="X424" s="28"/>
      <c r="Y424" s="28"/>
      <c r="Z424" s="28"/>
      <c r="AA424" s="28"/>
      <c r="AB424" s="28"/>
    </row>
    <row r="425" spans="1:28" ht="12.75" x14ac:dyDescent="0.2">
      <c r="A425" s="31" t="s">
        <v>2330</v>
      </c>
      <c r="B425" s="32" t="s">
        <v>2331</v>
      </c>
      <c r="C425" s="16"/>
      <c r="D425" s="16"/>
      <c r="E425" s="6"/>
      <c r="F425" s="6"/>
      <c r="G425" s="6"/>
      <c r="H425" s="28"/>
      <c r="I425" s="28"/>
      <c r="J425" s="28"/>
      <c r="K425" s="28"/>
      <c r="L425" s="28"/>
      <c r="M425" s="28"/>
      <c r="N425" s="28"/>
      <c r="O425" s="28"/>
      <c r="P425" s="28"/>
      <c r="Q425" s="28"/>
      <c r="R425" s="28"/>
      <c r="S425" s="28"/>
      <c r="T425" s="28"/>
      <c r="U425" s="28"/>
      <c r="V425" s="28"/>
      <c r="W425" s="28"/>
      <c r="X425" s="28"/>
      <c r="Y425" s="28"/>
      <c r="Z425" s="28"/>
      <c r="AA425" s="28"/>
      <c r="AB425" s="28"/>
    </row>
    <row r="426" spans="1:28" ht="12.75" x14ac:dyDescent="0.2">
      <c r="A426" s="31" t="s">
        <v>2337</v>
      </c>
      <c r="B426" s="32" t="s">
        <v>2338</v>
      </c>
      <c r="C426" s="16"/>
      <c r="D426" s="16"/>
      <c r="E426" s="6"/>
      <c r="F426" s="6"/>
      <c r="G426" s="6"/>
      <c r="H426" s="28"/>
      <c r="I426" s="28"/>
      <c r="J426" s="28"/>
      <c r="K426" s="28"/>
      <c r="L426" s="28"/>
      <c r="M426" s="28"/>
      <c r="N426" s="28"/>
      <c r="O426" s="28"/>
      <c r="P426" s="28"/>
      <c r="Q426" s="28"/>
      <c r="R426" s="28"/>
      <c r="S426" s="28"/>
      <c r="T426" s="28"/>
      <c r="U426" s="28"/>
      <c r="V426" s="28"/>
      <c r="W426" s="28"/>
      <c r="X426" s="28"/>
      <c r="Y426" s="28"/>
      <c r="Z426" s="28"/>
      <c r="AA426" s="28"/>
      <c r="AB426" s="28"/>
    </row>
    <row r="427" spans="1:28" ht="12.75" x14ac:dyDescent="0.2">
      <c r="A427" s="31" t="s">
        <v>2344</v>
      </c>
      <c r="B427" s="32" t="s">
        <v>2345</v>
      </c>
      <c r="C427" s="16"/>
      <c r="D427" s="16"/>
      <c r="E427" s="6"/>
      <c r="F427" s="6"/>
      <c r="G427" s="6"/>
      <c r="H427" s="28"/>
      <c r="I427" s="28"/>
      <c r="J427" s="28"/>
      <c r="K427" s="28"/>
      <c r="L427" s="28"/>
      <c r="M427" s="28"/>
      <c r="N427" s="28"/>
      <c r="O427" s="28"/>
      <c r="P427" s="28"/>
      <c r="Q427" s="28"/>
      <c r="R427" s="28"/>
      <c r="S427" s="28"/>
      <c r="T427" s="28"/>
      <c r="U427" s="28"/>
      <c r="V427" s="28"/>
      <c r="W427" s="28"/>
      <c r="X427" s="28"/>
      <c r="Y427" s="28"/>
      <c r="Z427" s="28"/>
      <c r="AA427" s="28"/>
      <c r="AB427" s="28"/>
    </row>
    <row r="428" spans="1:28" ht="12.75" x14ac:dyDescent="0.2">
      <c r="A428" s="31" t="s">
        <v>2346</v>
      </c>
      <c r="B428" s="32" t="s">
        <v>2347</v>
      </c>
      <c r="C428" s="16"/>
      <c r="D428" s="16"/>
      <c r="E428" s="6"/>
      <c r="F428" s="6"/>
      <c r="G428" s="6"/>
      <c r="H428" s="28"/>
      <c r="I428" s="28"/>
      <c r="J428" s="28"/>
      <c r="K428" s="28"/>
      <c r="L428" s="28"/>
      <c r="M428" s="28"/>
      <c r="N428" s="28"/>
      <c r="O428" s="28"/>
      <c r="P428" s="28"/>
      <c r="Q428" s="28"/>
      <c r="R428" s="28"/>
      <c r="S428" s="28"/>
      <c r="T428" s="28"/>
      <c r="U428" s="28"/>
      <c r="V428" s="28"/>
      <c r="W428" s="28"/>
      <c r="X428" s="28"/>
      <c r="Y428" s="28"/>
      <c r="Z428" s="28"/>
      <c r="AA428" s="28"/>
      <c r="AB428" s="28"/>
    </row>
    <row r="429" spans="1:28" ht="12.75" x14ac:dyDescent="0.2">
      <c r="A429" s="31" t="s">
        <v>634</v>
      </c>
      <c r="B429" s="32" t="s">
        <v>633</v>
      </c>
      <c r="C429" s="16"/>
      <c r="D429" s="16"/>
      <c r="E429" s="6"/>
      <c r="F429" s="6"/>
      <c r="G429" s="6"/>
      <c r="H429" s="28"/>
      <c r="I429" s="28"/>
      <c r="J429" s="28"/>
      <c r="K429" s="28"/>
      <c r="L429" s="28"/>
      <c r="M429" s="28"/>
      <c r="N429" s="28"/>
      <c r="O429" s="28"/>
      <c r="P429" s="28"/>
      <c r="Q429" s="28"/>
      <c r="R429" s="28"/>
      <c r="S429" s="28"/>
      <c r="T429" s="28"/>
      <c r="U429" s="28"/>
      <c r="V429" s="28"/>
      <c r="W429" s="28"/>
      <c r="X429" s="28"/>
      <c r="Y429" s="28"/>
      <c r="Z429" s="28"/>
      <c r="AA429" s="28"/>
      <c r="AB429" s="28"/>
    </row>
    <row r="430" spans="1:28" ht="12.75" x14ac:dyDescent="0.2">
      <c r="A430" s="31" t="s">
        <v>2354</v>
      </c>
      <c r="B430" s="32" t="s">
        <v>2356</v>
      </c>
      <c r="C430" s="16"/>
      <c r="D430" s="16"/>
      <c r="E430" s="6"/>
      <c r="F430" s="6"/>
      <c r="G430" s="6"/>
      <c r="H430" s="28"/>
      <c r="I430" s="28"/>
      <c r="J430" s="28"/>
      <c r="K430" s="28"/>
      <c r="L430" s="28"/>
      <c r="M430" s="28"/>
      <c r="N430" s="28"/>
      <c r="O430" s="28"/>
      <c r="P430" s="28"/>
      <c r="Q430" s="28"/>
      <c r="R430" s="28"/>
      <c r="S430" s="28"/>
      <c r="T430" s="28"/>
      <c r="U430" s="28"/>
      <c r="V430" s="28"/>
      <c r="W430" s="28"/>
      <c r="X430" s="28"/>
      <c r="Y430" s="28"/>
      <c r="Z430" s="28"/>
      <c r="AA430" s="28"/>
      <c r="AB430" s="28"/>
    </row>
    <row r="431" spans="1:28" ht="12.75" x14ac:dyDescent="0.2">
      <c r="A431" s="31" t="s">
        <v>2358</v>
      </c>
      <c r="B431" s="32" t="s">
        <v>2359</v>
      </c>
      <c r="C431" s="16"/>
      <c r="D431" s="16"/>
      <c r="E431" s="6"/>
      <c r="F431" s="6"/>
      <c r="G431" s="6"/>
      <c r="H431" s="28"/>
      <c r="I431" s="28"/>
      <c r="J431" s="28"/>
      <c r="K431" s="28"/>
      <c r="L431" s="28"/>
      <c r="M431" s="28"/>
      <c r="N431" s="28"/>
      <c r="O431" s="28"/>
      <c r="P431" s="28"/>
      <c r="Q431" s="28"/>
      <c r="R431" s="28"/>
      <c r="S431" s="28"/>
      <c r="T431" s="28"/>
      <c r="U431" s="28"/>
      <c r="V431" s="28"/>
      <c r="W431" s="28"/>
      <c r="X431" s="28"/>
      <c r="Y431" s="28"/>
      <c r="Z431" s="28"/>
      <c r="AA431" s="28"/>
      <c r="AB431" s="28"/>
    </row>
    <row r="432" spans="1:28" ht="12.75" x14ac:dyDescent="0.2">
      <c r="A432" s="31" t="s">
        <v>2366</v>
      </c>
      <c r="B432" s="32" t="s">
        <v>2367</v>
      </c>
      <c r="C432" s="16"/>
      <c r="D432" s="16"/>
      <c r="E432" s="6"/>
      <c r="F432" s="6"/>
      <c r="G432" s="6"/>
      <c r="H432" s="28"/>
      <c r="I432" s="28"/>
      <c r="J432" s="28"/>
      <c r="K432" s="28"/>
      <c r="L432" s="28"/>
      <c r="M432" s="28"/>
      <c r="N432" s="28"/>
      <c r="O432" s="28"/>
      <c r="P432" s="28"/>
      <c r="Q432" s="28"/>
      <c r="R432" s="28"/>
      <c r="S432" s="28"/>
      <c r="T432" s="28"/>
      <c r="U432" s="28"/>
      <c r="V432" s="28"/>
      <c r="W432" s="28"/>
      <c r="X432" s="28"/>
      <c r="Y432" s="28"/>
      <c r="Z432" s="28"/>
      <c r="AA432" s="28"/>
      <c r="AB432" s="28"/>
    </row>
    <row r="433" spans="1:28" ht="12.75" x14ac:dyDescent="0.2">
      <c r="A433" s="31" t="s">
        <v>1067</v>
      </c>
      <c r="B433" s="32" t="s">
        <v>1066</v>
      </c>
      <c r="C433" s="16"/>
      <c r="D433" s="16"/>
      <c r="E433" s="6"/>
      <c r="F433" s="6"/>
      <c r="G433" s="6"/>
      <c r="H433" s="28"/>
      <c r="I433" s="28"/>
      <c r="J433" s="28"/>
      <c r="K433" s="28"/>
      <c r="L433" s="28"/>
      <c r="M433" s="28"/>
      <c r="N433" s="28"/>
      <c r="O433" s="28"/>
      <c r="P433" s="28"/>
      <c r="Q433" s="28"/>
      <c r="R433" s="28"/>
      <c r="S433" s="28"/>
      <c r="T433" s="28"/>
      <c r="U433" s="28"/>
      <c r="V433" s="28"/>
      <c r="W433" s="28"/>
      <c r="X433" s="28"/>
      <c r="Y433" s="28"/>
      <c r="Z433" s="28"/>
      <c r="AA433" s="28"/>
      <c r="AB433" s="28"/>
    </row>
    <row r="434" spans="1:28" ht="12.75" x14ac:dyDescent="0.2">
      <c r="A434" s="31" t="s">
        <v>2374</v>
      </c>
      <c r="B434" s="32" t="s">
        <v>2375</v>
      </c>
      <c r="C434" s="16"/>
      <c r="D434" s="16"/>
      <c r="E434" s="6"/>
      <c r="F434" s="6"/>
      <c r="G434" s="6"/>
      <c r="H434" s="28"/>
      <c r="I434" s="28"/>
      <c r="J434" s="28"/>
      <c r="K434" s="28"/>
      <c r="L434" s="28"/>
      <c r="M434" s="28"/>
      <c r="N434" s="28"/>
      <c r="O434" s="28"/>
      <c r="P434" s="28"/>
      <c r="Q434" s="28"/>
      <c r="R434" s="28"/>
      <c r="S434" s="28"/>
      <c r="T434" s="28"/>
      <c r="U434" s="28"/>
      <c r="V434" s="28"/>
      <c r="W434" s="28"/>
      <c r="X434" s="28"/>
      <c r="Y434" s="28"/>
      <c r="Z434" s="28"/>
      <c r="AA434" s="28"/>
      <c r="AB434" s="28"/>
    </row>
    <row r="435" spans="1:28" ht="12.75" x14ac:dyDescent="0.2">
      <c r="A435" s="31" t="s">
        <v>2376</v>
      </c>
      <c r="B435" s="32" t="s">
        <v>2377</v>
      </c>
      <c r="C435" s="16"/>
      <c r="D435" s="16"/>
      <c r="E435" s="6"/>
      <c r="F435" s="6"/>
      <c r="G435" s="6"/>
      <c r="H435" s="28"/>
      <c r="I435" s="28"/>
      <c r="J435" s="28"/>
      <c r="K435" s="28"/>
      <c r="L435" s="28"/>
      <c r="M435" s="28"/>
      <c r="N435" s="28"/>
      <c r="O435" s="28"/>
      <c r="P435" s="28"/>
      <c r="Q435" s="28"/>
      <c r="R435" s="28"/>
      <c r="S435" s="28"/>
      <c r="T435" s="28"/>
      <c r="U435" s="28"/>
      <c r="V435" s="28"/>
      <c r="W435" s="28"/>
      <c r="X435" s="28"/>
      <c r="Y435" s="28"/>
      <c r="Z435" s="28"/>
      <c r="AA435" s="28"/>
      <c r="AB435" s="28"/>
    </row>
    <row r="436" spans="1:28" ht="12.75" x14ac:dyDescent="0.2">
      <c r="A436" s="31" t="s">
        <v>605</v>
      </c>
      <c r="B436" s="32" t="s">
        <v>1410</v>
      </c>
      <c r="C436" s="16"/>
      <c r="D436" s="16"/>
      <c r="E436" s="6"/>
      <c r="F436" s="6"/>
      <c r="G436" s="6"/>
      <c r="H436" s="28"/>
      <c r="I436" s="28"/>
      <c r="J436" s="28"/>
      <c r="K436" s="28"/>
      <c r="L436" s="28"/>
      <c r="M436" s="28"/>
      <c r="N436" s="28"/>
      <c r="O436" s="28"/>
      <c r="P436" s="28"/>
      <c r="Q436" s="28"/>
      <c r="R436" s="28"/>
      <c r="S436" s="28"/>
      <c r="T436" s="28"/>
      <c r="U436" s="28"/>
      <c r="V436" s="28"/>
      <c r="W436" s="28"/>
      <c r="X436" s="28"/>
      <c r="Y436" s="28"/>
      <c r="Z436" s="28"/>
      <c r="AA436" s="28"/>
      <c r="AB436" s="28"/>
    </row>
    <row r="437" spans="1:28" ht="12.75" x14ac:dyDescent="0.2">
      <c r="A437" s="31" t="s">
        <v>2385</v>
      </c>
      <c r="B437" s="32" t="s">
        <v>2386</v>
      </c>
      <c r="C437" s="16"/>
      <c r="D437" s="16"/>
      <c r="E437" s="6"/>
      <c r="F437" s="6"/>
      <c r="G437" s="6"/>
      <c r="H437" s="28"/>
      <c r="I437" s="28"/>
      <c r="J437" s="28"/>
      <c r="K437" s="28"/>
      <c r="L437" s="28"/>
      <c r="M437" s="28"/>
      <c r="N437" s="28"/>
      <c r="O437" s="28"/>
      <c r="P437" s="28"/>
      <c r="Q437" s="28"/>
      <c r="R437" s="28"/>
      <c r="S437" s="28"/>
      <c r="T437" s="28"/>
      <c r="U437" s="28"/>
      <c r="V437" s="28"/>
      <c r="W437" s="28"/>
      <c r="X437" s="28"/>
      <c r="Y437" s="28"/>
      <c r="Z437" s="28"/>
      <c r="AA437" s="28"/>
      <c r="AB437" s="28"/>
    </row>
    <row r="438" spans="1:28" ht="12.75" x14ac:dyDescent="0.2">
      <c r="A438" s="31" t="s">
        <v>2390</v>
      </c>
      <c r="B438" s="32" t="s">
        <v>2392</v>
      </c>
      <c r="C438" s="16"/>
      <c r="D438" s="16"/>
      <c r="E438" s="6"/>
      <c r="F438" s="6"/>
      <c r="G438" s="6"/>
      <c r="H438" s="28"/>
      <c r="I438" s="28"/>
      <c r="J438" s="28"/>
      <c r="K438" s="28"/>
      <c r="L438" s="28"/>
      <c r="M438" s="28"/>
      <c r="N438" s="28"/>
      <c r="O438" s="28"/>
      <c r="P438" s="28"/>
      <c r="Q438" s="28"/>
      <c r="R438" s="28"/>
      <c r="S438" s="28"/>
      <c r="T438" s="28"/>
      <c r="U438" s="28"/>
      <c r="V438" s="28"/>
      <c r="W438" s="28"/>
      <c r="X438" s="28"/>
      <c r="Y438" s="28"/>
      <c r="Z438" s="28"/>
      <c r="AA438" s="28"/>
      <c r="AB438" s="28"/>
    </row>
    <row r="439" spans="1:28" ht="12.75" x14ac:dyDescent="0.2">
      <c r="A439" s="31" t="s">
        <v>2393</v>
      </c>
      <c r="B439" s="32" t="s">
        <v>2394</v>
      </c>
      <c r="C439" s="16"/>
      <c r="D439" s="16"/>
      <c r="E439" s="6"/>
      <c r="F439" s="6"/>
      <c r="G439" s="6"/>
      <c r="H439" s="28"/>
      <c r="I439" s="28"/>
      <c r="J439" s="28"/>
      <c r="K439" s="28"/>
      <c r="L439" s="28"/>
      <c r="M439" s="28"/>
      <c r="N439" s="28"/>
      <c r="O439" s="28"/>
      <c r="P439" s="28"/>
      <c r="Q439" s="28"/>
      <c r="R439" s="28"/>
      <c r="S439" s="28"/>
      <c r="T439" s="28"/>
      <c r="U439" s="28"/>
      <c r="V439" s="28"/>
      <c r="W439" s="28"/>
      <c r="X439" s="28"/>
      <c r="Y439" s="28"/>
      <c r="Z439" s="28"/>
      <c r="AA439" s="28"/>
      <c r="AB439" s="28"/>
    </row>
    <row r="440" spans="1:28" ht="12.75" x14ac:dyDescent="0.2">
      <c r="A440" s="31" t="s">
        <v>2399</v>
      </c>
      <c r="B440" s="32" t="s">
        <v>2401</v>
      </c>
      <c r="C440" s="16"/>
      <c r="D440" s="16"/>
      <c r="E440" s="6"/>
      <c r="F440" s="6"/>
      <c r="G440" s="6"/>
      <c r="H440" s="28"/>
      <c r="I440" s="28"/>
      <c r="J440" s="28"/>
      <c r="K440" s="28"/>
      <c r="L440" s="28"/>
      <c r="M440" s="28"/>
      <c r="N440" s="28"/>
      <c r="O440" s="28"/>
      <c r="P440" s="28"/>
      <c r="Q440" s="28"/>
      <c r="R440" s="28"/>
      <c r="S440" s="28"/>
      <c r="T440" s="28"/>
      <c r="U440" s="28"/>
      <c r="V440" s="28"/>
      <c r="W440" s="28"/>
      <c r="X440" s="28"/>
      <c r="Y440" s="28"/>
      <c r="Z440" s="28"/>
      <c r="AA440" s="28"/>
      <c r="AB440" s="28"/>
    </row>
    <row r="441" spans="1:28" ht="12.75" x14ac:dyDescent="0.2">
      <c r="A441" s="31" t="s">
        <v>319</v>
      </c>
      <c r="B441" s="32" t="s">
        <v>2402</v>
      </c>
      <c r="C441" s="16"/>
      <c r="D441" s="16"/>
      <c r="E441" s="6"/>
      <c r="F441" s="6"/>
      <c r="G441" s="6"/>
      <c r="H441" s="28"/>
      <c r="I441" s="28"/>
      <c r="J441" s="28"/>
      <c r="K441" s="28"/>
      <c r="L441" s="28"/>
      <c r="M441" s="28"/>
      <c r="N441" s="28"/>
      <c r="O441" s="28"/>
      <c r="P441" s="28"/>
      <c r="Q441" s="28"/>
      <c r="R441" s="28"/>
      <c r="S441" s="28"/>
      <c r="T441" s="28"/>
      <c r="U441" s="28"/>
      <c r="V441" s="28"/>
      <c r="W441" s="28"/>
      <c r="X441" s="28"/>
      <c r="Y441" s="28"/>
      <c r="Z441" s="28"/>
      <c r="AA441" s="28"/>
      <c r="AB441" s="28"/>
    </row>
    <row r="442" spans="1:28" ht="25.5" x14ac:dyDescent="0.2">
      <c r="A442" s="31" t="s">
        <v>487</v>
      </c>
      <c r="B442" s="32" t="s">
        <v>1511</v>
      </c>
      <c r="C442" s="16"/>
      <c r="D442" s="16" t="s">
        <v>235</v>
      </c>
      <c r="E442" s="6"/>
      <c r="F442" s="6"/>
      <c r="G442" s="6"/>
      <c r="H442" s="28" t="s">
        <v>2407</v>
      </c>
      <c r="I442" s="28"/>
      <c r="J442" s="28"/>
      <c r="K442" s="28"/>
      <c r="L442" s="28"/>
      <c r="M442" s="28"/>
      <c r="N442" s="28"/>
      <c r="O442" s="28"/>
      <c r="P442" s="28"/>
      <c r="Q442" s="28"/>
      <c r="R442" s="28"/>
      <c r="S442" s="28"/>
      <c r="T442" s="28"/>
      <c r="U442" s="28"/>
      <c r="V442" s="28"/>
      <c r="W442" s="28"/>
      <c r="X442" s="28"/>
      <c r="Y442" s="28"/>
      <c r="Z442" s="28"/>
      <c r="AA442" s="28"/>
      <c r="AB442" s="28"/>
    </row>
    <row r="443" spans="1:28" ht="12.75" x14ac:dyDescent="0.2">
      <c r="A443" s="31" t="s">
        <v>496</v>
      </c>
      <c r="B443" s="32" t="s">
        <v>1539</v>
      </c>
      <c r="C443" s="16"/>
      <c r="D443" s="16" t="s">
        <v>235</v>
      </c>
      <c r="E443" s="6"/>
      <c r="F443" s="6"/>
      <c r="G443" s="6"/>
      <c r="H443" s="28"/>
      <c r="I443" s="28"/>
      <c r="J443" s="28"/>
      <c r="K443" s="28"/>
      <c r="L443" s="28"/>
      <c r="M443" s="28"/>
      <c r="N443" s="28"/>
      <c r="O443" s="28"/>
      <c r="P443" s="28"/>
      <c r="Q443" s="28"/>
      <c r="R443" s="28"/>
      <c r="S443" s="28"/>
      <c r="T443" s="28"/>
      <c r="U443" s="28"/>
      <c r="V443" s="28"/>
      <c r="W443" s="28"/>
      <c r="X443" s="28"/>
      <c r="Y443" s="28"/>
      <c r="Z443" s="28"/>
      <c r="AA443" s="28"/>
      <c r="AB443" s="28"/>
    </row>
    <row r="444" spans="1:28" ht="12.75" x14ac:dyDescent="0.2">
      <c r="A444" s="31" t="s">
        <v>532</v>
      </c>
      <c r="B444" s="32" t="s">
        <v>2411</v>
      </c>
      <c r="C444" s="16"/>
      <c r="D444" s="16"/>
      <c r="E444" s="6"/>
      <c r="F444" s="6"/>
      <c r="G444" s="6"/>
      <c r="H444" s="28"/>
      <c r="I444" s="28"/>
      <c r="J444" s="28"/>
      <c r="K444" s="28"/>
      <c r="L444" s="28"/>
      <c r="M444" s="28"/>
      <c r="N444" s="28"/>
      <c r="O444" s="28"/>
      <c r="P444" s="28"/>
      <c r="Q444" s="28"/>
      <c r="R444" s="28"/>
      <c r="S444" s="28"/>
      <c r="T444" s="28"/>
      <c r="U444" s="28"/>
      <c r="V444" s="28"/>
      <c r="W444" s="28"/>
      <c r="X444" s="28"/>
      <c r="Y444" s="28"/>
      <c r="Z444" s="28"/>
      <c r="AA444" s="28"/>
      <c r="AB444" s="28"/>
    </row>
    <row r="445" spans="1:28" ht="25.5" x14ac:dyDescent="0.2">
      <c r="A445" s="31" t="s">
        <v>537</v>
      </c>
      <c r="B445" s="32" t="s">
        <v>2415</v>
      </c>
      <c r="C445" s="16"/>
      <c r="D445" s="16"/>
      <c r="E445" s="6"/>
      <c r="F445" s="6"/>
      <c r="G445" s="6"/>
      <c r="H445" s="28"/>
      <c r="I445" s="28"/>
      <c r="J445" s="28"/>
      <c r="K445" s="28"/>
      <c r="L445" s="28"/>
      <c r="M445" s="28"/>
      <c r="N445" s="28"/>
      <c r="O445" s="28"/>
      <c r="P445" s="28"/>
      <c r="Q445" s="28"/>
      <c r="R445" s="28"/>
      <c r="S445" s="28"/>
      <c r="T445" s="28"/>
      <c r="U445" s="28"/>
      <c r="V445" s="28"/>
      <c r="W445" s="28"/>
      <c r="X445" s="28"/>
      <c r="Y445" s="28"/>
      <c r="Z445" s="28"/>
      <c r="AA445" s="28"/>
      <c r="AB445" s="28"/>
    </row>
    <row r="446" spans="1:28" ht="12.75" x14ac:dyDescent="0.2">
      <c r="A446" s="31" t="s">
        <v>591</v>
      </c>
      <c r="B446" s="32" t="s">
        <v>2418</v>
      </c>
      <c r="C446" s="16"/>
      <c r="D446" s="16"/>
      <c r="E446" s="6"/>
      <c r="F446" s="6"/>
      <c r="G446" s="6"/>
      <c r="H446" s="28"/>
      <c r="I446" s="28"/>
      <c r="J446" s="28"/>
      <c r="K446" s="28"/>
      <c r="L446" s="28"/>
      <c r="M446" s="28"/>
      <c r="N446" s="28"/>
      <c r="O446" s="28"/>
      <c r="P446" s="28"/>
      <c r="Q446" s="28"/>
      <c r="R446" s="28"/>
      <c r="S446" s="28"/>
      <c r="T446" s="28"/>
      <c r="U446" s="28"/>
      <c r="V446" s="28"/>
      <c r="W446" s="28"/>
      <c r="X446" s="28"/>
      <c r="Y446" s="28"/>
      <c r="Z446" s="28"/>
      <c r="AA446" s="28"/>
      <c r="AB446" s="28"/>
    </row>
    <row r="447" spans="1:28" ht="12.75" x14ac:dyDescent="0.2">
      <c r="A447" s="31" t="s">
        <v>595</v>
      </c>
      <c r="B447" s="32" t="s">
        <v>2422</v>
      </c>
      <c r="C447" s="16"/>
      <c r="D447" s="16"/>
      <c r="E447" s="6"/>
      <c r="F447" s="6"/>
      <c r="G447" s="6"/>
      <c r="H447" s="28"/>
      <c r="I447" s="28"/>
      <c r="J447" s="28"/>
      <c r="K447" s="28"/>
      <c r="L447" s="28"/>
      <c r="M447" s="28"/>
      <c r="N447" s="28"/>
      <c r="O447" s="28"/>
      <c r="P447" s="28"/>
      <c r="Q447" s="28"/>
      <c r="R447" s="28"/>
      <c r="S447" s="28"/>
      <c r="T447" s="28"/>
      <c r="U447" s="28"/>
      <c r="V447" s="28"/>
      <c r="W447" s="28"/>
      <c r="X447" s="28"/>
      <c r="Y447" s="28"/>
      <c r="Z447" s="28"/>
      <c r="AA447" s="28"/>
      <c r="AB447" s="28"/>
    </row>
    <row r="448" spans="1:28" ht="25.5" x14ac:dyDescent="0.2">
      <c r="A448" s="31" t="s">
        <v>774</v>
      </c>
      <c r="B448" s="32" t="s">
        <v>2426</v>
      </c>
      <c r="C448" s="16"/>
      <c r="D448" s="16"/>
      <c r="E448" s="6"/>
      <c r="F448" s="6"/>
      <c r="G448" s="6"/>
      <c r="H448" s="28"/>
      <c r="I448" s="28"/>
      <c r="J448" s="28"/>
      <c r="K448" s="28"/>
      <c r="L448" s="28"/>
      <c r="M448" s="28"/>
      <c r="N448" s="28"/>
      <c r="O448" s="28"/>
      <c r="P448" s="28"/>
      <c r="Q448" s="28"/>
      <c r="R448" s="28"/>
      <c r="S448" s="28"/>
      <c r="T448" s="28"/>
      <c r="U448" s="28"/>
      <c r="V448" s="28"/>
      <c r="W448" s="28"/>
      <c r="X448" s="28"/>
      <c r="Y448" s="28"/>
      <c r="Z448" s="28"/>
      <c r="AA448" s="28"/>
      <c r="AB448" s="28"/>
    </row>
    <row r="449" spans="1:28" ht="25.5" x14ac:dyDescent="0.2">
      <c r="A449" s="31" t="s">
        <v>1041</v>
      </c>
      <c r="B449" s="32" t="s">
        <v>2427</v>
      </c>
      <c r="C449" s="16"/>
      <c r="D449" s="16" t="s">
        <v>2429</v>
      </c>
      <c r="E449" s="6"/>
      <c r="F449" s="6"/>
      <c r="G449" s="6"/>
      <c r="H449" s="28"/>
      <c r="I449" s="28"/>
      <c r="J449" s="28"/>
      <c r="K449" s="28"/>
      <c r="L449" s="28"/>
      <c r="M449" s="28"/>
      <c r="N449" s="28"/>
      <c r="O449" s="28"/>
      <c r="P449" s="28"/>
      <c r="Q449" s="28"/>
      <c r="R449" s="28"/>
      <c r="S449" s="28"/>
      <c r="T449" s="28"/>
      <c r="U449" s="28"/>
      <c r="V449" s="28"/>
      <c r="W449" s="28"/>
      <c r="X449" s="28"/>
      <c r="Y449" s="28"/>
      <c r="Z449" s="28"/>
      <c r="AA449" s="28"/>
      <c r="AB449" s="28"/>
    </row>
    <row r="450" spans="1:28" ht="12.75" x14ac:dyDescent="0.2">
      <c r="A450" s="31" t="s">
        <v>1050</v>
      </c>
      <c r="B450" s="32" t="s">
        <v>2435</v>
      </c>
      <c r="C450" s="16"/>
      <c r="D450" s="16"/>
      <c r="E450" s="6"/>
      <c r="F450" s="6"/>
      <c r="G450" s="6"/>
      <c r="H450" s="28"/>
      <c r="I450" s="28"/>
      <c r="J450" s="28"/>
      <c r="K450" s="28"/>
      <c r="L450" s="28"/>
      <c r="M450" s="28"/>
      <c r="N450" s="28"/>
      <c r="O450" s="28"/>
      <c r="P450" s="28"/>
      <c r="Q450" s="28"/>
      <c r="R450" s="28"/>
      <c r="S450" s="28"/>
      <c r="T450" s="28"/>
      <c r="U450" s="28"/>
      <c r="V450" s="28"/>
      <c r="W450" s="28"/>
      <c r="X450" s="28"/>
      <c r="Y450" s="28"/>
      <c r="Z450" s="28"/>
      <c r="AA450" s="28"/>
      <c r="AB450" s="28"/>
    </row>
    <row r="451" spans="1:28" ht="12.75" x14ac:dyDescent="0.2">
      <c r="A451" s="31" t="s">
        <v>1159</v>
      </c>
      <c r="B451" s="32" t="s">
        <v>1770</v>
      </c>
      <c r="C451" s="16"/>
      <c r="D451" s="16" t="s">
        <v>91</v>
      </c>
      <c r="E451" s="6"/>
      <c r="F451" s="6"/>
      <c r="G451" s="6"/>
      <c r="H451" s="28"/>
      <c r="I451" s="28"/>
      <c r="J451" s="28"/>
      <c r="K451" s="28"/>
      <c r="L451" s="28"/>
      <c r="M451" s="28"/>
      <c r="N451" s="28"/>
      <c r="O451" s="28"/>
      <c r="P451" s="28"/>
      <c r="Q451" s="28"/>
      <c r="R451" s="28"/>
      <c r="S451" s="28"/>
      <c r="T451" s="28"/>
      <c r="U451" s="28"/>
      <c r="V451" s="28"/>
      <c r="W451" s="28"/>
      <c r="X451" s="28"/>
      <c r="Y451" s="28"/>
      <c r="Z451" s="28"/>
      <c r="AA451" s="28"/>
      <c r="AB451" s="28"/>
    </row>
    <row r="452" spans="1:28" ht="12.75" x14ac:dyDescent="0.2">
      <c r="A452" s="31" t="s">
        <v>1232</v>
      </c>
      <c r="B452" s="32" t="s">
        <v>2439</v>
      </c>
      <c r="C452" s="16"/>
      <c r="D452" s="16" t="s">
        <v>121</v>
      </c>
      <c r="E452" s="6"/>
      <c r="F452" s="6" t="s">
        <v>2440</v>
      </c>
      <c r="G452" s="6"/>
      <c r="H452" s="28"/>
      <c r="I452" s="28"/>
      <c r="J452" s="28"/>
      <c r="K452" s="28"/>
      <c r="L452" s="28"/>
      <c r="M452" s="28"/>
      <c r="N452" s="28"/>
      <c r="O452" s="28"/>
      <c r="P452" s="28"/>
      <c r="Q452" s="28"/>
      <c r="R452" s="28"/>
      <c r="S452" s="28"/>
      <c r="T452" s="28"/>
      <c r="U452" s="28"/>
      <c r="V452" s="28"/>
      <c r="W452" s="28"/>
      <c r="X452" s="28"/>
      <c r="Y452" s="28"/>
      <c r="Z452" s="28"/>
      <c r="AA452" s="28"/>
      <c r="AB452" s="28"/>
    </row>
    <row r="453" spans="1:28" ht="25.5" x14ac:dyDescent="0.2">
      <c r="A453" s="31" t="s">
        <v>1491</v>
      </c>
      <c r="B453" s="32" t="s">
        <v>2445</v>
      </c>
      <c r="C453" s="16"/>
      <c r="D453" s="16"/>
      <c r="E453" s="6"/>
      <c r="F453" s="6"/>
      <c r="G453" s="6"/>
      <c r="H453" s="28"/>
      <c r="I453" s="28"/>
      <c r="J453" s="28"/>
      <c r="K453" s="28"/>
      <c r="L453" s="28"/>
      <c r="M453" s="28"/>
      <c r="N453" s="28"/>
      <c r="O453" s="28"/>
      <c r="P453" s="28"/>
      <c r="Q453" s="28"/>
      <c r="R453" s="28"/>
      <c r="S453" s="28"/>
      <c r="T453" s="28"/>
      <c r="U453" s="28"/>
      <c r="V453" s="28"/>
      <c r="W453" s="28"/>
      <c r="X453" s="28"/>
      <c r="Y453" s="28"/>
      <c r="Z453" s="28"/>
      <c r="AA453" s="28"/>
      <c r="AB453" s="28"/>
    </row>
    <row r="454" spans="1:28" ht="25.5" x14ac:dyDescent="0.2">
      <c r="A454" s="31" t="s">
        <v>1495</v>
      </c>
      <c r="B454" s="32" t="s">
        <v>2452</v>
      </c>
      <c r="C454" s="16"/>
      <c r="D454" s="16"/>
      <c r="E454" s="6"/>
      <c r="F454" s="6"/>
      <c r="G454" s="6"/>
      <c r="H454" s="28"/>
      <c r="I454" s="28"/>
      <c r="J454" s="28"/>
      <c r="K454" s="28"/>
      <c r="L454" s="28"/>
      <c r="M454" s="28"/>
      <c r="N454" s="28"/>
      <c r="O454" s="28"/>
      <c r="P454" s="28"/>
      <c r="Q454" s="28"/>
      <c r="R454" s="28"/>
      <c r="S454" s="28"/>
      <c r="T454" s="28"/>
      <c r="U454" s="28"/>
      <c r="V454" s="28"/>
      <c r="W454" s="28"/>
      <c r="X454" s="28"/>
      <c r="Y454" s="28"/>
      <c r="Z454" s="28"/>
      <c r="AA454" s="28"/>
      <c r="AB454" s="28"/>
    </row>
    <row r="455" spans="1:28" ht="25.5" x14ac:dyDescent="0.2">
      <c r="A455" s="31" t="s">
        <v>1653</v>
      </c>
      <c r="B455" s="32" t="s">
        <v>2455</v>
      </c>
      <c r="C455" s="16"/>
      <c r="D455" s="16"/>
      <c r="E455" s="6"/>
      <c r="F455" s="6"/>
      <c r="G455" s="6"/>
      <c r="H455" s="28"/>
      <c r="I455" s="28"/>
      <c r="J455" s="28"/>
      <c r="K455" s="28"/>
      <c r="L455" s="28"/>
      <c r="M455" s="28"/>
      <c r="N455" s="28"/>
      <c r="O455" s="28"/>
      <c r="P455" s="28"/>
      <c r="Q455" s="28"/>
      <c r="R455" s="28"/>
      <c r="S455" s="28"/>
      <c r="T455" s="28"/>
      <c r="U455" s="28"/>
      <c r="V455" s="28"/>
      <c r="W455" s="28"/>
      <c r="X455" s="28"/>
      <c r="Y455" s="28"/>
      <c r="Z455" s="28"/>
      <c r="AA455" s="28"/>
      <c r="AB455" s="28"/>
    </row>
    <row r="456" spans="1:28" ht="25.5" x14ac:dyDescent="0.2">
      <c r="A456" s="31" t="s">
        <v>1785</v>
      </c>
      <c r="B456" s="32" t="s">
        <v>2460</v>
      </c>
      <c r="C456" s="16"/>
      <c r="D456" s="16"/>
      <c r="E456" s="6"/>
      <c r="F456" s="6"/>
      <c r="G456" s="6"/>
      <c r="H456" s="28"/>
      <c r="I456" s="28"/>
      <c r="J456" s="28"/>
      <c r="K456" s="28"/>
      <c r="L456" s="28"/>
      <c r="M456" s="28"/>
      <c r="N456" s="28"/>
      <c r="O456" s="28"/>
      <c r="P456" s="28"/>
      <c r="Q456" s="28"/>
      <c r="R456" s="28"/>
      <c r="S456" s="28"/>
      <c r="T456" s="28"/>
      <c r="U456" s="28"/>
      <c r="V456" s="28"/>
      <c r="W456" s="28"/>
      <c r="X456" s="28"/>
      <c r="Y456" s="28"/>
      <c r="Z456" s="28"/>
      <c r="AA456" s="28"/>
      <c r="AB456" s="28"/>
    </row>
    <row r="457" spans="1:28" ht="12.75" x14ac:dyDescent="0.2">
      <c r="A457" s="31" t="s">
        <v>2055</v>
      </c>
      <c r="B457" s="32" t="s">
        <v>2466</v>
      </c>
      <c r="C457" s="16"/>
      <c r="D457" s="16"/>
      <c r="E457" s="6"/>
      <c r="F457" s="6"/>
      <c r="G457" s="6"/>
      <c r="H457" s="28"/>
      <c r="I457" s="28"/>
      <c r="J457" s="28"/>
      <c r="K457" s="28"/>
      <c r="L457" s="28"/>
      <c r="M457" s="28"/>
      <c r="N457" s="28"/>
      <c r="O457" s="28"/>
      <c r="P457" s="28"/>
      <c r="Q457" s="28"/>
      <c r="R457" s="28"/>
      <c r="S457" s="28"/>
      <c r="T457" s="28"/>
      <c r="U457" s="28"/>
      <c r="V457" s="28"/>
      <c r="W457" s="28"/>
      <c r="X457" s="28"/>
      <c r="Y457" s="28"/>
      <c r="Z457" s="28"/>
      <c r="AA457" s="28"/>
      <c r="AB457" s="28"/>
    </row>
    <row r="458" spans="1:28" ht="25.5" x14ac:dyDescent="0.2">
      <c r="A458" s="31" t="s">
        <v>1906</v>
      </c>
      <c r="B458" s="32" t="s">
        <v>2470</v>
      </c>
      <c r="C458" s="16"/>
      <c r="D458" s="16"/>
      <c r="E458" s="6"/>
      <c r="F458" s="6"/>
      <c r="G458" s="6"/>
      <c r="H458" s="28"/>
      <c r="I458" s="28"/>
      <c r="J458" s="28"/>
      <c r="K458" s="28"/>
      <c r="L458" s="28"/>
      <c r="M458" s="28"/>
      <c r="N458" s="28"/>
      <c r="O458" s="28"/>
      <c r="P458" s="28"/>
      <c r="Q458" s="28"/>
      <c r="R458" s="28"/>
      <c r="S458" s="28"/>
      <c r="T458" s="28"/>
      <c r="U458" s="28"/>
      <c r="V458" s="28"/>
      <c r="W458" s="28"/>
      <c r="X458" s="28"/>
      <c r="Y458" s="28"/>
      <c r="Z458" s="28"/>
      <c r="AA458" s="28"/>
      <c r="AB458" s="28"/>
    </row>
    <row r="459" spans="1:28" ht="12.75" x14ac:dyDescent="0.2">
      <c r="A459" s="31" t="s">
        <v>2472</v>
      </c>
      <c r="B459" s="32" t="s">
        <v>2474</v>
      </c>
      <c r="C459" s="16"/>
      <c r="D459" s="16"/>
      <c r="E459" s="6"/>
      <c r="F459" s="6"/>
      <c r="G459" s="6"/>
      <c r="H459" s="28"/>
      <c r="I459" s="28"/>
      <c r="J459" s="28"/>
      <c r="K459" s="28"/>
      <c r="L459" s="28"/>
      <c r="M459" s="28"/>
      <c r="N459" s="28"/>
      <c r="O459" s="28"/>
      <c r="P459" s="28"/>
      <c r="Q459" s="28"/>
      <c r="R459" s="28"/>
      <c r="S459" s="28"/>
      <c r="T459" s="28"/>
      <c r="U459" s="28"/>
      <c r="V459" s="28"/>
      <c r="W459" s="28"/>
      <c r="X459" s="28"/>
      <c r="Y459" s="28"/>
      <c r="Z459" s="28"/>
      <c r="AA459" s="28"/>
      <c r="AB459" s="28"/>
    </row>
    <row r="460" spans="1:28" ht="12.75" x14ac:dyDescent="0.2">
      <c r="A460" s="31" t="s">
        <v>2476</v>
      </c>
      <c r="B460" s="32" t="s">
        <v>2477</v>
      </c>
      <c r="C460" s="16"/>
      <c r="D460" s="16"/>
      <c r="E460" s="6"/>
      <c r="F460" s="6"/>
      <c r="G460" s="6"/>
      <c r="H460" s="28"/>
      <c r="I460" s="28"/>
      <c r="J460" s="28"/>
      <c r="K460" s="28"/>
      <c r="L460" s="28"/>
      <c r="M460" s="28"/>
      <c r="N460" s="28"/>
      <c r="O460" s="28"/>
      <c r="P460" s="28"/>
      <c r="Q460" s="28"/>
      <c r="R460" s="28"/>
      <c r="S460" s="28"/>
      <c r="T460" s="28"/>
      <c r="U460" s="28"/>
      <c r="V460" s="28"/>
      <c r="W460" s="28"/>
      <c r="X460" s="28"/>
      <c r="Y460" s="28"/>
      <c r="Z460" s="28"/>
      <c r="AA460" s="28"/>
      <c r="AB460" s="28"/>
    </row>
    <row r="461" spans="1:28" ht="12.75" x14ac:dyDescent="0.2">
      <c r="A461" s="31" t="s">
        <v>2484</v>
      </c>
      <c r="B461" s="32" t="s">
        <v>2485</v>
      </c>
      <c r="C461" s="16"/>
      <c r="D461" s="16"/>
      <c r="E461" s="6"/>
      <c r="F461" s="6"/>
      <c r="G461" s="6"/>
      <c r="H461" s="28"/>
      <c r="I461" s="28"/>
      <c r="J461" s="28"/>
      <c r="K461" s="28"/>
      <c r="L461" s="28"/>
      <c r="M461" s="28"/>
      <c r="N461" s="28"/>
      <c r="O461" s="28"/>
      <c r="P461" s="28"/>
      <c r="Q461" s="28"/>
      <c r="R461" s="28"/>
      <c r="S461" s="28"/>
      <c r="T461" s="28"/>
      <c r="U461" s="28"/>
      <c r="V461" s="28"/>
      <c r="W461" s="28"/>
      <c r="X461" s="28"/>
      <c r="Y461" s="28"/>
      <c r="Z461" s="28"/>
      <c r="AA461" s="28"/>
      <c r="AB461" s="28"/>
    </row>
    <row r="462" spans="1:28" ht="12.75" x14ac:dyDescent="0.2">
      <c r="A462" s="31" t="s">
        <v>2488</v>
      </c>
      <c r="B462" s="32" t="s">
        <v>2490</v>
      </c>
      <c r="C462" s="16"/>
      <c r="D462" s="16"/>
      <c r="E462" s="6"/>
      <c r="F462" s="6"/>
      <c r="G462" s="6"/>
      <c r="H462" s="28"/>
      <c r="I462" s="28"/>
      <c r="J462" s="28"/>
      <c r="K462" s="28"/>
      <c r="L462" s="28"/>
      <c r="M462" s="28"/>
      <c r="N462" s="28"/>
      <c r="O462" s="28"/>
      <c r="P462" s="28"/>
      <c r="Q462" s="28"/>
      <c r="R462" s="28"/>
      <c r="S462" s="28"/>
      <c r="T462" s="28"/>
      <c r="U462" s="28"/>
      <c r="V462" s="28"/>
      <c r="W462" s="28"/>
      <c r="X462" s="28"/>
      <c r="Y462" s="28"/>
      <c r="Z462" s="28"/>
      <c r="AA462" s="28"/>
      <c r="AB462" s="28"/>
    </row>
    <row r="463" spans="1:28" ht="12.75" x14ac:dyDescent="0.2">
      <c r="A463" s="31" t="s">
        <v>2491</v>
      </c>
      <c r="B463" s="32" t="s">
        <v>2492</v>
      </c>
      <c r="C463" s="16"/>
      <c r="D463" s="16"/>
      <c r="E463" s="6"/>
      <c r="F463" s="6"/>
      <c r="G463" s="6"/>
      <c r="H463" s="28"/>
      <c r="I463" s="28"/>
      <c r="J463" s="28"/>
      <c r="K463" s="28"/>
      <c r="L463" s="28"/>
      <c r="M463" s="28"/>
      <c r="N463" s="28"/>
      <c r="O463" s="28"/>
      <c r="P463" s="28"/>
      <c r="Q463" s="28"/>
      <c r="R463" s="28"/>
      <c r="S463" s="28"/>
      <c r="T463" s="28"/>
      <c r="U463" s="28"/>
      <c r="V463" s="28"/>
      <c r="W463" s="28"/>
      <c r="X463" s="28"/>
      <c r="Y463" s="28"/>
      <c r="Z463" s="28"/>
      <c r="AA463" s="28"/>
      <c r="AB463" s="28"/>
    </row>
    <row r="464" spans="1:28" ht="12.75" x14ac:dyDescent="0.2">
      <c r="A464" s="31" t="s">
        <v>2497</v>
      </c>
      <c r="B464" s="32" t="s">
        <v>2498</v>
      </c>
      <c r="C464" s="16"/>
      <c r="D464" s="16"/>
      <c r="E464" s="6"/>
      <c r="F464" s="6"/>
      <c r="G464" s="6"/>
      <c r="H464" s="28"/>
      <c r="I464" s="28"/>
      <c r="J464" s="28"/>
      <c r="K464" s="28"/>
      <c r="L464" s="28"/>
      <c r="M464" s="28"/>
      <c r="N464" s="28"/>
      <c r="O464" s="28"/>
      <c r="P464" s="28"/>
      <c r="Q464" s="28"/>
      <c r="R464" s="28"/>
      <c r="S464" s="28"/>
      <c r="T464" s="28"/>
      <c r="U464" s="28"/>
      <c r="V464" s="28"/>
      <c r="W464" s="28"/>
      <c r="X464" s="28"/>
      <c r="Y464" s="28"/>
      <c r="Z464" s="28"/>
      <c r="AA464" s="28"/>
      <c r="AB464" s="28"/>
    </row>
    <row r="465" spans="1:28" ht="12.75" x14ac:dyDescent="0.2">
      <c r="A465" s="31" t="s">
        <v>2502</v>
      </c>
      <c r="B465" s="32" t="s">
        <v>2503</v>
      </c>
      <c r="C465" s="16"/>
      <c r="D465" s="16"/>
      <c r="E465" s="6"/>
      <c r="F465" s="6"/>
      <c r="G465" s="6"/>
      <c r="H465" s="28"/>
      <c r="I465" s="28"/>
      <c r="J465" s="28"/>
      <c r="K465" s="28"/>
      <c r="L465" s="28"/>
      <c r="M465" s="28"/>
      <c r="N465" s="28"/>
      <c r="O465" s="28"/>
      <c r="P465" s="28"/>
      <c r="Q465" s="28"/>
      <c r="R465" s="28"/>
      <c r="S465" s="28"/>
      <c r="T465" s="28"/>
      <c r="U465" s="28"/>
      <c r="V465" s="28"/>
      <c r="W465" s="28"/>
      <c r="X465" s="28"/>
      <c r="Y465" s="28"/>
      <c r="Z465" s="28"/>
      <c r="AA465" s="28"/>
      <c r="AB465" s="28"/>
    </row>
    <row r="466" spans="1:28" ht="12.75" x14ac:dyDescent="0.2">
      <c r="A466" s="31" t="s">
        <v>2507</v>
      </c>
      <c r="B466" s="32" t="s">
        <v>2509</v>
      </c>
      <c r="C466" s="16"/>
      <c r="D466" s="16"/>
      <c r="E466" s="6"/>
      <c r="F466" s="6"/>
      <c r="G466" s="6"/>
      <c r="H466" s="28"/>
      <c r="I466" s="28"/>
      <c r="J466" s="28"/>
      <c r="K466" s="28"/>
      <c r="L466" s="28"/>
      <c r="M466" s="28"/>
      <c r="N466" s="28"/>
      <c r="O466" s="28"/>
      <c r="P466" s="28"/>
      <c r="Q466" s="28"/>
      <c r="R466" s="28"/>
      <c r="S466" s="28"/>
      <c r="T466" s="28"/>
      <c r="U466" s="28"/>
      <c r="V466" s="28"/>
      <c r="W466" s="28"/>
      <c r="X466" s="28"/>
      <c r="Y466" s="28"/>
      <c r="Z466" s="28"/>
      <c r="AA466" s="28"/>
      <c r="AB466" s="28"/>
    </row>
    <row r="467" spans="1:28" ht="12.75" x14ac:dyDescent="0.2">
      <c r="A467" s="31" t="s">
        <v>2511</v>
      </c>
      <c r="B467" s="32" t="s">
        <v>2512</v>
      </c>
      <c r="C467" s="16"/>
      <c r="D467" s="16"/>
      <c r="E467" s="6"/>
      <c r="F467" s="6"/>
      <c r="G467" s="6"/>
      <c r="H467" s="28"/>
      <c r="I467" s="28"/>
      <c r="J467" s="28"/>
      <c r="K467" s="28"/>
      <c r="L467" s="28"/>
      <c r="M467" s="28"/>
      <c r="N467" s="28"/>
      <c r="O467" s="28"/>
      <c r="P467" s="28"/>
      <c r="Q467" s="28"/>
      <c r="R467" s="28"/>
      <c r="S467" s="28"/>
      <c r="T467" s="28"/>
      <c r="U467" s="28"/>
      <c r="V467" s="28"/>
      <c r="W467" s="28"/>
      <c r="X467" s="28"/>
      <c r="Y467" s="28"/>
      <c r="Z467" s="28"/>
      <c r="AA467" s="28"/>
      <c r="AB467" s="28"/>
    </row>
    <row r="468" spans="1:28" ht="12.75" x14ac:dyDescent="0.2">
      <c r="A468" s="31" t="s">
        <v>2517</v>
      </c>
      <c r="B468" s="32" t="s">
        <v>2518</v>
      </c>
      <c r="C468" s="16"/>
      <c r="D468" s="16"/>
      <c r="E468" s="6"/>
      <c r="F468" s="6"/>
      <c r="G468" s="6"/>
      <c r="H468" s="28"/>
      <c r="I468" s="28"/>
      <c r="J468" s="28"/>
      <c r="K468" s="28"/>
      <c r="L468" s="28"/>
      <c r="M468" s="28"/>
      <c r="N468" s="28"/>
      <c r="O468" s="28"/>
      <c r="P468" s="28"/>
      <c r="Q468" s="28"/>
      <c r="R468" s="28"/>
      <c r="S468" s="28"/>
      <c r="T468" s="28"/>
      <c r="U468" s="28"/>
      <c r="V468" s="28"/>
      <c r="W468" s="28"/>
      <c r="X468" s="28"/>
      <c r="Y468" s="28"/>
      <c r="Z468" s="28"/>
      <c r="AA468" s="28"/>
      <c r="AB468" s="28"/>
    </row>
    <row r="469" spans="1:28" ht="12.75" x14ac:dyDescent="0.2">
      <c r="A469" s="31" t="s">
        <v>2524</v>
      </c>
      <c r="B469" s="32" t="s">
        <v>2525</v>
      </c>
      <c r="C469" s="16"/>
      <c r="D469" s="16"/>
      <c r="E469" s="6"/>
      <c r="F469" s="6"/>
      <c r="G469" s="6"/>
      <c r="H469" s="28"/>
      <c r="I469" s="28"/>
      <c r="J469" s="28"/>
      <c r="K469" s="28"/>
      <c r="L469" s="28"/>
      <c r="M469" s="28"/>
      <c r="N469" s="28"/>
      <c r="O469" s="28"/>
      <c r="P469" s="28"/>
      <c r="Q469" s="28"/>
      <c r="R469" s="28"/>
      <c r="S469" s="28"/>
      <c r="T469" s="28"/>
      <c r="U469" s="28"/>
      <c r="V469" s="28"/>
      <c r="W469" s="28"/>
      <c r="X469" s="28"/>
      <c r="Y469" s="28"/>
      <c r="Z469" s="28"/>
      <c r="AA469" s="28"/>
      <c r="AB469" s="28"/>
    </row>
    <row r="470" spans="1:28" ht="25.5" x14ac:dyDescent="0.2">
      <c r="A470" s="31" t="s">
        <v>2528</v>
      </c>
      <c r="B470" s="32" t="s">
        <v>2530</v>
      </c>
      <c r="C470" s="16"/>
      <c r="D470" s="16"/>
      <c r="E470" s="6"/>
      <c r="F470" s="6"/>
      <c r="G470" s="6"/>
      <c r="H470" s="28"/>
      <c r="I470" s="28"/>
      <c r="J470" s="28"/>
      <c r="K470" s="28"/>
      <c r="L470" s="28"/>
      <c r="M470" s="28"/>
      <c r="N470" s="28"/>
      <c r="O470" s="28"/>
      <c r="P470" s="28"/>
      <c r="Q470" s="28"/>
      <c r="R470" s="28"/>
      <c r="S470" s="28"/>
      <c r="T470" s="28"/>
      <c r="U470" s="28"/>
      <c r="V470" s="28"/>
      <c r="W470" s="28"/>
      <c r="X470" s="28"/>
      <c r="Y470" s="28"/>
      <c r="Z470" s="28"/>
      <c r="AA470" s="28"/>
      <c r="AB470" s="28"/>
    </row>
    <row r="471" spans="1:28" ht="12.75" x14ac:dyDescent="0.2">
      <c r="A471" s="31" t="s">
        <v>2534</v>
      </c>
      <c r="B471" s="32" t="s">
        <v>2535</v>
      </c>
      <c r="C471" s="16"/>
      <c r="D471" s="16"/>
      <c r="E471" s="6"/>
      <c r="F471" s="6"/>
      <c r="G471" s="6"/>
      <c r="H471" s="28"/>
      <c r="I471" s="28"/>
      <c r="J471" s="28"/>
      <c r="K471" s="28"/>
      <c r="L471" s="28"/>
      <c r="M471" s="28"/>
      <c r="N471" s="28"/>
      <c r="O471" s="28"/>
      <c r="P471" s="28"/>
      <c r="Q471" s="28"/>
      <c r="R471" s="28"/>
      <c r="S471" s="28"/>
      <c r="T471" s="28"/>
      <c r="U471" s="28"/>
      <c r="V471" s="28"/>
      <c r="W471" s="28"/>
      <c r="X471" s="28"/>
      <c r="Y471" s="28"/>
      <c r="Z471" s="28"/>
      <c r="AA471" s="28"/>
      <c r="AB471" s="28"/>
    </row>
    <row r="472" spans="1:28" ht="12.75" x14ac:dyDescent="0.2">
      <c r="A472" s="31" t="s">
        <v>2542</v>
      </c>
      <c r="B472" s="32" t="s">
        <v>2543</v>
      </c>
      <c r="C472" s="16"/>
      <c r="D472" s="16"/>
      <c r="E472" s="6"/>
      <c r="F472" s="6"/>
      <c r="G472" s="6"/>
      <c r="H472" s="28"/>
      <c r="I472" s="28"/>
      <c r="J472" s="28"/>
      <c r="K472" s="28"/>
      <c r="L472" s="28"/>
      <c r="M472" s="28"/>
      <c r="N472" s="28"/>
      <c r="O472" s="28"/>
      <c r="P472" s="28"/>
      <c r="Q472" s="28"/>
      <c r="R472" s="28"/>
      <c r="S472" s="28"/>
      <c r="T472" s="28"/>
      <c r="U472" s="28"/>
      <c r="V472" s="28"/>
      <c r="W472" s="28"/>
      <c r="X472" s="28"/>
      <c r="Y472" s="28"/>
      <c r="Z472" s="28"/>
      <c r="AA472" s="28"/>
      <c r="AB472" s="28"/>
    </row>
    <row r="473" spans="1:28" ht="25.5" x14ac:dyDescent="0.2">
      <c r="A473" s="31" t="s">
        <v>2550</v>
      </c>
      <c r="B473" s="32" t="s">
        <v>2551</v>
      </c>
      <c r="C473" s="16"/>
      <c r="D473" s="16"/>
      <c r="E473" s="6"/>
      <c r="F473" s="6"/>
      <c r="G473" s="6"/>
      <c r="H473" s="28"/>
      <c r="I473" s="28"/>
      <c r="J473" s="28"/>
      <c r="K473" s="28"/>
      <c r="L473" s="28"/>
      <c r="M473" s="28"/>
      <c r="N473" s="28"/>
      <c r="O473" s="28"/>
      <c r="P473" s="28"/>
      <c r="Q473" s="28"/>
      <c r="R473" s="28"/>
      <c r="S473" s="28"/>
      <c r="T473" s="28"/>
      <c r="U473" s="28"/>
      <c r="V473" s="28"/>
      <c r="W473" s="28"/>
      <c r="X473" s="28"/>
      <c r="Y473" s="28"/>
      <c r="Z473" s="28"/>
      <c r="AA473" s="28"/>
      <c r="AB473" s="28"/>
    </row>
    <row r="474" spans="1:28" ht="12.75" x14ac:dyDescent="0.2">
      <c r="A474" s="31" t="s">
        <v>1018</v>
      </c>
      <c r="B474" s="32" t="s">
        <v>1017</v>
      </c>
      <c r="C474" s="16"/>
      <c r="D474" s="16"/>
      <c r="E474" s="6"/>
      <c r="F474" s="6"/>
      <c r="G474" s="6"/>
      <c r="H474" s="28"/>
      <c r="I474" s="28"/>
      <c r="J474" s="28"/>
      <c r="K474" s="28"/>
      <c r="L474" s="28"/>
      <c r="M474" s="28"/>
      <c r="N474" s="28"/>
      <c r="O474" s="28"/>
      <c r="P474" s="28"/>
      <c r="Q474" s="28"/>
      <c r="R474" s="28"/>
      <c r="S474" s="28"/>
      <c r="T474" s="28"/>
      <c r="U474" s="28"/>
      <c r="V474" s="28"/>
      <c r="W474" s="28"/>
      <c r="X474" s="28"/>
      <c r="Y474" s="28"/>
      <c r="Z474" s="28"/>
      <c r="AA474" s="28"/>
      <c r="AB474" s="28"/>
    </row>
    <row r="475" spans="1:28" ht="12.75" x14ac:dyDescent="0.2">
      <c r="A475" s="31" t="s">
        <v>2559</v>
      </c>
      <c r="B475" s="32" t="s">
        <v>2560</v>
      </c>
      <c r="C475" s="16"/>
      <c r="D475" s="16"/>
      <c r="E475" s="6"/>
      <c r="F475" s="6"/>
      <c r="G475" s="6"/>
      <c r="H475" s="28"/>
      <c r="I475" s="28"/>
      <c r="J475" s="28"/>
      <c r="K475" s="28"/>
      <c r="L475" s="28"/>
      <c r="M475" s="28"/>
      <c r="N475" s="28"/>
      <c r="O475" s="28"/>
      <c r="P475" s="28"/>
      <c r="Q475" s="28"/>
      <c r="R475" s="28"/>
      <c r="S475" s="28"/>
      <c r="T475" s="28"/>
      <c r="U475" s="28"/>
      <c r="V475" s="28"/>
      <c r="W475" s="28"/>
      <c r="X475" s="28"/>
      <c r="Y475" s="28"/>
      <c r="Z475" s="28"/>
      <c r="AA475" s="28"/>
      <c r="AB475" s="28"/>
    </row>
    <row r="476" spans="1:28" ht="12.75" x14ac:dyDescent="0.2">
      <c r="A476" s="31" t="s">
        <v>2564</v>
      </c>
      <c r="B476" s="32" t="s">
        <v>2565</v>
      </c>
      <c r="C476" s="16"/>
      <c r="D476" s="16"/>
      <c r="E476" s="6"/>
      <c r="F476" s="6"/>
      <c r="G476" s="6"/>
      <c r="H476" s="28"/>
      <c r="I476" s="28"/>
      <c r="J476" s="28"/>
      <c r="K476" s="28"/>
      <c r="L476" s="28"/>
      <c r="M476" s="28"/>
      <c r="N476" s="28"/>
      <c r="O476" s="28"/>
      <c r="P476" s="28"/>
      <c r="Q476" s="28"/>
      <c r="R476" s="28"/>
      <c r="S476" s="28"/>
      <c r="T476" s="28"/>
      <c r="U476" s="28"/>
      <c r="V476" s="28"/>
      <c r="W476" s="28"/>
      <c r="X476" s="28"/>
      <c r="Y476" s="28"/>
      <c r="Z476" s="28"/>
      <c r="AA476" s="28"/>
      <c r="AB476" s="28"/>
    </row>
    <row r="477" spans="1:28" ht="12.75" x14ac:dyDescent="0.2">
      <c r="A477" s="31" t="s">
        <v>2572</v>
      </c>
      <c r="B477" s="32" t="s">
        <v>2573</v>
      </c>
      <c r="C477" s="16"/>
      <c r="D477" s="16"/>
      <c r="E477" s="6"/>
      <c r="F477" s="6"/>
      <c r="G477" s="6"/>
      <c r="H477" s="28"/>
      <c r="I477" s="28"/>
      <c r="J477" s="28"/>
      <c r="K477" s="28"/>
      <c r="L477" s="28"/>
      <c r="M477" s="28"/>
      <c r="N477" s="28"/>
      <c r="O477" s="28"/>
      <c r="P477" s="28"/>
      <c r="Q477" s="28"/>
      <c r="R477" s="28"/>
      <c r="S477" s="28"/>
      <c r="T477" s="28"/>
      <c r="U477" s="28"/>
      <c r="V477" s="28"/>
      <c r="W477" s="28"/>
      <c r="X477" s="28"/>
      <c r="Y477" s="28"/>
      <c r="Z477" s="28"/>
      <c r="AA477" s="28"/>
      <c r="AB477" s="28"/>
    </row>
    <row r="478" spans="1:28" ht="12.75" x14ac:dyDescent="0.2">
      <c r="A478" s="31" t="s">
        <v>2577</v>
      </c>
      <c r="B478" s="32" t="s">
        <v>2578</v>
      </c>
      <c r="C478" s="16"/>
      <c r="D478" s="16"/>
      <c r="E478" s="6"/>
      <c r="F478" s="6"/>
      <c r="G478" s="6"/>
      <c r="H478" s="28"/>
      <c r="I478" s="28"/>
      <c r="J478" s="28"/>
      <c r="K478" s="28"/>
      <c r="L478" s="28"/>
      <c r="M478" s="28"/>
      <c r="N478" s="28"/>
      <c r="O478" s="28"/>
      <c r="P478" s="28"/>
      <c r="Q478" s="28"/>
      <c r="R478" s="28"/>
      <c r="S478" s="28"/>
      <c r="T478" s="28"/>
      <c r="U478" s="28"/>
      <c r="V478" s="28"/>
      <c r="W478" s="28"/>
      <c r="X478" s="28"/>
      <c r="Y478" s="28"/>
      <c r="Z478" s="28"/>
      <c r="AA478" s="28"/>
      <c r="AB478" s="28"/>
    </row>
    <row r="479" spans="1:28" ht="12.75" x14ac:dyDescent="0.2">
      <c r="A479" s="31" t="s">
        <v>2579</v>
      </c>
      <c r="B479" s="32" t="s">
        <v>2580</v>
      </c>
      <c r="C479" s="16"/>
      <c r="D479" s="16"/>
      <c r="E479" s="6"/>
      <c r="F479" s="6"/>
      <c r="G479" s="6"/>
      <c r="H479" s="28"/>
      <c r="I479" s="28"/>
      <c r="J479" s="28"/>
      <c r="K479" s="28"/>
      <c r="L479" s="28"/>
      <c r="M479" s="28"/>
      <c r="N479" s="28"/>
      <c r="O479" s="28"/>
      <c r="P479" s="28"/>
      <c r="Q479" s="28"/>
      <c r="R479" s="28"/>
      <c r="S479" s="28"/>
      <c r="T479" s="28"/>
      <c r="U479" s="28"/>
      <c r="V479" s="28"/>
      <c r="W479" s="28"/>
      <c r="X479" s="28"/>
      <c r="Y479" s="28"/>
      <c r="Z479" s="28"/>
      <c r="AA479" s="28"/>
      <c r="AB479" s="28"/>
    </row>
    <row r="480" spans="1:28" ht="12.75" x14ac:dyDescent="0.2">
      <c r="A480" s="31" t="s">
        <v>2585</v>
      </c>
      <c r="B480" s="32" t="s">
        <v>2586</v>
      </c>
      <c r="C480" s="16"/>
      <c r="D480" s="16"/>
      <c r="E480" s="6"/>
      <c r="F480" s="6"/>
      <c r="G480" s="6"/>
      <c r="H480" s="28"/>
      <c r="I480" s="28"/>
      <c r="J480" s="28"/>
      <c r="K480" s="28"/>
      <c r="L480" s="28"/>
      <c r="M480" s="28"/>
      <c r="N480" s="28"/>
      <c r="O480" s="28"/>
      <c r="P480" s="28"/>
      <c r="Q480" s="28"/>
      <c r="R480" s="28"/>
      <c r="S480" s="28"/>
      <c r="T480" s="28"/>
      <c r="U480" s="28"/>
      <c r="V480" s="28"/>
      <c r="W480" s="28"/>
      <c r="X480" s="28"/>
      <c r="Y480" s="28"/>
      <c r="Z480" s="28"/>
      <c r="AA480" s="28"/>
      <c r="AB480" s="28"/>
    </row>
    <row r="481" spans="1:28" ht="12.75" x14ac:dyDescent="0.2">
      <c r="A481" s="31" t="s">
        <v>2592</v>
      </c>
      <c r="B481" s="32" t="s">
        <v>2593</v>
      </c>
      <c r="C481" s="16"/>
      <c r="D481" s="16"/>
      <c r="E481" s="6"/>
      <c r="F481" s="6"/>
      <c r="G481" s="6"/>
      <c r="H481" s="28"/>
      <c r="I481" s="28"/>
      <c r="J481" s="28"/>
      <c r="K481" s="28"/>
      <c r="L481" s="28"/>
      <c r="M481" s="28"/>
      <c r="N481" s="28"/>
      <c r="O481" s="28"/>
      <c r="P481" s="28"/>
      <c r="Q481" s="28"/>
      <c r="R481" s="28"/>
      <c r="S481" s="28"/>
      <c r="T481" s="28"/>
      <c r="U481" s="28"/>
      <c r="V481" s="28"/>
      <c r="W481" s="28"/>
      <c r="X481" s="28"/>
      <c r="Y481" s="28"/>
      <c r="Z481" s="28"/>
      <c r="AA481" s="28"/>
      <c r="AB481" s="28"/>
    </row>
    <row r="482" spans="1:28" ht="12.75" x14ac:dyDescent="0.2">
      <c r="A482" s="31" t="s">
        <v>2598</v>
      </c>
      <c r="B482" s="32" t="s">
        <v>2599</v>
      </c>
      <c r="C482" s="16"/>
      <c r="D482" s="16"/>
      <c r="E482" s="6"/>
      <c r="F482" s="6"/>
      <c r="G482" s="6"/>
      <c r="H482" s="28"/>
      <c r="I482" s="28"/>
      <c r="J482" s="28"/>
      <c r="K482" s="28"/>
      <c r="L482" s="28"/>
      <c r="M482" s="28"/>
      <c r="N482" s="28"/>
      <c r="O482" s="28"/>
      <c r="P482" s="28"/>
      <c r="Q482" s="28"/>
      <c r="R482" s="28"/>
      <c r="S482" s="28"/>
      <c r="T482" s="28"/>
      <c r="U482" s="28"/>
      <c r="V482" s="28"/>
      <c r="W482" s="28"/>
      <c r="X482" s="28"/>
      <c r="Y482" s="28"/>
      <c r="Z482" s="28"/>
      <c r="AA482" s="28"/>
      <c r="AB482" s="28"/>
    </row>
    <row r="483" spans="1:28" ht="12.75" x14ac:dyDescent="0.2">
      <c r="A483" s="31" t="s">
        <v>2600</v>
      </c>
      <c r="B483" s="32" t="s">
        <v>2601</v>
      </c>
      <c r="C483" s="16"/>
      <c r="D483" s="16"/>
      <c r="E483" s="6"/>
      <c r="F483" s="6"/>
      <c r="G483" s="6"/>
      <c r="H483" s="28"/>
      <c r="I483" s="28"/>
      <c r="J483" s="28"/>
      <c r="K483" s="28"/>
      <c r="L483" s="28"/>
      <c r="M483" s="28"/>
      <c r="N483" s="28"/>
      <c r="O483" s="28"/>
      <c r="P483" s="28"/>
      <c r="Q483" s="28"/>
      <c r="R483" s="28"/>
      <c r="S483" s="28"/>
      <c r="T483" s="28"/>
      <c r="U483" s="28"/>
      <c r="V483" s="28"/>
      <c r="W483" s="28"/>
      <c r="X483" s="28"/>
      <c r="Y483" s="28"/>
      <c r="Z483" s="28"/>
      <c r="AA483" s="28"/>
      <c r="AB483" s="28"/>
    </row>
    <row r="484" spans="1:28" ht="12.75" x14ac:dyDescent="0.2">
      <c r="A484" s="31" t="s">
        <v>2610</v>
      </c>
      <c r="B484" s="32" t="s">
        <v>2611</v>
      </c>
      <c r="C484" s="16"/>
      <c r="D484" s="16"/>
      <c r="E484" s="6"/>
      <c r="F484" s="6"/>
      <c r="G484" s="6"/>
      <c r="H484" s="28"/>
      <c r="I484" s="28"/>
      <c r="J484" s="28"/>
      <c r="K484" s="28"/>
      <c r="L484" s="28"/>
      <c r="M484" s="28"/>
      <c r="N484" s="28"/>
      <c r="O484" s="28"/>
      <c r="P484" s="28"/>
      <c r="Q484" s="28"/>
      <c r="R484" s="28"/>
      <c r="S484" s="28"/>
      <c r="T484" s="28"/>
      <c r="U484" s="28"/>
      <c r="V484" s="28"/>
      <c r="W484" s="28"/>
      <c r="X484" s="28"/>
      <c r="Y484" s="28"/>
      <c r="Z484" s="28"/>
      <c r="AA484" s="28"/>
      <c r="AB484" s="28"/>
    </row>
    <row r="485" spans="1:28" ht="12.75" x14ac:dyDescent="0.2">
      <c r="A485" s="31" t="s">
        <v>2616</v>
      </c>
      <c r="B485" s="32" t="s">
        <v>368</v>
      </c>
      <c r="C485" s="16"/>
      <c r="D485" s="16"/>
      <c r="E485" s="6"/>
      <c r="F485" s="6"/>
      <c r="G485" s="6"/>
      <c r="H485" s="28"/>
      <c r="I485" s="28"/>
      <c r="J485" s="28"/>
      <c r="K485" s="28"/>
      <c r="L485" s="28"/>
      <c r="M485" s="28"/>
      <c r="N485" s="28"/>
      <c r="O485" s="28"/>
      <c r="P485" s="28"/>
      <c r="Q485" s="28"/>
      <c r="R485" s="28"/>
      <c r="S485" s="28"/>
      <c r="T485" s="28"/>
      <c r="U485" s="28"/>
      <c r="V485" s="28"/>
      <c r="W485" s="28"/>
      <c r="X485" s="28"/>
      <c r="Y485" s="28"/>
      <c r="Z485" s="28"/>
      <c r="AA485" s="28"/>
      <c r="AB485" s="28"/>
    </row>
    <row r="486" spans="1:28" ht="12.75" x14ac:dyDescent="0.2">
      <c r="A486" s="31" t="s">
        <v>2623</v>
      </c>
      <c r="B486" s="32" t="s">
        <v>2624</v>
      </c>
      <c r="C486" s="16"/>
      <c r="D486" s="16"/>
      <c r="E486" s="6"/>
      <c r="F486" s="6"/>
      <c r="G486" s="6"/>
      <c r="H486" s="28"/>
      <c r="I486" s="28"/>
      <c r="J486" s="28"/>
      <c r="K486" s="28"/>
      <c r="L486" s="28"/>
      <c r="M486" s="28"/>
      <c r="N486" s="28"/>
      <c r="O486" s="28"/>
      <c r="P486" s="28"/>
      <c r="Q486" s="28"/>
      <c r="R486" s="28"/>
      <c r="S486" s="28"/>
      <c r="T486" s="28"/>
      <c r="U486" s="28"/>
      <c r="V486" s="28"/>
      <c r="W486" s="28"/>
      <c r="X486" s="28"/>
      <c r="Y486" s="28"/>
      <c r="Z486" s="28"/>
      <c r="AA486" s="28"/>
      <c r="AB486" s="28"/>
    </row>
    <row r="487" spans="1:28" ht="12.75" x14ac:dyDescent="0.2">
      <c r="A487" s="31" t="s">
        <v>2625</v>
      </c>
      <c r="B487" s="32" t="s">
        <v>2626</v>
      </c>
      <c r="C487" s="16"/>
      <c r="D487" s="16"/>
      <c r="E487" s="6"/>
      <c r="F487" s="6"/>
      <c r="G487" s="6"/>
      <c r="H487" s="28"/>
      <c r="I487" s="28"/>
      <c r="J487" s="28"/>
      <c r="K487" s="28"/>
      <c r="L487" s="28"/>
      <c r="M487" s="28"/>
      <c r="N487" s="28"/>
      <c r="O487" s="28"/>
      <c r="P487" s="28"/>
      <c r="Q487" s="28"/>
      <c r="R487" s="28"/>
      <c r="S487" s="28"/>
      <c r="T487" s="28"/>
      <c r="U487" s="28"/>
      <c r="V487" s="28"/>
      <c r="W487" s="28"/>
      <c r="X487" s="28"/>
      <c r="Y487" s="28"/>
      <c r="Z487" s="28"/>
      <c r="AA487" s="28"/>
      <c r="AB487" s="28"/>
    </row>
    <row r="488" spans="1:28" ht="12.75" x14ac:dyDescent="0.2">
      <c r="A488" s="31" t="s">
        <v>2631</v>
      </c>
      <c r="B488" s="32" t="s">
        <v>2632</v>
      </c>
      <c r="C488" s="16"/>
      <c r="D488" s="16"/>
      <c r="E488" s="6"/>
      <c r="F488" s="6"/>
      <c r="G488" s="6"/>
      <c r="H488" s="28"/>
      <c r="I488" s="28"/>
      <c r="J488" s="28"/>
      <c r="K488" s="28"/>
      <c r="L488" s="28"/>
      <c r="M488" s="28"/>
      <c r="N488" s="28"/>
      <c r="O488" s="28"/>
      <c r="P488" s="28"/>
      <c r="Q488" s="28"/>
      <c r="R488" s="28"/>
      <c r="S488" s="28"/>
      <c r="T488" s="28"/>
      <c r="U488" s="28"/>
      <c r="V488" s="28"/>
      <c r="W488" s="28"/>
      <c r="X488" s="28"/>
      <c r="Y488" s="28"/>
      <c r="Z488" s="28"/>
      <c r="AA488" s="28"/>
      <c r="AB488" s="28"/>
    </row>
    <row r="489" spans="1:28" ht="25.5" x14ac:dyDescent="0.2">
      <c r="A489" s="31" t="s">
        <v>2635</v>
      </c>
      <c r="B489" s="32" t="s">
        <v>2636</v>
      </c>
      <c r="C489" s="16"/>
      <c r="D489" s="16"/>
      <c r="E489" s="6"/>
      <c r="F489" s="6"/>
      <c r="G489" s="6"/>
      <c r="H489" s="28"/>
      <c r="I489" s="28"/>
      <c r="J489" s="28"/>
      <c r="K489" s="28"/>
      <c r="L489" s="28"/>
      <c r="M489" s="28"/>
      <c r="N489" s="28"/>
      <c r="O489" s="28"/>
      <c r="P489" s="28"/>
      <c r="Q489" s="28"/>
      <c r="R489" s="28"/>
      <c r="S489" s="28"/>
      <c r="T489" s="28"/>
      <c r="U489" s="28"/>
      <c r="V489" s="28"/>
      <c r="W489" s="28"/>
      <c r="X489" s="28"/>
      <c r="Y489" s="28"/>
      <c r="Z489" s="28"/>
      <c r="AA489" s="28"/>
      <c r="AB489" s="28"/>
    </row>
    <row r="490" spans="1:28" ht="12.75" x14ac:dyDescent="0.2">
      <c r="A490" s="31" t="s">
        <v>2637</v>
      </c>
      <c r="B490" s="32" t="s">
        <v>2638</v>
      </c>
      <c r="C490" s="16"/>
      <c r="D490" s="16"/>
      <c r="E490" s="6"/>
      <c r="F490" s="6"/>
      <c r="G490" s="6"/>
      <c r="H490" s="28"/>
      <c r="I490" s="28"/>
      <c r="J490" s="28"/>
      <c r="K490" s="28"/>
      <c r="L490" s="28"/>
      <c r="M490" s="28"/>
      <c r="N490" s="28"/>
      <c r="O490" s="28"/>
      <c r="P490" s="28"/>
      <c r="Q490" s="28"/>
      <c r="R490" s="28"/>
      <c r="S490" s="28"/>
      <c r="T490" s="28"/>
      <c r="U490" s="28"/>
      <c r="V490" s="28"/>
      <c r="W490" s="28"/>
      <c r="X490" s="28"/>
      <c r="Y490" s="28"/>
      <c r="Z490" s="28"/>
      <c r="AA490" s="28"/>
      <c r="AB490" s="28"/>
    </row>
    <row r="491" spans="1:28" ht="25.5" x14ac:dyDescent="0.2">
      <c r="A491" s="31" t="s">
        <v>2641</v>
      </c>
      <c r="B491" s="32" t="s">
        <v>2642</v>
      </c>
      <c r="C491" s="16"/>
      <c r="D491" s="16"/>
      <c r="E491" s="6"/>
      <c r="F491" s="6"/>
      <c r="G491" s="6"/>
      <c r="H491" s="28"/>
      <c r="I491" s="28"/>
      <c r="J491" s="28"/>
      <c r="K491" s="28"/>
      <c r="L491" s="28"/>
      <c r="M491" s="28"/>
      <c r="N491" s="28"/>
      <c r="O491" s="28"/>
      <c r="P491" s="28"/>
      <c r="Q491" s="28"/>
      <c r="R491" s="28"/>
      <c r="S491" s="28"/>
      <c r="T491" s="28"/>
      <c r="U491" s="28"/>
      <c r="V491" s="28"/>
      <c r="W491" s="28"/>
      <c r="X491" s="28"/>
      <c r="Y491" s="28"/>
      <c r="Z491" s="28"/>
      <c r="AA491" s="28"/>
      <c r="AB491" s="28"/>
    </row>
    <row r="492" spans="1:28" ht="25.5" x14ac:dyDescent="0.2">
      <c r="A492" s="31" t="s">
        <v>2645</v>
      </c>
      <c r="B492" s="32" t="s">
        <v>2646</v>
      </c>
      <c r="C492" s="16"/>
      <c r="D492" s="16"/>
      <c r="E492" s="6"/>
      <c r="F492" s="6"/>
      <c r="G492" s="6"/>
      <c r="H492" s="28"/>
      <c r="I492" s="28"/>
      <c r="J492" s="28"/>
      <c r="K492" s="28"/>
      <c r="L492" s="28"/>
      <c r="M492" s="28"/>
      <c r="N492" s="28"/>
      <c r="O492" s="28"/>
      <c r="P492" s="28"/>
      <c r="Q492" s="28"/>
      <c r="R492" s="28"/>
      <c r="S492" s="28"/>
      <c r="T492" s="28"/>
      <c r="U492" s="28"/>
      <c r="V492" s="28"/>
      <c r="W492" s="28"/>
      <c r="X492" s="28"/>
      <c r="Y492" s="28"/>
      <c r="Z492" s="28"/>
      <c r="AA492" s="28"/>
      <c r="AB492" s="28"/>
    </row>
    <row r="493" spans="1:28" ht="12.75" x14ac:dyDescent="0.2">
      <c r="A493" s="31" t="s">
        <v>2649</v>
      </c>
      <c r="B493" s="32" t="s">
        <v>2650</v>
      </c>
      <c r="C493" s="16"/>
      <c r="D493" s="16"/>
      <c r="E493" s="6"/>
      <c r="F493" s="6"/>
      <c r="G493" s="6"/>
      <c r="H493" s="28"/>
      <c r="I493" s="28"/>
      <c r="J493" s="28"/>
      <c r="K493" s="28"/>
      <c r="L493" s="28"/>
      <c r="M493" s="28"/>
      <c r="N493" s="28"/>
      <c r="O493" s="28"/>
      <c r="P493" s="28"/>
      <c r="Q493" s="28"/>
      <c r="R493" s="28"/>
      <c r="S493" s="28"/>
      <c r="T493" s="28"/>
      <c r="U493" s="28"/>
      <c r="V493" s="28"/>
      <c r="W493" s="28"/>
      <c r="X493" s="28"/>
      <c r="Y493" s="28"/>
      <c r="Z493" s="28"/>
      <c r="AA493" s="28"/>
      <c r="AB493" s="28"/>
    </row>
    <row r="494" spans="1:28" ht="12.75" x14ac:dyDescent="0.2">
      <c r="A494" s="31" t="s">
        <v>2657</v>
      </c>
      <c r="B494" s="32" t="s">
        <v>2658</v>
      </c>
      <c r="C494" s="16"/>
      <c r="D494" s="16"/>
      <c r="E494" s="6"/>
      <c r="F494" s="6"/>
      <c r="G494" s="6"/>
      <c r="H494" s="28"/>
      <c r="I494" s="28"/>
      <c r="J494" s="28"/>
      <c r="K494" s="28"/>
      <c r="L494" s="28"/>
      <c r="M494" s="28"/>
      <c r="N494" s="28"/>
      <c r="O494" s="28"/>
      <c r="P494" s="28"/>
      <c r="Q494" s="28"/>
      <c r="R494" s="28"/>
      <c r="S494" s="28"/>
      <c r="T494" s="28"/>
      <c r="U494" s="28"/>
      <c r="V494" s="28"/>
      <c r="W494" s="28"/>
      <c r="X494" s="28"/>
      <c r="Y494" s="28"/>
      <c r="Z494" s="28"/>
      <c r="AA494" s="28"/>
      <c r="AB494" s="28"/>
    </row>
    <row r="495" spans="1:28" ht="12.75" x14ac:dyDescent="0.2">
      <c r="A495" s="31" t="s">
        <v>2659</v>
      </c>
      <c r="B495" s="32" t="s">
        <v>2660</v>
      </c>
      <c r="C495" s="16"/>
      <c r="D495" s="16"/>
      <c r="E495" s="6"/>
      <c r="F495" s="6"/>
      <c r="G495" s="6"/>
      <c r="H495" s="28"/>
      <c r="I495" s="28"/>
      <c r="J495" s="28"/>
      <c r="K495" s="28"/>
      <c r="L495" s="28"/>
      <c r="M495" s="28"/>
      <c r="N495" s="28"/>
      <c r="O495" s="28"/>
      <c r="P495" s="28"/>
      <c r="Q495" s="28"/>
      <c r="R495" s="28"/>
      <c r="S495" s="28"/>
      <c r="T495" s="28"/>
      <c r="U495" s="28"/>
      <c r="V495" s="28"/>
      <c r="W495" s="28"/>
      <c r="X495" s="28"/>
      <c r="Y495" s="28"/>
      <c r="Z495" s="28"/>
      <c r="AA495" s="28"/>
      <c r="AB495" s="28"/>
    </row>
    <row r="496" spans="1:28" ht="25.5" x14ac:dyDescent="0.2">
      <c r="A496" s="31" t="s">
        <v>2666</v>
      </c>
      <c r="B496" s="32" t="s">
        <v>2667</v>
      </c>
      <c r="C496" s="16"/>
      <c r="D496" s="16"/>
      <c r="E496" s="6"/>
      <c r="F496" s="6"/>
      <c r="G496" s="6"/>
      <c r="H496" s="28"/>
      <c r="I496" s="28"/>
      <c r="J496" s="28"/>
      <c r="K496" s="28"/>
      <c r="L496" s="28"/>
      <c r="M496" s="28"/>
      <c r="N496" s="28"/>
      <c r="O496" s="28"/>
      <c r="P496" s="28"/>
      <c r="Q496" s="28"/>
      <c r="R496" s="28"/>
      <c r="S496" s="28"/>
      <c r="T496" s="28"/>
      <c r="U496" s="28"/>
      <c r="V496" s="28"/>
      <c r="W496" s="28"/>
      <c r="X496" s="28"/>
      <c r="Y496" s="28"/>
      <c r="Z496" s="28"/>
      <c r="AA496" s="28"/>
      <c r="AB496" s="28"/>
    </row>
    <row r="497" spans="1:28" ht="12.75" x14ac:dyDescent="0.2">
      <c r="A497" s="31" t="s">
        <v>2669</v>
      </c>
      <c r="B497" s="32" t="s">
        <v>2670</v>
      </c>
      <c r="C497" s="16"/>
      <c r="D497" s="16"/>
      <c r="E497" s="6"/>
      <c r="F497" s="6"/>
      <c r="G497" s="6"/>
      <c r="H497" s="28"/>
      <c r="I497" s="28"/>
      <c r="J497" s="28"/>
      <c r="K497" s="28"/>
      <c r="L497" s="28"/>
      <c r="M497" s="28"/>
      <c r="N497" s="28"/>
      <c r="O497" s="28"/>
      <c r="P497" s="28"/>
      <c r="Q497" s="28"/>
      <c r="R497" s="28"/>
      <c r="S497" s="28"/>
      <c r="T497" s="28"/>
      <c r="U497" s="28"/>
      <c r="V497" s="28"/>
      <c r="W497" s="28"/>
      <c r="X497" s="28"/>
      <c r="Y497" s="28"/>
      <c r="Z497" s="28"/>
      <c r="AA497" s="28"/>
      <c r="AB497" s="28"/>
    </row>
    <row r="498" spans="1:28" ht="12.75" x14ac:dyDescent="0.2">
      <c r="A498" s="31" t="s">
        <v>2674</v>
      </c>
      <c r="B498" s="32" t="s">
        <v>2675</v>
      </c>
      <c r="C498" s="16"/>
      <c r="D498" s="16"/>
      <c r="E498" s="6"/>
      <c r="F498" s="6"/>
      <c r="G498" s="6"/>
      <c r="H498" s="28"/>
      <c r="I498" s="28"/>
      <c r="J498" s="28"/>
      <c r="K498" s="28"/>
      <c r="L498" s="28"/>
      <c r="M498" s="28"/>
      <c r="N498" s="28"/>
      <c r="O498" s="28"/>
      <c r="P498" s="28"/>
      <c r="Q498" s="28"/>
      <c r="R498" s="28"/>
      <c r="S498" s="28"/>
      <c r="T498" s="28"/>
      <c r="U498" s="28"/>
      <c r="V498" s="28"/>
      <c r="W498" s="28"/>
      <c r="X498" s="28"/>
      <c r="Y498" s="28"/>
      <c r="Z498" s="28"/>
      <c r="AA498" s="28"/>
      <c r="AB498" s="28"/>
    </row>
    <row r="499" spans="1:28" ht="12.75" x14ac:dyDescent="0.2">
      <c r="A499" s="31" t="s">
        <v>2679</v>
      </c>
      <c r="B499" s="32" t="s">
        <v>2681</v>
      </c>
      <c r="C499" s="16"/>
      <c r="D499" s="16"/>
      <c r="E499" s="6"/>
      <c r="F499" s="6"/>
      <c r="G499" s="6"/>
      <c r="H499" s="28"/>
      <c r="I499" s="28"/>
      <c r="J499" s="28"/>
      <c r="K499" s="28"/>
      <c r="L499" s="28"/>
      <c r="M499" s="28"/>
      <c r="N499" s="28"/>
      <c r="O499" s="28"/>
      <c r="P499" s="28"/>
      <c r="Q499" s="28"/>
      <c r="R499" s="28"/>
      <c r="S499" s="28"/>
      <c r="T499" s="28"/>
      <c r="U499" s="28"/>
      <c r="V499" s="28"/>
      <c r="W499" s="28"/>
      <c r="X499" s="28"/>
      <c r="Y499" s="28"/>
      <c r="Z499" s="28"/>
      <c r="AA499" s="28"/>
      <c r="AB499" s="28"/>
    </row>
    <row r="500" spans="1:28" ht="12.75" x14ac:dyDescent="0.2">
      <c r="A500" s="31" t="s">
        <v>2684</v>
      </c>
      <c r="B500" s="32" t="s">
        <v>2685</v>
      </c>
      <c r="C500" s="16"/>
      <c r="D500" s="16"/>
      <c r="E500" s="6"/>
      <c r="F500" s="6"/>
      <c r="G500" s="6"/>
      <c r="H500" s="28"/>
      <c r="I500" s="28"/>
      <c r="J500" s="28"/>
      <c r="K500" s="28"/>
      <c r="L500" s="28"/>
      <c r="M500" s="28"/>
      <c r="N500" s="28"/>
      <c r="O500" s="28"/>
      <c r="P500" s="28"/>
      <c r="Q500" s="28"/>
      <c r="R500" s="28"/>
      <c r="S500" s="28"/>
      <c r="T500" s="28"/>
      <c r="U500" s="28"/>
      <c r="V500" s="28"/>
      <c r="W500" s="28"/>
      <c r="X500" s="28"/>
      <c r="Y500" s="28"/>
      <c r="Z500" s="28"/>
      <c r="AA500" s="28"/>
      <c r="AB500" s="28"/>
    </row>
    <row r="501" spans="1:28" ht="12.75" x14ac:dyDescent="0.2">
      <c r="A501" s="31" t="s">
        <v>2689</v>
      </c>
      <c r="B501" s="32" t="s">
        <v>2690</v>
      </c>
      <c r="C501" s="16"/>
      <c r="D501" s="16"/>
      <c r="E501" s="6"/>
      <c r="F501" s="6"/>
      <c r="G501" s="6"/>
      <c r="H501" s="28"/>
      <c r="I501" s="28"/>
      <c r="J501" s="28"/>
      <c r="K501" s="28"/>
      <c r="L501" s="28"/>
      <c r="M501" s="28"/>
      <c r="N501" s="28"/>
      <c r="O501" s="28"/>
      <c r="P501" s="28"/>
      <c r="Q501" s="28"/>
      <c r="R501" s="28"/>
      <c r="S501" s="28"/>
      <c r="T501" s="28"/>
      <c r="U501" s="28"/>
      <c r="V501" s="28"/>
      <c r="W501" s="28"/>
      <c r="X501" s="28"/>
      <c r="Y501" s="28"/>
      <c r="Z501" s="28"/>
      <c r="AA501" s="28"/>
      <c r="AB501" s="28"/>
    </row>
    <row r="502" spans="1:28" ht="25.5" x14ac:dyDescent="0.2">
      <c r="A502" s="31" t="s">
        <v>2691</v>
      </c>
      <c r="B502" s="32" t="s">
        <v>2692</v>
      </c>
      <c r="C502" s="16"/>
      <c r="D502" s="16"/>
      <c r="E502" s="6"/>
      <c r="F502" s="6"/>
      <c r="G502" s="6"/>
      <c r="H502" s="28"/>
      <c r="I502" s="28"/>
      <c r="J502" s="28"/>
      <c r="K502" s="28"/>
      <c r="L502" s="28"/>
      <c r="M502" s="28"/>
      <c r="N502" s="28"/>
      <c r="O502" s="28"/>
      <c r="P502" s="28"/>
      <c r="Q502" s="28"/>
      <c r="R502" s="28"/>
      <c r="S502" s="28"/>
      <c r="T502" s="28"/>
      <c r="U502" s="28"/>
      <c r="V502" s="28"/>
      <c r="W502" s="28"/>
      <c r="X502" s="28"/>
      <c r="Y502" s="28"/>
      <c r="Z502" s="28"/>
      <c r="AA502" s="28"/>
      <c r="AB502" s="28"/>
    </row>
    <row r="503" spans="1:28" ht="25.5" x14ac:dyDescent="0.2">
      <c r="A503" s="31" t="s">
        <v>2696</v>
      </c>
      <c r="B503" s="32" t="s">
        <v>2697</v>
      </c>
      <c r="C503" s="16"/>
      <c r="D503" s="16"/>
      <c r="E503" s="6"/>
      <c r="F503" s="6" t="s">
        <v>92</v>
      </c>
      <c r="G503" s="6"/>
      <c r="H503" s="28"/>
      <c r="I503" s="28"/>
      <c r="J503" s="28"/>
      <c r="K503" s="28"/>
      <c r="L503" s="28"/>
      <c r="M503" s="28"/>
      <c r="N503" s="28"/>
      <c r="O503" s="28"/>
      <c r="P503" s="28"/>
      <c r="Q503" s="28"/>
      <c r="R503" s="28"/>
      <c r="S503" s="28"/>
      <c r="T503" s="28"/>
      <c r="U503" s="28"/>
      <c r="V503" s="28"/>
      <c r="W503" s="28"/>
      <c r="X503" s="28"/>
      <c r="Y503" s="28"/>
      <c r="Z503" s="28"/>
      <c r="AA503" s="28"/>
      <c r="AB503" s="28"/>
    </row>
    <row r="504" spans="1:28" ht="25.5" x14ac:dyDescent="0.2">
      <c r="A504" s="31" t="s">
        <v>2656</v>
      </c>
      <c r="B504" s="6" t="s">
        <v>2655</v>
      </c>
      <c r="C504" s="16"/>
      <c r="D504" s="16"/>
      <c r="E504" s="6"/>
      <c r="F504" s="6"/>
      <c r="G504" s="6"/>
      <c r="H504" s="28"/>
      <c r="I504" s="28"/>
      <c r="J504" s="28"/>
      <c r="K504" s="28"/>
      <c r="L504" s="28"/>
      <c r="M504" s="28"/>
      <c r="N504" s="28"/>
      <c r="O504" s="28"/>
      <c r="P504" s="28"/>
      <c r="Q504" s="28"/>
      <c r="R504" s="28"/>
      <c r="S504" s="28"/>
      <c r="T504" s="28"/>
      <c r="U504" s="28"/>
      <c r="V504" s="28"/>
      <c r="W504" s="28"/>
      <c r="X504" s="28"/>
      <c r="Y504" s="28"/>
      <c r="Z504" s="28"/>
      <c r="AA504" s="28"/>
      <c r="AB504" s="28"/>
    </row>
    <row r="505" spans="1:28" ht="12.75" x14ac:dyDescent="0.2">
      <c r="A505" s="31" t="s">
        <v>2702</v>
      </c>
      <c r="B505" s="6" t="s">
        <v>2703</v>
      </c>
      <c r="C505" s="16"/>
      <c r="D505" s="16"/>
      <c r="E505" s="6"/>
      <c r="F505" s="6"/>
      <c r="G505" s="6"/>
      <c r="H505" s="28"/>
      <c r="I505" s="28"/>
      <c r="J505" s="28"/>
      <c r="K505" s="28"/>
      <c r="L505" s="28"/>
      <c r="M505" s="28"/>
      <c r="N505" s="28"/>
      <c r="O505" s="28"/>
      <c r="P505" s="28"/>
      <c r="Q505" s="28"/>
      <c r="R505" s="28"/>
      <c r="S505" s="28"/>
      <c r="T505" s="28"/>
      <c r="U505" s="28"/>
      <c r="V505" s="28"/>
      <c r="W505" s="28"/>
      <c r="X505" s="28"/>
      <c r="Y505" s="28"/>
      <c r="Z505" s="28"/>
      <c r="AA505" s="28"/>
      <c r="AB505" s="28"/>
    </row>
    <row r="506" spans="1:28" ht="12.75" x14ac:dyDescent="0.2">
      <c r="A506" s="31" t="s">
        <v>2704</v>
      </c>
      <c r="B506" s="6" t="s">
        <v>2705</v>
      </c>
      <c r="C506" s="16"/>
      <c r="D506" s="16"/>
      <c r="E506" s="6"/>
      <c r="F506" s="6"/>
      <c r="G506" s="6"/>
      <c r="H506" s="28"/>
      <c r="I506" s="28"/>
      <c r="J506" s="28"/>
      <c r="K506" s="28"/>
      <c r="L506" s="28"/>
      <c r="M506" s="28"/>
      <c r="N506" s="28"/>
      <c r="O506" s="28"/>
      <c r="P506" s="28"/>
      <c r="Q506" s="28"/>
      <c r="R506" s="28"/>
      <c r="S506" s="28"/>
      <c r="T506" s="28"/>
      <c r="U506" s="28"/>
      <c r="V506" s="28"/>
      <c r="W506" s="28"/>
      <c r="X506" s="28"/>
      <c r="Y506" s="28"/>
      <c r="Z506" s="28"/>
      <c r="AA506" s="28"/>
      <c r="AB506" s="28"/>
    </row>
    <row r="507" spans="1:28" ht="12.75" x14ac:dyDescent="0.2">
      <c r="A507" s="31" t="s">
        <v>2710</v>
      </c>
      <c r="B507" s="6" t="s">
        <v>2711</v>
      </c>
      <c r="C507" s="16"/>
      <c r="D507" s="16"/>
      <c r="E507" s="6"/>
      <c r="F507" s="6"/>
      <c r="G507" s="6"/>
      <c r="H507" s="28"/>
      <c r="I507" s="28"/>
      <c r="J507" s="28"/>
      <c r="K507" s="28"/>
      <c r="L507" s="28"/>
      <c r="M507" s="28"/>
      <c r="N507" s="28"/>
      <c r="O507" s="28"/>
      <c r="P507" s="28"/>
      <c r="Q507" s="28"/>
      <c r="R507" s="28"/>
      <c r="S507" s="28"/>
      <c r="T507" s="28"/>
      <c r="U507" s="28"/>
      <c r="V507" s="28"/>
      <c r="W507" s="28"/>
      <c r="X507" s="28"/>
      <c r="Y507" s="28"/>
      <c r="Z507" s="28"/>
      <c r="AA507" s="28"/>
      <c r="AB507" s="28"/>
    </row>
    <row r="508" spans="1:28" ht="12.75" x14ac:dyDescent="0.2">
      <c r="A508" s="31" t="s">
        <v>2716</v>
      </c>
      <c r="B508" s="6" t="s">
        <v>2717</v>
      </c>
      <c r="C508" s="16"/>
      <c r="D508" s="16"/>
      <c r="E508" s="6"/>
      <c r="F508" s="6"/>
      <c r="G508" s="6"/>
      <c r="H508" s="28"/>
      <c r="I508" s="28"/>
      <c r="J508" s="28"/>
      <c r="K508" s="28"/>
      <c r="L508" s="28"/>
      <c r="M508" s="28"/>
      <c r="N508" s="28"/>
      <c r="O508" s="28"/>
      <c r="P508" s="28"/>
      <c r="Q508" s="28"/>
      <c r="R508" s="28"/>
      <c r="S508" s="28"/>
      <c r="T508" s="28"/>
      <c r="U508" s="28"/>
      <c r="V508" s="28"/>
      <c r="W508" s="28"/>
      <c r="X508" s="28"/>
      <c r="Y508" s="28"/>
      <c r="Z508" s="28"/>
      <c r="AA508" s="28"/>
      <c r="AB508" s="28"/>
    </row>
    <row r="509" spans="1:28" ht="25.5" x14ac:dyDescent="0.2">
      <c r="A509" s="31" t="s">
        <v>2718</v>
      </c>
      <c r="B509" s="6" t="s">
        <v>2721</v>
      </c>
      <c r="C509" s="16"/>
      <c r="D509" s="16"/>
      <c r="E509" s="6"/>
      <c r="F509" s="6"/>
      <c r="G509" s="6"/>
      <c r="H509" s="28"/>
      <c r="I509" s="28"/>
      <c r="J509" s="28"/>
      <c r="K509" s="28"/>
      <c r="L509" s="28"/>
      <c r="M509" s="28"/>
      <c r="N509" s="28"/>
      <c r="O509" s="28"/>
      <c r="P509" s="28"/>
      <c r="Q509" s="28"/>
      <c r="R509" s="28"/>
      <c r="S509" s="28"/>
      <c r="T509" s="28"/>
      <c r="U509" s="28"/>
      <c r="V509" s="28"/>
      <c r="W509" s="28"/>
      <c r="X509" s="28"/>
      <c r="Y509" s="28"/>
      <c r="Z509" s="28"/>
      <c r="AA509" s="28"/>
      <c r="AB509" s="28"/>
    </row>
    <row r="510" spans="1:28" ht="12.75" x14ac:dyDescent="0.2">
      <c r="A510" s="31" t="s">
        <v>2724</v>
      </c>
      <c r="B510" s="6" t="s">
        <v>2725</v>
      </c>
      <c r="C510" s="16"/>
      <c r="D510" s="16"/>
      <c r="E510" s="6"/>
      <c r="F510" s="6"/>
      <c r="G510" s="6"/>
      <c r="H510" s="28"/>
      <c r="I510" s="28"/>
      <c r="J510" s="28"/>
      <c r="K510" s="28"/>
      <c r="L510" s="28"/>
      <c r="M510" s="28"/>
      <c r="N510" s="28"/>
      <c r="O510" s="28"/>
      <c r="P510" s="28"/>
      <c r="Q510" s="28"/>
      <c r="R510" s="28"/>
      <c r="S510" s="28"/>
      <c r="T510" s="28"/>
      <c r="U510" s="28"/>
      <c r="V510" s="28"/>
      <c r="W510" s="28"/>
      <c r="X510" s="28"/>
      <c r="Y510" s="28"/>
      <c r="Z510" s="28"/>
      <c r="AA510" s="28"/>
      <c r="AB510" s="28"/>
    </row>
    <row r="511" spans="1:28" ht="12.75" x14ac:dyDescent="0.2">
      <c r="A511" s="31" t="s">
        <v>2732</v>
      </c>
      <c r="B511" s="6" t="s">
        <v>2733</v>
      </c>
      <c r="C511" s="16"/>
      <c r="D511" s="16"/>
      <c r="E511" s="6"/>
      <c r="F511" s="6"/>
      <c r="G511" s="6"/>
      <c r="H511" s="28"/>
      <c r="I511" s="28"/>
      <c r="J511" s="28"/>
      <c r="K511" s="28"/>
      <c r="L511" s="28"/>
      <c r="M511" s="28"/>
      <c r="N511" s="28"/>
      <c r="O511" s="28"/>
      <c r="P511" s="28"/>
      <c r="Q511" s="28"/>
      <c r="R511" s="28"/>
      <c r="S511" s="28"/>
      <c r="T511" s="28"/>
      <c r="U511" s="28"/>
      <c r="V511" s="28"/>
      <c r="W511" s="28"/>
      <c r="X511" s="28"/>
      <c r="Y511" s="28"/>
      <c r="Z511" s="28"/>
      <c r="AA511" s="28"/>
      <c r="AB511" s="28"/>
    </row>
    <row r="512" spans="1:28" ht="12.75" x14ac:dyDescent="0.2">
      <c r="A512" s="31" t="s">
        <v>2739</v>
      </c>
      <c r="B512" s="6" t="s">
        <v>2740</v>
      </c>
      <c r="C512" s="16"/>
      <c r="D512" s="16"/>
      <c r="E512" s="6"/>
      <c r="F512" s="6"/>
      <c r="G512" s="6"/>
      <c r="H512" s="28"/>
      <c r="I512" s="28"/>
      <c r="J512" s="28"/>
      <c r="K512" s="28"/>
      <c r="L512" s="28"/>
      <c r="M512" s="28"/>
      <c r="N512" s="28"/>
      <c r="O512" s="28"/>
      <c r="P512" s="28"/>
      <c r="Q512" s="28"/>
      <c r="R512" s="28"/>
      <c r="S512" s="28"/>
      <c r="T512" s="28"/>
      <c r="U512" s="28"/>
      <c r="V512" s="28"/>
      <c r="W512" s="28"/>
      <c r="X512" s="28"/>
      <c r="Y512" s="28"/>
      <c r="Z512" s="28"/>
      <c r="AA512" s="28"/>
      <c r="AB512" s="28"/>
    </row>
    <row r="513" spans="1:28" ht="12.75" x14ac:dyDescent="0.2">
      <c r="A513" s="31" t="s">
        <v>2744</v>
      </c>
      <c r="B513" s="6" t="s">
        <v>2745</v>
      </c>
      <c r="C513" s="16"/>
      <c r="D513" s="16"/>
      <c r="E513" s="6"/>
      <c r="F513" s="6"/>
      <c r="G513" s="6"/>
      <c r="H513" s="28"/>
      <c r="I513" s="28"/>
      <c r="J513" s="28"/>
      <c r="K513" s="28"/>
      <c r="L513" s="28"/>
      <c r="M513" s="28"/>
      <c r="N513" s="28"/>
      <c r="O513" s="28"/>
      <c r="P513" s="28"/>
      <c r="Q513" s="28"/>
      <c r="R513" s="28"/>
      <c r="S513" s="28"/>
      <c r="T513" s="28"/>
      <c r="U513" s="28"/>
      <c r="V513" s="28"/>
      <c r="W513" s="28"/>
      <c r="X513" s="28"/>
      <c r="Y513" s="28"/>
      <c r="Z513" s="28"/>
      <c r="AA513" s="28"/>
      <c r="AB513" s="28"/>
    </row>
    <row r="514" spans="1:28" ht="12.75" x14ac:dyDescent="0.2">
      <c r="A514" s="31" t="s">
        <v>2746</v>
      </c>
      <c r="B514" s="6" t="s">
        <v>2747</v>
      </c>
      <c r="C514" s="16"/>
      <c r="D514" s="16"/>
      <c r="E514" s="6"/>
      <c r="F514" s="6"/>
      <c r="G514" s="6"/>
      <c r="H514" s="28"/>
      <c r="I514" s="28"/>
      <c r="J514" s="28"/>
      <c r="K514" s="28"/>
      <c r="L514" s="28"/>
      <c r="M514" s="28"/>
      <c r="N514" s="28"/>
      <c r="O514" s="28"/>
      <c r="P514" s="28"/>
      <c r="Q514" s="28"/>
      <c r="R514" s="28"/>
      <c r="S514" s="28"/>
      <c r="T514" s="28"/>
      <c r="U514" s="28"/>
      <c r="V514" s="28"/>
      <c r="W514" s="28"/>
      <c r="X514" s="28"/>
      <c r="Y514" s="28"/>
      <c r="Z514" s="28"/>
      <c r="AA514" s="28"/>
      <c r="AB514" s="28"/>
    </row>
    <row r="515" spans="1:28" ht="12.75" x14ac:dyDescent="0.2">
      <c r="A515" s="31" t="s">
        <v>2752</v>
      </c>
      <c r="B515" s="6" t="s">
        <v>2753</v>
      </c>
      <c r="C515" s="16"/>
      <c r="D515" s="16"/>
      <c r="E515" s="6"/>
      <c r="F515" s="6"/>
      <c r="G515" s="6"/>
      <c r="H515" s="28"/>
      <c r="I515" s="28"/>
      <c r="J515" s="28"/>
      <c r="K515" s="28"/>
      <c r="L515" s="28"/>
      <c r="M515" s="28"/>
      <c r="N515" s="28"/>
      <c r="O515" s="28"/>
      <c r="P515" s="28"/>
      <c r="Q515" s="28"/>
      <c r="R515" s="28"/>
      <c r="S515" s="28"/>
      <c r="T515" s="28"/>
      <c r="U515" s="28"/>
      <c r="V515" s="28"/>
      <c r="W515" s="28"/>
      <c r="X515" s="28"/>
      <c r="Y515" s="28"/>
      <c r="Z515" s="28"/>
      <c r="AA515" s="28"/>
      <c r="AB515" s="28"/>
    </row>
    <row r="516" spans="1:28" ht="12.75" x14ac:dyDescent="0.2">
      <c r="A516" s="31" t="s">
        <v>2760</v>
      </c>
      <c r="B516" s="6" t="s">
        <v>2761</v>
      </c>
      <c r="C516" s="16"/>
      <c r="D516" s="16"/>
      <c r="E516" s="6"/>
      <c r="F516" s="6"/>
      <c r="G516" s="6"/>
      <c r="H516" s="28"/>
      <c r="I516" s="28"/>
      <c r="J516" s="28"/>
      <c r="K516" s="28"/>
      <c r="L516" s="28"/>
      <c r="M516" s="28"/>
      <c r="N516" s="28"/>
      <c r="O516" s="28"/>
      <c r="P516" s="28"/>
      <c r="Q516" s="28"/>
      <c r="R516" s="28"/>
      <c r="S516" s="28"/>
      <c r="T516" s="28"/>
      <c r="U516" s="28"/>
      <c r="V516" s="28"/>
      <c r="W516" s="28"/>
      <c r="X516" s="28"/>
      <c r="Y516" s="28"/>
      <c r="Z516" s="28"/>
      <c r="AA516" s="28"/>
      <c r="AB516" s="28"/>
    </row>
    <row r="517" spans="1:28" ht="25.5" x14ac:dyDescent="0.2">
      <c r="A517" s="31" t="s">
        <v>2765</v>
      </c>
      <c r="B517" s="6" t="s">
        <v>2766</v>
      </c>
      <c r="C517" s="16"/>
      <c r="D517" s="16"/>
      <c r="E517" s="6"/>
      <c r="F517" s="6"/>
      <c r="G517" s="6"/>
      <c r="H517" s="28"/>
      <c r="I517" s="28"/>
      <c r="J517" s="28"/>
      <c r="K517" s="28"/>
      <c r="L517" s="28"/>
      <c r="M517" s="28"/>
      <c r="N517" s="28"/>
      <c r="O517" s="28"/>
      <c r="P517" s="28"/>
      <c r="Q517" s="28"/>
      <c r="R517" s="28"/>
      <c r="S517" s="28"/>
      <c r="T517" s="28"/>
      <c r="U517" s="28"/>
      <c r="V517" s="28"/>
      <c r="W517" s="28"/>
      <c r="X517" s="28"/>
      <c r="Y517" s="28"/>
      <c r="Z517" s="28"/>
      <c r="AA517" s="28"/>
      <c r="AB517" s="28"/>
    </row>
    <row r="518" spans="1:28" ht="12.75" x14ac:dyDescent="0.2">
      <c r="A518" s="31" t="s">
        <v>2767</v>
      </c>
      <c r="B518" s="6" t="s">
        <v>2768</v>
      </c>
      <c r="C518" s="16"/>
      <c r="D518" s="16"/>
      <c r="E518" s="6"/>
      <c r="F518" s="6"/>
      <c r="G518" s="6"/>
      <c r="H518" s="28"/>
      <c r="I518" s="28"/>
      <c r="J518" s="28"/>
      <c r="K518" s="28"/>
      <c r="L518" s="28"/>
      <c r="M518" s="28"/>
      <c r="N518" s="28"/>
      <c r="O518" s="28"/>
      <c r="P518" s="28"/>
      <c r="Q518" s="28"/>
      <c r="R518" s="28"/>
      <c r="S518" s="28"/>
      <c r="T518" s="28"/>
      <c r="U518" s="28"/>
      <c r="V518" s="28"/>
      <c r="W518" s="28"/>
      <c r="X518" s="28"/>
      <c r="Y518" s="28"/>
      <c r="Z518" s="28"/>
      <c r="AA518" s="28"/>
      <c r="AB518" s="28"/>
    </row>
    <row r="519" spans="1:28" ht="25.5" x14ac:dyDescent="0.2">
      <c r="A519" s="31" t="s">
        <v>2772</v>
      </c>
      <c r="B519" s="6" t="s">
        <v>2773</v>
      </c>
      <c r="C519" s="16"/>
      <c r="D519" s="16"/>
      <c r="E519" s="6"/>
      <c r="F519" s="6"/>
      <c r="G519" s="6"/>
      <c r="H519" s="28"/>
      <c r="I519" s="28"/>
      <c r="J519" s="28"/>
      <c r="K519" s="28"/>
      <c r="L519" s="28"/>
      <c r="M519" s="28"/>
      <c r="N519" s="28"/>
      <c r="O519" s="28"/>
      <c r="P519" s="28"/>
      <c r="Q519" s="28"/>
      <c r="R519" s="28"/>
      <c r="S519" s="28"/>
      <c r="T519" s="28"/>
      <c r="U519" s="28"/>
      <c r="V519" s="28"/>
      <c r="W519" s="28"/>
      <c r="X519" s="28"/>
      <c r="Y519" s="28"/>
      <c r="Z519" s="28"/>
      <c r="AA519" s="28"/>
      <c r="AB519" s="28"/>
    </row>
    <row r="520" spans="1:28" ht="12.75" x14ac:dyDescent="0.2">
      <c r="A520" s="31" t="s">
        <v>2777</v>
      </c>
      <c r="B520" s="6" t="s">
        <v>2778</v>
      </c>
      <c r="C520" s="16"/>
      <c r="D520" s="16"/>
      <c r="E520" s="6"/>
      <c r="F520" s="6"/>
      <c r="G520" s="6"/>
      <c r="H520" s="28"/>
      <c r="I520" s="28"/>
      <c r="J520" s="28"/>
      <c r="K520" s="28"/>
      <c r="L520" s="28"/>
      <c r="M520" s="28"/>
      <c r="N520" s="28"/>
      <c r="O520" s="28"/>
      <c r="P520" s="28"/>
      <c r="Q520" s="28"/>
      <c r="R520" s="28"/>
      <c r="S520" s="28"/>
      <c r="T520" s="28"/>
      <c r="U520" s="28"/>
      <c r="V520" s="28"/>
      <c r="W520" s="28"/>
      <c r="X520" s="28"/>
      <c r="Y520" s="28"/>
      <c r="Z520" s="28"/>
      <c r="AA520" s="28"/>
      <c r="AB520" s="28"/>
    </row>
    <row r="521" spans="1:28" ht="12.75" x14ac:dyDescent="0.2">
      <c r="A521" s="31" t="s">
        <v>2779</v>
      </c>
      <c r="B521" s="6" t="s">
        <v>2780</v>
      </c>
      <c r="C521" s="16"/>
      <c r="D521" s="16"/>
      <c r="E521" s="6"/>
      <c r="F521" s="6"/>
      <c r="G521" s="6"/>
      <c r="H521" s="28"/>
      <c r="I521" s="28"/>
      <c r="J521" s="28"/>
      <c r="K521" s="28"/>
      <c r="L521" s="28"/>
      <c r="M521" s="28"/>
      <c r="N521" s="28"/>
      <c r="O521" s="28"/>
      <c r="P521" s="28"/>
      <c r="Q521" s="28"/>
      <c r="R521" s="28"/>
      <c r="S521" s="28"/>
      <c r="T521" s="28"/>
      <c r="U521" s="28"/>
      <c r="V521" s="28"/>
      <c r="W521" s="28"/>
      <c r="X521" s="28"/>
      <c r="Y521" s="28"/>
      <c r="Z521" s="28"/>
      <c r="AA521" s="28"/>
      <c r="AB521" s="28"/>
    </row>
    <row r="522" spans="1:28" ht="12.75" x14ac:dyDescent="0.2">
      <c r="A522" s="31" t="s">
        <v>2242</v>
      </c>
      <c r="B522" s="6" t="s">
        <v>2786</v>
      </c>
      <c r="C522" s="16"/>
      <c r="D522" s="16"/>
      <c r="E522" s="6"/>
      <c r="F522" s="6"/>
      <c r="G522" s="6"/>
      <c r="H522" s="28"/>
      <c r="I522" s="28"/>
      <c r="J522" s="28"/>
      <c r="K522" s="28"/>
      <c r="L522" s="28"/>
      <c r="M522" s="28"/>
      <c r="N522" s="28"/>
      <c r="O522" s="28"/>
      <c r="P522" s="28"/>
      <c r="Q522" s="28"/>
      <c r="R522" s="28"/>
      <c r="S522" s="28"/>
      <c r="T522" s="28"/>
      <c r="U522" s="28"/>
      <c r="V522" s="28"/>
      <c r="W522" s="28"/>
      <c r="X522" s="28"/>
      <c r="Y522" s="28"/>
      <c r="Z522" s="28"/>
      <c r="AA522" s="28"/>
      <c r="AB522" s="28"/>
    </row>
    <row r="523" spans="1:28" ht="12.75" x14ac:dyDescent="0.2">
      <c r="A523" s="31" t="s">
        <v>2787</v>
      </c>
      <c r="B523" s="6" t="s">
        <v>2788</v>
      </c>
      <c r="C523" s="16"/>
      <c r="D523" s="16"/>
      <c r="E523" s="6"/>
      <c r="F523" s="6"/>
      <c r="G523" s="6"/>
      <c r="H523" s="28"/>
      <c r="I523" s="28"/>
      <c r="J523" s="28"/>
      <c r="K523" s="28"/>
      <c r="L523" s="28"/>
      <c r="M523" s="28"/>
      <c r="N523" s="28"/>
      <c r="O523" s="28"/>
      <c r="P523" s="28"/>
      <c r="Q523" s="28"/>
      <c r="R523" s="28"/>
      <c r="S523" s="28"/>
      <c r="T523" s="28"/>
      <c r="U523" s="28"/>
      <c r="V523" s="28"/>
      <c r="W523" s="28"/>
      <c r="X523" s="28"/>
      <c r="Y523" s="28"/>
      <c r="Z523" s="28"/>
      <c r="AA523" s="28"/>
      <c r="AB523" s="28"/>
    </row>
    <row r="524" spans="1:28" ht="12.75" x14ac:dyDescent="0.2">
      <c r="A524" s="31" t="s">
        <v>2795</v>
      </c>
      <c r="B524" s="6" t="s">
        <v>2796</v>
      </c>
      <c r="C524" s="16"/>
      <c r="D524" s="16"/>
      <c r="E524" s="6"/>
      <c r="F524" s="6"/>
      <c r="G524" s="6"/>
      <c r="H524" s="28"/>
      <c r="I524" s="28"/>
      <c r="J524" s="28"/>
      <c r="K524" s="28"/>
      <c r="L524" s="28"/>
      <c r="M524" s="28"/>
      <c r="N524" s="28"/>
      <c r="O524" s="28"/>
      <c r="P524" s="28"/>
      <c r="Q524" s="28"/>
      <c r="R524" s="28"/>
      <c r="S524" s="28"/>
      <c r="T524" s="28"/>
      <c r="U524" s="28"/>
      <c r="V524" s="28"/>
      <c r="W524" s="28"/>
      <c r="X524" s="28"/>
      <c r="Y524" s="28"/>
      <c r="Z524" s="28"/>
      <c r="AA524" s="28"/>
      <c r="AB524" s="28"/>
    </row>
    <row r="525" spans="1:28" ht="12.75" x14ac:dyDescent="0.2">
      <c r="A525" s="31" t="s">
        <v>2797</v>
      </c>
      <c r="B525" s="6" t="s">
        <v>2798</v>
      </c>
      <c r="C525" s="16"/>
      <c r="D525" s="16"/>
      <c r="E525" s="6"/>
      <c r="F525" s="6"/>
      <c r="G525" s="6"/>
      <c r="H525" s="28"/>
      <c r="I525" s="28"/>
      <c r="J525" s="28"/>
      <c r="K525" s="28"/>
      <c r="L525" s="28"/>
      <c r="M525" s="28"/>
      <c r="N525" s="28"/>
      <c r="O525" s="28"/>
      <c r="P525" s="28"/>
      <c r="Q525" s="28"/>
      <c r="R525" s="28"/>
      <c r="S525" s="28"/>
      <c r="T525" s="28"/>
      <c r="U525" s="28"/>
      <c r="V525" s="28"/>
      <c r="W525" s="28"/>
      <c r="X525" s="28"/>
      <c r="Y525" s="28"/>
      <c r="Z525" s="28"/>
      <c r="AA525" s="28"/>
      <c r="AB525" s="28"/>
    </row>
    <row r="526" spans="1:28" ht="12.75" x14ac:dyDescent="0.2">
      <c r="A526" s="31" t="s">
        <v>2803</v>
      </c>
      <c r="B526" s="6" t="s">
        <v>2804</v>
      </c>
      <c r="C526" s="16"/>
      <c r="D526" s="16"/>
      <c r="E526" s="6"/>
      <c r="F526" s="6"/>
      <c r="G526" s="6"/>
      <c r="H526" s="28"/>
      <c r="I526" s="28"/>
      <c r="J526" s="28"/>
      <c r="K526" s="28"/>
      <c r="L526" s="28"/>
      <c r="M526" s="28"/>
      <c r="N526" s="28"/>
      <c r="O526" s="28"/>
      <c r="P526" s="28"/>
      <c r="Q526" s="28"/>
      <c r="R526" s="28"/>
      <c r="S526" s="28"/>
      <c r="T526" s="28"/>
      <c r="U526" s="28"/>
      <c r="V526" s="28"/>
      <c r="W526" s="28"/>
      <c r="X526" s="28"/>
      <c r="Y526" s="28"/>
      <c r="Z526" s="28"/>
      <c r="AA526" s="28"/>
      <c r="AB526" s="28"/>
    </row>
    <row r="527" spans="1:28" ht="12.75" x14ac:dyDescent="0.2">
      <c r="A527" s="31" t="s">
        <v>2806</v>
      </c>
      <c r="B527" s="6"/>
      <c r="C527" s="16"/>
      <c r="D527" s="16"/>
      <c r="E527" s="6"/>
      <c r="F527" s="6"/>
      <c r="G527" s="6"/>
      <c r="H527" s="28"/>
      <c r="I527" s="28"/>
      <c r="J527" s="28"/>
      <c r="K527" s="28"/>
      <c r="L527" s="28"/>
      <c r="M527" s="28"/>
      <c r="N527" s="28"/>
      <c r="O527" s="28"/>
      <c r="P527" s="28"/>
      <c r="Q527" s="28"/>
      <c r="R527" s="28"/>
      <c r="S527" s="28"/>
      <c r="T527" s="28"/>
      <c r="U527" s="28"/>
      <c r="V527" s="28"/>
      <c r="W527" s="28"/>
      <c r="X527" s="28"/>
      <c r="Y527" s="28"/>
      <c r="Z527" s="28"/>
      <c r="AA527" s="28"/>
      <c r="AB527" s="28"/>
    </row>
    <row r="528" spans="1:28" ht="12.75" x14ac:dyDescent="0.2">
      <c r="A528" s="31" t="s">
        <v>2809</v>
      </c>
      <c r="B528" s="6"/>
      <c r="C528" s="16"/>
      <c r="D528" s="16"/>
      <c r="E528" s="6"/>
      <c r="F528" s="6"/>
      <c r="G528" s="6"/>
      <c r="H528" s="28"/>
      <c r="I528" s="28"/>
      <c r="J528" s="28"/>
      <c r="K528" s="28"/>
      <c r="L528" s="28"/>
      <c r="M528" s="28"/>
      <c r="N528" s="28"/>
      <c r="O528" s="28"/>
      <c r="P528" s="28"/>
      <c r="Q528" s="28"/>
      <c r="R528" s="28"/>
      <c r="S528" s="28"/>
      <c r="T528" s="28"/>
      <c r="U528" s="28"/>
      <c r="V528" s="28"/>
      <c r="W528" s="28"/>
      <c r="X528" s="28"/>
      <c r="Y528" s="28"/>
      <c r="Z528" s="28"/>
      <c r="AA528" s="28"/>
      <c r="AB528" s="28"/>
    </row>
    <row r="529" spans="1:28" ht="12.75" x14ac:dyDescent="0.2">
      <c r="A529" s="31" t="s">
        <v>2814</v>
      </c>
      <c r="B529" s="6"/>
      <c r="C529" s="16"/>
      <c r="D529" s="16"/>
      <c r="E529" s="6"/>
      <c r="F529" s="6"/>
      <c r="G529" s="6"/>
      <c r="H529" s="28"/>
      <c r="I529" s="28"/>
      <c r="J529" s="28"/>
      <c r="K529" s="28"/>
      <c r="L529" s="28"/>
      <c r="M529" s="28"/>
      <c r="N529" s="28"/>
      <c r="O529" s="28"/>
      <c r="P529" s="28"/>
      <c r="Q529" s="28"/>
      <c r="R529" s="28"/>
      <c r="S529" s="28"/>
      <c r="T529" s="28"/>
      <c r="U529" s="28"/>
      <c r="V529" s="28"/>
      <c r="W529" s="28"/>
      <c r="X529" s="28"/>
      <c r="Y529" s="28"/>
      <c r="Z529" s="28"/>
      <c r="AA529" s="28"/>
      <c r="AB529" s="28"/>
    </row>
    <row r="530" spans="1:28" ht="15" x14ac:dyDescent="0.2">
      <c r="A530" s="42"/>
      <c r="B530" s="43" t="s">
        <v>1318</v>
      </c>
      <c r="C530" s="44"/>
      <c r="D530" s="44"/>
      <c r="E530" s="44"/>
      <c r="F530" s="44"/>
      <c r="G530" s="44"/>
      <c r="H530" s="44"/>
      <c r="I530" s="44"/>
      <c r="J530" s="44"/>
      <c r="K530" s="44"/>
      <c r="L530" s="44"/>
      <c r="M530" s="44"/>
      <c r="N530" s="44"/>
      <c r="O530" s="44"/>
      <c r="P530" s="44"/>
      <c r="Q530" s="44"/>
      <c r="R530" s="44"/>
      <c r="S530" s="44"/>
      <c r="T530" s="44"/>
      <c r="U530" s="44"/>
      <c r="V530" s="44"/>
      <c r="W530" s="44"/>
      <c r="X530" s="44"/>
      <c r="Y530" s="44"/>
      <c r="Z530" s="44"/>
      <c r="AA530" s="44"/>
      <c r="AB530" s="44"/>
    </row>
    <row r="531" spans="1:28" ht="15" x14ac:dyDescent="0.2">
      <c r="A531" s="45" t="s">
        <v>23</v>
      </c>
      <c r="B531" s="46" t="s">
        <v>22</v>
      </c>
      <c r="C531" s="28"/>
      <c r="D531" s="28"/>
      <c r="E531" s="28"/>
      <c r="F531" s="28"/>
      <c r="G531" s="28"/>
      <c r="H531" s="28"/>
      <c r="I531" s="28"/>
      <c r="J531" s="28"/>
      <c r="K531" s="28"/>
      <c r="L531" s="28"/>
      <c r="M531" s="28"/>
      <c r="N531" s="28"/>
      <c r="O531" s="28"/>
      <c r="P531" s="28"/>
      <c r="Q531" s="28"/>
      <c r="R531" s="28"/>
      <c r="S531" s="28"/>
      <c r="T531" s="28"/>
      <c r="U531" s="28"/>
      <c r="V531" s="28"/>
      <c r="W531" s="28"/>
      <c r="X531" s="28"/>
      <c r="Y531" s="28"/>
      <c r="Z531" s="28"/>
      <c r="AA531" s="28"/>
      <c r="AB531" s="28"/>
    </row>
    <row r="532" spans="1:28" ht="12.75" x14ac:dyDescent="0.2">
      <c r="A532" s="13" t="s">
        <v>657</v>
      </c>
      <c r="B532" s="6" t="s">
        <v>2823</v>
      </c>
      <c r="C532" s="28"/>
      <c r="D532" s="28"/>
      <c r="E532" s="28"/>
      <c r="F532" s="6"/>
      <c r="G532" s="6"/>
      <c r="H532" s="6"/>
      <c r="I532" s="6"/>
      <c r="J532" s="6"/>
      <c r="K532" s="6"/>
      <c r="L532" s="6"/>
      <c r="M532" s="6"/>
      <c r="N532" s="6"/>
      <c r="O532" s="6"/>
      <c r="P532" s="6"/>
      <c r="Q532" s="6"/>
      <c r="R532" s="6"/>
      <c r="S532" s="6"/>
      <c r="T532" s="6"/>
      <c r="U532" s="6"/>
      <c r="V532" s="6"/>
      <c r="W532" s="6"/>
      <c r="X532" s="6"/>
      <c r="Y532" s="6"/>
      <c r="Z532" s="6"/>
      <c r="AA532" s="6"/>
      <c r="AB532" s="6"/>
    </row>
    <row r="533" spans="1:28" ht="12.75" x14ac:dyDescent="0.2">
      <c r="A533" s="13" t="s">
        <v>55</v>
      </c>
      <c r="B533" s="6" t="s">
        <v>284</v>
      </c>
      <c r="C533" s="28"/>
      <c r="D533" s="28"/>
      <c r="E533" s="28"/>
      <c r="F533" s="6"/>
      <c r="G533" s="6"/>
      <c r="H533" s="6"/>
      <c r="I533" s="6"/>
      <c r="J533" s="6"/>
      <c r="K533" s="6"/>
      <c r="L533" s="6"/>
      <c r="M533" s="6"/>
      <c r="N533" s="6"/>
      <c r="O533" s="6"/>
      <c r="P533" s="6"/>
      <c r="Q533" s="6"/>
      <c r="R533" s="6"/>
      <c r="S533" s="6"/>
      <c r="T533" s="6"/>
      <c r="U533" s="6"/>
      <c r="V533" s="6"/>
      <c r="W533" s="6"/>
      <c r="X533" s="6"/>
      <c r="Y533" s="6"/>
      <c r="Z533" s="6"/>
      <c r="AA533" s="6"/>
      <c r="AB533" s="6"/>
    </row>
    <row r="534" spans="1:28" ht="12.75" x14ac:dyDescent="0.2">
      <c r="A534" s="13" t="s">
        <v>1695</v>
      </c>
      <c r="B534" s="6" t="s">
        <v>2828</v>
      </c>
      <c r="C534" s="28"/>
      <c r="D534" s="28"/>
      <c r="E534" s="28"/>
      <c r="F534" s="6"/>
      <c r="G534" s="6"/>
      <c r="H534" s="6"/>
      <c r="I534" s="6"/>
      <c r="J534" s="6"/>
      <c r="K534" s="6"/>
      <c r="L534" s="6"/>
      <c r="M534" s="6"/>
      <c r="N534" s="6"/>
      <c r="O534" s="6"/>
      <c r="P534" s="6"/>
      <c r="Q534" s="6"/>
      <c r="R534" s="6"/>
      <c r="S534" s="6"/>
      <c r="T534" s="6"/>
      <c r="U534" s="6"/>
      <c r="V534" s="6"/>
      <c r="W534" s="6"/>
      <c r="X534" s="6"/>
      <c r="Y534" s="6"/>
      <c r="Z534" s="6"/>
      <c r="AA534" s="6"/>
      <c r="AB534" s="6"/>
    </row>
    <row r="535" spans="1:28" ht="25.5" x14ac:dyDescent="0.2">
      <c r="A535" s="13" t="s">
        <v>914</v>
      </c>
      <c r="B535" s="6" t="s">
        <v>2833</v>
      </c>
      <c r="C535" s="28"/>
      <c r="D535" s="28"/>
      <c r="E535" s="28"/>
      <c r="F535" s="6"/>
      <c r="G535" s="6"/>
      <c r="H535" s="6"/>
      <c r="I535" s="6"/>
      <c r="J535" s="6"/>
      <c r="K535" s="6"/>
      <c r="L535" s="6"/>
      <c r="M535" s="6"/>
      <c r="N535" s="6"/>
      <c r="O535" s="6"/>
      <c r="P535" s="6"/>
      <c r="Q535" s="6"/>
      <c r="R535" s="6"/>
      <c r="S535" s="6"/>
      <c r="T535" s="6"/>
      <c r="U535" s="6"/>
      <c r="V535" s="6"/>
      <c r="W535" s="6"/>
      <c r="X535" s="6"/>
      <c r="Y535" s="6"/>
      <c r="Z535" s="6"/>
      <c r="AA535" s="6"/>
      <c r="AB535" s="6"/>
    </row>
    <row r="536" spans="1:28" ht="12.75" x14ac:dyDescent="0.2">
      <c r="A536" s="13" t="s">
        <v>2584</v>
      </c>
      <c r="B536" s="6" t="s">
        <v>2835</v>
      </c>
      <c r="C536" s="28"/>
      <c r="D536" s="28"/>
      <c r="E536" s="28"/>
      <c r="F536" s="6"/>
      <c r="G536" s="6"/>
      <c r="H536" s="6"/>
      <c r="I536" s="6"/>
      <c r="J536" s="6"/>
      <c r="K536" s="6"/>
      <c r="L536" s="6"/>
      <c r="M536" s="6"/>
      <c r="N536" s="6"/>
      <c r="O536" s="6"/>
      <c r="P536" s="6"/>
      <c r="Q536" s="6"/>
      <c r="R536" s="6"/>
      <c r="S536" s="6"/>
      <c r="T536" s="6"/>
      <c r="U536" s="6"/>
      <c r="V536" s="6"/>
      <c r="W536" s="6"/>
      <c r="X536" s="6"/>
      <c r="Y536" s="6"/>
      <c r="Z536" s="6"/>
      <c r="AA536" s="6"/>
      <c r="AB536" s="6"/>
    </row>
    <row r="537" spans="1:28" ht="25.5" x14ac:dyDescent="0.2">
      <c r="A537" s="13" t="s">
        <v>2839</v>
      </c>
      <c r="B537" s="6" t="s">
        <v>2840</v>
      </c>
      <c r="C537" s="28"/>
      <c r="D537" s="28"/>
      <c r="E537" s="28"/>
      <c r="F537" s="6"/>
      <c r="G537" s="6"/>
      <c r="H537" s="6"/>
      <c r="I537" s="6"/>
      <c r="J537" s="6"/>
      <c r="K537" s="6"/>
      <c r="L537" s="6"/>
      <c r="M537" s="6"/>
      <c r="N537" s="6"/>
      <c r="O537" s="6"/>
      <c r="P537" s="6"/>
      <c r="Q537" s="6"/>
      <c r="R537" s="6"/>
      <c r="S537" s="6"/>
      <c r="T537" s="6"/>
      <c r="U537" s="6"/>
      <c r="V537" s="6"/>
      <c r="W537" s="6"/>
      <c r="X537" s="6"/>
      <c r="Y537" s="6"/>
      <c r="Z537" s="6"/>
      <c r="AA537" s="6"/>
      <c r="AB537" s="6"/>
    </row>
    <row r="538" spans="1:28" ht="25.5" x14ac:dyDescent="0.2">
      <c r="A538" s="47" t="s">
        <v>2841</v>
      </c>
      <c r="B538" s="6" t="s">
        <v>2842</v>
      </c>
      <c r="C538" s="28"/>
      <c r="D538" s="28"/>
      <c r="E538" s="28"/>
      <c r="F538" s="6"/>
      <c r="G538" s="6"/>
      <c r="H538" s="6"/>
      <c r="I538" s="6"/>
      <c r="J538" s="6"/>
      <c r="K538" s="6"/>
      <c r="L538" s="6"/>
      <c r="M538" s="6"/>
      <c r="N538" s="6"/>
      <c r="O538" s="6"/>
      <c r="P538" s="6"/>
      <c r="Q538" s="6"/>
      <c r="R538" s="6"/>
      <c r="S538" s="6"/>
      <c r="T538" s="6"/>
      <c r="U538" s="6"/>
      <c r="V538" s="6"/>
      <c r="W538" s="6"/>
      <c r="X538" s="6"/>
      <c r="Y538" s="6"/>
      <c r="Z538" s="6"/>
      <c r="AA538" s="6"/>
      <c r="AB538" s="6"/>
    </row>
    <row r="539" spans="1:28" ht="12.75" x14ac:dyDescent="0.2">
      <c r="A539" s="13" t="s">
        <v>2849</v>
      </c>
      <c r="B539" s="6" t="s">
        <v>2850</v>
      </c>
      <c r="C539" s="28"/>
      <c r="D539" s="28"/>
      <c r="E539" s="28"/>
      <c r="F539" s="6"/>
      <c r="G539" s="6"/>
      <c r="H539" s="6"/>
      <c r="I539" s="6"/>
      <c r="J539" s="6"/>
      <c r="K539" s="6"/>
      <c r="L539" s="6"/>
      <c r="M539" s="6"/>
      <c r="N539" s="6"/>
      <c r="O539" s="6"/>
      <c r="P539" s="6"/>
      <c r="Q539" s="6"/>
      <c r="R539" s="6"/>
      <c r="S539" s="6"/>
      <c r="T539" s="6"/>
      <c r="U539" s="6"/>
      <c r="V539" s="6"/>
      <c r="W539" s="6"/>
      <c r="X539" s="6"/>
      <c r="Y539" s="6"/>
      <c r="Z539" s="6"/>
      <c r="AA539" s="6"/>
      <c r="AB539" s="6"/>
    </row>
    <row r="540" spans="1:28" ht="25.5" x14ac:dyDescent="0.2">
      <c r="A540" s="13" t="s">
        <v>1565</v>
      </c>
      <c r="B540" s="6" t="s">
        <v>2853</v>
      </c>
      <c r="C540" s="28"/>
      <c r="D540" s="28"/>
      <c r="E540" s="28"/>
      <c r="F540" s="6"/>
      <c r="G540" s="6"/>
      <c r="H540" s="6"/>
      <c r="I540" s="6"/>
      <c r="J540" s="6"/>
      <c r="K540" s="6"/>
      <c r="L540" s="6"/>
      <c r="M540" s="6"/>
      <c r="N540" s="6"/>
      <c r="O540" s="6"/>
      <c r="P540" s="6"/>
      <c r="Q540" s="6"/>
      <c r="R540" s="6"/>
      <c r="S540" s="6"/>
      <c r="T540" s="6"/>
      <c r="U540" s="6"/>
      <c r="V540" s="6"/>
      <c r="W540" s="6"/>
      <c r="X540" s="6"/>
      <c r="Y540" s="6"/>
      <c r="Z540" s="6"/>
      <c r="AA540" s="6"/>
      <c r="AB540" s="6"/>
    </row>
    <row r="541" spans="1:28" ht="25.5" x14ac:dyDescent="0.2">
      <c r="A541" s="13" t="s">
        <v>2855</v>
      </c>
      <c r="B541" s="6" t="s">
        <v>2856</v>
      </c>
      <c r="C541" s="28"/>
      <c r="D541" s="28"/>
      <c r="E541" s="28"/>
      <c r="F541" s="6"/>
      <c r="G541" s="6"/>
      <c r="H541" s="6"/>
      <c r="I541" s="6"/>
      <c r="J541" s="6"/>
      <c r="K541" s="6"/>
      <c r="L541" s="6"/>
      <c r="M541" s="6"/>
      <c r="N541" s="6"/>
      <c r="O541" s="6"/>
      <c r="P541" s="6"/>
      <c r="Q541" s="6"/>
      <c r="R541" s="6"/>
      <c r="S541" s="6"/>
      <c r="T541" s="6"/>
      <c r="U541" s="6"/>
      <c r="V541" s="6"/>
      <c r="W541" s="6"/>
      <c r="X541" s="6"/>
      <c r="Y541" s="6"/>
      <c r="Z541" s="6"/>
      <c r="AA541" s="6"/>
      <c r="AB541" s="6"/>
    </row>
    <row r="542" spans="1:28" ht="12.75" x14ac:dyDescent="0.2">
      <c r="A542" s="13" t="s">
        <v>2861</v>
      </c>
      <c r="B542" s="6" t="s">
        <v>2862</v>
      </c>
      <c r="C542" s="28"/>
      <c r="D542" s="28"/>
      <c r="E542" s="28"/>
      <c r="F542" s="6"/>
      <c r="G542" s="6"/>
      <c r="H542" s="6"/>
      <c r="I542" s="6"/>
      <c r="J542" s="6"/>
      <c r="K542" s="6"/>
      <c r="L542" s="6"/>
      <c r="M542" s="6"/>
      <c r="N542" s="6"/>
      <c r="O542" s="6"/>
      <c r="P542" s="6"/>
      <c r="Q542" s="6"/>
      <c r="R542" s="6"/>
      <c r="S542" s="6"/>
      <c r="T542" s="6"/>
      <c r="U542" s="6"/>
      <c r="V542" s="6"/>
      <c r="W542" s="6"/>
      <c r="X542" s="6"/>
      <c r="Y542" s="6"/>
      <c r="Z542" s="6"/>
      <c r="AA542" s="6"/>
      <c r="AB542" s="6"/>
    </row>
    <row r="543" spans="1:28" ht="25.5" x14ac:dyDescent="0.2">
      <c r="A543" s="13" t="s">
        <v>2864</v>
      </c>
      <c r="B543" s="6" t="s">
        <v>2865</v>
      </c>
      <c r="C543" s="28"/>
      <c r="D543" s="28"/>
      <c r="E543" s="28"/>
      <c r="F543" s="6"/>
      <c r="G543" s="6"/>
      <c r="H543" s="6"/>
      <c r="I543" s="6"/>
      <c r="J543" s="6"/>
      <c r="K543" s="6"/>
      <c r="L543" s="6"/>
      <c r="M543" s="6"/>
      <c r="N543" s="6"/>
      <c r="O543" s="6"/>
      <c r="P543" s="6"/>
      <c r="Q543" s="6"/>
      <c r="R543" s="6"/>
      <c r="S543" s="6"/>
      <c r="T543" s="6"/>
      <c r="U543" s="6"/>
      <c r="V543" s="6"/>
      <c r="W543" s="6"/>
      <c r="X543" s="6"/>
      <c r="Y543" s="6"/>
      <c r="Z543" s="6"/>
      <c r="AA543" s="6"/>
      <c r="AB543" s="6"/>
    </row>
    <row r="544" spans="1:28" ht="12.75" x14ac:dyDescent="0.2">
      <c r="A544" s="13" t="s">
        <v>2873</v>
      </c>
      <c r="B544" s="6" t="s">
        <v>2874</v>
      </c>
      <c r="C544" s="28"/>
      <c r="D544" s="28"/>
      <c r="E544" s="28"/>
      <c r="F544" s="6"/>
      <c r="G544" s="6"/>
      <c r="H544" s="6"/>
      <c r="I544" s="6"/>
      <c r="J544" s="6"/>
      <c r="K544" s="6"/>
      <c r="L544" s="6"/>
      <c r="M544" s="6"/>
      <c r="N544" s="6"/>
      <c r="O544" s="6"/>
      <c r="P544" s="6"/>
      <c r="Q544" s="6"/>
      <c r="R544" s="6"/>
      <c r="S544" s="6"/>
      <c r="T544" s="6"/>
      <c r="U544" s="6"/>
      <c r="V544" s="6"/>
      <c r="W544" s="6"/>
      <c r="X544" s="6"/>
      <c r="Y544" s="6"/>
      <c r="Z544" s="6"/>
      <c r="AA544" s="6"/>
      <c r="AB544" s="6"/>
    </row>
    <row r="545" spans="1:28" ht="12.75" x14ac:dyDescent="0.2">
      <c r="A545" s="13" t="s">
        <v>2875</v>
      </c>
      <c r="B545" s="6" t="s">
        <v>2876</v>
      </c>
      <c r="C545" s="28"/>
      <c r="D545" s="28"/>
      <c r="E545" s="28"/>
      <c r="F545" s="6"/>
      <c r="G545" s="6"/>
      <c r="H545" s="6"/>
      <c r="I545" s="6"/>
      <c r="J545" s="6"/>
      <c r="K545" s="6"/>
      <c r="L545" s="6"/>
      <c r="M545" s="6"/>
      <c r="N545" s="6"/>
      <c r="O545" s="6"/>
      <c r="P545" s="6"/>
      <c r="Q545" s="6"/>
      <c r="R545" s="6"/>
      <c r="S545" s="6"/>
      <c r="T545" s="6"/>
      <c r="U545" s="6"/>
      <c r="V545" s="6"/>
      <c r="W545" s="6"/>
      <c r="X545" s="6"/>
      <c r="Y545" s="6"/>
      <c r="Z545" s="6"/>
      <c r="AA545" s="6"/>
      <c r="AB545" s="6"/>
    </row>
    <row r="546" spans="1:28" ht="25.5" x14ac:dyDescent="0.2">
      <c r="A546" s="13" t="s">
        <v>2881</v>
      </c>
      <c r="B546" s="6" t="s">
        <v>2882</v>
      </c>
      <c r="C546" s="28"/>
      <c r="D546" s="28"/>
      <c r="E546" s="28"/>
      <c r="F546" s="6"/>
      <c r="G546" s="6"/>
      <c r="H546" s="6"/>
      <c r="I546" s="6"/>
      <c r="J546" s="6"/>
      <c r="K546" s="6"/>
      <c r="L546" s="6"/>
      <c r="M546" s="6"/>
      <c r="N546" s="6"/>
      <c r="O546" s="6"/>
      <c r="P546" s="6"/>
      <c r="Q546" s="6"/>
      <c r="R546" s="6"/>
      <c r="S546" s="6"/>
      <c r="T546" s="6"/>
      <c r="U546" s="6"/>
      <c r="V546" s="6"/>
      <c r="W546" s="6"/>
      <c r="X546" s="6"/>
      <c r="Y546" s="6"/>
      <c r="Z546" s="6"/>
      <c r="AA546" s="6"/>
      <c r="AB546" s="6"/>
    </row>
    <row r="547" spans="1:28" ht="12.75" x14ac:dyDescent="0.2">
      <c r="A547" s="13" t="s">
        <v>1888</v>
      </c>
      <c r="B547" s="6" t="s">
        <v>2883</v>
      </c>
      <c r="C547" s="28"/>
      <c r="D547" s="28"/>
      <c r="E547" s="28"/>
      <c r="F547" s="6"/>
      <c r="G547" s="6"/>
      <c r="H547" s="6"/>
      <c r="I547" s="6"/>
      <c r="J547" s="6"/>
      <c r="K547" s="6"/>
      <c r="L547" s="6"/>
      <c r="M547" s="6"/>
      <c r="N547" s="6"/>
      <c r="O547" s="6"/>
      <c r="P547" s="6"/>
      <c r="Q547" s="6"/>
      <c r="R547" s="6"/>
      <c r="S547" s="6"/>
      <c r="T547" s="6"/>
      <c r="U547" s="6"/>
      <c r="V547" s="6"/>
      <c r="W547" s="6"/>
      <c r="X547" s="6"/>
      <c r="Y547" s="6"/>
      <c r="Z547" s="6"/>
      <c r="AA547" s="6"/>
      <c r="AB547" s="6"/>
    </row>
    <row r="548" spans="1:28" ht="25.5" x14ac:dyDescent="0.2">
      <c r="A548" s="13" t="s">
        <v>2228</v>
      </c>
      <c r="B548" s="6" t="s">
        <v>2891</v>
      </c>
      <c r="C548" s="28"/>
      <c r="D548" s="28"/>
      <c r="E548" s="28"/>
      <c r="F548" s="6"/>
      <c r="G548" s="6"/>
      <c r="H548" s="6"/>
      <c r="I548" s="6"/>
      <c r="J548" s="6"/>
      <c r="K548" s="6"/>
      <c r="L548" s="6"/>
      <c r="M548" s="6"/>
      <c r="N548" s="6"/>
      <c r="O548" s="6"/>
      <c r="P548" s="6"/>
      <c r="Q548" s="6"/>
      <c r="R548" s="6"/>
      <c r="S548" s="6"/>
      <c r="T548" s="6"/>
      <c r="U548" s="6"/>
      <c r="V548" s="6"/>
      <c r="W548" s="6"/>
      <c r="X548" s="6"/>
      <c r="Y548" s="6"/>
      <c r="Z548" s="6"/>
      <c r="AA548" s="6"/>
      <c r="AB548" s="6"/>
    </row>
    <row r="549" spans="1:28" ht="12.75" x14ac:dyDescent="0.2">
      <c r="A549" s="13" t="s">
        <v>2892</v>
      </c>
      <c r="B549" s="6" t="s">
        <v>2893</v>
      </c>
      <c r="C549" s="28"/>
      <c r="D549" s="28"/>
      <c r="E549" s="28"/>
      <c r="F549" s="6"/>
      <c r="G549" s="6"/>
      <c r="H549" s="6"/>
      <c r="I549" s="6"/>
      <c r="J549" s="6"/>
      <c r="K549" s="6"/>
      <c r="L549" s="6"/>
      <c r="M549" s="6"/>
      <c r="N549" s="6"/>
      <c r="O549" s="6"/>
      <c r="P549" s="6"/>
      <c r="Q549" s="6"/>
      <c r="R549" s="6"/>
      <c r="S549" s="6"/>
      <c r="T549" s="6"/>
      <c r="U549" s="6"/>
      <c r="V549" s="6"/>
      <c r="W549" s="6"/>
      <c r="X549" s="6"/>
      <c r="Y549" s="6"/>
      <c r="Z549" s="6"/>
      <c r="AA549" s="6"/>
      <c r="AB549" s="6"/>
    </row>
    <row r="550" spans="1:28" ht="25.5" x14ac:dyDescent="0.2">
      <c r="A550" s="13" t="s">
        <v>2900</v>
      </c>
      <c r="B550" s="6" t="s">
        <v>2901</v>
      </c>
      <c r="C550" s="28"/>
      <c r="D550" s="28"/>
      <c r="E550" s="28"/>
      <c r="F550" s="6"/>
      <c r="G550" s="6"/>
      <c r="H550" s="6"/>
      <c r="I550" s="6"/>
      <c r="J550" s="6"/>
      <c r="K550" s="6"/>
      <c r="L550" s="6"/>
      <c r="M550" s="6"/>
      <c r="N550" s="6"/>
      <c r="O550" s="6"/>
      <c r="P550" s="6"/>
      <c r="Q550" s="6"/>
      <c r="R550" s="6"/>
      <c r="S550" s="6"/>
      <c r="T550" s="6"/>
      <c r="U550" s="6"/>
      <c r="V550" s="6"/>
      <c r="W550" s="6"/>
      <c r="X550" s="6"/>
      <c r="Y550" s="6"/>
      <c r="Z550" s="6"/>
      <c r="AA550" s="6"/>
      <c r="AB550" s="6"/>
    </row>
    <row r="551" spans="1:28" ht="25.5" x14ac:dyDescent="0.2">
      <c r="A551" s="13" t="s">
        <v>2906</v>
      </c>
      <c r="B551" s="6" t="s">
        <v>2907</v>
      </c>
      <c r="C551" s="28"/>
      <c r="D551" s="28"/>
      <c r="E551" s="28"/>
      <c r="F551" s="6"/>
      <c r="G551" s="6"/>
      <c r="H551" s="6"/>
      <c r="I551" s="6"/>
      <c r="J551" s="6"/>
      <c r="K551" s="6"/>
      <c r="L551" s="6"/>
      <c r="M551" s="6"/>
      <c r="N551" s="6"/>
      <c r="O551" s="6"/>
      <c r="P551" s="6"/>
      <c r="Q551" s="6"/>
      <c r="R551" s="6"/>
      <c r="S551" s="6"/>
      <c r="T551" s="6"/>
      <c r="U551" s="6"/>
      <c r="V551" s="6"/>
      <c r="W551" s="6"/>
      <c r="X551" s="6"/>
      <c r="Y551" s="6"/>
      <c r="Z551" s="6"/>
      <c r="AA551" s="6"/>
      <c r="AB551" s="6"/>
    </row>
    <row r="552" spans="1:28" ht="25.5" x14ac:dyDescent="0.2">
      <c r="A552" s="13" t="s">
        <v>2909</v>
      </c>
      <c r="B552" s="6" t="s">
        <v>2910</v>
      </c>
      <c r="C552" s="28"/>
      <c r="D552" s="28"/>
      <c r="E552" s="28"/>
      <c r="F552" s="6"/>
      <c r="G552" s="6"/>
      <c r="H552" s="6"/>
      <c r="I552" s="6"/>
      <c r="J552" s="6"/>
      <c r="K552" s="6"/>
      <c r="L552" s="6"/>
      <c r="M552" s="6"/>
      <c r="N552" s="6"/>
      <c r="O552" s="6"/>
      <c r="P552" s="6"/>
      <c r="Q552" s="6"/>
      <c r="R552" s="6"/>
      <c r="S552" s="6"/>
      <c r="T552" s="6"/>
      <c r="U552" s="6"/>
      <c r="V552" s="6"/>
      <c r="W552" s="6"/>
      <c r="X552" s="6"/>
      <c r="Y552" s="6"/>
      <c r="Z552" s="6"/>
      <c r="AA552" s="6"/>
      <c r="AB552" s="6"/>
    </row>
    <row r="553" spans="1:28" ht="12.75" x14ac:dyDescent="0.2">
      <c r="A553" s="13" t="s">
        <v>2913</v>
      </c>
      <c r="B553" s="6" t="s">
        <v>2914</v>
      </c>
      <c r="C553" s="28"/>
      <c r="D553" s="28"/>
      <c r="E553" s="28"/>
      <c r="F553" s="6"/>
      <c r="G553" s="6"/>
      <c r="H553" s="6"/>
      <c r="I553" s="6"/>
      <c r="J553" s="6"/>
      <c r="K553" s="6"/>
      <c r="L553" s="6"/>
      <c r="M553" s="6"/>
      <c r="N553" s="6"/>
      <c r="O553" s="6"/>
      <c r="P553" s="6"/>
      <c r="Q553" s="6"/>
      <c r="R553" s="6"/>
      <c r="S553" s="6"/>
      <c r="T553" s="6"/>
      <c r="U553" s="6"/>
      <c r="V553" s="6"/>
      <c r="W553" s="6"/>
      <c r="X553" s="6"/>
      <c r="Y553" s="6"/>
      <c r="Z553" s="6"/>
      <c r="AA553" s="6"/>
      <c r="AB553" s="6"/>
    </row>
    <row r="554" spans="1:28" ht="12.75" x14ac:dyDescent="0.2">
      <c r="A554" s="13" t="s">
        <v>861</v>
      </c>
      <c r="B554" s="6" t="s">
        <v>2916</v>
      </c>
      <c r="C554" s="28"/>
      <c r="D554" s="28"/>
      <c r="E554" s="28"/>
      <c r="F554" s="6"/>
      <c r="G554" s="6"/>
      <c r="H554" s="6"/>
      <c r="I554" s="6"/>
      <c r="J554" s="6"/>
      <c r="K554" s="6"/>
      <c r="L554" s="6"/>
      <c r="M554" s="6"/>
      <c r="N554" s="6"/>
      <c r="O554" s="6"/>
      <c r="P554" s="6"/>
      <c r="Q554" s="6"/>
      <c r="R554" s="6"/>
      <c r="S554" s="6"/>
      <c r="T554" s="6"/>
      <c r="U554" s="6"/>
      <c r="V554" s="6"/>
      <c r="W554" s="6"/>
      <c r="X554" s="6"/>
      <c r="Y554" s="6"/>
      <c r="Z554" s="6"/>
      <c r="AA554" s="6"/>
      <c r="AB554" s="6"/>
    </row>
    <row r="555" spans="1:28" ht="12.75" x14ac:dyDescent="0.2">
      <c r="A555" s="13" t="s">
        <v>2922</v>
      </c>
      <c r="B555" s="6" t="s">
        <v>2923</v>
      </c>
      <c r="C555" s="28"/>
      <c r="D555" s="28"/>
      <c r="E555" s="28"/>
      <c r="F555" s="6"/>
      <c r="G555" s="6"/>
      <c r="H555" s="6"/>
      <c r="I555" s="6"/>
      <c r="J555" s="6"/>
      <c r="K555" s="6"/>
      <c r="L555" s="6"/>
      <c r="M555" s="6"/>
      <c r="N555" s="6"/>
      <c r="O555" s="6"/>
      <c r="P555" s="6"/>
      <c r="Q555" s="6"/>
      <c r="R555" s="6"/>
      <c r="S555" s="6"/>
      <c r="T555" s="6"/>
      <c r="U555" s="6"/>
      <c r="V555" s="6"/>
      <c r="W555" s="6"/>
      <c r="X555" s="6"/>
      <c r="Y555" s="6"/>
      <c r="Z555" s="6"/>
      <c r="AA555" s="6"/>
      <c r="AB555" s="6"/>
    </row>
    <row r="556" spans="1:28" ht="12.75" x14ac:dyDescent="0.2">
      <c r="A556" s="13" t="s">
        <v>1804</v>
      </c>
      <c r="B556" s="6" t="s">
        <v>2925</v>
      </c>
      <c r="C556" s="28"/>
      <c r="D556" s="28"/>
      <c r="E556" s="28"/>
      <c r="F556" s="6"/>
      <c r="G556" s="6"/>
      <c r="H556" s="6"/>
      <c r="I556" s="6"/>
      <c r="J556" s="6"/>
      <c r="K556" s="6"/>
      <c r="L556" s="6"/>
      <c r="M556" s="6"/>
      <c r="N556" s="6"/>
      <c r="O556" s="6"/>
      <c r="P556" s="6"/>
      <c r="Q556" s="6"/>
      <c r="R556" s="6"/>
      <c r="S556" s="6"/>
      <c r="T556" s="6"/>
      <c r="U556" s="6"/>
      <c r="V556" s="6"/>
      <c r="W556" s="6"/>
      <c r="X556" s="6"/>
      <c r="Y556" s="6"/>
      <c r="Z556" s="6"/>
      <c r="AA556" s="6"/>
      <c r="AB556" s="6"/>
    </row>
    <row r="557" spans="1:28" ht="12.75" x14ac:dyDescent="0.2">
      <c r="A557" s="13" t="s">
        <v>2930</v>
      </c>
      <c r="B557" s="6" t="s">
        <v>2931</v>
      </c>
      <c r="C557" s="28"/>
      <c r="D557" s="28"/>
      <c r="E557" s="28"/>
      <c r="F557" s="6"/>
      <c r="G557" s="6"/>
      <c r="H557" s="6"/>
      <c r="I557" s="6"/>
      <c r="J557" s="6"/>
      <c r="K557" s="6"/>
      <c r="L557" s="6"/>
      <c r="M557" s="6"/>
      <c r="N557" s="6"/>
      <c r="O557" s="6"/>
      <c r="P557" s="6"/>
      <c r="Q557" s="6"/>
      <c r="R557" s="6"/>
      <c r="S557" s="6"/>
      <c r="T557" s="6"/>
      <c r="U557" s="6"/>
      <c r="V557" s="6"/>
      <c r="W557" s="6"/>
      <c r="X557" s="6"/>
      <c r="Y557" s="6"/>
      <c r="Z557" s="6"/>
      <c r="AA557" s="6"/>
      <c r="AB557" s="6"/>
    </row>
    <row r="558" spans="1:28" ht="12.75" x14ac:dyDescent="0.2">
      <c r="A558" s="13" t="s">
        <v>2890</v>
      </c>
      <c r="B558" s="6" t="s">
        <v>2932</v>
      </c>
      <c r="C558" s="28"/>
      <c r="D558" s="28"/>
      <c r="E558" s="28"/>
      <c r="F558" s="6"/>
      <c r="G558" s="6"/>
      <c r="H558" s="6"/>
      <c r="I558" s="6"/>
      <c r="J558" s="6"/>
      <c r="K558" s="6"/>
      <c r="L558" s="6"/>
      <c r="M558" s="6"/>
      <c r="N558" s="6"/>
      <c r="O558" s="6"/>
      <c r="P558" s="6"/>
      <c r="Q558" s="6"/>
      <c r="R558" s="6"/>
      <c r="S558" s="6"/>
      <c r="T558" s="6"/>
      <c r="U558" s="6"/>
      <c r="V558" s="6"/>
      <c r="W558" s="6"/>
      <c r="X558" s="6"/>
      <c r="Y558" s="6"/>
      <c r="Z558" s="6"/>
      <c r="AA558" s="6"/>
      <c r="AB558" s="6"/>
    </row>
    <row r="559" spans="1:28" ht="12.75" x14ac:dyDescent="0.2">
      <c r="A559" s="13" t="s">
        <v>2937</v>
      </c>
      <c r="B559" s="6" t="s">
        <v>2938</v>
      </c>
      <c r="C559" s="28"/>
      <c r="D559" s="28"/>
      <c r="E559" s="28"/>
      <c r="F559" s="6"/>
      <c r="G559" s="6"/>
      <c r="H559" s="6"/>
      <c r="I559" s="6"/>
      <c r="J559" s="6"/>
      <c r="K559" s="6"/>
      <c r="L559" s="6"/>
      <c r="M559" s="6"/>
      <c r="N559" s="6"/>
      <c r="O559" s="6"/>
      <c r="P559" s="6"/>
      <c r="Q559" s="6"/>
      <c r="R559" s="6"/>
      <c r="S559" s="6"/>
      <c r="T559" s="6"/>
      <c r="U559" s="6"/>
      <c r="V559" s="6"/>
      <c r="W559" s="6"/>
      <c r="X559" s="6"/>
      <c r="Y559" s="6"/>
      <c r="Z559" s="6"/>
      <c r="AA559" s="6"/>
      <c r="AB559" s="6"/>
    </row>
    <row r="560" spans="1:28" ht="25.5" x14ac:dyDescent="0.2">
      <c r="A560" s="13" t="s">
        <v>2942</v>
      </c>
      <c r="B560" s="6" t="s">
        <v>2943</v>
      </c>
      <c r="C560" s="28"/>
      <c r="D560" s="28"/>
      <c r="E560" s="28"/>
      <c r="F560" s="6"/>
      <c r="G560" s="6"/>
      <c r="H560" s="6"/>
      <c r="I560" s="6"/>
      <c r="J560" s="6"/>
      <c r="K560" s="6"/>
      <c r="L560" s="6"/>
      <c r="M560" s="6"/>
      <c r="N560" s="6"/>
      <c r="O560" s="6"/>
      <c r="P560" s="6"/>
      <c r="Q560" s="6"/>
      <c r="R560" s="6"/>
      <c r="S560" s="6"/>
      <c r="T560" s="6"/>
      <c r="U560" s="6"/>
      <c r="V560" s="6"/>
      <c r="W560" s="6"/>
      <c r="X560" s="6"/>
      <c r="Y560" s="6"/>
      <c r="Z560" s="6"/>
      <c r="AA560" s="6"/>
      <c r="AB560" s="6"/>
    </row>
    <row r="561" spans="1:28" ht="25.5" x14ac:dyDescent="0.2">
      <c r="A561" s="13" t="s">
        <v>2944</v>
      </c>
      <c r="B561" s="6" t="s">
        <v>2945</v>
      </c>
      <c r="C561" s="28"/>
      <c r="D561" s="28"/>
      <c r="E561" s="28"/>
      <c r="F561" s="6"/>
      <c r="G561" s="6"/>
      <c r="H561" s="6"/>
      <c r="I561" s="6"/>
      <c r="J561" s="6"/>
      <c r="K561" s="6"/>
      <c r="L561" s="6"/>
      <c r="M561" s="6"/>
      <c r="N561" s="6"/>
      <c r="O561" s="6"/>
      <c r="P561" s="6"/>
      <c r="Q561" s="6"/>
      <c r="R561" s="6"/>
      <c r="S561" s="6"/>
      <c r="T561" s="6"/>
      <c r="U561" s="6"/>
      <c r="V561" s="6"/>
      <c r="W561" s="6"/>
      <c r="X561" s="6"/>
      <c r="Y561" s="6"/>
      <c r="Z561" s="6"/>
      <c r="AA561" s="6"/>
      <c r="AB561" s="6"/>
    </row>
    <row r="562" spans="1:28" ht="12.75" x14ac:dyDescent="0.2">
      <c r="A562" s="13" t="s">
        <v>99</v>
      </c>
      <c r="B562" s="6" t="s">
        <v>141</v>
      </c>
      <c r="C562" s="28"/>
      <c r="D562" s="28"/>
      <c r="E562" s="28"/>
      <c r="F562" s="6"/>
      <c r="G562" s="6"/>
      <c r="H562" s="6"/>
      <c r="I562" s="6"/>
      <c r="J562" s="6"/>
      <c r="K562" s="6"/>
      <c r="L562" s="6"/>
      <c r="M562" s="6"/>
      <c r="N562" s="6"/>
      <c r="O562" s="6"/>
      <c r="P562" s="6"/>
      <c r="Q562" s="6"/>
      <c r="R562" s="6"/>
      <c r="S562" s="6"/>
      <c r="T562" s="6"/>
      <c r="U562" s="6"/>
      <c r="V562" s="6"/>
      <c r="W562" s="6"/>
      <c r="X562" s="6"/>
      <c r="Y562" s="6"/>
      <c r="Z562" s="6"/>
      <c r="AA562" s="6"/>
      <c r="AB562" s="6"/>
    </row>
    <row r="563" spans="1:28" ht="12.75" x14ac:dyDescent="0.2">
      <c r="A563" s="13" t="s">
        <v>2956</v>
      </c>
      <c r="B563" s="6" t="s">
        <v>2957</v>
      </c>
      <c r="C563" s="28"/>
      <c r="D563" s="28"/>
      <c r="E563" s="28"/>
      <c r="F563" s="6"/>
      <c r="G563" s="6"/>
      <c r="H563" s="6"/>
      <c r="I563" s="6"/>
      <c r="J563" s="6"/>
      <c r="K563" s="6"/>
      <c r="L563" s="6"/>
      <c r="M563" s="6"/>
      <c r="N563" s="6"/>
      <c r="O563" s="6"/>
      <c r="P563" s="6"/>
      <c r="Q563" s="6"/>
      <c r="R563" s="6"/>
      <c r="S563" s="6"/>
      <c r="T563" s="6"/>
      <c r="U563" s="6"/>
      <c r="V563" s="6"/>
      <c r="W563" s="6"/>
      <c r="X563" s="6"/>
      <c r="Y563" s="6"/>
      <c r="Z563" s="6"/>
      <c r="AA563" s="6"/>
      <c r="AB563" s="6"/>
    </row>
    <row r="564" spans="1:28" ht="12.75" x14ac:dyDescent="0.2">
      <c r="A564" s="13" t="s">
        <v>209</v>
      </c>
      <c r="B564" s="6" t="s">
        <v>207</v>
      </c>
      <c r="C564" s="28"/>
      <c r="D564" s="28"/>
      <c r="E564" s="28"/>
      <c r="F564" s="6"/>
      <c r="G564" s="6"/>
      <c r="H564" s="6"/>
      <c r="I564" s="6"/>
      <c r="J564" s="6"/>
      <c r="K564" s="6"/>
      <c r="L564" s="6"/>
      <c r="M564" s="6"/>
      <c r="N564" s="6"/>
      <c r="O564" s="6"/>
      <c r="P564" s="6"/>
      <c r="Q564" s="6"/>
      <c r="R564" s="6"/>
      <c r="S564" s="6"/>
      <c r="T564" s="6"/>
      <c r="U564" s="6"/>
      <c r="V564" s="6"/>
      <c r="W564" s="6"/>
      <c r="X564" s="6"/>
      <c r="Y564" s="6"/>
      <c r="Z564" s="6"/>
      <c r="AA564" s="6"/>
      <c r="AB564" s="6"/>
    </row>
    <row r="565" spans="1:28" ht="12.75" x14ac:dyDescent="0.2">
      <c r="A565" s="13" t="s">
        <v>2960</v>
      </c>
      <c r="B565" s="6" t="s">
        <v>2961</v>
      </c>
      <c r="C565" s="28"/>
      <c r="D565" s="28"/>
      <c r="E565" s="28"/>
      <c r="F565" s="6"/>
      <c r="G565" s="6"/>
      <c r="H565" s="6"/>
      <c r="I565" s="6"/>
      <c r="J565" s="6"/>
      <c r="K565" s="6"/>
      <c r="L565" s="6"/>
      <c r="M565" s="6"/>
      <c r="N565" s="6"/>
      <c r="O565" s="6"/>
      <c r="P565" s="6"/>
      <c r="Q565" s="6"/>
      <c r="R565" s="6"/>
      <c r="S565" s="6"/>
      <c r="T565" s="6"/>
      <c r="U565" s="6"/>
      <c r="V565" s="6"/>
      <c r="W565" s="6"/>
      <c r="X565" s="6"/>
      <c r="Y565" s="6"/>
      <c r="Z565" s="6"/>
      <c r="AA565" s="6"/>
      <c r="AB565" s="6"/>
    </row>
    <row r="566" spans="1:28" ht="12.75" x14ac:dyDescent="0.2">
      <c r="A566" s="13" t="s">
        <v>2964</v>
      </c>
      <c r="B566" s="6" t="s">
        <v>2965</v>
      </c>
      <c r="C566" s="28"/>
      <c r="D566" s="28"/>
      <c r="E566" s="28"/>
      <c r="F566" s="6"/>
      <c r="G566" s="6"/>
      <c r="H566" s="6"/>
      <c r="I566" s="6"/>
      <c r="J566" s="6"/>
      <c r="K566" s="6"/>
      <c r="L566" s="6"/>
      <c r="M566" s="6"/>
      <c r="N566" s="6"/>
      <c r="O566" s="6"/>
      <c r="P566" s="6"/>
      <c r="Q566" s="6"/>
      <c r="R566" s="6"/>
      <c r="S566" s="6"/>
      <c r="T566" s="6"/>
      <c r="U566" s="6"/>
      <c r="V566" s="6"/>
      <c r="W566" s="6"/>
      <c r="X566" s="6"/>
      <c r="Y566" s="6"/>
      <c r="Z566" s="6"/>
      <c r="AA566" s="6"/>
      <c r="AB566" s="6"/>
    </row>
    <row r="567" spans="1:28" ht="12.75" x14ac:dyDescent="0.2">
      <c r="A567" s="13" t="s">
        <v>2969</v>
      </c>
      <c r="B567" s="6" t="s">
        <v>2970</v>
      </c>
      <c r="C567" s="28"/>
      <c r="D567" s="28"/>
      <c r="E567" s="28"/>
      <c r="F567" s="6"/>
      <c r="G567" s="6"/>
      <c r="H567" s="6"/>
      <c r="I567" s="6"/>
      <c r="J567" s="6"/>
      <c r="K567" s="6"/>
      <c r="L567" s="6"/>
      <c r="M567" s="6"/>
      <c r="N567" s="6"/>
      <c r="O567" s="6"/>
      <c r="P567" s="6"/>
      <c r="Q567" s="6"/>
      <c r="R567" s="6"/>
      <c r="S567" s="6"/>
      <c r="T567" s="6"/>
      <c r="U567" s="6"/>
      <c r="V567" s="6"/>
      <c r="W567" s="6"/>
      <c r="X567" s="6"/>
      <c r="Y567" s="6"/>
      <c r="Z567" s="6"/>
      <c r="AA567" s="6"/>
      <c r="AB567" s="6"/>
    </row>
    <row r="568" spans="1:28" ht="12.75" x14ac:dyDescent="0.2">
      <c r="A568" s="13" t="s">
        <v>93</v>
      </c>
      <c r="B568" s="6" t="s">
        <v>92</v>
      </c>
      <c r="C568" s="28"/>
      <c r="D568" s="28"/>
      <c r="E568" s="28"/>
      <c r="F568" s="6"/>
      <c r="G568" s="6"/>
      <c r="H568" s="6"/>
      <c r="I568" s="6"/>
      <c r="J568" s="6"/>
      <c r="K568" s="6"/>
      <c r="L568" s="6"/>
      <c r="M568" s="6"/>
      <c r="N568" s="6"/>
      <c r="O568" s="6"/>
      <c r="P568" s="6"/>
      <c r="Q568" s="6"/>
      <c r="R568" s="6"/>
      <c r="S568" s="6"/>
      <c r="T568" s="6"/>
      <c r="U568" s="6"/>
      <c r="V568" s="6"/>
      <c r="W568" s="6"/>
      <c r="X568" s="6"/>
      <c r="Y568" s="6"/>
      <c r="Z568" s="6"/>
      <c r="AA568" s="6"/>
      <c r="AB568" s="6"/>
    </row>
    <row r="569" spans="1:28" ht="12.75" x14ac:dyDescent="0.2">
      <c r="A569" s="13" t="s">
        <v>2976</v>
      </c>
      <c r="B569" s="6" t="s">
        <v>2977</v>
      </c>
      <c r="C569" s="28"/>
      <c r="D569" s="28"/>
      <c r="E569" s="28"/>
      <c r="F569" s="6"/>
      <c r="G569" s="6"/>
      <c r="H569" s="6"/>
      <c r="I569" s="6"/>
      <c r="J569" s="6"/>
      <c r="K569" s="6"/>
      <c r="L569" s="6"/>
      <c r="M569" s="6"/>
      <c r="N569" s="6"/>
      <c r="O569" s="6"/>
      <c r="P569" s="6"/>
      <c r="Q569" s="6"/>
      <c r="R569" s="6"/>
      <c r="S569" s="6"/>
      <c r="T569" s="6"/>
      <c r="U569" s="6"/>
      <c r="V569" s="6"/>
      <c r="W569" s="6"/>
      <c r="X569" s="6"/>
      <c r="Y569" s="6"/>
      <c r="Z569" s="6"/>
      <c r="AA569" s="6"/>
      <c r="AB569" s="6"/>
    </row>
    <row r="570" spans="1:28" ht="12.75" x14ac:dyDescent="0.2">
      <c r="A570" s="13" t="s">
        <v>2981</v>
      </c>
      <c r="B570" s="6" t="s">
        <v>2982</v>
      </c>
      <c r="C570" s="28"/>
      <c r="D570" s="28"/>
      <c r="E570" s="28"/>
      <c r="F570" s="6"/>
      <c r="G570" s="6"/>
      <c r="H570" s="6"/>
      <c r="I570" s="6"/>
      <c r="J570" s="6"/>
      <c r="K570" s="6"/>
      <c r="L570" s="6"/>
      <c r="M570" s="6"/>
      <c r="N570" s="6"/>
      <c r="O570" s="6"/>
      <c r="P570" s="6"/>
      <c r="Q570" s="6"/>
      <c r="R570" s="6"/>
      <c r="S570" s="6"/>
      <c r="T570" s="6"/>
      <c r="U570" s="6"/>
      <c r="V570" s="6"/>
      <c r="W570" s="6"/>
      <c r="X570" s="6"/>
      <c r="Y570" s="6"/>
      <c r="Z570" s="6"/>
      <c r="AA570" s="6"/>
      <c r="AB570" s="6"/>
    </row>
    <row r="571" spans="1:28" ht="12.75" x14ac:dyDescent="0.2">
      <c r="A571" s="13" t="s">
        <v>427</v>
      </c>
      <c r="B571" s="6" t="s">
        <v>426</v>
      </c>
      <c r="C571" s="28"/>
      <c r="D571" s="28"/>
      <c r="E571" s="28"/>
      <c r="F571" s="6"/>
      <c r="G571" s="6"/>
      <c r="H571" s="6"/>
      <c r="I571" s="6"/>
      <c r="J571" s="6"/>
      <c r="K571" s="6"/>
      <c r="L571" s="6"/>
      <c r="M571" s="6"/>
      <c r="N571" s="6"/>
      <c r="O571" s="6"/>
      <c r="P571" s="6"/>
      <c r="Q571" s="6"/>
      <c r="R571" s="6"/>
      <c r="S571" s="6"/>
      <c r="T571" s="6"/>
      <c r="U571" s="6"/>
      <c r="V571" s="6"/>
      <c r="W571" s="6"/>
      <c r="X571" s="6"/>
      <c r="Y571" s="6"/>
      <c r="Z571" s="6"/>
      <c r="AA571" s="6"/>
      <c r="AB571" s="6"/>
    </row>
    <row r="572" spans="1:28" ht="12.75" x14ac:dyDescent="0.2">
      <c r="A572" s="13" t="s">
        <v>2987</v>
      </c>
      <c r="B572" s="6" t="s">
        <v>2988</v>
      </c>
      <c r="C572" s="28"/>
      <c r="D572" s="28"/>
      <c r="E572" s="28"/>
      <c r="F572" s="6"/>
      <c r="G572" s="6"/>
      <c r="H572" s="6"/>
      <c r="I572" s="6"/>
      <c r="J572" s="6"/>
      <c r="K572" s="6"/>
      <c r="L572" s="6"/>
      <c r="M572" s="6"/>
      <c r="N572" s="6"/>
      <c r="O572" s="6"/>
      <c r="P572" s="6"/>
      <c r="Q572" s="6"/>
      <c r="R572" s="6"/>
      <c r="S572" s="6"/>
      <c r="T572" s="6"/>
      <c r="U572" s="6"/>
      <c r="V572" s="6"/>
      <c r="W572" s="6"/>
      <c r="X572" s="6"/>
      <c r="Y572" s="6"/>
      <c r="Z572" s="6"/>
      <c r="AA572" s="6"/>
      <c r="AB572" s="6"/>
    </row>
    <row r="573" spans="1:28" ht="12.75" x14ac:dyDescent="0.2">
      <c r="A573" s="13" t="s">
        <v>158</v>
      </c>
      <c r="B573" s="6" t="s">
        <v>156</v>
      </c>
      <c r="C573" s="28"/>
      <c r="D573" s="28"/>
      <c r="E573" s="28"/>
      <c r="F573" s="6"/>
      <c r="G573" s="6"/>
      <c r="H573" s="6"/>
      <c r="I573" s="6"/>
      <c r="J573" s="6"/>
      <c r="K573" s="6"/>
      <c r="L573" s="6"/>
      <c r="M573" s="6"/>
      <c r="N573" s="6"/>
      <c r="O573" s="6"/>
      <c r="P573" s="6"/>
      <c r="Q573" s="6"/>
      <c r="R573" s="6"/>
      <c r="S573" s="6"/>
      <c r="T573" s="6"/>
      <c r="U573" s="6"/>
      <c r="V573" s="6"/>
      <c r="W573" s="6"/>
      <c r="X573" s="6"/>
      <c r="Y573" s="6"/>
      <c r="Z573" s="6"/>
      <c r="AA573" s="6"/>
      <c r="AB573" s="6"/>
    </row>
    <row r="574" spans="1:28" ht="12.75" x14ac:dyDescent="0.2">
      <c r="A574" s="13" t="s">
        <v>2992</v>
      </c>
      <c r="B574" s="6" t="s">
        <v>2993</v>
      </c>
      <c r="C574" s="28"/>
      <c r="D574" s="28"/>
      <c r="E574" s="28"/>
      <c r="F574" s="6"/>
      <c r="G574" s="6"/>
      <c r="H574" s="6"/>
      <c r="I574" s="6"/>
      <c r="J574" s="6"/>
      <c r="K574" s="6"/>
      <c r="L574" s="6"/>
      <c r="M574" s="6"/>
      <c r="N574" s="6"/>
      <c r="O574" s="6"/>
      <c r="P574" s="6"/>
      <c r="Q574" s="6"/>
      <c r="R574" s="6"/>
      <c r="S574" s="6"/>
      <c r="T574" s="6"/>
      <c r="U574" s="6"/>
      <c r="V574" s="6"/>
      <c r="W574" s="6"/>
      <c r="X574" s="6"/>
      <c r="Y574" s="6"/>
      <c r="Z574" s="6"/>
      <c r="AA574" s="6"/>
      <c r="AB574" s="6"/>
    </row>
    <row r="575" spans="1:28" ht="12.75" x14ac:dyDescent="0.2">
      <c r="A575" s="13" t="s">
        <v>2936</v>
      </c>
      <c r="B575" s="6" t="s">
        <v>2997</v>
      </c>
      <c r="C575" s="28"/>
      <c r="D575" s="28"/>
      <c r="E575" s="28"/>
      <c r="F575" s="6"/>
      <c r="G575" s="6"/>
      <c r="H575" s="6"/>
      <c r="I575" s="6"/>
      <c r="J575" s="6"/>
      <c r="K575" s="6"/>
      <c r="L575" s="6"/>
      <c r="M575" s="6"/>
      <c r="N575" s="6"/>
      <c r="O575" s="6"/>
      <c r="P575" s="6"/>
      <c r="Q575" s="6"/>
      <c r="R575" s="6"/>
      <c r="S575" s="6"/>
      <c r="T575" s="6"/>
      <c r="U575" s="6"/>
      <c r="V575" s="6"/>
      <c r="W575" s="6"/>
      <c r="X575" s="6"/>
      <c r="Y575" s="6"/>
      <c r="Z575" s="6"/>
      <c r="AA575" s="6"/>
      <c r="AB575" s="6"/>
    </row>
    <row r="576" spans="1:28" ht="12.75" x14ac:dyDescent="0.2">
      <c r="A576" s="13" t="s">
        <v>3000</v>
      </c>
      <c r="B576" s="6" t="s">
        <v>3001</v>
      </c>
      <c r="C576" s="28"/>
      <c r="D576" s="28"/>
      <c r="E576" s="28"/>
      <c r="F576" s="6"/>
      <c r="G576" s="6"/>
      <c r="H576" s="6"/>
      <c r="I576" s="6"/>
      <c r="J576" s="6"/>
      <c r="K576" s="6"/>
      <c r="L576" s="6"/>
      <c r="M576" s="6"/>
      <c r="N576" s="6"/>
      <c r="O576" s="6"/>
      <c r="P576" s="6"/>
      <c r="Q576" s="6"/>
      <c r="R576" s="6"/>
      <c r="S576" s="6"/>
      <c r="T576" s="6"/>
      <c r="U576" s="6"/>
      <c r="V576" s="6"/>
      <c r="W576" s="6"/>
      <c r="X576" s="6"/>
      <c r="Y576" s="6"/>
      <c r="Z576" s="6"/>
      <c r="AA576" s="6"/>
      <c r="AB576" s="6"/>
    </row>
    <row r="577" spans="1:28" ht="12.75" x14ac:dyDescent="0.2">
      <c r="A577" s="13" t="s">
        <v>1121</v>
      </c>
      <c r="B577" s="6" t="s">
        <v>3003</v>
      </c>
      <c r="C577" s="28"/>
      <c r="D577" s="28"/>
      <c r="E577" s="28"/>
      <c r="F577" s="6"/>
      <c r="G577" s="6"/>
      <c r="H577" s="6"/>
      <c r="I577" s="6"/>
      <c r="J577" s="6"/>
      <c r="K577" s="6"/>
      <c r="L577" s="6"/>
      <c r="M577" s="6"/>
      <c r="N577" s="6"/>
      <c r="O577" s="6"/>
      <c r="P577" s="6"/>
      <c r="Q577" s="6"/>
      <c r="R577" s="6"/>
      <c r="S577" s="6"/>
      <c r="T577" s="6"/>
      <c r="U577" s="6"/>
      <c r="V577" s="6"/>
      <c r="W577" s="6"/>
      <c r="X577" s="6"/>
      <c r="Y577" s="6"/>
      <c r="Z577" s="6"/>
      <c r="AA577" s="6"/>
      <c r="AB577" s="6"/>
    </row>
    <row r="578" spans="1:28" ht="12.75" x14ac:dyDescent="0.2">
      <c r="A578" s="13" t="s">
        <v>3009</v>
      </c>
      <c r="B578" s="6" t="s">
        <v>3010</v>
      </c>
      <c r="C578" s="28"/>
      <c r="D578" s="28"/>
      <c r="E578" s="28"/>
      <c r="F578" s="6"/>
      <c r="G578" s="6"/>
      <c r="H578" s="6"/>
      <c r="I578" s="6"/>
      <c r="J578" s="6"/>
      <c r="K578" s="6"/>
      <c r="L578" s="6"/>
      <c r="M578" s="6"/>
      <c r="N578" s="6"/>
      <c r="O578" s="6"/>
      <c r="P578" s="6"/>
      <c r="Q578" s="6"/>
      <c r="R578" s="6"/>
      <c r="S578" s="6"/>
      <c r="T578" s="6"/>
      <c r="U578" s="6"/>
      <c r="V578" s="6"/>
      <c r="W578" s="6"/>
      <c r="X578" s="6"/>
      <c r="Y578" s="6"/>
      <c r="Z578" s="6"/>
      <c r="AA578" s="6"/>
      <c r="AB578" s="6"/>
    </row>
    <row r="579" spans="1:28" ht="12.75" x14ac:dyDescent="0.2">
      <c r="A579" s="13" t="s">
        <v>3012</v>
      </c>
      <c r="B579" s="6" t="s">
        <v>3014</v>
      </c>
      <c r="C579" s="28"/>
      <c r="D579" s="28"/>
      <c r="E579" s="28"/>
      <c r="F579" s="6"/>
      <c r="G579" s="6"/>
      <c r="H579" s="6"/>
      <c r="I579" s="6"/>
      <c r="J579" s="6"/>
      <c r="K579" s="6"/>
      <c r="L579" s="6"/>
      <c r="M579" s="6"/>
      <c r="N579" s="6"/>
      <c r="O579" s="6"/>
      <c r="P579" s="6"/>
      <c r="Q579" s="6"/>
      <c r="R579" s="6"/>
      <c r="S579" s="6"/>
      <c r="T579" s="6"/>
      <c r="U579" s="6"/>
      <c r="V579" s="6"/>
      <c r="W579" s="6"/>
      <c r="X579" s="6"/>
      <c r="Y579" s="6"/>
      <c r="Z579" s="6"/>
      <c r="AA579" s="6"/>
      <c r="AB579" s="6"/>
    </row>
    <row r="580" spans="1:28" ht="12.75" x14ac:dyDescent="0.2">
      <c r="A580" s="13" t="s">
        <v>3015</v>
      </c>
      <c r="B580" s="6" t="s">
        <v>3016</v>
      </c>
      <c r="C580" s="28"/>
      <c r="D580" s="28"/>
      <c r="E580" s="28"/>
      <c r="F580" s="6"/>
      <c r="G580" s="6"/>
      <c r="H580" s="6"/>
      <c r="I580" s="6"/>
      <c r="J580" s="6"/>
      <c r="K580" s="6"/>
      <c r="L580" s="6"/>
      <c r="M580" s="6"/>
      <c r="N580" s="6"/>
      <c r="O580" s="6"/>
      <c r="P580" s="6"/>
      <c r="Q580" s="6"/>
      <c r="R580" s="6"/>
      <c r="S580" s="6"/>
      <c r="T580" s="6"/>
      <c r="U580" s="6"/>
      <c r="V580" s="6"/>
      <c r="W580" s="6"/>
      <c r="X580" s="6"/>
      <c r="Y580" s="6"/>
      <c r="Z580" s="6"/>
      <c r="AA580" s="6"/>
      <c r="AB580" s="6"/>
    </row>
    <row r="581" spans="1:28" ht="25.5" x14ac:dyDescent="0.2">
      <c r="A581" s="13" t="s">
        <v>3023</v>
      </c>
      <c r="B581" s="6" t="s">
        <v>3024</v>
      </c>
      <c r="C581" s="28"/>
      <c r="D581" s="28"/>
      <c r="E581" s="28"/>
      <c r="F581" s="6"/>
      <c r="G581" s="6"/>
      <c r="H581" s="6"/>
      <c r="I581" s="6"/>
      <c r="J581" s="6"/>
      <c r="K581" s="6"/>
      <c r="L581" s="6"/>
      <c r="M581" s="6"/>
      <c r="N581" s="6"/>
      <c r="O581" s="6"/>
      <c r="P581" s="6"/>
      <c r="Q581" s="6"/>
      <c r="R581" s="6"/>
      <c r="S581" s="6"/>
      <c r="T581" s="6"/>
      <c r="U581" s="6"/>
      <c r="V581" s="6"/>
      <c r="W581" s="6"/>
      <c r="X581" s="6"/>
      <c r="Y581" s="6"/>
      <c r="Z581" s="6"/>
      <c r="AA581" s="6"/>
      <c r="AB581" s="6"/>
    </row>
    <row r="582" spans="1:28" ht="12.75" x14ac:dyDescent="0.2">
      <c r="A582" s="13" t="s">
        <v>255</v>
      </c>
      <c r="B582" s="6" t="s">
        <v>254</v>
      </c>
      <c r="C582" s="28"/>
      <c r="D582" s="28"/>
      <c r="E582" s="28"/>
      <c r="F582" s="6"/>
      <c r="G582" s="6"/>
      <c r="H582" s="6"/>
      <c r="I582" s="6"/>
      <c r="J582" s="6"/>
      <c r="K582" s="6"/>
      <c r="L582" s="6"/>
      <c r="M582" s="6"/>
      <c r="N582" s="6"/>
      <c r="O582" s="6"/>
      <c r="P582" s="6"/>
      <c r="Q582" s="6"/>
      <c r="R582" s="6"/>
      <c r="S582" s="6"/>
      <c r="T582" s="6"/>
      <c r="U582" s="6"/>
      <c r="V582" s="6"/>
      <c r="W582" s="6"/>
      <c r="X582" s="6"/>
      <c r="Y582" s="6"/>
      <c r="Z582" s="6"/>
      <c r="AA582" s="6"/>
      <c r="AB582" s="6"/>
    </row>
    <row r="583" spans="1:28" ht="12.75" x14ac:dyDescent="0.2">
      <c r="A583" s="13" t="s">
        <v>440</v>
      </c>
      <c r="B583" s="6" t="s">
        <v>3030</v>
      </c>
      <c r="C583" s="28"/>
      <c r="D583" s="28"/>
      <c r="E583" s="28"/>
      <c r="F583" s="6"/>
      <c r="G583" s="6"/>
      <c r="H583" s="6"/>
      <c r="I583" s="6"/>
      <c r="J583" s="6"/>
      <c r="K583" s="6"/>
      <c r="L583" s="6"/>
      <c r="M583" s="6"/>
      <c r="N583" s="6"/>
      <c r="O583" s="6"/>
      <c r="P583" s="6"/>
      <c r="Q583" s="6"/>
      <c r="R583" s="6"/>
      <c r="S583" s="6"/>
      <c r="T583" s="6"/>
      <c r="U583" s="6"/>
      <c r="V583" s="6"/>
      <c r="W583" s="6"/>
      <c r="X583" s="6"/>
      <c r="Y583" s="6"/>
      <c r="Z583" s="6"/>
      <c r="AA583" s="6"/>
      <c r="AB583" s="6"/>
    </row>
    <row r="584" spans="1:28" ht="12.75" x14ac:dyDescent="0.2">
      <c r="A584" s="13" t="s">
        <v>3031</v>
      </c>
      <c r="B584" s="6" t="s">
        <v>3032</v>
      </c>
      <c r="C584" s="28"/>
      <c r="D584" s="28"/>
      <c r="E584" s="28"/>
      <c r="F584" s="6"/>
      <c r="G584" s="6"/>
      <c r="H584" s="6"/>
      <c r="I584" s="6"/>
      <c r="J584" s="6"/>
      <c r="K584" s="6"/>
      <c r="L584" s="6"/>
      <c r="M584" s="6"/>
      <c r="N584" s="6"/>
      <c r="O584" s="6"/>
      <c r="P584" s="6"/>
      <c r="Q584" s="6"/>
      <c r="R584" s="6"/>
      <c r="S584" s="6"/>
      <c r="T584" s="6"/>
      <c r="U584" s="6"/>
      <c r="V584" s="6"/>
      <c r="W584" s="6"/>
      <c r="X584" s="6"/>
      <c r="Y584" s="6"/>
      <c r="Z584" s="6"/>
      <c r="AA584" s="6"/>
      <c r="AB584" s="6"/>
    </row>
    <row r="585" spans="1:28" ht="12.75" x14ac:dyDescent="0.2">
      <c r="A585" s="13" t="s">
        <v>3037</v>
      </c>
      <c r="B585" s="6" t="s">
        <v>3038</v>
      </c>
      <c r="C585" s="28"/>
      <c r="D585" s="28"/>
      <c r="E585" s="28"/>
      <c r="F585" s="6"/>
      <c r="G585" s="6"/>
      <c r="H585" s="6"/>
      <c r="I585" s="6"/>
      <c r="J585" s="6"/>
      <c r="K585" s="6"/>
      <c r="L585" s="6"/>
      <c r="M585" s="6"/>
      <c r="N585" s="6"/>
      <c r="O585" s="6"/>
      <c r="P585" s="6"/>
      <c r="Q585" s="6"/>
      <c r="R585" s="6"/>
      <c r="S585" s="6"/>
      <c r="T585" s="6"/>
      <c r="U585" s="6"/>
      <c r="V585" s="6"/>
      <c r="W585" s="6"/>
      <c r="X585" s="6"/>
      <c r="Y585" s="6"/>
      <c r="Z585" s="6"/>
      <c r="AA585" s="6"/>
      <c r="AB585" s="6"/>
    </row>
    <row r="586" spans="1:28" ht="12.75" x14ac:dyDescent="0.2">
      <c r="A586" s="13" t="s">
        <v>186</v>
      </c>
      <c r="B586" s="6" t="s">
        <v>184</v>
      </c>
      <c r="C586" s="28"/>
      <c r="D586" s="28"/>
      <c r="E586" s="28"/>
      <c r="F586" s="6"/>
      <c r="G586" s="6"/>
      <c r="H586" s="6"/>
      <c r="I586" s="6"/>
      <c r="J586" s="6"/>
      <c r="K586" s="6"/>
      <c r="L586" s="6"/>
      <c r="M586" s="6"/>
      <c r="N586" s="6"/>
      <c r="O586" s="6"/>
      <c r="P586" s="6"/>
      <c r="Q586" s="6"/>
      <c r="R586" s="6"/>
      <c r="S586" s="6"/>
      <c r="T586" s="6"/>
      <c r="U586" s="6"/>
      <c r="V586" s="6"/>
      <c r="W586" s="6"/>
      <c r="X586" s="6"/>
      <c r="Y586" s="6"/>
      <c r="Z586" s="6"/>
      <c r="AA586" s="6"/>
      <c r="AB586" s="6"/>
    </row>
    <row r="587" spans="1:28" ht="12.75" x14ac:dyDescent="0.2">
      <c r="A587" s="13" t="s">
        <v>3045</v>
      </c>
      <c r="B587" s="6" t="s">
        <v>3046</v>
      </c>
      <c r="C587" s="28"/>
      <c r="D587" s="28"/>
      <c r="E587" s="28"/>
      <c r="F587" s="6"/>
      <c r="G587" s="6"/>
      <c r="H587" s="6"/>
      <c r="I587" s="6"/>
      <c r="J587" s="6"/>
      <c r="K587" s="6"/>
      <c r="L587" s="6"/>
      <c r="M587" s="6"/>
      <c r="N587" s="6"/>
      <c r="O587" s="6"/>
      <c r="P587" s="6"/>
      <c r="Q587" s="6"/>
      <c r="R587" s="6"/>
      <c r="S587" s="6"/>
      <c r="T587" s="6"/>
      <c r="U587" s="6"/>
      <c r="V587" s="6"/>
      <c r="W587" s="6"/>
      <c r="X587" s="6"/>
      <c r="Y587" s="6"/>
      <c r="Z587" s="6"/>
      <c r="AA587" s="6"/>
      <c r="AB587" s="6"/>
    </row>
    <row r="588" spans="1:28" ht="12.75" x14ac:dyDescent="0.2">
      <c r="A588" s="13" t="s">
        <v>3047</v>
      </c>
      <c r="B588" s="6" t="s">
        <v>3048</v>
      </c>
      <c r="C588" s="28"/>
      <c r="D588" s="28"/>
      <c r="E588" s="28"/>
      <c r="F588" s="6"/>
      <c r="G588" s="6"/>
      <c r="H588" s="6"/>
      <c r="I588" s="6"/>
      <c r="J588" s="6"/>
      <c r="K588" s="6"/>
      <c r="L588" s="6"/>
      <c r="M588" s="6"/>
      <c r="N588" s="6"/>
      <c r="O588" s="6"/>
      <c r="P588" s="6"/>
      <c r="Q588" s="6"/>
      <c r="R588" s="6"/>
      <c r="S588" s="6"/>
      <c r="T588" s="6"/>
      <c r="U588" s="6"/>
      <c r="V588" s="6"/>
      <c r="W588" s="6"/>
      <c r="X588" s="6"/>
      <c r="Y588" s="6"/>
      <c r="Z588" s="6"/>
      <c r="AA588" s="6"/>
      <c r="AB588" s="6"/>
    </row>
    <row r="589" spans="1:28" ht="12.75" x14ac:dyDescent="0.2">
      <c r="A589" s="13" t="s">
        <v>445</v>
      </c>
      <c r="B589" s="6" t="s">
        <v>3054</v>
      </c>
      <c r="C589" s="28"/>
      <c r="D589" s="28"/>
      <c r="E589" s="28"/>
      <c r="F589" s="6"/>
      <c r="G589" s="6"/>
      <c r="H589" s="6"/>
      <c r="I589" s="6"/>
      <c r="J589" s="6"/>
      <c r="K589" s="6"/>
      <c r="L589" s="6"/>
      <c r="M589" s="6"/>
      <c r="N589" s="6"/>
      <c r="O589" s="6"/>
      <c r="P589" s="6"/>
      <c r="Q589" s="6"/>
      <c r="R589" s="6"/>
      <c r="S589" s="6"/>
      <c r="T589" s="6"/>
      <c r="U589" s="6"/>
      <c r="V589" s="6"/>
      <c r="W589" s="6"/>
      <c r="X589" s="6"/>
      <c r="Y589" s="6"/>
      <c r="Z589" s="6"/>
      <c r="AA589" s="6"/>
      <c r="AB589" s="6"/>
    </row>
    <row r="590" spans="1:28" ht="12.75" x14ac:dyDescent="0.2">
      <c r="A590" s="13" t="s">
        <v>3057</v>
      </c>
      <c r="B590" s="6" t="s">
        <v>3059</v>
      </c>
      <c r="C590" s="28"/>
      <c r="D590" s="28"/>
      <c r="E590" s="28"/>
      <c r="F590" s="6"/>
      <c r="G590" s="6"/>
      <c r="H590" s="6"/>
      <c r="I590" s="6"/>
      <c r="J590" s="6"/>
      <c r="K590" s="6"/>
      <c r="L590" s="6"/>
      <c r="M590" s="6"/>
      <c r="N590" s="6"/>
      <c r="O590" s="6"/>
      <c r="P590" s="6"/>
      <c r="Q590" s="6"/>
      <c r="R590" s="6"/>
      <c r="S590" s="6"/>
      <c r="T590" s="6"/>
      <c r="U590" s="6"/>
      <c r="V590" s="6"/>
      <c r="W590" s="6"/>
      <c r="X590" s="6"/>
      <c r="Y590" s="6"/>
      <c r="Z590" s="6"/>
      <c r="AA590" s="6"/>
      <c r="AB590" s="6"/>
    </row>
    <row r="591" spans="1:28" ht="12.75" x14ac:dyDescent="0.2">
      <c r="A591" s="13" t="s">
        <v>222</v>
      </c>
      <c r="B591" s="6" t="s">
        <v>221</v>
      </c>
      <c r="C591" s="28"/>
      <c r="D591" s="28"/>
      <c r="E591" s="28"/>
      <c r="F591" s="6"/>
      <c r="G591" s="6"/>
      <c r="H591" s="6"/>
      <c r="I591" s="6"/>
      <c r="J591" s="6"/>
      <c r="K591" s="6"/>
      <c r="L591" s="6"/>
      <c r="M591" s="6"/>
      <c r="N591" s="6"/>
      <c r="O591" s="6"/>
      <c r="P591" s="6"/>
      <c r="Q591" s="6"/>
      <c r="R591" s="6"/>
      <c r="S591" s="6"/>
      <c r="T591" s="6"/>
      <c r="U591" s="6"/>
      <c r="V591" s="6"/>
      <c r="W591" s="6"/>
      <c r="X591" s="6"/>
      <c r="Y591" s="6"/>
      <c r="Z591" s="6"/>
      <c r="AA591" s="6"/>
      <c r="AB591" s="6"/>
    </row>
    <row r="592" spans="1:28" ht="12.75" x14ac:dyDescent="0.2">
      <c r="A592" s="13" t="s">
        <v>758</v>
      </c>
      <c r="B592" s="6" t="s">
        <v>757</v>
      </c>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row>
    <row r="593" spans="1:28" ht="12.75" x14ac:dyDescent="0.2">
      <c r="A593" s="13" t="s">
        <v>3069</v>
      </c>
      <c r="B593" s="6" t="s">
        <v>3070</v>
      </c>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row>
    <row r="594" spans="1:28" ht="12.75" x14ac:dyDescent="0.2">
      <c r="A594" s="13" t="s">
        <v>3073</v>
      </c>
      <c r="B594" s="6" t="s">
        <v>3075</v>
      </c>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row>
    <row r="595" spans="1:28" ht="12.75" x14ac:dyDescent="0.2">
      <c r="A595" s="13" t="s">
        <v>3079</v>
      </c>
      <c r="B595" s="6" t="s">
        <v>3080</v>
      </c>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row>
    <row r="596" spans="1:28" ht="12.75" x14ac:dyDescent="0.2">
      <c r="A596" s="13" t="s">
        <v>63</v>
      </c>
      <c r="B596" s="6" t="s">
        <v>62</v>
      </c>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row>
    <row r="597" spans="1:28" ht="12.75" x14ac:dyDescent="0.2">
      <c r="A597" s="13" t="s">
        <v>3085</v>
      </c>
      <c r="B597" s="6" t="s">
        <v>668</v>
      </c>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row>
    <row r="598" spans="1:28" ht="12.75" x14ac:dyDescent="0.2">
      <c r="A598" s="13" t="s">
        <v>3091</v>
      </c>
      <c r="B598" s="6" t="s">
        <v>3092</v>
      </c>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row>
    <row r="599" spans="1:28" ht="12.75" x14ac:dyDescent="0.2">
      <c r="A599" s="13" t="s">
        <v>3095</v>
      </c>
      <c r="B599" s="6" t="s">
        <v>3096</v>
      </c>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row>
    <row r="600" spans="1:28" ht="12.75" x14ac:dyDescent="0.2">
      <c r="A600" s="13" t="s">
        <v>3098</v>
      </c>
      <c r="B600" s="6" t="s">
        <v>3099</v>
      </c>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row>
    <row r="601" spans="1:28" ht="12.75" x14ac:dyDescent="0.2">
      <c r="A601" s="13" t="s">
        <v>3104</v>
      </c>
      <c r="B601" s="6" t="s">
        <v>3106</v>
      </c>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row>
    <row r="602" spans="1:28" ht="12.75" x14ac:dyDescent="0.2">
      <c r="A602" s="13" t="s">
        <v>3108</v>
      </c>
      <c r="B602" s="6" t="s">
        <v>3109</v>
      </c>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row>
    <row r="603" spans="1:28" ht="12.75" x14ac:dyDescent="0.2">
      <c r="A603" s="13" t="s">
        <v>3039</v>
      </c>
      <c r="B603" s="6" t="s">
        <v>3111</v>
      </c>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row>
    <row r="604" spans="1:28" ht="12.75" x14ac:dyDescent="0.2">
      <c r="A604" s="13" t="s">
        <v>3112</v>
      </c>
      <c r="B604" s="6" t="s">
        <v>3114</v>
      </c>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row>
    <row r="605" spans="1:28" ht="12.75" x14ac:dyDescent="0.2">
      <c r="A605" s="13" t="s">
        <v>3121</v>
      </c>
      <c r="B605" s="6" t="s">
        <v>3122</v>
      </c>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row>
    <row r="606" spans="1:28" ht="12.75" x14ac:dyDescent="0.2">
      <c r="A606" s="13" t="s">
        <v>3124</v>
      </c>
      <c r="B606" s="6" t="s">
        <v>3126</v>
      </c>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row>
    <row r="607" spans="1:28" ht="12.75" x14ac:dyDescent="0.2">
      <c r="A607" s="13" t="s">
        <v>2951</v>
      </c>
      <c r="B607" s="6" t="s">
        <v>3127</v>
      </c>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row>
    <row r="608" spans="1:28" ht="12.75" x14ac:dyDescent="0.2">
      <c r="A608" s="13" t="s">
        <v>3131</v>
      </c>
      <c r="B608" s="6" t="s">
        <v>3132</v>
      </c>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row>
    <row r="609" spans="1:28" ht="12.75" x14ac:dyDescent="0.2">
      <c r="A609" s="13" t="s">
        <v>3133</v>
      </c>
      <c r="B609" s="6" t="s">
        <v>3134</v>
      </c>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row>
    <row r="610" spans="1:28" ht="12.75" x14ac:dyDescent="0.2">
      <c r="A610" s="13" t="s">
        <v>3139</v>
      </c>
      <c r="B610" s="6" t="s">
        <v>3140</v>
      </c>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row>
    <row r="611" spans="1:28" ht="12.75" x14ac:dyDescent="0.2">
      <c r="A611" s="13" t="s">
        <v>3142</v>
      </c>
      <c r="B611" s="6" t="s">
        <v>3144</v>
      </c>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row>
    <row r="612" spans="1:28" ht="12.75" x14ac:dyDescent="0.2">
      <c r="A612" s="13" t="s">
        <v>3147</v>
      </c>
      <c r="B612" s="6" t="s">
        <v>3148</v>
      </c>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row>
    <row r="613" spans="1:28" ht="12.75" x14ac:dyDescent="0.2">
      <c r="A613" s="13" t="s">
        <v>3152</v>
      </c>
      <c r="B613" s="6" t="s">
        <v>3153</v>
      </c>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row>
    <row r="614" spans="1:28" ht="25.5" x14ac:dyDescent="0.2">
      <c r="A614" s="13" t="s">
        <v>3154</v>
      </c>
      <c r="B614" s="6" t="s">
        <v>3155</v>
      </c>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row>
    <row r="615" spans="1:28" ht="12.75" x14ac:dyDescent="0.2">
      <c r="A615" s="13" t="s">
        <v>3078</v>
      </c>
      <c r="B615" s="6" t="s">
        <v>3158</v>
      </c>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row>
    <row r="616" spans="1:28" ht="12.75" x14ac:dyDescent="0.2">
      <c r="A616" s="13" t="s">
        <v>3160</v>
      </c>
      <c r="B616" s="6" t="s">
        <v>3161</v>
      </c>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row>
    <row r="617" spans="1:28" ht="12.75" x14ac:dyDescent="0.2">
      <c r="A617" s="13" t="s">
        <v>3164</v>
      </c>
      <c r="B617" s="6" t="s">
        <v>3165</v>
      </c>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row>
    <row r="618" spans="1:28" ht="12.75" x14ac:dyDescent="0.2">
      <c r="A618" s="13" t="s">
        <v>3169</v>
      </c>
      <c r="B618" s="6" t="s">
        <v>3170</v>
      </c>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row>
    <row r="619" spans="1:28" ht="12.75" x14ac:dyDescent="0.2">
      <c r="A619" s="13" t="s">
        <v>3171</v>
      </c>
      <c r="B619" s="6" t="s">
        <v>3114</v>
      </c>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row>
    <row r="620" spans="1:28" ht="12.75" x14ac:dyDescent="0.2">
      <c r="A620" s="13" t="s">
        <v>3173</v>
      </c>
      <c r="B620" s="6" t="s">
        <v>3174</v>
      </c>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row>
    <row r="621" spans="1:28" ht="12.75" x14ac:dyDescent="0.2">
      <c r="A621" s="13" t="s">
        <v>3178</v>
      </c>
      <c r="B621" s="6" t="s">
        <v>3179</v>
      </c>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row>
    <row r="622" spans="1:28" ht="12.75" x14ac:dyDescent="0.2">
      <c r="A622" s="13" t="s">
        <v>3180</v>
      </c>
      <c r="B622" s="6" t="s">
        <v>3181</v>
      </c>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row>
    <row r="623" spans="1:28" ht="12.75" x14ac:dyDescent="0.2">
      <c r="A623" s="13" t="s">
        <v>392</v>
      </c>
      <c r="B623" s="6" t="s">
        <v>3185</v>
      </c>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row>
    <row r="624" spans="1:28" ht="12.75" x14ac:dyDescent="0.2">
      <c r="A624" s="13" t="s">
        <v>3188</v>
      </c>
      <c r="B624" s="6" t="s">
        <v>3190</v>
      </c>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row>
    <row r="625" spans="1:28" ht="12.75" x14ac:dyDescent="0.2">
      <c r="A625" s="13" t="s">
        <v>3002</v>
      </c>
      <c r="B625" s="6" t="s">
        <v>3193</v>
      </c>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row>
    <row r="626" spans="1:28" ht="12.75" x14ac:dyDescent="0.2">
      <c r="A626" s="13" t="s">
        <v>3199</v>
      </c>
      <c r="B626" s="6" t="s">
        <v>3200</v>
      </c>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row>
    <row r="627" spans="1:28" ht="12.75" x14ac:dyDescent="0.2">
      <c r="A627" s="13" t="s">
        <v>3201</v>
      </c>
      <c r="B627" s="6" t="s">
        <v>3202</v>
      </c>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row>
    <row r="628" spans="1:28" ht="12.75" x14ac:dyDescent="0.2">
      <c r="A628" s="13" t="s">
        <v>3206</v>
      </c>
      <c r="B628" s="6" t="s">
        <v>3207</v>
      </c>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row>
    <row r="629" spans="1:28" ht="12.75" x14ac:dyDescent="0.2">
      <c r="A629" s="13" t="s">
        <v>592</v>
      </c>
      <c r="B629" s="6" t="s">
        <v>3211</v>
      </c>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row>
    <row r="630" spans="1:28" ht="12.75" x14ac:dyDescent="0.2">
      <c r="A630" s="13" t="s">
        <v>3107</v>
      </c>
      <c r="B630" s="6" t="s">
        <v>3212</v>
      </c>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row>
    <row r="631" spans="1:28" ht="12.75" x14ac:dyDescent="0.2">
      <c r="A631" s="13" t="s">
        <v>3219</v>
      </c>
      <c r="B631" s="6" t="s">
        <v>3220</v>
      </c>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row>
    <row r="632" spans="1:28" ht="12.75" x14ac:dyDescent="0.2">
      <c r="A632" s="13" t="s">
        <v>2759</v>
      </c>
      <c r="B632" s="6" t="s">
        <v>3222</v>
      </c>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row>
    <row r="633" spans="1:28" ht="12.75" x14ac:dyDescent="0.2">
      <c r="A633" s="13" t="s">
        <v>2695</v>
      </c>
      <c r="B633" s="6" t="s">
        <v>3226</v>
      </c>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row>
    <row r="634" spans="1:28" ht="12.75" x14ac:dyDescent="0.2">
      <c r="A634" s="13" t="s">
        <v>709</v>
      </c>
      <c r="B634" s="6" t="s">
        <v>3229</v>
      </c>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row>
    <row r="635" spans="1:28" ht="12.75" x14ac:dyDescent="0.2">
      <c r="A635" s="13" t="s">
        <v>2863</v>
      </c>
      <c r="B635" s="6" t="s">
        <v>3232</v>
      </c>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row>
    <row r="636" spans="1:28" ht="12.75" x14ac:dyDescent="0.2">
      <c r="A636" s="13" t="s">
        <v>3120</v>
      </c>
      <c r="B636" s="6" t="s">
        <v>3235</v>
      </c>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row>
    <row r="637" spans="1:28" ht="12.75" x14ac:dyDescent="0.2">
      <c r="A637" s="13" t="s">
        <v>1111</v>
      </c>
      <c r="B637" s="6" t="s">
        <v>3237</v>
      </c>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row>
    <row r="638" spans="1:28" ht="12.75" x14ac:dyDescent="0.2">
      <c r="A638" s="13" t="s">
        <v>3243</v>
      </c>
      <c r="B638" s="6" t="s">
        <v>3244</v>
      </c>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row>
    <row r="639" spans="1:28" ht="12.75" x14ac:dyDescent="0.2">
      <c r="A639" s="13" t="s">
        <v>3249</v>
      </c>
      <c r="B639" s="6" t="s">
        <v>3250</v>
      </c>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row>
    <row r="640" spans="1:28" ht="12.75" x14ac:dyDescent="0.2">
      <c r="A640" s="13" t="s">
        <v>3254</v>
      </c>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row>
    <row r="641" spans="1:28" ht="12.75" x14ac:dyDescent="0.2">
      <c r="A641" s="13" t="s">
        <v>3257</v>
      </c>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row>
    <row r="642" spans="1:28" ht="12.75" x14ac:dyDescent="0.2">
      <c r="A642" s="13" t="s">
        <v>3262</v>
      </c>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row>
    <row r="643" spans="1:28" ht="12.75" x14ac:dyDescent="0.2">
      <c r="A643" s="13" t="s">
        <v>3263</v>
      </c>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row>
    <row r="644" spans="1:28" ht="12.75" x14ac:dyDescent="0.2">
      <c r="A644" s="13" t="s">
        <v>3268</v>
      </c>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row>
    <row r="645" spans="1:28" ht="12.75" x14ac:dyDescent="0.2">
      <c r="A645" s="13" t="s">
        <v>3269</v>
      </c>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row>
    <row r="646" spans="1:28" ht="12.75" x14ac:dyDescent="0.2">
      <c r="A646" s="13" t="s">
        <v>3273</v>
      </c>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row>
    <row r="647" spans="1:28" ht="12.75" x14ac:dyDescent="0.2">
      <c r="A647" s="13" t="s">
        <v>3276</v>
      </c>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row>
    <row r="648" spans="1:28" ht="12.75" x14ac:dyDescent="0.2">
      <c r="A648" s="13" t="s">
        <v>3281</v>
      </c>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row>
    <row r="649" spans="1:28" ht="12.75" x14ac:dyDescent="0.2">
      <c r="A649" s="13"/>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row>
    <row r="650" spans="1:28" ht="12.75" x14ac:dyDescent="0.2">
      <c r="A650" s="13"/>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row>
    <row r="651" spans="1:28" ht="12.75" x14ac:dyDescent="0.2">
      <c r="A651" s="13"/>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row>
    <row r="652" spans="1:28" ht="12.75" x14ac:dyDescent="0.2">
      <c r="A652" s="13"/>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row>
    <row r="653" spans="1:28" ht="12.75" x14ac:dyDescent="0.2">
      <c r="A653" s="13"/>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row>
    <row r="654" spans="1:28" ht="12.75" x14ac:dyDescent="0.2">
      <c r="A654" s="13"/>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row>
    <row r="655" spans="1:28" ht="12.75" x14ac:dyDescent="0.2">
      <c r="A655" s="13"/>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row>
    <row r="656" spans="1:28" ht="12.75" x14ac:dyDescent="0.2">
      <c r="A656" s="13"/>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row>
    <row r="657" spans="1:28" ht="12.75" x14ac:dyDescent="0.2">
      <c r="A657" s="13"/>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row>
    <row r="658" spans="1:28" ht="12.75" x14ac:dyDescent="0.2">
      <c r="A658" s="13"/>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row>
    <row r="659" spans="1:28" ht="12.75" x14ac:dyDescent="0.2">
      <c r="A659" s="13"/>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row>
    <row r="660" spans="1:28" ht="12.75" x14ac:dyDescent="0.2">
      <c r="A660" s="13"/>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row>
    <row r="661" spans="1:28" ht="12.75" x14ac:dyDescent="0.2">
      <c r="A661" s="13"/>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row>
    <row r="662" spans="1:28" ht="12.75" x14ac:dyDescent="0.2">
      <c r="A662" s="13"/>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row>
    <row r="663" spans="1:28" ht="12.75" x14ac:dyDescent="0.2">
      <c r="A663" s="13"/>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row>
    <row r="664" spans="1:28" ht="12.75" x14ac:dyDescent="0.2">
      <c r="A664" s="13"/>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row>
    <row r="665" spans="1:28" ht="12.75" x14ac:dyDescent="0.2">
      <c r="A665" s="13"/>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row>
    <row r="666" spans="1:28" ht="12.75" x14ac:dyDescent="0.2">
      <c r="A666" s="13"/>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row>
    <row r="667" spans="1:28" ht="12.75" x14ac:dyDescent="0.2">
      <c r="A667" s="13"/>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row>
    <row r="668" spans="1:28" ht="12.75" x14ac:dyDescent="0.2">
      <c r="A668" s="13"/>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row>
    <row r="669" spans="1:28" ht="12.75" x14ac:dyDescent="0.2">
      <c r="A669" s="13"/>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row>
    <row r="670" spans="1:28" ht="12.75" x14ac:dyDescent="0.2">
      <c r="A670" s="13"/>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row>
    <row r="671" spans="1:28" ht="12.75" x14ac:dyDescent="0.2">
      <c r="A671" s="13"/>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row>
    <row r="672" spans="1:28" ht="12.75" x14ac:dyDescent="0.2">
      <c r="A672" s="13"/>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row>
    <row r="673" spans="1:28" ht="12.75" x14ac:dyDescent="0.2">
      <c r="A673" s="13"/>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row>
    <row r="674" spans="1:28" ht="12.75" x14ac:dyDescent="0.2">
      <c r="A674" s="13"/>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row>
    <row r="675" spans="1:28" ht="12.75" x14ac:dyDescent="0.2">
      <c r="A675" s="13"/>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row>
    <row r="676" spans="1:28" ht="12.75" x14ac:dyDescent="0.2">
      <c r="A676" s="13"/>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row>
    <row r="677" spans="1:28" ht="12.75" x14ac:dyDescent="0.2">
      <c r="A677" s="13"/>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row>
    <row r="678" spans="1:28" ht="12.75" x14ac:dyDescent="0.2">
      <c r="A678" s="13"/>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row>
    <row r="679" spans="1:28" ht="12.75" x14ac:dyDescent="0.2">
      <c r="A679" s="13"/>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row>
    <row r="680" spans="1:28" ht="12.75" x14ac:dyDescent="0.2">
      <c r="A680" s="13"/>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row>
    <row r="681" spans="1:28" ht="12.75" x14ac:dyDescent="0.2">
      <c r="A681" s="13"/>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row>
    <row r="682" spans="1:28" ht="12.75" x14ac:dyDescent="0.2">
      <c r="A682" s="13"/>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row>
    <row r="683" spans="1:28" ht="12.75" x14ac:dyDescent="0.2">
      <c r="A683" s="13"/>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row>
    <row r="684" spans="1:28" ht="12.75" x14ac:dyDescent="0.2">
      <c r="A684" s="13"/>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row>
    <row r="685" spans="1:28" ht="12.75" x14ac:dyDescent="0.2">
      <c r="A685" s="13"/>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6"/>
    </row>
    <row r="686" spans="1:28" ht="12.75" x14ac:dyDescent="0.2">
      <c r="A686" s="13"/>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6"/>
    </row>
    <row r="687" spans="1:28" ht="12.75" x14ac:dyDescent="0.2">
      <c r="A687" s="13"/>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6"/>
    </row>
    <row r="688" spans="1:28" ht="12.75" x14ac:dyDescent="0.2">
      <c r="A688" s="13"/>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6"/>
    </row>
    <row r="689" spans="1:28" ht="12.75" x14ac:dyDescent="0.2">
      <c r="A689" s="13"/>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6"/>
    </row>
    <row r="690" spans="1:28" ht="12.75" x14ac:dyDescent="0.2">
      <c r="A690" s="13"/>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6"/>
    </row>
    <row r="691" spans="1:28" ht="12.75" x14ac:dyDescent="0.2">
      <c r="A691" s="13"/>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6"/>
    </row>
    <row r="692" spans="1:28" ht="12.75" x14ac:dyDescent="0.2">
      <c r="A692" s="13"/>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6"/>
    </row>
    <row r="693" spans="1:28" ht="12.75" x14ac:dyDescent="0.2">
      <c r="A693" s="13"/>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6"/>
    </row>
    <row r="694" spans="1:28" ht="12.75" x14ac:dyDescent="0.2">
      <c r="A694" s="13"/>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6"/>
    </row>
    <row r="695" spans="1:28" ht="12.75" x14ac:dyDescent="0.2">
      <c r="A695" s="13"/>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6"/>
    </row>
    <row r="696" spans="1:28" ht="12.75" x14ac:dyDescent="0.2">
      <c r="A696" s="13"/>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6"/>
    </row>
    <row r="697" spans="1:28" ht="12.75" x14ac:dyDescent="0.2">
      <c r="A697" s="13"/>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6"/>
    </row>
    <row r="698" spans="1:28" ht="12.75" x14ac:dyDescent="0.2">
      <c r="A698" s="13"/>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6"/>
    </row>
    <row r="699" spans="1:28" ht="12.75" x14ac:dyDescent="0.2">
      <c r="A699" s="13"/>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6"/>
    </row>
    <row r="700" spans="1:28" ht="12.75" x14ac:dyDescent="0.2">
      <c r="A700" s="13"/>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6"/>
    </row>
    <row r="701" spans="1:28" ht="12.75" x14ac:dyDescent="0.2">
      <c r="A701" s="13"/>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row>
    <row r="702" spans="1:28" ht="12.75" x14ac:dyDescent="0.2">
      <c r="A702" s="13"/>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6"/>
    </row>
    <row r="703" spans="1:28" ht="12.75" x14ac:dyDescent="0.2">
      <c r="A703" s="13"/>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6"/>
    </row>
    <row r="704" spans="1:28" ht="12.75" x14ac:dyDescent="0.2">
      <c r="A704" s="13"/>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6"/>
    </row>
    <row r="705" spans="1:28" ht="12.75" x14ac:dyDescent="0.2">
      <c r="A705" s="13"/>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6"/>
    </row>
    <row r="706" spans="1:28" ht="12.75" x14ac:dyDescent="0.2">
      <c r="A706" s="13"/>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6"/>
    </row>
    <row r="707" spans="1:28" ht="12.75" x14ac:dyDescent="0.2">
      <c r="A707" s="13"/>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6"/>
    </row>
    <row r="708" spans="1:28" ht="12.75" x14ac:dyDescent="0.2">
      <c r="A708" s="13"/>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6"/>
    </row>
    <row r="709" spans="1:28" ht="12.75" x14ac:dyDescent="0.2">
      <c r="A709" s="13"/>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row>
    <row r="710" spans="1:28" ht="12.75" x14ac:dyDescent="0.2">
      <c r="A710" s="13"/>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row>
    <row r="711" spans="1:28" ht="12.75" x14ac:dyDescent="0.2">
      <c r="A711" s="13"/>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6"/>
    </row>
    <row r="712" spans="1:28" ht="12.75" x14ac:dyDescent="0.2">
      <c r="A712" s="13"/>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6"/>
    </row>
    <row r="713" spans="1:28" ht="12.75" x14ac:dyDescent="0.2">
      <c r="A713" s="13"/>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row>
    <row r="714" spans="1:28" ht="12.75" x14ac:dyDescent="0.2">
      <c r="A714" s="13"/>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6"/>
    </row>
    <row r="715" spans="1:28" ht="12.75" x14ac:dyDescent="0.2">
      <c r="A715" s="13"/>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6"/>
    </row>
    <row r="716" spans="1:28" ht="12.75" x14ac:dyDescent="0.2">
      <c r="A716" s="13"/>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row>
    <row r="717" spans="1:28" ht="12.75" x14ac:dyDescent="0.2">
      <c r="A717" s="13"/>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row>
    <row r="718" spans="1:28" ht="12.75" x14ac:dyDescent="0.2">
      <c r="A718" s="13"/>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row>
    <row r="719" spans="1:28" ht="12.75" x14ac:dyDescent="0.2">
      <c r="A719" s="13"/>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row>
    <row r="720" spans="1:28" ht="12.75" x14ac:dyDescent="0.2">
      <c r="A720" s="13"/>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row>
    <row r="721" spans="1:28" ht="12.75" x14ac:dyDescent="0.2">
      <c r="A721" s="13"/>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6"/>
    </row>
    <row r="722" spans="1:28" ht="12.75" x14ac:dyDescent="0.2">
      <c r="A722" s="13"/>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6"/>
    </row>
    <row r="723" spans="1:28" ht="12.75" x14ac:dyDescent="0.2">
      <c r="A723" s="13"/>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6"/>
    </row>
    <row r="724" spans="1:28" ht="12.75" x14ac:dyDescent="0.2">
      <c r="A724" s="13"/>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6"/>
    </row>
    <row r="725" spans="1:28" ht="12.75" x14ac:dyDescent="0.2">
      <c r="A725" s="13"/>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6"/>
    </row>
    <row r="726" spans="1:28" ht="12.75" x14ac:dyDescent="0.2">
      <c r="A726" s="13"/>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6"/>
    </row>
    <row r="727" spans="1:28" ht="12.75" x14ac:dyDescent="0.2">
      <c r="A727" s="13"/>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6"/>
    </row>
    <row r="728" spans="1:28" ht="12.75" x14ac:dyDescent="0.2">
      <c r="A728" s="13"/>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6"/>
    </row>
    <row r="729" spans="1:28" ht="12.75" x14ac:dyDescent="0.2">
      <c r="A729" s="13"/>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6"/>
    </row>
    <row r="730" spans="1:28" ht="12.75" x14ac:dyDescent="0.2">
      <c r="A730" s="13"/>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6"/>
    </row>
    <row r="731" spans="1:28" ht="12.75" x14ac:dyDescent="0.2">
      <c r="A731" s="13"/>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6"/>
    </row>
    <row r="732" spans="1:28" ht="12.75" x14ac:dyDescent="0.2">
      <c r="A732" s="13"/>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6"/>
    </row>
    <row r="733" spans="1:28" ht="12.75" x14ac:dyDescent="0.2">
      <c r="A733" s="13"/>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6"/>
    </row>
    <row r="734" spans="1:28" ht="12.75" x14ac:dyDescent="0.2">
      <c r="A734" s="13"/>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6"/>
    </row>
    <row r="735" spans="1:28" ht="12.75" x14ac:dyDescent="0.2">
      <c r="A735" s="13"/>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6"/>
    </row>
    <row r="736" spans="1:28" ht="12.75" x14ac:dyDescent="0.2">
      <c r="A736" s="13"/>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6"/>
    </row>
    <row r="737" spans="1:28" ht="12.75" x14ac:dyDescent="0.2">
      <c r="A737" s="13"/>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6"/>
    </row>
    <row r="738" spans="1:28" ht="12.75" x14ac:dyDescent="0.2">
      <c r="A738" s="13"/>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6"/>
    </row>
    <row r="739" spans="1:28" ht="12.75" x14ac:dyDescent="0.2">
      <c r="A739" s="13"/>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6"/>
    </row>
    <row r="740" spans="1:28" ht="12.75" x14ac:dyDescent="0.2">
      <c r="A740" s="13"/>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6"/>
    </row>
    <row r="741" spans="1:28" ht="12.75" x14ac:dyDescent="0.2">
      <c r="A741" s="13"/>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6"/>
    </row>
    <row r="742" spans="1:28" ht="12.75" x14ac:dyDescent="0.2">
      <c r="A742" s="13"/>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6"/>
    </row>
    <row r="743" spans="1:28" ht="12.75" x14ac:dyDescent="0.2">
      <c r="A743" s="13"/>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6"/>
    </row>
    <row r="744" spans="1:28" ht="12.75" x14ac:dyDescent="0.2">
      <c r="A744" s="13"/>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6"/>
    </row>
    <row r="745" spans="1:28" ht="12.75" x14ac:dyDescent="0.2">
      <c r="A745" s="13"/>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6"/>
    </row>
    <row r="746" spans="1:28" ht="12.75" x14ac:dyDescent="0.2">
      <c r="A746" s="13"/>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6"/>
    </row>
    <row r="747" spans="1:28" ht="12.75" x14ac:dyDescent="0.2">
      <c r="A747" s="13"/>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6"/>
    </row>
    <row r="748" spans="1:28" ht="12.75" x14ac:dyDescent="0.2">
      <c r="A748" s="13"/>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6"/>
    </row>
    <row r="749" spans="1:28" ht="12.75" x14ac:dyDescent="0.2">
      <c r="A749" s="13"/>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6"/>
    </row>
    <row r="750" spans="1:28" ht="12.75" x14ac:dyDescent="0.2">
      <c r="A750" s="13"/>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6"/>
    </row>
    <row r="751" spans="1:28" ht="12.75" x14ac:dyDescent="0.2">
      <c r="A751" s="13"/>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6"/>
    </row>
    <row r="752" spans="1:28" ht="12.75" x14ac:dyDescent="0.2">
      <c r="A752" s="13"/>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6"/>
    </row>
    <row r="753" spans="1:28" ht="12.75" x14ac:dyDescent="0.2">
      <c r="A753" s="13"/>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6"/>
    </row>
    <row r="754" spans="1:28" ht="12.75" x14ac:dyDescent="0.2">
      <c r="A754" s="13"/>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6"/>
    </row>
    <row r="755" spans="1:28" ht="12.75" x14ac:dyDescent="0.2">
      <c r="A755" s="13"/>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6"/>
    </row>
    <row r="756" spans="1:28" ht="12.75" x14ac:dyDescent="0.2">
      <c r="A756" s="13"/>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6"/>
    </row>
    <row r="757" spans="1:28" ht="12.75" x14ac:dyDescent="0.2">
      <c r="A757" s="13"/>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6"/>
    </row>
    <row r="758" spans="1:28" ht="12.75" x14ac:dyDescent="0.2">
      <c r="A758" s="13"/>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6"/>
    </row>
    <row r="759" spans="1:28" ht="12.75" x14ac:dyDescent="0.2">
      <c r="A759" s="13"/>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6"/>
    </row>
    <row r="760" spans="1:28" ht="12.75" x14ac:dyDescent="0.2">
      <c r="A760" s="13"/>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6"/>
    </row>
    <row r="761" spans="1:28" ht="12.75" x14ac:dyDescent="0.2">
      <c r="A761" s="13"/>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6"/>
    </row>
    <row r="762" spans="1:28" ht="12.75" x14ac:dyDescent="0.2">
      <c r="A762" s="13"/>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6"/>
    </row>
    <row r="763" spans="1:28" ht="12.75" x14ac:dyDescent="0.2">
      <c r="A763" s="13"/>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6"/>
    </row>
    <row r="764" spans="1:28" ht="12.75" x14ac:dyDescent="0.2">
      <c r="A764" s="13"/>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6"/>
    </row>
    <row r="765" spans="1:28" ht="12.75" x14ac:dyDescent="0.2">
      <c r="A765" s="13"/>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6"/>
    </row>
    <row r="766" spans="1:28" ht="12.75" x14ac:dyDescent="0.2">
      <c r="A766" s="13"/>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6"/>
    </row>
    <row r="767" spans="1:28" ht="12.75" x14ac:dyDescent="0.2">
      <c r="A767" s="13"/>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6"/>
    </row>
    <row r="768" spans="1:28" ht="12.75" x14ac:dyDescent="0.2">
      <c r="A768" s="13"/>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6"/>
    </row>
    <row r="769" spans="1:28" ht="12.75" x14ac:dyDescent="0.2">
      <c r="A769" s="13"/>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6"/>
    </row>
    <row r="770" spans="1:28" ht="12.75" x14ac:dyDescent="0.2">
      <c r="A770" s="13"/>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6"/>
    </row>
    <row r="771" spans="1:28" ht="12.75" x14ac:dyDescent="0.2">
      <c r="A771" s="13"/>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6"/>
    </row>
    <row r="772" spans="1:28" ht="12.75" x14ac:dyDescent="0.2">
      <c r="A772" s="13"/>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6"/>
    </row>
    <row r="773" spans="1:28" ht="12.75" x14ac:dyDescent="0.2">
      <c r="A773" s="13"/>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6"/>
    </row>
    <row r="774" spans="1:28" ht="12.75" x14ac:dyDescent="0.2">
      <c r="A774" s="13"/>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6"/>
    </row>
    <row r="775" spans="1:28" ht="12.75" x14ac:dyDescent="0.2">
      <c r="A775" s="13"/>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6"/>
    </row>
    <row r="776" spans="1:28" ht="12.75" x14ac:dyDescent="0.2">
      <c r="A776" s="13"/>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6"/>
    </row>
    <row r="777" spans="1:28" ht="12.75" x14ac:dyDescent="0.2">
      <c r="A777" s="13"/>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6"/>
    </row>
    <row r="778" spans="1:28" ht="12.75" x14ac:dyDescent="0.2">
      <c r="A778" s="13"/>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6"/>
    </row>
    <row r="779" spans="1:28" ht="12.75" x14ac:dyDescent="0.2">
      <c r="A779" s="13"/>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6"/>
    </row>
    <row r="780" spans="1:28" ht="12.75" x14ac:dyDescent="0.2">
      <c r="A780" s="13"/>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6"/>
    </row>
    <row r="781" spans="1:28" ht="12.75" x14ac:dyDescent="0.2">
      <c r="A781" s="13"/>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6"/>
    </row>
    <row r="782" spans="1:28" ht="12.75" x14ac:dyDescent="0.2">
      <c r="A782" s="13"/>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6"/>
    </row>
    <row r="783" spans="1:28" ht="12.75" x14ac:dyDescent="0.2">
      <c r="A783" s="13"/>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6"/>
    </row>
    <row r="784" spans="1:28" ht="12.75" x14ac:dyDescent="0.2">
      <c r="A784" s="13"/>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6"/>
    </row>
    <row r="785" spans="1:28" ht="12.75" x14ac:dyDescent="0.2">
      <c r="A785" s="13"/>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6"/>
    </row>
    <row r="786" spans="1:28" ht="12.75" x14ac:dyDescent="0.2">
      <c r="A786" s="13"/>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6"/>
    </row>
    <row r="787" spans="1:28" ht="12.75" x14ac:dyDescent="0.2">
      <c r="A787" s="13"/>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6"/>
    </row>
    <row r="788" spans="1:28" ht="12.75" x14ac:dyDescent="0.2">
      <c r="A788" s="13"/>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6"/>
    </row>
    <row r="789" spans="1:28" ht="12.75" x14ac:dyDescent="0.2">
      <c r="A789" s="13"/>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6"/>
    </row>
    <row r="790" spans="1:28" ht="12.75" x14ac:dyDescent="0.2">
      <c r="A790" s="13"/>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6"/>
    </row>
    <row r="791" spans="1:28" ht="12.75" x14ac:dyDescent="0.2">
      <c r="A791" s="13"/>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6"/>
    </row>
    <row r="792" spans="1:28" ht="12.75" x14ac:dyDescent="0.2">
      <c r="A792" s="13"/>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6"/>
    </row>
    <row r="793" spans="1:28" ht="12.75" x14ac:dyDescent="0.2">
      <c r="A793" s="13"/>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6"/>
    </row>
    <row r="794" spans="1:28" ht="12.75" x14ac:dyDescent="0.2">
      <c r="A794" s="13"/>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6"/>
    </row>
    <row r="795" spans="1:28" ht="12.75" x14ac:dyDescent="0.2">
      <c r="A795" s="13"/>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6"/>
    </row>
    <row r="796" spans="1:28" ht="12.75" x14ac:dyDescent="0.2">
      <c r="A796" s="13"/>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6"/>
    </row>
    <row r="797" spans="1:28" ht="12.75" x14ac:dyDescent="0.2">
      <c r="A797" s="13"/>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6"/>
    </row>
    <row r="798" spans="1:28" ht="12.75" x14ac:dyDescent="0.2">
      <c r="A798" s="13"/>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6"/>
    </row>
    <row r="799" spans="1:28" ht="12.75" x14ac:dyDescent="0.2">
      <c r="A799" s="13"/>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6"/>
    </row>
    <row r="800" spans="1:28" ht="12.75" x14ac:dyDescent="0.2">
      <c r="A800" s="13"/>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6"/>
    </row>
    <row r="801" spans="1:28" ht="12.75" x14ac:dyDescent="0.2">
      <c r="A801" s="13"/>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6"/>
    </row>
    <row r="802" spans="1:28" ht="12.75" x14ac:dyDescent="0.2">
      <c r="A802" s="13"/>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6"/>
    </row>
    <row r="803" spans="1:28" ht="12.75" x14ac:dyDescent="0.2">
      <c r="A803" s="13"/>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6"/>
    </row>
    <row r="804" spans="1:28" ht="12.75" x14ac:dyDescent="0.2">
      <c r="A804" s="13"/>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6"/>
    </row>
    <row r="805" spans="1:28" ht="12.75" x14ac:dyDescent="0.2">
      <c r="A805" s="13"/>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6"/>
    </row>
    <row r="806" spans="1:28" ht="12.75" x14ac:dyDescent="0.2">
      <c r="A806" s="13"/>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6"/>
    </row>
    <row r="807" spans="1:28" ht="12.75" x14ac:dyDescent="0.2">
      <c r="A807" s="13"/>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6"/>
    </row>
    <row r="808" spans="1:28" ht="12.75" x14ac:dyDescent="0.2">
      <c r="A808" s="13"/>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6"/>
    </row>
    <row r="809" spans="1:28" ht="12.75" x14ac:dyDescent="0.2">
      <c r="A809" s="13"/>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6"/>
    </row>
    <row r="810" spans="1:28" ht="12.75" x14ac:dyDescent="0.2">
      <c r="A810" s="13"/>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6"/>
    </row>
    <row r="811" spans="1:28" ht="12.75" x14ac:dyDescent="0.2">
      <c r="A811" s="13"/>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6"/>
    </row>
    <row r="812" spans="1:28" ht="12.75" x14ac:dyDescent="0.2">
      <c r="A812" s="13"/>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6"/>
    </row>
    <row r="813" spans="1:28" ht="12.75" x14ac:dyDescent="0.2">
      <c r="A813" s="13"/>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6"/>
    </row>
    <row r="814" spans="1:28" ht="12.75" x14ac:dyDescent="0.2">
      <c r="A814" s="13"/>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6"/>
    </row>
    <row r="815" spans="1:28" ht="12.75" x14ac:dyDescent="0.2">
      <c r="A815" s="13"/>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6"/>
    </row>
    <row r="816" spans="1:28" ht="12.75" x14ac:dyDescent="0.2">
      <c r="A816" s="13"/>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6"/>
    </row>
    <row r="817" spans="1:28" ht="12.75" x14ac:dyDescent="0.2">
      <c r="A817" s="13"/>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6"/>
    </row>
    <row r="818" spans="1:28" ht="12.75" x14ac:dyDescent="0.2">
      <c r="A818" s="13"/>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6"/>
    </row>
    <row r="819" spans="1:28" ht="12.75" x14ac:dyDescent="0.2">
      <c r="A819" s="13"/>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6"/>
    </row>
    <row r="820" spans="1:28" ht="12.75" x14ac:dyDescent="0.2">
      <c r="A820" s="13"/>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6"/>
    </row>
    <row r="821" spans="1:28" ht="12.75" x14ac:dyDescent="0.2">
      <c r="A821" s="13"/>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6"/>
    </row>
    <row r="822" spans="1:28" ht="12.75" x14ac:dyDescent="0.2">
      <c r="A822" s="13"/>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6"/>
    </row>
    <row r="823" spans="1:28" ht="12.75" x14ac:dyDescent="0.2">
      <c r="A823" s="13"/>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6"/>
    </row>
    <row r="824" spans="1:28" ht="12.75" x14ac:dyDescent="0.2">
      <c r="A824" s="13"/>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6"/>
    </row>
    <row r="825" spans="1:28" ht="12.75" x14ac:dyDescent="0.2">
      <c r="A825" s="13"/>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6"/>
    </row>
    <row r="826" spans="1:28" ht="12.75" x14ac:dyDescent="0.2">
      <c r="A826" s="13"/>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6"/>
    </row>
    <row r="827" spans="1:28" ht="12.75" x14ac:dyDescent="0.2">
      <c r="A827" s="13"/>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6"/>
    </row>
    <row r="828" spans="1:28" ht="12.75" x14ac:dyDescent="0.2">
      <c r="A828" s="13"/>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6"/>
    </row>
    <row r="829" spans="1:28" ht="12.75" x14ac:dyDescent="0.2">
      <c r="A829" s="13"/>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6"/>
    </row>
    <row r="830" spans="1:28" ht="12.75" x14ac:dyDescent="0.2">
      <c r="A830" s="13"/>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6"/>
    </row>
    <row r="831" spans="1:28" ht="12.75" x14ac:dyDescent="0.2">
      <c r="A831" s="13"/>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6"/>
    </row>
    <row r="832" spans="1:28" ht="12.75" x14ac:dyDescent="0.2">
      <c r="A832" s="13"/>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6"/>
    </row>
    <row r="833" spans="1:28" ht="12.75" x14ac:dyDescent="0.2">
      <c r="A833" s="13"/>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6"/>
    </row>
    <row r="834" spans="1:28" ht="12.75" x14ac:dyDescent="0.2">
      <c r="A834" s="13"/>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c r="AB834" s="6"/>
    </row>
    <row r="835" spans="1:28" ht="12.75" x14ac:dyDescent="0.2">
      <c r="A835" s="13"/>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c r="AB835" s="6"/>
    </row>
    <row r="836" spans="1:28" ht="12.75" x14ac:dyDescent="0.2">
      <c r="A836" s="13"/>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c r="AB836" s="6"/>
    </row>
    <row r="837" spans="1:28" ht="12.75" x14ac:dyDescent="0.2">
      <c r="A837" s="13"/>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c r="AB837" s="6"/>
    </row>
    <row r="838" spans="1:28" ht="12.75" x14ac:dyDescent="0.2">
      <c r="A838" s="13"/>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c r="AB838" s="6"/>
    </row>
    <row r="839" spans="1:28" ht="12.75" x14ac:dyDescent="0.2">
      <c r="A839" s="13"/>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c r="AB839" s="6"/>
    </row>
    <row r="840" spans="1:28" ht="12.75" x14ac:dyDescent="0.2">
      <c r="A840" s="13"/>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c r="AB840" s="6"/>
    </row>
    <row r="841" spans="1:28" ht="12.75" x14ac:dyDescent="0.2">
      <c r="A841" s="13"/>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c r="AB841" s="6"/>
    </row>
    <row r="842" spans="1:28" ht="12.75" x14ac:dyDescent="0.2">
      <c r="A842" s="13"/>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c r="AB842" s="6"/>
    </row>
    <row r="843" spans="1:28" ht="12.75" x14ac:dyDescent="0.2">
      <c r="A843" s="13"/>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c r="AB843" s="6"/>
    </row>
    <row r="844" spans="1:28" ht="12.75" x14ac:dyDescent="0.2">
      <c r="A844" s="13"/>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c r="AB844" s="6"/>
    </row>
    <row r="845" spans="1:28" ht="12.75" x14ac:dyDescent="0.2">
      <c r="A845" s="13"/>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c r="AB845" s="6"/>
    </row>
    <row r="846" spans="1:28" ht="12.75" x14ac:dyDescent="0.2">
      <c r="A846" s="13"/>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c r="AB846" s="6"/>
    </row>
    <row r="847" spans="1:28" ht="12.75" x14ac:dyDescent="0.2">
      <c r="A847" s="13"/>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c r="AB847" s="6"/>
    </row>
    <row r="848" spans="1:28" ht="12.75" x14ac:dyDescent="0.2">
      <c r="A848" s="13"/>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c r="AB848" s="6"/>
    </row>
    <row r="849" spans="1:28" ht="12.75" x14ac:dyDescent="0.2">
      <c r="A849" s="13"/>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c r="AB849" s="6"/>
    </row>
    <row r="850" spans="1:28" ht="12.75" x14ac:dyDescent="0.2">
      <c r="A850" s="13"/>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c r="AB850" s="6"/>
    </row>
    <row r="851" spans="1:28" ht="12.75" x14ac:dyDescent="0.2">
      <c r="A851" s="13"/>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c r="AB851" s="6"/>
    </row>
    <row r="852" spans="1:28" ht="12.75" x14ac:dyDescent="0.2">
      <c r="A852" s="13"/>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c r="AB852" s="6"/>
    </row>
    <row r="853" spans="1:28" ht="12.75" x14ac:dyDescent="0.2">
      <c r="A853" s="13"/>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c r="AB853" s="6"/>
    </row>
    <row r="854" spans="1:28" ht="12.75" x14ac:dyDescent="0.2">
      <c r="A854" s="13"/>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c r="AB854" s="6"/>
    </row>
    <row r="855" spans="1:28" ht="12.75" x14ac:dyDescent="0.2">
      <c r="A855" s="13"/>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c r="AB855" s="6"/>
    </row>
    <row r="856" spans="1:28" ht="12.75" x14ac:dyDescent="0.2">
      <c r="A856" s="13"/>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c r="AB856" s="6"/>
    </row>
    <row r="857" spans="1:28" ht="12.75" x14ac:dyDescent="0.2">
      <c r="A857" s="13"/>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c r="AB857" s="6"/>
    </row>
    <row r="858" spans="1:28" ht="12.75" x14ac:dyDescent="0.2">
      <c r="A858" s="13"/>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c r="AB858" s="6"/>
    </row>
    <row r="859" spans="1:28" ht="12.75" x14ac:dyDescent="0.2">
      <c r="A859" s="13"/>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c r="AB859" s="6"/>
    </row>
    <row r="860" spans="1:28" ht="12.75" x14ac:dyDescent="0.2">
      <c r="A860" s="13"/>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c r="AB860" s="6"/>
    </row>
    <row r="861" spans="1:28" ht="12.75" x14ac:dyDescent="0.2">
      <c r="A861" s="13"/>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c r="AB861" s="6"/>
    </row>
    <row r="862" spans="1:28" ht="12.75" x14ac:dyDescent="0.2">
      <c r="A862" s="13"/>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c r="AB862" s="6"/>
    </row>
    <row r="863" spans="1:28" ht="12.75" x14ac:dyDescent="0.2">
      <c r="A863" s="13"/>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c r="AB863" s="6"/>
    </row>
    <row r="864" spans="1:28" ht="12.75" x14ac:dyDescent="0.2">
      <c r="A864" s="13"/>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c r="AB864" s="6"/>
    </row>
    <row r="865" spans="1:28" ht="12.75" x14ac:dyDescent="0.2">
      <c r="A865" s="13"/>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c r="AB865" s="6"/>
    </row>
    <row r="866" spans="1:28" ht="12.75" x14ac:dyDescent="0.2">
      <c r="A866" s="13"/>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c r="AB866" s="6"/>
    </row>
    <row r="867" spans="1:28" ht="12.75" x14ac:dyDescent="0.2">
      <c r="A867" s="13"/>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c r="AB867" s="6"/>
    </row>
    <row r="868" spans="1:28" ht="12.75" x14ac:dyDescent="0.2">
      <c r="A868" s="13"/>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c r="AB868" s="6"/>
    </row>
    <row r="869" spans="1:28" ht="12.75" x14ac:dyDescent="0.2">
      <c r="A869" s="13"/>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c r="AB869" s="6"/>
    </row>
    <row r="870" spans="1:28" ht="12.75" x14ac:dyDescent="0.2">
      <c r="A870" s="13"/>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c r="AB870" s="6"/>
    </row>
    <row r="871" spans="1:28" ht="12.75" x14ac:dyDescent="0.2">
      <c r="A871" s="13"/>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c r="AB871" s="6"/>
    </row>
    <row r="872" spans="1:28" ht="12.75" x14ac:dyDescent="0.2">
      <c r="A872" s="13"/>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c r="AB872" s="6"/>
    </row>
    <row r="873" spans="1:28" ht="12.75" x14ac:dyDescent="0.2">
      <c r="A873" s="13"/>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c r="AB873" s="6"/>
    </row>
    <row r="874" spans="1:28" ht="12.75" x14ac:dyDescent="0.2">
      <c r="A874" s="13"/>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c r="AB874" s="6"/>
    </row>
    <row r="875" spans="1:28" ht="12.75" x14ac:dyDescent="0.2">
      <c r="A875" s="13"/>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c r="AB875" s="6"/>
    </row>
    <row r="876" spans="1:28" ht="12.75" x14ac:dyDescent="0.2">
      <c r="A876" s="13"/>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c r="AB876" s="6"/>
    </row>
    <row r="877" spans="1:28" ht="12.75" x14ac:dyDescent="0.2">
      <c r="A877" s="13"/>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c r="AB877" s="6"/>
    </row>
    <row r="878" spans="1:28" ht="12.75" x14ac:dyDescent="0.2">
      <c r="A878" s="13"/>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c r="AB878" s="6"/>
    </row>
    <row r="879" spans="1:28" ht="12.75" x14ac:dyDescent="0.2">
      <c r="A879" s="13"/>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c r="AB879" s="6"/>
    </row>
    <row r="880" spans="1:28" ht="12.75" x14ac:dyDescent="0.2">
      <c r="A880" s="13"/>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c r="AB880" s="6"/>
    </row>
    <row r="881" spans="1:28" ht="12.75" x14ac:dyDescent="0.2">
      <c r="A881" s="13"/>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row>
    <row r="882" spans="1:28" ht="12.75" x14ac:dyDescent="0.2">
      <c r="A882" s="13"/>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c r="AB882" s="6"/>
    </row>
    <row r="883" spans="1:28" ht="12.75" x14ac:dyDescent="0.2">
      <c r="A883" s="13"/>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c r="AB883" s="6"/>
    </row>
    <row r="884" spans="1:28" ht="12.75" x14ac:dyDescent="0.2">
      <c r="A884" s="13"/>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c r="AB884" s="6"/>
    </row>
    <row r="885" spans="1:28" ht="12.75" x14ac:dyDescent="0.2">
      <c r="A885" s="13"/>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row>
    <row r="886" spans="1:28" ht="12.75" x14ac:dyDescent="0.2">
      <c r="A886" s="13"/>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c r="AB886" s="6"/>
    </row>
    <row r="887" spans="1:28" ht="12.75" x14ac:dyDescent="0.2">
      <c r="A887" s="13"/>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c r="AB887" s="6"/>
    </row>
    <row r="888" spans="1:28" ht="12.75" x14ac:dyDescent="0.2">
      <c r="A888" s="13"/>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c r="AB888" s="6"/>
    </row>
    <row r="889" spans="1:28" ht="12.75" x14ac:dyDescent="0.2">
      <c r="A889" s="13"/>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row>
    <row r="890" spans="1:28" ht="12.75" x14ac:dyDescent="0.2">
      <c r="A890" s="13"/>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row>
    <row r="891" spans="1:28" ht="12.75" x14ac:dyDescent="0.2">
      <c r="A891" s="13"/>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row>
    <row r="892" spans="1:28" ht="12.75" x14ac:dyDescent="0.2">
      <c r="A892" s="13"/>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row>
    <row r="893" spans="1:28" ht="12.75" x14ac:dyDescent="0.2">
      <c r="A893" s="13"/>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row>
    <row r="894" spans="1:28" ht="12.75" x14ac:dyDescent="0.2">
      <c r="A894" s="13"/>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row>
    <row r="895" spans="1:28" ht="12.75" x14ac:dyDescent="0.2">
      <c r="A895" s="13"/>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row>
    <row r="896" spans="1:28" ht="12.75" x14ac:dyDescent="0.2">
      <c r="A896" s="13"/>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row>
    <row r="897" spans="1:28" ht="12.75" x14ac:dyDescent="0.2">
      <c r="A897" s="13"/>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c r="AB897" s="6"/>
    </row>
    <row r="898" spans="1:28" ht="12.75" x14ac:dyDescent="0.2">
      <c r="A898" s="13"/>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c r="AB898" s="6"/>
    </row>
    <row r="899" spans="1:28" ht="12.75" x14ac:dyDescent="0.2">
      <c r="A899" s="13"/>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c r="AB899" s="6"/>
    </row>
    <row r="900" spans="1:28" ht="12.75" x14ac:dyDescent="0.2">
      <c r="A900" s="13"/>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c r="AB900" s="6"/>
    </row>
    <row r="901" spans="1:28" ht="12.75" x14ac:dyDescent="0.2">
      <c r="A901" s="13"/>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c r="AB901" s="6"/>
    </row>
    <row r="902" spans="1:28" ht="12.75" x14ac:dyDescent="0.2">
      <c r="A902" s="13"/>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c r="AB902" s="6"/>
    </row>
    <row r="903" spans="1:28" ht="12.75" x14ac:dyDescent="0.2">
      <c r="A903" s="13"/>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c r="AB903" s="6"/>
    </row>
    <row r="904" spans="1:28" ht="12.75" x14ac:dyDescent="0.2">
      <c r="A904" s="13"/>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c r="AB904" s="6"/>
    </row>
    <row r="905" spans="1:28" ht="12.75" x14ac:dyDescent="0.2">
      <c r="A905" s="13"/>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c r="AB905" s="6"/>
    </row>
    <row r="906" spans="1:28" ht="12.75" x14ac:dyDescent="0.2">
      <c r="A906" s="13"/>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c r="AB906" s="6"/>
    </row>
    <row r="907" spans="1:28" ht="12.75" x14ac:dyDescent="0.2">
      <c r="A907" s="13"/>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c r="AB907" s="6"/>
    </row>
    <row r="908" spans="1:28" ht="12.75" x14ac:dyDescent="0.2">
      <c r="A908" s="13"/>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c r="AB908" s="6"/>
    </row>
    <row r="909" spans="1:28" ht="12.75" x14ac:dyDescent="0.2">
      <c r="A909" s="13"/>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c r="AB909" s="6"/>
    </row>
    <row r="910" spans="1:28" ht="12.75" x14ac:dyDescent="0.2">
      <c r="A910" s="13"/>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c r="AB910" s="6"/>
    </row>
    <row r="911" spans="1:28" ht="12.75" x14ac:dyDescent="0.2">
      <c r="A911" s="13"/>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c r="AB911" s="6"/>
    </row>
    <row r="912" spans="1:28" ht="12.75" x14ac:dyDescent="0.2">
      <c r="A912" s="13"/>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6"/>
    </row>
    <row r="913" spans="1:28" ht="12.75" x14ac:dyDescent="0.2">
      <c r="A913" s="13"/>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c r="AB913" s="6"/>
    </row>
    <row r="914" spans="1:28" ht="12.75" x14ac:dyDescent="0.2">
      <c r="A914" s="13"/>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c r="AB914" s="6"/>
    </row>
    <row r="915" spans="1:28" ht="12.75" x14ac:dyDescent="0.2">
      <c r="A915" s="13"/>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c r="AB915" s="6"/>
    </row>
    <row r="916" spans="1:28" ht="12.75" x14ac:dyDescent="0.2">
      <c r="A916" s="13"/>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c r="AB916" s="6"/>
    </row>
    <row r="917" spans="1:28" ht="12.75" x14ac:dyDescent="0.2">
      <c r="A917" s="13"/>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c r="AB917" s="6"/>
    </row>
    <row r="918" spans="1:28" ht="12.75" x14ac:dyDescent="0.2">
      <c r="A918" s="13"/>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6"/>
    </row>
    <row r="919" spans="1:28" ht="12.75" x14ac:dyDescent="0.2">
      <c r="A919" s="13"/>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c r="AB919" s="6"/>
    </row>
    <row r="920" spans="1:28" ht="12.75" x14ac:dyDescent="0.2">
      <c r="A920" s="13"/>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c r="AB920" s="6"/>
    </row>
    <row r="921" spans="1:28" ht="12.75" x14ac:dyDescent="0.2">
      <c r="A921" s="13"/>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6"/>
    </row>
    <row r="922" spans="1:28" ht="12.75" x14ac:dyDescent="0.2">
      <c r="A922" s="13"/>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6"/>
    </row>
    <row r="923" spans="1:28" ht="12.75" x14ac:dyDescent="0.2">
      <c r="A923" s="13"/>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6"/>
    </row>
    <row r="924" spans="1:28" ht="12.75" x14ac:dyDescent="0.2">
      <c r="A924" s="13"/>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6"/>
    </row>
    <row r="925" spans="1:28" ht="12.75" x14ac:dyDescent="0.2">
      <c r="A925" s="13"/>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6"/>
    </row>
    <row r="926" spans="1:28" ht="12.75" x14ac:dyDescent="0.2">
      <c r="A926" s="13"/>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6"/>
    </row>
    <row r="927" spans="1:28" ht="12.75" x14ac:dyDescent="0.2">
      <c r="A927" s="13"/>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6"/>
    </row>
    <row r="928" spans="1:28" ht="12.75" x14ac:dyDescent="0.2">
      <c r="A928" s="13"/>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c r="AB928" s="6"/>
    </row>
    <row r="929" spans="1:28" ht="12.75" x14ac:dyDescent="0.2">
      <c r="A929" s="13"/>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c r="AB929" s="6"/>
    </row>
    <row r="930" spans="1:28" ht="12.75" x14ac:dyDescent="0.2">
      <c r="A930" s="13"/>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c r="AB930" s="6"/>
    </row>
    <row r="931" spans="1:28" ht="12.75" x14ac:dyDescent="0.2">
      <c r="A931" s="13"/>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c r="AB931" s="6"/>
    </row>
    <row r="932" spans="1:28" ht="12.75" x14ac:dyDescent="0.2">
      <c r="A932" s="13"/>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c r="AB932" s="6"/>
    </row>
    <row r="933" spans="1:28" ht="12.75" x14ac:dyDescent="0.2">
      <c r="A933" s="13"/>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c r="AB933" s="6"/>
    </row>
    <row r="934" spans="1:28" ht="12.75" x14ac:dyDescent="0.2">
      <c r="A934" s="13"/>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c r="AB934" s="6"/>
    </row>
    <row r="935" spans="1:28" ht="12.75" x14ac:dyDescent="0.2">
      <c r="A935" s="13"/>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c r="AB935" s="6"/>
    </row>
    <row r="936" spans="1:28" ht="12.75" x14ac:dyDescent="0.2">
      <c r="A936" s="13"/>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c r="AB936" s="6"/>
    </row>
    <row r="937" spans="1:28" ht="12.75" x14ac:dyDescent="0.2">
      <c r="A937" s="13"/>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c r="AB937" s="6"/>
    </row>
    <row r="938" spans="1:28" ht="12.75" x14ac:dyDescent="0.2">
      <c r="A938" s="13"/>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c r="AB938" s="6"/>
    </row>
    <row r="939" spans="1:28" ht="12.75" x14ac:dyDescent="0.2">
      <c r="A939" s="13"/>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c r="AB939" s="6"/>
    </row>
    <row r="940" spans="1:28" ht="12.75" x14ac:dyDescent="0.2">
      <c r="A940" s="13"/>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c r="AB940" s="6"/>
    </row>
    <row r="941" spans="1:28" ht="12.75" x14ac:dyDescent="0.2">
      <c r="A941" s="13"/>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c r="AB941" s="6"/>
    </row>
    <row r="942" spans="1:28" ht="12.75" x14ac:dyDescent="0.2">
      <c r="A942" s="13"/>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c r="AB942" s="6"/>
    </row>
    <row r="943" spans="1:28" ht="12.75" x14ac:dyDescent="0.2">
      <c r="A943" s="13"/>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c r="AB943" s="6"/>
    </row>
    <row r="944" spans="1:28" ht="12.75" x14ac:dyDescent="0.2">
      <c r="A944" s="13"/>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c r="AB944" s="6"/>
    </row>
    <row r="945" spans="1:28" ht="12.75" x14ac:dyDescent="0.2">
      <c r="A945" s="13"/>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c r="AB945" s="6"/>
    </row>
    <row r="946" spans="1:28" ht="12.75" x14ac:dyDescent="0.2">
      <c r="A946" s="13"/>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c r="AB946" s="6"/>
    </row>
    <row r="947" spans="1:28" ht="12.75" x14ac:dyDescent="0.2">
      <c r="A947" s="13"/>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c r="AB947" s="6"/>
    </row>
    <row r="948" spans="1:28" ht="12.75" x14ac:dyDescent="0.2">
      <c r="A948" s="13"/>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6"/>
    </row>
    <row r="949" spans="1:28" ht="12.75" x14ac:dyDescent="0.2">
      <c r="A949" s="13"/>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6"/>
    </row>
    <row r="950" spans="1:28" ht="12.75" x14ac:dyDescent="0.2">
      <c r="A950" s="13"/>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c r="AB950" s="6"/>
    </row>
    <row r="951" spans="1:28" ht="12.75" x14ac:dyDescent="0.2">
      <c r="A951" s="13"/>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c r="AB951" s="6"/>
    </row>
    <row r="952" spans="1:28" ht="12.75" x14ac:dyDescent="0.2">
      <c r="A952" s="13"/>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c r="AB952" s="6"/>
    </row>
    <row r="953" spans="1:28" ht="12.75" x14ac:dyDescent="0.2">
      <c r="A953" s="13"/>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c r="AB953" s="6"/>
    </row>
    <row r="954" spans="1:28" ht="12.75" x14ac:dyDescent="0.2">
      <c r="A954" s="13"/>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c r="AB954" s="6"/>
    </row>
    <row r="955" spans="1:28" ht="12.75" x14ac:dyDescent="0.2">
      <c r="A955" s="13"/>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c r="AB955" s="6"/>
    </row>
    <row r="956" spans="1:28" ht="12.75" x14ac:dyDescent="0.2">
      <c r="A956" s="13"/>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c r="AB956" s="6"/>
    </row>
    <row r="957" spans="1:28" ht="12.75" x14ac:dyDescent="0.2">
      <c r="A957" s="13"/>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c r="AB957" s="6"/>
    </row>
    <row r="958" spans="1:28" ht="12.75" x14ac:dyDescent="0.2">
      <c r="A958" s="13"/>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c r="AB958" s="6"/>
    </row>
    <row r="959" spans="1:28" ht="12.75" x14ac:dyDescent="0.2">
      <c r="A959" s="13"/>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c r="AB959" s="6"/>
    </row>
    <row r="960" spans="1:28" ht="12.75" x14ac:dyDescent="0.2">
      <c r="A960" s="13"/>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c r="AB960" s="6"/>
    </row>
    <row r="961" spans="1:28" ht="12.75" x14ac:dyDescent="0.2">
      <c r="A961" s="13"/>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c r="AB961" s="6"/>
    </row>
    <row r="962" spans="1:28" ht="12.75" x14ac:dyDescent="0.2">
      <c r="A962" s="13"/>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c r="AB962" s="6"/>
    </row>
    <row r="963" spans="1:28" ht="12.75" x14ac:dyDescent="0.2">
      <c r="A963" s="13"/>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c r="AB963" s="6"/>
    </row>
    <row r="964" spans="1:28" ht="12.75" x14ac:dyDescent="0.2">
      <c r="A964" s="13"/>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c r="AB964" s="6"/>
    </row>
    <row r="965" spans="1:28" ht="12.75" x14ac:dyDescent="0.2">
      <c r="A965" s="13"/>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c r="AB965" s="6"/>
    </row>
    <row r="966" spans="1:28" ht="12.75" x14ac:dyDescent="0.2">
      <c r="A966" s="13"/>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c r="AB966" s="6"/>
    </row>
    <row r="967" spans="1:28" ht="12.75" x14ac:dyDescent="0.2">
      <c r="A967" s="13"/>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c r="AB967" s="6"/>
    </row>
    <row r="968" spans="1:28" ht="12.75" x14ac:dyDescent="0.2">
      <c r="A968" s="13"/>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row>
    <row r="969" spans="1:28" ht="12.75" x14ac:dyDescent="0.2">
      <c r="A969" s="13"/>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c r="AB969" s="6"/>
    </row>
    <row r="970" spans="1:28" ht="12.75" x14ac:dyDescent="0.2">
      <c r="A970" s="13"/>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c r="AB970" s="6"/>
    </row>
    <row r="971" spans="1:28" ht="12.75" x14ac:dyDescent="0.2">
      <c r="A971" s="13"/>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c r="AB971" s="6"/>
    </row>
    <row r="972" spans="1:28" ht="12.75" x14ac:dyDescent="0.2">
      <c r="A972" s="13"/>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c r="AB972" s="6"/>
    </row>
    <row r="973" spans="1:28" ht="12.75" x14ac:dyDescent="0.2">
      <c r="A973" s="13"/>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c r="AB973" s="6"/>
    </row>
    <row r="974" spans="1:28" ht="12.75" x14ac:dyDescent="0.2">
      <c r="A974" s="13"/>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c r="AB974" s="6"/>
    </row>
    <row r="975" spans="1:28" ht="12.75" x14ac:dyDescent="0.2">
      <c r="A975" s="13"/>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row>
    <row r="976" spans="1:28" ht="12.75" x14ac:dyDescent="0.2">
      <c r="A976" s="13"/>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row>
    <row r="977" spans="1:28" ht="12.75" x14ac:dyDescent="0.2">
      <c r="A977" s="13"/>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c r="AB977" s="6"/>
    </row>
    <row r="978" spans="1:28" ht="12.75" x14ac:dyDescent="0.2">
      <c r="A978" s="13"/>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c r="AB978" s="6"/>
    </row>
    <row r="979" spans="1:28" ht="12.75" x14ac:dyDescent="0.2">
      <c r="A979" s="13"/>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c r="AB979" s="6"/>
    </row>
    <row r="980" spans="1:28" ht="12.75" x14ac:dyDescent="0.2">
      <c r="A980" s="13"/>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c r="AB980" s="6"/>
    </row>
    <row r="981" spans="1:28" ht="12.75" x14ac:dyDescent="0.2">
      <c r="A981" s="13"/>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c r="AB981" s="6"/>
    </row>
    <row r="982" spans="1:28" ht="12.75" x14ac:dyDescent="0.2">
      <c r="A982" s="13"/>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c r="AB982" s="6"/>
    </row>
    <row r="983" spans="1:28" ht="12.75" x14ac:dyDescent="0.2">
      <c r="A983" s="13"/>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c r="AB983" s="6"/>
    </row>
    <row r="984" spans="1:28" ht="12.75" x14ac:dyDescent="0.2">
      <c r="A984" s="13"/>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c r="AB984" s="6"/>
    </row>
    <row r="985" spans="1:28" ht="12.75" x14ac:dyDescent="0.2">
      <c r="A985" s="13"/>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c r="AB985" s="6"/>
    </row>
    <row r="986" spans="1:28" ht="12.75" x14ac:dyDescent="0.2">
      <c r="A986" s="13"/>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c r="AB986" s="6"/>
    </row>
    <row r="987" spans="1:28" ht="12.75" x14ac:dyDescent="0.2">
      <c r="A987" s="13"/>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c r="AB987" s="6"/>
    </row>
    <row r="988" spans="1:28" ht="12.75" x14ac:dyDescent="0.2">
      <c r="A988" s="13"/>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c r="AB988" s="6"/>
    </row>
    <row r="989" spans="1:28" ht="12.75" x14ac:dyDescent="0.2">
      <c r="A989" s="13"/>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c r="AB989" s="6"/>
    </row>
    <row r="990" spans="1:28" ht="12.75" x14ac:dyDescent="0.2">
      <c r="A990" s="13"/>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c r="AB990" s="6"/>
    </row>
    <row r="991" spans="1:28" ht="12.75" x14ac:dyDescent="0.2">
      <c r="A991" s="13"/>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c r="AB991" s="6"/>
    </row>
    <row r="992" spans="1:28" ht="12.75" x14ac:dyDescent="0.2">
      <c r="A992" s="13"/>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c r="AB992" s="6"/>
    </row>
    <row r="993" spans="1:28" ht="12.75" x14ac:dyDescent="0.2">
      <c r="A993" s="13"/>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c r="AB993" s="6"/>
    </row>
    <row r="994" spans="1:28" ht="12.75" x14ac:dyDescent="0.2">
      <c r="A994" s="13"/>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c r="AB994" s="6"/>
    </row>
    <row r="995" spans="1:28" ht="12.75" x14ac:dyDescent="0.2">
      <c r="A995" s="13"/>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c r="AB995" s="6"/>
    </row>
    <row r="996" spans="1:28" ht="12.75" x14ac:dyDescent="0.2">
      <c r="A996" s="13"/>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c r="AB996" s="6"/>
    </row>
    <row r="997" spans="1:28" ht="12.75" x14ac:dyDescent="0.2">
      <c r="A997" s="13"/>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c r="AB997" s="6"/>
    </row>
    <row r="998" spans="1:28" ht="12.75" x14ac:dyDescent="0.2">
      <c r="A998" s="13"/>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c r="AB998" s="6"/>
    </row>
    <row r="999" spans="1:28" ht="12.75" x14ac:dyDescent="0.2">
      <c r="A999" s="13"/>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c r="AB999" s="6"/>
    </row>
    <row r="1000" spans="1:28" ht="12.75" x14ac:dyDescent="0.2">
      <c r="A1000" s="13"/>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c r="AB1000" s="6"/>
    </row>
    <row r="1001" spans="1:28" ht="12.75" x14ac:dyDescent="0.2">
      <c r="A1001" s="13"/>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c r="AA1001" s="6"/>
      <c r="AB1001" s="6"/>
    </row>
    <row r="1002" spans="1:28" ht="12.75" x14ac:dyDescent="0.2">
      <c r="A1002" s="13"/>
      <c r="B1002" s="6"/>
      <c r="C1002" s="6"/>
      <c r="D1002" s="6"/>
      <c r="E1002" s="6"/>
      <c r="F1002" s="6"/>
      <c r="G1002" s="6"/>
      <c r="H1002" s="6"/>
      <c r="I1002" s="6"/>
      <c r="J1002" s="6"/>
      <c r="K1002" s="6"/>
      <c r="L1002" s="6"/>
      <c r="M1002" s="6"/>
      <c r="N1002" s="6"/>
      <c r="O1002" s="6"/>
      <c r="P1002" s="6"/>
      <c r="Q1002" s="6"/>
      <c r="R1002" s="6"/>
      <c r="S1002" s="6"/>
      <c r="T1002" s="6"/>
      <c r="U1002" s="6"/>
      <c r="V1002" s="6"/>
      <c r="W1002" s="6"/>
      <c r="X1002" s="6"/>
      <c r="Y1002" s="6"/>
      <c r="Z1002" s="6"/>
      <c r="AA1002" s="6"/>
      <c r="AB1002" s="6"/>
    </row>
    <row r="1003" spans="1:28" ht="12.75" x14ac:dyDescent="0.2">
      <c r="A1003" s="13"/>
      <c r="B1003" s="6"/>
      <c r="C1003" s="6"/>
      <c r="D1003" s="6"/>
      <c r="E1003" s="6"/>
      <c r="F1003" s="6"/>
      <c r="G1003" s="6"/>
      <c r="H1003" s="6"/>
      <c r="I1003" s="6"/>
      <c r="J1003" s="6"/>
      <c r="K1003" s="6"/>
      <c r="L1003" s="6"/>
      <c r="M1003" s="6"/>
      <c r="N1003" s="6"/>
      <c r="O1003" s="6"/>
      <c r="P1003" s="6"/>
      <c r="Q1003" s="6"/>
      <c r="R1003" s="6"/>
      <c r="S1003" s="6"/>
      <c r="T1003" s="6"/>
      <c r="U1003" s="6"/>
      <c r="V1003" s="6"/>
      <c r="W1003" s="6"/>
      <c r="X1003" s="6"/>
      <c r="Y1003" s="6"/>
      <c r="Z1003" s="6"/>
      <c r="AA1003" s="6"/>
      <c r="AB1003" s="6"/>
    </row>
    <row r="1004" spans="1:28" ht="12.75" x14ac:dyDescent="0.2">
      <c r="A1004" s="13"/>
      <c r="B1004" s="6"/>
      <c r="C1004" s="6"/>
      <c r="D1004" s="6"/>
      <c r="E1004" s="6"/>
      <c r="F1004" s="6"/>
      <c r="G1004" s="6"/>
      <c r="H1004" s="6"/>
      <c r="I1004" s="6"/>
      <c r="J1004" s="6"/>
      <c r="K1004" s="6"/>
      <c r="L1004" s="6"/>
      <c r="M1004" s="6"/>
      <c r="N1004" s="6"/>
      <c r="O1004" s="6"/>
      <c r="P1004" s="6"/>
      <c r="Q1004" s="6"/>
      <c r="R1004" s="6"/>
      <c r="S1004" s="6"/>
      <c r="T1004" s="6"/>
      <c r="U1004" s="6"/>
      <c r="V1004" s="6"/>
      <c r="W1004" s="6"/>
      <c r="X1004" s="6"/>
      <c r="Y1004" s="6"/>
      <c r="Z1004" s="6"/>
      <c r="AA1004" s="6"/>
      <c r="AB1004" s="6"/>
    </row>
    <row r="1005" spans="1:28" ht="12.75" x14ac:dyDescent="0.2">
      <c r="A1005" s="13"/>
      <c r="B1005" s="6"/>
      <c r="C1005" s="6"/>
      <c r="D1005" s="6"/>
      <c r="E1005" s="6"/>
      <c r="F1005" s="6"/>
      <c r="G1005" s="6"/>
      <c r="H1005" s="6"/>
      <c r="I1005" s="6"/>
      <c r="J1005" s="6"/>
      <c r="K1005" s="6"/>
      <c r="L1005" s="6"/>
      <c r="M1005" s="6"/>
      <c r="N1005" s="6"/>
      <c r="O1005" s="6"/>
      <c r="P1005" s="6"/>
      <c r="Q1005" s="6"/>
      <c r="R1005" s="6"/>
      <c r="S1005" s="6"/>
      <c r="T1005" s="6"/>
      <c r="U1005" s="6"/>
      <c r="V1005" s="6"/>
      <c r="W1005" s="6"/>
      <c r="X1005" s="6"/>
      <c r="Y1005" s="6"/>
      <c r="Z1005" s="6"/>
      <c r="AA1005" s="6"/>
      <c r="AB1005" s="6"/>
    </row>
    <row r="1006" spans="1:28" ht="12.75" x14ac:dyDescent="0.2">
      <c r="A1006" s="13"/>
      <c r="B1006" s="6"/>
      <c r="C1006" s="6"/>
      <c r="D1006" s="6"/>
      <c r="E1006" s="6"/>
      <c r="F1006" s="6"/>
      <c r="G1006" s="6"/>
      <c r="H1006" s="6"/>
      <c r="I1006" s="6"/>
      <c r="J1006" s="6"/>
      <c r="K1006" s="6"/>
      <c r="L1006" s="6"/>
      <c r="M1006" s="6"/>
      <c r="N1006" s="6"/>
      <c r="O1006" s="6"/>
      <c r="P1006" s="6"/>
      <c r="Q1006" s="6"/>
      <c r="R1006" s="6"/>
      <c r="S1006" s="6"/>
      <c r="T1006" s="6"/>
      <c r="U1006" s="6"/>
      <c r="V1006" s="6"/>
      <c r="W1006" s="6"/>
      <c r="X1006" s="6"/>
      <c r="Y1006" s="6"/>
      <c r="Z1006" s="6"/>
      <c r="AA1006" s="6"/>
      <c r="AB1006" s="6"/>
    </row>
    <row r="1007" spans="1:28" ht="12.75" x14ac:dyDescent="0.2">
      <c r="A1007" s="13"/>
      <c r="B1007" s="6"/>
      <c r="C1007" s="6"/>
      <c r="D1007" s="6"/>
      <c r="E1007" s="6"/>
      <c r="F1007" s="6"/>
      <c r="G1007" s="6"/>
      <c r="H1007" s="6"/>
      <c r="I1007" s="6"/>
      <c r="J1007" s="6"/>
      <c r="K1007" s="6"/>
      <c r="L1007" s="6"/>
      <c r="M1007" s="6"/>
      <c r="N1007" s="6"/>
      <c r="O1007" s="6"/>
      <c r="P1007" s="6"/>
      <c r="Q1007" s="6"/>
      <c r="R1007" s="6"/>
      <c r="S1007" s="6"/>
      <c r="T1007" s="6"/>
      <c r="U1007" s="6"/>
      <c r="V1007" s="6"/>
      <c r="W1007" s="6"/>
      <c r="X1007" s="6"/>
      <c r="Y1007" s="6"/>
      <c r="Z1007" s="6"/>
      <c r="AA1007" s="6"/>
      <c r="AB1007" s="6"/>
    </row>
    <row r="1008" spans="1:28" ht="12.75" x14ac:dyDescent="0.2">
      <c r="A1008" s="13"/>
      <c r="B1008" s="6"/>
      <c r="C1008" s="6"/>
      <c r="D1008" s="6"/>
      <c r="E1008" s="6"/>
      <c r="F1008" s="6"/>
      <c r="G1008" s="6"/>
      <c r="H1008" s="6"/>
      <c r="I1008" s="6"/>
      <c r="J1008" s="6"/>
      <c r="K1008" s="6"/>
      <c r="L1008" s="6"/>
      <c r="M1008" s="6"/>
      <c r="N1008" s="6"/>
      <c r="O1008" s="6"/>
      <c r="P1008" s="6"/>
      <c r="Q1008" s="6"/>
      <c r="R1008" s="6"/>
      <c r="S1008" s="6"/>
      <c r="T1008" s="6"/>
      <c r="U1008" s="6"/>
      <c r="V1008" s="6"/>
      <c r="W1008" s="6"/>
      <c r="X1008" s="6"/>
      <c r="Y1008" s="6"/>
      <c r="Z1008" s="6"/>
      <c r="AA1008" s="6"/>
      <c r="AB1008" s="6"/>
    </row>
    <row r="1009" spans="1:28" ht="12.75" x14ac:dyDescent="0.2">
      <c r="A1009" s="13"/>
      <c r="B1009" s="6"/>
      <c r="C1009" s="6"/>
      <c r="D1009" s="6"/>
      <c r="E1009" s="6"/>
      <c r="F1009" s="6"/>
      <c r="G1009" s="6"/>
      <c r="H1009" s="6"/>
      <c r="I1009" s="6"/>
      <c r="J1009" s="6"/>
      <c r="K1009" s="6"/>
      <c r="L1009" s="6"/>
      <c r="M1009" s="6"/>
      <c r="N1009" s="6"/>
      <c r="O1009" s="6"/>
      <c r="P1009" s="6"/>
      <c r="Q1009" s="6"/>
      <c r="R1009" s="6"/>
      <c r="S1009" s="6"/>
      <c r="T1009" s="6"/>
      <c r="U1009" s="6"/>
      <c r="V1009" s="6"/>
      <c r="W1009" s="6"/>
      <c r="X1009" s="6"/>
      <c r="Y1009" s="6"/>
      <c r="Z1009" s="6"/>
      <c r="AA1009" s="6"/>
      <c r="AB1009" s="6"/>
    </row>
    <row r="1010" spans="1:28" ht="12.75" x14ac:dyDescent="0.2">
      <c r="A1010" s="13"/>
      <c r="B1010" s="6"/>
      <c r="C1010" s="6"/>
      <c r="D1010" s="6"/>
      <c r="E1010" s="6"/>
      <c r="F1010" s="6"/>
      <c r="G1010" s="6"/>
      <c r="H1010" s="6"/>
      <c r="I1010" s="6"/>
      <c r="J1010" s="6"/>
      <c r="K1010" s="6"/>
      <c r="L1010" s="6"/>
      <c r="M1010" s="6"/>
      <c r="N1010" s="6"/>
      <c r="O1010" s="6"/>
      <c r="P1010" s="6"/>
      <c r="Q1010" s="6"/>
      <c r="R1010" s="6"/>
      <c r="S1010" s="6"/>
      <c r="T1010" s="6"/>
      <c r="U1010" s="6"/>
      <c r="V1010" s="6"/>
      <c r="W1010" s="6"/>
      <c r="X1010" s="6"/>
      <c r="Y1010" s="6"/>
      <c r="Z1010" s="6"/>
      <c r="AA1010" s="6"/>
      <c r="AB1010" s="6"/>
    </row>
    <row r="1011" spans="1:28" ht="12.75" x14ac:dyDescent="0.2">
      <c r="A1011" s="13"/>
      <c r="B1011" s="6"/>
      <c r="C1011" s="6"/>
      <c r="D1011" s="6"/>
      <c r="E1011" s="6"/>
      <c r="F1011" s="6"/>
      <c r="G1011" s="6"/>
      <c r="H1011" s="6"/>
      <c r="I1011" s="6"/>
      <c r="J1011" s="6"/>
      <c r="K1011" s="6"/>
      <c r="L1011" s="6"/>
      <c r="M1011" s="6"/>
      <c r="N1011" s="6"/>
      <c r="O1011" s="6"/>
      <c r="P1011" s="6"/>
      <c r="Q1011" s="6"/>
      <c r="R1011" s="6"/>
      <c r="S1011" s="6"/>
      <c r="T1011" s="6"/>
      <c r="U1011" s="6"/>
      <c r="V1011" s="6"/>
      <c r="W1011" s="6"/>
      <c r="X1011" s="6"/>
      <c r="Y1011" s="6"/>
      <c r="Z1011" s="6"/>
      <c r="AA1011" s="6"/>
      <c r="AB1011" s="6"/>
    </row>
    <row r="1012" spans="1:28" ht="12.75" x14ac:dyDescent="0.2">
      <c r="A1012" s="13"/>
      <c r="B1012" s="6"/>
      <c r="C1012" s="6"/>
      <c r="D1012" s="6"/>
      <c r="E1012" s="6"/>
      <c r="F1012" s="6"/>
      <c r="G1012" s="6"/>
      <c r="H1012" s="6"/>
      <c r="I1012" s="6"/>
      <c r="J1012" s="6"/>
      <c r="K1012" s="6"/>
      <c r="L1012" s="6"/>
      <c r="M1012" s="6"/>
      <c r="N1012" s="6"/>
      <c r="O1012" s="6"/>
      <c r="P1012" s="6"/>
      <c r="Q1012" s="6"/>
      <c r="R1012" s="6"/>
      <c r="S1012" s="6"/>
      <c r="T1012" s="6"/>
      <c r="U1012" s="6"/>
      <c r="V1012" s="6"/>
      <c r="W1012" s="6"/>
      <c r="X1012" s="6"/>
      <c r="Y1012" s="6"/>
      <c r="Z1012" s="6"/>
      <c r="AA1012" s="6"/>
      <c r="AB1012" s="6"/>
    </row>
    <row r="1013" spans="1:28" ht="12.75" x14ac:dyDescent="0.2">
      <c r="A1013" s="13"/>
      <c r="B1013" s="6"/>
      <c r="C1013" s="6"/>
      <c r="D1013" s="6"/>
      <c r="E1013" s="6"/>
      <c r="F1013" s="6"/>
      <c r="G1013" s="6"/>
      <c r="H1013" s="6"/>
      <c r="I1013" s="6"/>
      <c r="J1013" s="6"/>
      <c r="K1013" s="6"/>
      <c r="L1013" s="6"/>
      <c r="M1013" s="6"/>
      <c r="N1013" s="6"/>
      <c r="O1013" s="6"/>
      <c r="P1013" s="6"/>
      <c r="Q1013" s="6"/>
      <c r="R1013" s="6"/>
      <c r="S1013" s="6"/>
      <c r="T1013" s="6"/>
      <c r="U1013" s="6"/>
      <c r="V1013" s="6"/>
      <c r="W1013" s="6"/>
      <c r="X1013" s="6"/>
      <c r="Y1013" s="6"/>
      <c r="Z1013" s="6"/>
      <c r="AA1013" s="6"/>
      <c r="AB1013" s="6"/>
    </row>
    <row r="1014" spans="1:28" ht="12.75" x14ac:dyDescent="0.2">
      <c r="A1014" s="13"/>
      <c r="B1014" s="6"/>
      <c r="C1014" s="6"/>
      <c r="D1014" s="6"/>
      <c r="E1014" s="6"/>
      <c r="F1014" s="6"/>
      <c r="G1014" s="6"/>
      <c r="H1014" s="6"/>
      <c r="I1014" s="6"/>
      <c r="J1014" s="6"/>
      <c r="K1014" s="6"/>
      <c r="L1014" s="6"/>
      <c r="M1014" s="6"/>
      <c r="N1014" s="6"/>
      <c r="O1014" s="6"/>
      <c r="P1014" s="6"/>
      <c r="Q1014" s="6"/>
      <c r="R1014" s="6"/>
      <c r="S1014" s="6"/>
      <c r="T1014" s="6"/>
      <c r="U1014" s="6"/>
      <c r="V1014" s="6"/>
      <c r="W1014" s="6"/>
      <c r="X1014" s="6"/>
      <c r="Y1014" s="6"/>
      <c r="Z1014" s="6"/>
      <c r="AA1014" s="6"/>
      <c r="AB1014" s="6"/>
    </row>
    <row r="1015" spans="1:28" ht="12.75" x14ac:dyDescent="0.2">
      <c r="A1015" s="13"/>
      <c r="B1015" s="6"/>
      <c r="C1015" s="6"/>
      <c r="D1015" s="6"/>
      <c r="E1015" s="6"/>
      <c r="F1015" s="6"/>
      <c r="G1015" s="6"/>
      <c r="H1015" s="6"/>
      <c r="I1015" s="6"/>
      <c r="J1015" s="6"/>
      <c r="K1015" s="6"/>
      <c r="L1015" s="6"/>
      <c r="M1015" s="6"/>
      <c r="N1015" s="6"/>
      <c r="O1015" s="6"/>
      <c r="P1015" s="6"/>
      <c r="Q1015" s="6"/>
      <c r="R1015" s="6"/>
      <c r="S1015" s="6"/>
      <c r="T1015" s="6"/>
      <c r="U1015" s="6"/>
      <c r="V1015" s="6"/>
      <c r="W1015" s="6"/>
      <c r="X1015" s="6"/>
      <c r="Y1015" s="6"/>
      <c r="Z1015" s="6"/>
      <c r="AA1015" s="6"/>
      <c r="AB1015" s="6"/>
    </row>
    <row r="1016" spans="1:28" ht="12.75" x14ac:dyDescent="0.2">
      <c r="A1016" s="13"/>
      <c r="B1016" s="6"/>
      <c r="C1016" s="6"/>
      <c r="D1016" s="6"/>
      <c r="E1016" s="6"/>
      <c r="F1016" s="6"/>
      <c r="G1016" s="6"/>
      <c r="H1016" s="6"/>
      <c r="I1016" s="6"/>
      <c r="J1016" s="6"/>
      <c r="K1016" s="6"/>
      <c r="L1016" s="6"/>
      <c r="M1016" s="6"/>
      <c r="N1016" s="6"/>
      <c r="O1016" s="6"/>
      <c r="P1016" s="6"/>
      <c r="Q1016" s="6"/>
      <c r="R1016" s="6"/>
      <c r="S1016" s="6"/>
      <c r="T1016" s="6"/>
      <c r="U1016" s="6"/>
      <c r="V1016" s="6"/>
      <c r="W1016" s="6"/>
      <c r="X1016" s="6"/>
      <c r="Y1016" s="6"/>
      <c r="Z1016" s="6"/>
      <c r="AA1016" s="6"/>
      <c r="AB1016" s="6"/>
    </row>
    <row r="1017" spans="1:28" ht="12.75" x14ac:dyDescent="0.2">
      <c r="A1017" s="13"/>
      <c r="B1017" s="6"/>
      <c r="C1017" s="6"/>
      <c r="D1017" s="6"/>
      <c r="E1017" s="6"/>
      <c r="F1017" s="6"/>
      <c r="G1017" s="6"/>
      <c r="H1017" s="6"/>
      <c r="I1017" s="6"/>
      <c r="J1017" s="6"/>
      <c r="K1017" s="6"/>
      <c r="L1017" s="6"/>
      <c r="M1017" s="6"/>
      <c r="N1017" s="6"/>
      <c r="O1017" s="6"/>
      <c r="P1017" s="6"/>
      <c r="Q1017" s="6"/>
      <c r="R1017" s="6"/>
      <c r="S1017" s="6"/>
      <c r="T1017" s="6"/>
      <c r="U1017" s="6"/>
      <c r="V1017" s="6"/>
      <c r="W1017" s="6"/>
      <c r="X1017" s="6"/>
      <c r="Y1017" s="6"/>
      <c r="Z1017" s="6"/>
      <c r="AA1017" s="6"/>
      <c r="AB1017" s="6"/>
    </row>
    <row r="1018" spans="1:28" ht="12.75" x14ac:dyDescent="0.2">
      <c r="A1018" s="13"/>
      <c r="B1018" s="6"/>
      <c r="C1018" s="6"/>
      <c r="D1018" s="6"/>
      <c r="E1018" s="6"/>
      <c r="F1018" s="6"/>
      <c r="G1018" s="6"/>
      <c r="H1018" s="6"/>
      <c r="I1018" s="6"/>
      <c r="J1018" s="6"/>
      <c r="K1018" s="6"/>
      <c r="L1018" s="6"/>
      <c r="M1018" s="6"/>
      <c r="N1018" s="6"/>
      <c r="O1018" s="6"/>
      <c r="P1018" s="6"/>
      <c r="Q1018" s="6"/>
      <c r="R1018" s="6"/>
      <c r="S1018" s="6"/>
      <c r="T1018" s="6"/>
      <c r="U1018" s="6"/>
      <c r="V1018" s="6"/>
      <c r="W1018" s="6"/>
      <c r="X1018" s="6"/>
      <c r="Y1018" s="6"/>
      <c r="Z1018" s="6"/>
      <c r="AA1018" s="6"/>
      <c r="AB1018" s="6"/>
    </row>
    <row r="1019" spans="1:28" ht="12.75" x14ac:dyDescent="0.2">
      <c r="A1019" s="13"/>
      <c r="B1019" s="6"/>
      <c r="C1019" s="6"/>
      <c r="D1019" s="6"/>
      <c r="E1019" s="6"/>
      <c r="F1019" s="6"/>
      <c r="G1019" s="6"/>
      <c r="H1019" s="6"/>
      <c r="I1019" s="6"/>
      <c r="J1019" s="6"/>
      <c r="K1019" s="6"/>
      <c r="L1019" s="6"/>
      <c r="M1019" s="6"/>
      <c r="N1019" s="6"/>
      <c r="O1019" s="6"/>
      <c r="P1019" s="6"/>
      <c r="Q1019" s="6"/>
      <c r="R1019" s="6"/>
      <c r="S1019" s="6"/>
      <c r="T1019" s="6"/>
      <c r="U1019" s="6"/>
      <c r="V1019" s="6"/>
      <c r="W1019" s="6"/>
      <c r="X1019" s="6"/>
      <c r="Y1019" s="6"/>
      <c r="Z1019" s="6"/>
      <c r="AA1019" s="6"/>
      <c r="AB1019" s="6"/>
    </row>
    <row r="1020" spans="1:28" ht="12.75" x14ac:dyDescent="0.2">
      <c r="A1020" s="13"/>
      <c r="B1020" s="6"/>
      <c r="C1020" s="6"/>
      <c r="D1020" s="6"/>
      <c r="E1020" s="6"/>
      <c r="F1020" s="6"/>
      <c r="G1020" s="6"/>
      <c r="H1020" s="6"/>
      <c r="I1020" s="6"/>
      <c r="J1020" s="6"/>
      <c r="K1020" s="6"/>
      <c r="L1020" s="6"/>
      <c r="M1020" s="6"/>
      <c r="N1020" s="6"/>
      <c r="O1020" s="6"/>
      <c r="P1020" s="6"/>
      <c r="Q1020" s="6"/>
      <c r="R1020" s="6"/>
      <c r="S1020" s="6"/>
      <c r="T1020" s="6"/>
      <c r="U1020" s="6"/>
      <c r="V1020" s="6"/>
      <c r="W1020" s="6"/>
      <c r="X1020" s="6"/>
      <c r="Y1020" s="6"/>
      <c r="Z1020" s="6"/>
      <c r="AA1020" s="6"/>
      <c r="AB1020" s="6"/>
    </row>
    <row r="1021" spans="1:28" ht="12.75" x14ac:dyDescent="0.2">
      <c r="A1021" s="13"/>
      <c r="B1021" s="6"/>
      <c r="C1021" s="6"/>
      <c r="D1021" s="6"/>
      <c r="E1021" s="6"/>
      <c r="F1021" s="6"/>
      <c r="G1021" s="6"/>
      <c r="H1021" s="6"/>
      <c r="I1021" s="6"/>
      <c r="J1021" s="6"/>
      <c r="K1021" s="6"/>
      <c r="L1021" s="6"/>
      <c r="M1021" s="6"/>
      <c r="N1021" s="6"/>
      <c r="O1021" s="6"/>
      <c r="P1021" s="6"/>
      <c r="Q1021" s="6"/>
      <c r="R1021" s="6"/>
      <c r="S1021" s="6"/>
      <c r="T1021" s="6"/>
      <c r="U1021" s="6"/>
      <c r="V1021" s="6"/>
      <c r="W1021" s="6"/>
      <c r="X1021" s="6"/>
      <c r="Y1021" s="6"/>
      <c r="Z1021" s="6"/>
      <c r="AA1021" s="6"/>
      <c r="AB1021" s="6"/>
    </row>
    <row r="1022" spans="1:28" ht="12.75" x14ac:dyDescent="0.2">
      <c r="A1022" s="13"/>
      <c r="B1022" s="6"/>
      <c r="C1022" s="6"/>
      <c r="D1022" s="6"/>
      <c r="E1022" s="6"/>
      <c r="F1022" s="6"/>
      <c r="G1022" s="6"/>
      <c r="H1022" s="6"/>
      <c r="I1022" s="6"/>
      <c r="J1022" s="6"/>
      <c r="K1022" s="6"/>
      <c r="L1022" s="6"/>
      <c r="M1022" s="6"/>
      <c r="N1022" s="6"/>
      <c r="O1022" s="6"/>
      <c r="P1022" s="6"/>
      <c r="Q1022" s="6"/>
      <c r="R1022" s="6"/>
      <c r="S1022" s="6"/>
      <c r="T1022" s="6"/>
      <c r="U1022" s="6"/>
      <c r="V1022" s="6"/>
      <c r="W1022" s="6"/>
      <c r="X1022" s="6"/>
      <c r="Y1022" s="6"/>
      <c r="Z1022" s="6"/>
      <c r="AA1022" s="6"/>
      <c r="AB1022" s="6"/>
    </row>
    <row r="1023" spans="1:28" ht="12.75" x14ac:dyDescent="0.2">
      <c r="A1023" s="13"/>
      <c r="B1023" s="6"/>
      <c r="C1023" s="6"/>
      <c r="D1023" s="6"/>
      <c r="E1023" s="6"/>
      <c r="F1023" s="6"/>
      <c r="G1023" s="6"/>
      <c r="H1023" s="6"/>
      <c r="I1023" s="6"/>
      <c r="J1023" s="6"/>
      <c r="K1023" s="6"/>
      <c r="L1023" s="6"/>
      <c r="M1023" s="6"/>
      <c r="N1023" s="6"/>
      <c r="O1023" s="6"/>
      <c r="P1023" s="6"/>
      <c r="Q1023" s="6"/>
      <c r="R1023" s="6"/>
      <c r="S1023" s="6"/>
      <c r="T1023" s="6"/>
      <c r="U1023" s="6"/>
      <c r="V1023" s="6"/>
      <c r="W1023" s="6"/>
      <c r="X1023" s="6"/>
      <c r="Y1023" s="6"/>
      <c r="Z1023" s="6"/>
      <c r="AA1023" s="6"/>
      <c r="AB1023" s="6"/>
    </row>
    <row r="1024" spans="1:28" ht="12.75" x14ac:dyDescent="0.2">
      <c r="A1024" s="13"/>
      <c r="B1024" s="6"/>
      <c r="C1024" s="6"/>
      <c r="D1024" s="6"/>
      <c r="E1024" s="6"/>
      <c r="F1024" s="6"/>
      <c r="G1024" s="6"/>
      <c r="H1024" s="6"/>
      <c r="I1024" s="6"/>
      <c r="J1024" s="6"/>
      <c r="K1024" s="6"/>
      <c r="L1024" s="6"/>
      <c r="M1024" s="6"/>
      <c r="N1024" s="6"/>
      <c r="O1024" s="6"/>
      <c r="P1024" s="6"/>
      <c r="Q1024" s="6"/>
      <c r="R1024" s="6"/>
      <c r="S1024" s="6"/>
      <c r="T1024" s="6"/>
      <c r="U1024" s="6"/>
      <c r="V1024" s="6"/>
      <c r="W1024" s="6"/>
      <c r="X1024" s="6"/>
      <c r="Y1024" s="6"/>
      <c r="Z1024" s="6"/>
      <c r="AA1024" s="6"/>
      <c r="AB1024" s="6"/>
    </row>
    <row r="1025" spans="1:28" ht="12.75" x14ac:dyDescent="0.2">
      <c r="A1025" s="13"/>
      <c r="B1025" s="6"/>
      <c r="C1025" s="6"/>
      <c r="D1025" s="6"/>
      <c r="E1025" s="6"/>
      <c r="F1025" s="6"/>
      <c r="G1025" s="6"/>
      <c r="H1025" s="6"/>
      <c r="I1025" s="6"/>
      <c r="J1025" s="6"/>
      <c r="K1025" s="6"/>
      <c r="L1025" s="6"/>
      <c r="M1025" s="6"/>
      <c r="N1025" s="6"/>
      <c r="O1025" s="6"/>
      <c r="P1025" s="6"/>
      <c r="Q1025" s="6"/>
      <c r="R1025" s="6"/>
      <c r="S1025" s="6"/>
      <c r="T1025" s="6"/>
      <c r="U1025" s="6"/>
      <c r="V1025" s="6"/>
      <c r="W1025" s="6"/>
      <c r="X1025" s="6"/>
      <c r="Y1025" s="6"/>
      <c r="Z1025" s="6"/>
      <c r="AA1025" s="6"/>
      <c r="AB1025" s="6"/>
    </row>
    <row r="1026" spans="1:28" ht="12.75" x14ac:dyDescent="0.2">
      <c r="A1026" s="13"/>
      <c r="B1026" s="6"/>
      <c r="C1026" s="6"/>
      <c r="D1026" s="6"/>
      <c r="E1026" s="6"/>
      <c r="F1026" s="6"/>
      <c r="G1026" s="6"/>
      <c r="H1026" s="6"/>
      <c r="I1026" s="6"/>
      <c r="J1026" s="6"/>
      <c r="K1026" s="6"/>
      <c r="L1026" s="6"/>
      <c r="M1026" s="6"/>
      <c r="N1026" s="6"/>
      <c r="O1026" s="6"/>
      <c r="P1026" s="6"/>
      <c r="Q1026" s="6"/>
      <c r="R1026" s="6"/>
      <c r="S1026" s="6"/>
      <c r="T1026" s="6"/>
      <c r="U1026" s="6"/>
      <c r="V1026" s="6"/>
      <c r="W1026" s="6"/>
      <c r="X1026" s="6"/>
      <c r="Y1026" s="6"/>
      <c r="Z1026" s="6"/>
      <c r="AA1026" s="6"/>
      <c r="AB1026" s="6"/>
    </row>
    <row r="1027" spans="1:28" ht="12.75" x14ac:dyDescent="0.2">
      <c r="A1027" s="13"/>
      <c r="B1027" s="6"/>
      <c r="C1027" s="6"/>
      <c r="D1027" s="6"/>
      <c r="E1027" s="6"/>
      <c r="F1027" s="6"/>
      <c r="G1027" s="6"/>
      <c r="H1027" s="6"/>
      <c r="I1027" s="6"/>
      <c r="J1027" s="6"/>
      <c r="K1027" s="6"/>
      <c r="L1027" s="6"/>
      <c r="M1027" s="6"/>
      <c r="N1027" s="6"/>
      <c r="O1027" s="6"/>
      <c r="P1027" s="6"/>
      <c r="Q1027" s="6"/>
      <c r="R1027" s="6"/>
      <c r="S1027" s="6"/>
      <c r="T1027" s="6"/>
      <c r="U1027" s="6"/>
      <c r="V1027" s="6"/>
      <c r="W1027" s="6"/>
      <c r="X1027" s="6"/>
      <c r="Y1027" s="6"/>
      <c r="Z1027" s="6"/>
      <c r="AA1027" s="6"/>
      <c r="AB1027" s="6"/>
    </row>
    <row r="1028" spans="1:28" ht="12.75" x14ac:dyDescent="0.2">
      <c r="A1028" s="13"/>
      <c r="B1028" s="6"/>
      <c r="C1028" s="6"/>
      <c r="D1028" s="6"/>
      <c r="E1028" s="6"/>
      <c r="F1028" s="6"/>
      <c r="G1028" s="6"/>
      <c r="H1028" s="6"/>
      <c r="I1028" s="6"/>
      <c r="J1028" s="6"/>
      <c r="K1028" s="6"/>
      <c r="L1028" s="6"/>
      <c r="M1028" s="6"/>
      <c r="N1028" s="6"/>
      <c r="O1028" s="6"/>
      <c r="P1028" s="6"/>
      <c r="Q1028" s="6"/>
      <c r="R1028" s="6"/>
      <c r="S1028" s="6"/>
      <c r="T1028" s="6"/>
      <c r="U1028" s="6"/>
      <c r="V1028" s="6"/>
      <c r="W1028" s="6"/>
      <c r="X1028" s="6"/>
      <c r="Y1028" s="6"/>
      <c r="Z1028" s="6"/>
      <c r="AA1028" s="6"/>
      <c r="AB1028" s="6"/>
    </row>
    <row r="1029" spans="1:28" ht="12.75" x14ac:dyDescent="0.2">
      <c r="A1029" s="13"/>
      <c r="B1029" s="6"/>
      <c r="C1029" s="6"/>
      <c r="D1029" s="6"/>
      <c r="E1029" s="6"/>
      <c r="F1029" s="6"/>
      <c r="G1029" s="6"/>
      <c r="H1029" s="6"/>
      <c r="I1029" s="6"/>
      <c r="J1029" s="6"/>
      <c r="K1029" s="6"/>
      <c r="L1029" s="6"/>
      <c r="M1029" s="6"/>
      <c r="N1029" s="6"/>
      <c r="O1029" s="6"/>
      <c r="P1029" s="6"/>
      <c r="Q1029" s="6"/>
      <c r="R1029" s="6"/>
      <c r="S1029" s="6"/>
      <c r="T1029" s="6"/>
      <c r="U1029" s="6"/>
      <c r="V1029" s="6"/>
      <c r="W1029" s="6"/>
      <c r="X1029" s="6"/>
      <c r="Y1029" s="6"/>
      <c r="Z1029" s="6"/>
      <c r="AA1029" s="6"/>
      <c r="AB1029" s="6"/>
    </row>
    <row r="1030" spans="1:28" ht="12.75" x14ac:dyDescent="0.2">
      <c r="A1030" s="13"/>
      <c r="B1030" s="6"/>
      <c r="C1030" s="6"/>
      <c r="D1030" s="6"/>
      <c r="E1030" s="6"/>
      <c r="F1030" s="6"/>
      <c r="G1030" s="6"/>
      <c r="H1030" s="6"/>
      <c r="I1030" s="6"/>
      <c r="J1030" s="6"/>
      <c r="K1030" s="6"/>
      <c r="L1030" s="6"/>
      <c r="M1030" s="6"/>
      <c r="N1030" s="6"/>
      <c r="O1030" s="6"/>
      <c r="P1030" s="6"/>
      <c r="Q1030" s="6"/>
      <c r="R1030" s="6"/>
      <c r="S1030" s="6"/>
      <c r="T1030" s="6"/>
      <c r="U1030" s="6"/>
      <c r="V1030" s="6"/>
      <c r="W1030" s="6"/>
      <c r="X1030" s="6"/>
      <c r="Y1030" s="6"/>
      <c r="Z1030" s="6"/>
      <c r="AA1030" s="6"/>
      <c r="AB1030" s="6"/>
    </row>
    <row r="1031" spans="1:28" ht="12.75" x14ac:dyDescent="0.2">
      <c r="A1031" s="13"/>
      <c r="B1031" s="6"/>
      <c r="C1031" s="6"/>
      <c r="D1031" s="6"/>
      <c r="E1031" s="6"/>
      <c r="F1031" s="6"/>
      <c r="G1031" s="6"/>
      <c r="H1031" s="6"/>
      <c r="I1031" s="6"/>
      <c r="J1031" s="6"/>
      <c r="K1031" s="6"/>
      <c r="L1031" s="6"/>
      <c r="M1031" s="6"/>
      <c r="N1031" s="6"/>
      <c r="O1031" s="6"/>
      <c r="P1031" s="6"/>
      <c r="Q1031" s="6"/>
      <c r="R1031" s="6"/>
      <c r="S1031" s="6"/>
      <c r="T1031" s="6"/>
      <c r="U1031" s="6"/>
      <c r="V1031" s="6"/>
      <c r="W1031" s="6"/>
      <c r="X1031" s="6"/>
      <c r="Y1031" s="6"/>
      <c r="Z1031" s="6"/>
      <c r="AA1031" s="6"/>
      <c r="AB1031" s="6"/>
    </row>
    <row r="1032" spans="1:28" ht="12.75" x14ac:dyDescent="0.2">
      <c r="A1032" s="13"/>
      <c r="B1032" s="6"/>
      <c r="C1032" s="6"/>
      <c r="D1032" s="6"/>
      <c r="E1032" s="6"/>
      <c r="F1032" s="6"/>
      <c r="G1032" s="6"/>
      <c r="H1032" s="6"/>
      <c r="I1032" s="6"/>
      <c r="J1032" s="6"/>
      <c r="K1032" s="6"/>
      <c r="L1032" s="6"/>
      <c r="M1032" s="6"/>
      <c r="N1032" s="6"/>
      <c r="O1032" s="6"/>
      <c r="P1032" s="6"/>
      <c r="Q1032" s="6"/>
      <c r="R1032" s="6"/>
      <c r="S1032" s="6"/>
      <c r="T1032" s="6"/>
      <c r="U1032" s="6"/>
      <c r="V1032" s="6"/>
      <c r="W1032" s="6"/>
      <c r="X1032" s="6"/>
      <c r="Y1032" s="6"/>
      <c r="Z1032" s="6"/>
      <c r="AA1032" s="6"/>
      <c r="AB1032" s="6"/>
    </row>
    <row r="1033" spans="1:28" ht="12.75" x14ac:dyDescent="0.2">
      <c r="A1033" s="13"/>
      <c r="B1033" s="6"/>
      <c r="C1033" s="6"/>
      <c r="D1033" s="6"/>
      <c r="E1033" s="6"/>
      <c r="F1033" s="6"/>
      <c r="G1033" s="6"/>
      <c r="H1033" s="6"/>
      <c r="I1033" s="6"/>
      <c r="J1033" s="6"/>
      <c r="K1033" s="6"/>
      <c r="L1033" s="6"/>
      <c r="M1033" s="6"/>
      <c r="N1033" s="6"/>
      <c r="O1033" s="6"/>
      <c r="P1033" s="6"/>
      <c r="Q1033" s="6"/>
      <c r="R1033" s="6"/>
      <c r="S1033" s="6"/>
      <c r="T1033" s="6"/>
      <c r="U1033" s="6"/>
      <c r="V1033" s="6"/>
      <c r="W1033" s="6"/>
      <c r="X1033" s="6"/>
      <c r="Y1033" s="6"/>
      <c r="Z1033" s="6"/>
      <c r="AA1033" s="6"/>
      <c r="AB1033" s="6"/>
    </row>
    <row r="1034" spans="1:28" ht="12.75" x14ac:dyDescent="0.2">
      <c r="A1034" s="13"/>
      <c r="B1034" s="6"/>
      <c r="C1034" s="6"/>
      <c r="D1034" s="6"/>
      <c r="E1034" s="6"/>
      <c r="F1034" s="6"/>
      <c r="G1034" s="6"/>
      <c r="H1034" s="6"/>
      <c r="I1034" s="6"/>
      <c r="J1034" s="6"/>
      <c r="K1034" s="6"/>
      <c r="L1034" s="6"/>
      <c r="M1034" s="6"/>
      <c r="N1034" s="6"/>
      <c r="O1034" s="6"/>
      <c r="P1034" s="6"/>
      <c r="Q1034" s="6"/>
      <c r="R1034" s="6"/>
      <c r="S1034" s="6"/>
      <c r="T1034" s="6"/>
      <c r="U1034" s="6"/>
      <c r="V1034" s="6"/>
      <c r="W1034" s="6"/>
      <c r="X1034" s="6"/>
      <c r="Y1034" s="6"/>
      <c r="Z1034" s="6"/>
      <c r="AA1034" s="6"/>
      <c r="AB1034" s="6"/>
    </row>
    <row r="1035" spans="1:28" ht="12.75" x14ac:dyDescent="0.2">
      <c r="A1035" s="13"/>
      <c r="B1035" s="6"/>
      <c r="C1035" s="6"/>
      <c r="D1035" s="6"/>
      <c r="E1035" s="6"/>
      <c r="F1035" s="6"/>
      <c r="G1035" s="6"/>
      <c r="H1035" s="6"/>
      <c r="I1035" s="6"/>
      <c r="J1035" s="6"/>
      <c r="K1035" s="6"/>
      <c r="L1035" s="6"/>
      <c r="M1035" s="6"/>
      <c r="N1035" s="6"/>
      <c r="O1035" s="6"/>
      <c r="P1035" s="6"/>
      <c r="Q1035" s="6"/>
      <c r="R1035" s="6"/>
      <c r="S1035" s="6"/>
      <c r="T1035" s="6"/>
      <c r="U1035" s="6"/>
      <c r="V1035" s="6"/>
      <c r="W1035" s="6"/>
      <c r="X1035" s="6"/>
      <c r="Y1035" s="6"/>
      <c r="Z1035" s="6"/>
      <c r="AA1035" s="6"/>
      <c r="AB1035" s="6"/>
    </row>
    <row r="1036" spans="1:28" ht="12.75" x14ac:dyDescent="0.2">
      <c r="A1036" s="13"/>
      <c r="B1036" s="6"/>
      <c r="C1036" s="6"/>
      <c r="D1036" s="6"/>
      <c r="E1036" s="6"/>
      <c r="F1036" s="6"/>
      <c r="G1036" s="6"/>
      <c r="H1036" s="6"/>
      <c r="I1036" s="6"/>
      <c r="J1036" s="6"/>
      <c r="K1036" s="6"/>
      <c r="L1036" s="6"/>
      <c r="M1036" s="6"/>
      <c r="N1036" s="6"/>
      <c r="O1036" s="6"/>
      <c r="P1036" s="6"/>
      <c r="Q1036" s="6"/>
      <c r="R1036" s="6"/>
      <c r="S1036" s="6"/>
      <c r="T1036" s="6"/>
      <c r="U1036" s="6"/>
      <c r="V1036" s="6"/>
      <c r="W1036" s="6"/>
      <c r="X1036" s="6"/>
      <c r="Y1036" s="6"/>
      <c r="Z1036" s="6"/>
      <c r="AA1036" s="6"/>
      <c r="AB1036" s="6"/>
    </row>
    <row r="1037" spans="1:28" ht="12.75" x14ac:dyDescent="0.2">
      <c r="A1037" s="13"/>
      <c r="B1037" s="6"/>
      <c r="C1037" s="6"/>
      <c r="D1037" s="6"/>
      <c r="E1037" s="6"/>
      <c r="F1037" s="6"/>
      <c r="G1037" s="6"/>
      <c r="H1037" s="6"/>
      <c r="I1037" s="6"/>
      <c r="J1037" s="6"/>
      <c r="K1037" s="6"/>
      <c r="L1037" s="6"/>
      <c r="M1037" s="6"/>
      <c r="N1037" s="6"/>
      <c r="O1037" s="6"/>
      <c r="P1037" s="6"/>
      <c r="Q1037" s="6"/>
      <c r="R1037" s="6"/>
      <c r="S1037" s="6"/>
      <c r="T1037" s="6"/>
      <c r="U1037" s="6"/>
      <c r="V1037" s="6"/>
      <c r="W1037" s="6"/>
      <c r="X1037" s="6"/>
      <c r="Y1037" s="6"/>
      <c r="Z1037" s="6"/>
      <c r="AA1037" s="6"/>
      <c r="AB1037" s="6"/>
    </row>
    <row r="1038" spans="1:28" ht="12.75" x14ac:dyDescent="0.2">
      <c r="A1038" s="13"/>
      <c r="B1038" s="6"/>
      <c r="C1038" s="6"/>
      <c r="D1038" s="6"/>
      <c r="E1038" s="6"/>
      <c r="F1038" s="6"/>
      <c r="G1038" s="6"/>
      <c r="H1038" s="6"/>
      <c r="I1038" s="6"/>
      <c r="J1038" s="6"/>
      <c r="K1038" s="6"/>
      <c r="L1038" s="6"/>
      <c r="M1038" s="6"/>
      <c r="N1038" s="6"/>
      <c r="O1038" s="6"/>
      <c r="P1038" s="6"/>
      <c r="Q1038" s="6"/>
      <c r="R1038" s="6"/>
      <c r="S1038" s="6"/>
      <c r="T1038" s="6"/>
      <c r="U1038" s="6"/>
      <c r="V1038" s="6"/>
      <c r="W1038" s="6"/>
      <c r="X1038" s="6"/>
      <c r="Y1038" s="6"/>
      <c r="Z1038" s="6"/>
      <c r="AA1038" s="6"/>
      <c r="AB1038" s="6"/>
    </row>
    <row r="1039" spans="1:28" ht="12.75" x14ac:dyDescent="0.2">
      <c r="A1039" s="13"/>
      <c r="B1039" s="6"/>
      <c r="C1039" s="6"/>
      <c r="D1039" s="6"/>
      <c r="E1039" s="6"/>
      <c r="F1039" s="6"/>
      <c r="G1039" s="6"/>
      <c r="H1039" s="6"/>
      <c r="I1039" s="6"/>
      <c r="J1039" s="6"/>
      <c r="K1039" s="6"/>
      <c r="L1039" s="6"/>
      <c r="M1039" s="6"/>
      <c r="N1039" s="6"/>
      <c r="O1039" s="6"/>
      <c r="P1039" s="6"/>
      <c r="Q1039" s="6"/>
      <c r="R1039" s="6"/>
      <c r="S1039" s="6"/>
      <c r="T1039" s="6"/>
      <c r="U1039" s="6"/>
      <c r="V1039" s="6"/>
      <c r="W1039" s="6"/>
      <c r="X1039" s="6"/>
      <c r="Y1039" s="6"/>
      <c r="Z1039" s="6"/>
      <c r="AA1039" s="6"/>
      <c r="AB1039" s="6"/>
    </row>
    <row r="1040" spans="1:28" ht="12.75" x14ac:dyDescent="0.2">
      <c r="A1040" s="13"/>
      <c r="B1040" s="6"/>
      <c r="C1040" s="6"/>
      <c r="D1040" s="6"/>
      <c r="E1040" s="6"/>
      <c r="F1040" s="6"/>
      <c r="G1040" s="6"/>
      <c r="H1040" s="6"/>
      <c r="I1040" s="6"/>
      <c r="J1040" s="6"/>
      <c r="K1040" s="6"/>
      <c r="L1040" s="6"/>
      <c r="M1040" s="6"/>
      <c r="N1040" s="6"/>
      <c r="O1040" s="6"/>
      <c r="P1040" s="6"/>
      <c r="Q1040" s="6"/>
      <c r="R1040" s="6"/>
      <c r="S1040" s="6"/>
      <c r="T1040" s="6"/>
      <c r="U1040" s="6"/>
      <c r="V1040" s="6"/>
      <c r="W1040" s="6"/>
      <c r="X1040" s="6"/>
      <c r="Y1040" s="6"/>
      <c r="Z1040" s="6"/>
      <c r="AA1040" s="6"/>
      <c r="AB1040" s="6"/>
    </row>
    <row r="1041" spans="1:28" ht="12.75" x14ac:dyDescent="0.2">
      <c r="A1041" s="13"/>
      <c r="B1041" s="6"/>
      <c r="C1041" s="6"/>
      <c r="D1041" s="6"/>
      <c r="E1041" s="6"/>
      <c r="F1041" s="6"/>
      <c r="G1041" s="6"/>
      <c r="H1041" s="6"/>
      <c r="I1041" s="6"/>
      <c r="J1041" s="6"/>
      <c r="K1041" s="6"/>
      <c r="L1041" s="6"/>
      <c r="M1041" s="6"/>
      <c r="N1041" s="6"/>
      <c r="O1041" s="6"/>
      <c r="P1041" s="6"/>
      <c r="Q1041" s="6"/>
      <c r="R1041" s="6"/>
      <c r="S1041" s="6"/>
      <c r="T1041" s="6"/>
      <c r="U1041" s="6"/>
      <c r="V1041" s="6"/>
      <c r="W1041" s="6"/>
      <c r="X1041" s="6"/>
      <c r="Y1041" s="6"/>
      <c r="Z1041" s="6"/>
      <c r="AA1041" s="6"/>
      <c r="AB1041" s="6"/>
    </row>
    <row r="1042" spans="1:28" ht="12.75" x14ac:dyDescent="0.2">
      <c r="A1042" s="13"/>
      <c r="B1042" s="6"/>
      <c r="C1042" s="6"/>
      <c r="D1042" s="6"/>
      <c r="E1042" s="6"/>
      <c r="F1042" s="6"/>
      <c r="G1042" s="6"/>
      <c r="H1042" s="6"/>
      <c r="I1042" s="6"/>
      <c r="J1042" s="6"/>
      <c r="K1042" s="6"/>
      <c r="L1042" s="6"/>
      <c r="M1042" s="6"/>
      <c r="N1042" s="6"/>
      <c r="O1042" s="6"/>
      <c r="P1042" s="6"/>
      <c r="Q1042" s="6"/>
      <c r="R1042" s="6"/>
      <c r="S1042" s="6"/>
      <c r="T1042" s="6"/>
      <c r="U1042" s="6"/>
      <c r="V1042" s="6"/>
      <c r="W1042" s="6"/>
      <c r="X1042" s="6"/>
      <c r="Y1042" s="6"/>
      <c r="Z1042" s="6"/>
      <c r="AA1042" s="6"/>
      <c r="AB1042" s="6"/>
    </row>
    <row r="1043" spans="1:28" ht="12.75" x14ac:dyDescent="0.2">
      <c r="A1043" s="13"/>
      <c r="B1043" s="6"/>
      <c r="C1043" s="6"/>
      <c r="D1043" s="6"/>
      <c r="E1043" s="6"/>
      <c r="F1043" s="6"/>
      <c r="G1043" s="6"/>
      <c r="H1043" s="6"/>
      <c r="I1043" s="6"/>
      <c r="J1043" s="6"/>
      <c r="K1043" s="6"/>
      <c r="L1043" s="6"/>
      <c r="M1043" s="6"/>
      <c r="N1043" s="6"/>
      <c r="O1043" s="6"/>
      <c r="P1043" s="6"/>
      <c r="Q1043" s="6"/>
      <c r="R1043" s="6"/>
      <c r="S1043" s="6"/>
      <c r="T1043" s="6"/>
      <c r="U1043" s="6"/>
      <c r="V1043" s="6"/>
      <c r="W1043" s="6"/>
      <c r="X1043" s="6"/>
      <c r="Y1043" s="6"/>
      <c r="Z1043" s="6"/>
      <c r="AA1043" s="6"/>
      <c r="AB1043" s="6"/>
    </row>
    <row r="1044" spans="1:28" ht="12.75" x14ac:dyDescent="0.2">
      <c r="A1044" s="13"/>
      <c r="B1044" s="6"/>
      <c r="C1044" s="6"/>
      <c r="D1044" s="6"/>
      <c r="E1044" s="6"/>
      <c r="F1044" s="6"/>
      <c r="G1044" s="6"/>
      <c r="H1044" s="6"/>
      <c r="I1044" s="6"/>
      <c r="J1044" s="6"/>
      <c r="K1044" s="6"/>
      <c r="L1044" s="6"/>
      <c r="M1044" s="6"/>
      <c r="N1044" s="6"/>
      <c r="O1044" s="6"/>
      <c r="P1044" s="6"/>
      <c r="Q1044" s="6"/>
      <c r="R1044" s="6"/>
      <c r="S1044" s="6"/>
      <c r="T1044" s="6"/>
      <c r="U1044" s="6"/>
      <c r="V1044" s="6"/>
      <c r="W1044" s="6"/>
      <c r="X1044" s="6"/>
      <c r="Y1044" s="6"/>
      <c r="Z1044" s="6"/>
      <c r="AA1044" s="6"/>
      <c r="AB1044" s="6"/>
    </row>
    <row r="1045" spans="1:28" ht="12.75" x14ac:dyDescent="0.2">
      <c r="A1045" s="13"/>
      <c r="B1045" s="6"/>
      <c r="C1045" s="6"/>
      <c r="D1045" s="6"/>
      <c r="E1045" s="6"/>
      <c r="F1045" s="6"/>
      <c r="G1045" s="6"/>
      <c r="H1045" s="6"/>
      <c r="I1045" s="6"/>
      <c r="J1045" s="6"/>
      <c r="K1045" s="6"/>
      <c r="L1045" s="6"/>
      <c r="M1045" s="6"/>
      <c r="N1045" s="6"/>
      <c r="O1045" s="6"/>
      <c r="P1045" s="6"/>
      <c r="Q1045" s="6"/>
      <c r="R1045" s="6"/>
      <c r="S1045" s="6"/>
      <c r="T1045" s="6"/>
      <c r="U1045" s="6"/>
      <c r="V1045" s="6"/>
      <c r="W1045" s="6"/>
      <c r="X1045" s="6"/>
      <c r="Y1045" s="6"/>
      <c r="Z1045" s="6"/>
      <c r="AA1045" s="6"/>
      <c r="AB1045" s="6"/>
    </row>
    <row r="1046" spans="1:28" ht="12.75" x14ac:dyDescent="0.2">
      <c r="A1046" s="13"/>
      <c r="B1046" s="6"/>
      <c r="C1046" s="6"/>
      <c r="D1046" s="6"/>
      <c r="E1046" s="6"/>
      <c r="F1046" s="6"/>
      <c r="G1046" s="6"/>
      <c r="H1046" s="6"/>
      <c r="I1046" s="6"/>
      <c r="J1046" s="6"/>
      <c r="K1046" s="6"/>
      <c r="L1046" s="6"/>
      <c r="M1046" s="6"/>
      <c r="N1046" s="6"/>
      <c r="O1046" s="6"/>
      <c r="P1046" s="6"/>
      <c r="Q1046" s="6"/>
      <c r="R1046" s="6"/>
      <c r="S1046" s="6"/>
      <c r="T1046" s="6"/>
      <c r="U1046" s="6"/>
      <c r="V1046" s="6"/>
      <c r="W1046" s="6"/>
      <c r="X1046" s="6"/>
      <c r="Y1046" s="6"/>
      <c r="Z1046" s="6"/>
      <c r="AA1046" s="6"/>
      <c r="AB1046" s="6"/>
    </row>
    <row r="1047" spans="1:28" ht="12.75" x14ac:dyDescent="0.2">
      <c r="A1047" s="13"/>
      <c r="B1047" s="6"/>
      <c r="C1047" s="6"/>
      <c r="D1047" s="6"/>
      <c r="E1047" s="6"/>
      <c r="F1047" s="6"/>
      <c r="G1047" s="6"/>
      <c r="H1047" s="6"/>
      <c r="I1047" s="6"/>
      <c r="J1047" s="6"/>
      <c r="K1047" s="6"/>
      <c r="L1047" s="6"/>
      <c r="M1047" s="6"/>
      <c r="N1047" s="6"/>
      <c r="O1047" s="6"/>
      <c r="P1047" s="6"/>
      <c r="Q1047" s="6"/>
      <c r="R1047" s="6"/>
      <c r="S1047" s="6"/>
      <c r="T1047" s="6"/>
      <c r="U1047" s="6"/>
      <c r="V1047" s="6"/>
      <c r="W1047" s="6"/>
      <c r="X1047" s="6"/>
      <c r="Y1047" s="6"/>
      <c r="Z1047" s="6"/>
      <c r="AA1047" s="6"/>
      <c r="AB1047" s="6"/>
    </row>
    <row r="1048" spans="1:28" ht="12.75" x14ac:dyDescent="0.2">
      <c r="A1048" s="13"/>
      <c r="B1048" s="6"/>
      <c r="C1048" s="6"/>
      <c r="D1048" s="6"/>
      <c r="E1048" s="6"/>
      <c r="F1048" s="6"/>
      <c r="G1048" s="6"/>
      <c r="H1048" s="6"/>
      <c r="I1048" s="6"/>
      <c r="J1048" s="6"/>
      <c r="K1048" s="6"/>
      <c r="L1048" s="6"/>
      <c r="M1048" s="6"/>
      <c r="N1048" s="6"/>
      <c r="O1048" s="6"/>
      <c r="P1048" s="6"/>
      <c r="Q1048" s="6"/>
      <c r="R1048" s="6"/>
      <c r="S1048" s="6"/>
      <c r="T1048" s="6"/>
      <c r="U1048" s="6"/>
      <c r="V1048" s="6"/>
      <c r="W1048" s="6"/>
      <c r="X1048" s="6"/>
      <c r="Y1048" s="6"/>
      <c r="Z1048" s="6"/>
      <c r="AA1048" s="6"/>
      <c r="AB1048" s="6"/>
    </row>
    <row r="1049" spans="1:28" ht="12.75" x14ac:dyDescent="0.2">
      <c r="A1049" s="13"/>
      <c r="B1049" s="6"/>
      <c r="C1049" s="6"/>
      <c r="D1049" s="6"/>
      <c r="E1049" s="6"/>
      <c r="F1049" s="6"/>
      <c r="G1049" s="6"/>
      <c r="H1049" s="6"/>
      <c r="I1049" s="6"/>
      <c r="J1049" s="6"/>
      <c r="K1049" s="6"/>
      <c r="L1049" s="6"/>
      <c r="M1049" s="6"/>
      <c r="N1049" s="6"/>
      <c r="O1049" s="6"/>
      <c r="P1049" s="6"/>
      <c r="Q1049" s="6"/>
      <c r="R1049" s="6"/>
      <c r="S1049" s="6"/>
      <c r="T1049" s="6"/>
      <c r="U1049" s="6"/>
      <c r="V1049" s="6"/>
      <c r="W1049" s="6"/>
      <c r="X1049" s="6"/>
      <c r="Y1049" s="6"/>
      <c r="Z1049" s="6"/>
      <c r="AA1049" s="6"/>
      <c r="AB1049" s="6"/>
    </row>
    <row r="1050" spans="1:28" ht="12.75" x14ac:dyDescent="0.2">
      <c r="A1050" s="13"/>
      <c r="B1050" s="6"/>
      <c r="C1050" s="6"/>
      <c r="D1050" s="6"/>
      <c r="E1050" s="6"/>
      <c r="F1050" s="6"/>
      <c r="G1050" s="6"/>
      <c r="H1050" s="6"/>
      <c r="I1050" s="6"/>
      <c r="J1050" s="6"/>
      <c r="K1050" s="6"/>
      <c r="L1050" s="6"/>
      <c r="M1050" s="6"/>
      <c r="N1050" s="6"/>
      <c r="O1050" s="6"/>
      <c r="P1050" s="6"/>
      <c r="Q1050" s="6"/>
      <c r="R1050" s="6"/>
      <c r="S1050" s="6"/>
      <c r="T1050" s="6"/>
      <c r="U1050" s="6"/>
      <c r="V1050" s="6"/>
      <c r="W1050" s="6"/>
      <c r="X1050" s="6"/>
      <c r="Y1050" s="6"/>
      <c r="Z1050" s="6"/>
      <c r="AA1050" s="6"/>
      <c r="AB1050" s="6"/>
    </row>
    <row r="1051" spans="1:28" ht="12.75" x14ac:dyDescent="0.2">
      <c r="A1051" s="13"/>
      <c r="B1051" s="6"/>
      <c r="C1051" s="6"/>
      <c r="D1051" s="6"/>
      <c r="E1051" s="6"/>
      <c r="F1051" s="6"/>
      <c r="G1051" s="6"/>
      <c r="H1051" s="6"/>
      <c r="I1051" s="6"/>
      <c r="J1051" s="6"/>
      <c r="K1051" s="6"/>
      <c r="L1051" s="6"/>
      <c r="M1051" s="6"/>
      <c r="N1051" s="6"/>
      <c r="O1051" s="6"/>
      <c r="P1051" s="6"/>
      <c r="Q1051" s="6"/>
      <c r="R1051" s="6"/>
      <c r="S1051" s="6"/>
      <c r="T1051" s="6"/>
      <c r="U1051" s="6"/>
      <c r="V1051" s="6"/>
      <c r="W1051" s="6"/>
      <c r="X1051" s="6"/>
      <c r="Y1051" s="6"/>
      <c r="Z1051" s="6"/>
      <c r="AA1051" s="6"/>
      <c r="AB1051" s="6"/>
    </row>
    <row r="1052" spans="1:28" ht="12.75" x14ac:dyDescent="0.2">
      <c r="A1052" s="13"/>
      <c r="B1052" s="6"/>
      <c r="C1052" s="6"/>
      <c r="D1052" s="6"/>
      <c r="E1052" s="6"/>
      <c r="F1052" s="6"/>
      <c r="G1052" s="6"/>
      <c r="H1052" s="6"/>
      <c r="I1052" s="6"/>
      <c r="J1052" s="6"/>
      <c r="K1052" s="6"/>
      <c r="L1052" s="6"/>
      <c r="M1052" s="6"/>
      <c r="N1052" s="6"/>
      <c r="O1052" s="6"/>
      <c r="P1052" s="6"/>
      <c r="Q1052" s="6"/>
      <c r="R1052" s="6"/>
      <c r="S1052" s="6"/>
      <c r="T1052" s="6"/>
      <c r="U1052" s="6"/>
      <c r="V1052" s="6"/>
      <c r="W1052" s="6"/>
      <c r="X1052" s="6"/>
      <c r="Y1052" s="6"/>
      <c r="Z1052" s="6"/>
      <c r="AA1052" s="6"/>
      <c r="AB1052" s="6"/>
    </row>
    <row r="1053" spans="1:28" ht="12.75" x14ac:dyDescent="0.2">
      <c r="A1053" s="13"/>
      <c r="B1053" s="6"/>
      <c r="C1053" s="6"/>
      <c r="D1053" s="6"/>
      <c r="E1053" s="6"/>
      <c r="F1053" s="6"/>
      <c r="G1053" s="6"/>
      <c r="H1053" s="6"/>
      <c r="I1053" s="6"/>
      <c r="J1053" s="6"/>
      <c r="K1053" s="6"/>
      <c r="L1053" s="6"/>
      <c r="M1053" s="6"/>
      <c r="N1053" s="6"/>
      <c r="O1053" s="6"/>
      <c r="P1053" s="6"/>
      <c r="Q1053" s="6"/>
      <c r="R1053" s="6"/>
      <c r="S1053" s="6"/>
      <c r="T1053" s="6"/>
      <c r="U1053" s="6"/>
      <c r="V1053" s="6"/>
      <c r="W1053" s="6"/>
      <c r="X1053" s="6"/>
      <c r="Y1053" s="6"/>
      <c r="Z1053" s="6"/>
      <c r="AA1053" s="6"/>
      <c r="AB1053" s="6"/>
    </row>
    <row r="1054" spans="1:28" ht="12.75" x14ac:dyDescent="0.2">
      <c r="A1054" s="13"/>
      <c r="B1054" s="6"/>
      <c r="C1054" s="6"/>
      <c r="D1054" s="6"/>
      <c r="E1054" s="6"/>
      <c r="F1054" s="6"/>
      <c r="G1054" s="6"/>
      <c r="H1054" s="6"/>
      <c r="I1054" s="6"/>
      <c r="J1054" s="6"/>
      <c r="K1054" s="6"/>
      <c r="L1054" s="6"/>
      <c r="M1054" s="6"/>
      <c r="N1054" s="6"/>
      <c r="O1054" s="6"/>
      <c r="P1054" s="6"/>
      <c r="Q1054" s="6"/>
      <c r="R1054" s="6"/>
      <c r="S1054" s="6"/>
      <c r="T1054" s="6"/>
      <c r="U1054" s="6"/>
      <c r="V1054" s="6"/>
      <c r="W1054" s="6"/>
      <c r="X1054" s="6"/>
      <c r="Y1054" s="6"/>
      <c r="Z1054" s="6"/>
      <c r="AA1054" s="6"/>
      <c r="AB1054" s="6"/>
    </row>
    <row r="1055" spans="1:28" ht="12.75" x14ac:dyDescent="0.2">
      <c r="A1055" s="13"/>
      <c r="B1055" s="6"/>
      <c r="C1055" s="6"/>
      <c r="D1055" s="6"/>
      <c r="E1055" s="6"/>
      <c r="F1055" s="6"/>
      <c r="G1055" s="6"/>
      <c r="H1055" s="6"/>
      <c r="I1055" s="6"/>
      <c r="J1055" s="6"/>
      <c r="K1055" s="6"/>
      <c r="L1055" s="6"/>
      <c r="M1055" s="6"/>
      <c r="N1055" s="6"/>
      <c r="O1055" s="6"/>
      <c r="P1055" s="6"/>
      <c r="Q1055" s="6"/>
      <c r="R1055" s="6"/>
      <c r="S1055" s="6"/>
      <c r="T1055" s="6"/>
      <c r="U1055" s="6"/>
      <c r="V1055" s="6"/>
      <c r="W1055" s="6"/>
      <c r="X1055" s="6"/>
      <c r="Y1055" s="6"/>
      <c r="Z1055" s="6"/>
      <c r="AA1055" s="6"/>
      <c r="AB1055" s="6"/>
    </row>
    <row r="1056" spans="1:28" ht="12.75" x14ac:dyDescent="0.2">
      <c r="A1056" s="13"/>
      <c r="B1056" s="6"/>
      <c r="C1056" s="6"/>
      <c r="D1056" s="6"/>
      <c r="E1056" s="6"/>
      <c r="F1056" s="6"/>
      <c r="G1056" s="6"/>
      <c r="H1056" s="6"/>
      <c r="I1056" s="6"/>
      <c r="J1056" s="6"/>
      <c r="K1056" s="6"/>
      <c r="L1056" s="6"/>
      <c r="M1056" s="6"/>
      <c r="N1056" s="6"/>
      <c r="O1056" s="6"/>
      <c r="P1056" s="6"/>
      <c r="Q1056" s="6"/>
      <c r="R1056" s="6"/>
      <c r="S1056" s="6"/>
      <c r="T1056" s="6"/>
      <c r="U1056" s="6"/>
      <c r="V1056" s="6"/>
      <c r="W1056" s="6"/>
      <c r="X1056" s="6"/>
      <c r="Y1056" s="6"/>
      <c r="Z1056" s="6"/>
      <c r="AA1056" s="6"/>
      <c r="AB1056" s="6"/>
    </row>
    <row r="1057" spans="1:28" ht="12.75" x14ac:dyDescent="0.2">
      <c r="A1057" s="13"/>
      <c r="B1057" s="6"/>
      <c r="C1057" s="6"/>
      <c r="D1057" s="6"/>
      <c r="E1057" s="6"/>
      <c r="F1057" s="6"/>
      <c r="G1057" s="6"/>
      <c r="H1057" s="6"/>
      <c r="I1057" s="6"/>
      <c r="J1057" s="6"/>
      <c r="K1057" s="6"/>
      <c r="L1057" s="6"/>
      <c r="M1057" s="6"/>
      <c r="N1057" s="6"/>
      <c r="O1057" s="6"/>
      <c r="P1057" s="6"/>
      <c r="Q1057" s="6"/>
      <c r="R1057" s="6"/>
      <c r="S1057" s="6"/>
      <c r="T1057" s="6"/>
      <c r="U1057" s="6"/>
      <c r="V1057" s="6"/>
      <c r="W1057" s="6"/>
      <c r="X1057" s="6"/>
      <c r="Y1057" s="6"/>
      <c r="Z1057" s="6"/>
      <c r="AA1057" s="6"/>
      <c r="AB1057" s="6"/>
    </row>
    <row r="1058" spans="1:28" ht="12.75" x14ac:dyDescent="0.2">
      <c r="A1058" s="13"/>
      <c r="B1058" s="6"/>
      <c r="C1058" s="6"/>
      <c r="D1058" s="6"/>
      <c r="E1058" s="6"/>
      <c r="F1058" s="6"/>
      <c r="G1058" s="6"/>
      <c r="H1058" s="6"/>
      <c r="I1058" s="6"/>
      <c r="J1058" s="6"/>
      <c r="K1058" s="6"/>
      <c r="L1058" s="6"/>
      <c r="M1058" s="6"/>
      <c r="N1058" s="6"/>
      <c r="O1058" s="6"/>
      <c r="P1058" s="6"/>
      <c r="Q1058" s="6"/>
      <c r="R1058" s="6"/>
      <c r="S1058" s="6"/>
      <c r="T1058" s="6"/>
      <c r="U1058" s="6"/>
      <c r="V1058" s="6"/>
      <c r="W1058" s="6"/>
      <c r="X1058" s="6"/>
      <c r="Y1058" s="6"/>
      <c r="Z1058" s="6"/>
      <c r="AA1058" s="6"/>
      <c r="AB1058" s="6"/>
    </row>
    <row r="1059" spans="1:28" ht="12.75" x14ac:dyDescent="0.2">
      <c r="A1059" s="13"/>
      <c r="B1059" s="6"/>
      <c r="C1059" s="6"/>
      <c r="D1059" s="6"/>
      <c r="E1059" s="6"/>
      <c r="F1059" s="6"/>
      <c r="G1059" s="6"/>
      <c r="H1059" s="6"/>
      <c r="I1059" s="6"/>
      <c r="J1059" s="6"/>
      <c r="K1059" s="6"/>
      <c r="L1059" s="6"/>
      <c r="M1059" s="6"/>
      <c r="N1059" s="6"/>
      <c r="O1059" s="6"/>
      <c r="P1059" s="6"/>
      <c r="Q1059" s="6"/>
      <c r="R1059" s="6"/>
      <c r="S1059" s="6"/>
      <c r="T1059" s="6"/>
      <c r="U1059" s="6"/>
      <c r="V1059" s="6"/>
      <c r="W1059" s="6"/>
      <c r="X1059" s="6"/>
      <c r="Y1059" s="6"/>
      <c r="Z1059" s="6"/>
      <c r="AA1059" s="6"/>
      <c r="AB1059" s="6"/>
    </row>
    <row r="1060" spans="1:28" ht="12.75" x14ac:dyDescent="0.2">
      <c r="A1060" s="13"/>
      <c r="B1060" s="6"/>
      <c r="C1060" s="6"/>
      <c r="D1060" s="6"/>
      <c r="E1060" s="6"/>
      <c r="F1060" s="6"/>
      <c r="G1060" s="6"/>
      <c r="H1060" s="6"/>
      <c r="I1060" s="6"/>
      <c r="J1060" s="6"/>
      <c r="K1060" s="6"/>
      <c r="L1060" s="6"/>
      <c r="M1060" s="6"/>
      <c r="N1060" s="6"/>
      <c r="O1060" s="6"/>
      <c r="P1060" s="6"/>
      <c r="Q1060" s="6"/>
      <c r="R1060" s="6"/>
      <c r="S1060" s="6"/>
      <c r="T1060" s="6"/>
      <c r="U1060" s="6"/>
      <c r="V1060" s="6"/>
      <c r="W1060" s="6"/>
      <c r="X1060" s="6"/>
      <c r="Y1060" s="6"/>
      <c r="Z1060" s="6"/>
      <c r="AA1060" s="6"/>
      <c r="AB1060" s="6"/>
    </row>
    <row r="1061" spans="1:28" ht="12.75" x14ac:dyDescent="0.2">
      <c r="A1061" s="13"/>
      <c r="B1061" s="6"/>
      <c r="C1061" s="6"/>
      <c r="D1061" s="6"/>
      <c r="E1061" s="6"/>
      <c r="F1061" s="6"/>
      <c r="G1061" s="6"/>
      <c r="H1061" s="6"/>
      <c r="I1061" s="6"/>
      <c r="J1061" s="6"/>
      <c r="K1061" s="6"/>
      <c r="L1061" s="6"/>
      <c r="M1061" s="6"/>
      <c r="N1061" s="6"/>
      <c r="O1061" s="6"/>
      <c r="P1061" s="6"/>
      <c r="Q1061" s="6"/>
      <c r="R1061" s="6"/>
      <c r="S1061" s="6"/>
      <c r="T1061" s="6"/>
      <c r="U1061" s="6"/>
      <c r="V1061" s="6"/>
      <c r="W1061" s="6"/>
      <c r="X1061" s="6"/>
      <c r="Y1061" s="6"/>
      <c r="Z1061" s="6"/>
      <c r="AA1061" s="6"/>
      <c r="AB1061" s="6"/>
    </row>
    <row r="1062" spans="1:28" ht="12.75" x14ac:dyDescent="0.2">
      <c r="A1062" s="13"/>
      <c r="B1062" s="6"/>
      <c r="C1062" s="6"/>
      <c r="D1062" s="6"/>
      <c r="E1062" s="6"/>
      <c r="F1062" s="6"/>
      <c r="G1062" s="6"/>
      <c r="H1062" s="6"/>
      <c r="I1062" s="6"/>
      <c r="J1062" s="6"/>
      <c r="K1062" s="6"/>
      <c r="L1062" s="6"/>
      <c r="M1062" s="6"/>
      <c r="N1062" s="6"/>
      <c r="O1062" s="6"/>
      <c r="P1062" s="6"/>
      <c r="Q1062" s="6"/>
      <c r="R1062" s="6"/>
      <c r="S1062" s="6"/>
      <c r="T1062" s="6"/>
      <c r="U1062" s="6"/>
      <c r="V1062" s="6"/>
      <c r="W1062" s="6"/>
      <c r="X1062" s="6"/>
      <c r="Y1062" s="6"/>
      <c r="Z1062" s="6"/>
      <c r="AA1062" s="6"/>
      <c r="AB1062" s="6"/>
    </row>
    <row r="1063" spans="1:28" ht="12.75" x14ac:dyDescent="0.2">
      <c r="A1063" s="13"/>
      <c r="B1063" s="6"/>
      <c r="C1063" s="6"/>
      <c r="D1063" s="6"/>
      <c r="E1063" s="6"/>
      <c r="F1063" s="6"/>
      <c r="G1063" s="6"/>
      <c r="H1063" s="6"/>
      <c r="I1063" s="6"/>
      <c r="J1063" s="6"/>
      <c r="K1063" s="6"/>
      <c r="L1063" s="6"/>
      <c r="M1063" s="6"/>
      <c r="N1063" s="6"/>
      <c r="O1063" s="6"/>
      <c r="P1063" s="6"/>
      <c r="Q1063" s="6"/>
      <c r="R1063" s="6"/>
      <c r="S1063" s="6"/>
      <c r="T1063" s="6"/>
      <c r="U1063" s="6"/>
      <c r="V1063" s="6"/>
      <c r="W1063" s="6"/>
      <c r="X1063" s="6"/>
      <c r="Y1063" s="6"/>
      <c r="Z1063" s="6"/>
      <c r="AA1063" s="6"/>
      <c r="AB1063" s="6"/>
    </row>
    <row r="1064" spans="1:28" ht="12.75" x14ac:dyDescent="0.2">
      <c r="A1064" s="13"/>
      <c r="B1064" s="6"/>
      <c r="C1064" s="6"/>
      <c r="D1064" s="6"/>
      <c r="E1064" s="6"/>
      <c r="F1064" s="6"/>
      <c r="G1064" s="6"/>
      <c r="H1064" s="6"/>
      <c r="I1064" s="6"/>
      <c r="J1064" s="6"/>
      <c r="K1064" s="6"/>
      <c r="L1064" s="6"/>
      <c r="M1064" s="6"/>
      <c r="N1064" s="6"/>
      <c r="O1064" s="6"/>
      <c r="P1064" s="6"/>
      <c r="Q1064" s="6"/>
      <c r="R1064" s="6"/>
      <c r="S1064" s="6"/>
      <c r="T1064" s="6"/>
      <c r="U1064" s="6"/>
      <c r="V1064" s="6"/>
      <c r="W1064" s="6"/>
      <c r="X1064" s="6"/>
      <c r="Y1064" s="6"/>
      <c r="Z1064" s="6"/>
      <c r="AA1064" s="6"/>
      <c r="AB1064" s="6"/>
    </row>
    <row r="1065" spans="1:28" ht="12.75" x14ac:dyDescent="0.2">
      <c r="A1065" s="13"/>
      <c r="B1065" s="6"/>
      <c r="C1065" s="6"/>
      <c r="D1065" s="6"/>
      <c r="E1065" s="6"/>
      <c r="F1065" s="6"/>
      <c r="G1065" s="6"/>
      <c r="H1065" s="6"/>
      <c r="I1065" s="6"/>
      <c r="J1065" s="6"/>
      <c r="K1065" s="6"/>
      <c r="L1065" s="6"/>
      <c r="M1065" s="6"/>
      <c r="N1065" s="6"/>
      <c r="O1065" s="6"/>
      <c r="P1065" s="6"/>
      <c r="Q1065" s="6"/>
      <c r="R1065" s="6"/>
      <c r="S1065" s="6"/>
      <c r="T1065" s="6"/>
      <c r="U1065" s="6"/>
      <c r="V1065" s="6"/>
      <c r="W1065" s="6"/>
      <c r="X1065" s="6"/>
      <c r="Y1065" s="6"/>
      <c r="Z1065" s="6"/>
      <c r="AA1065" s="6"/>
      <c r="AB1065" s="6"/>
    </row>
    <row r="1066" spans="1:28" ht="12.75" x14ac:dyDescent="0.2">
      <c r="A1066" s="13"/>
      <c r="B1066" s="6"/>
      <c r="C1066" s="6"/>
      <c r="D1066" s="6"/>
      <c r="E1066" s="6"/>
      <c r="F1066" s="6"/>
      <c r="G1066" s="6"/>
      <c r="H1066" s="6"/>
      <c r="I1066" s="6"/>
      <c r="J1066" s="6"/>
      <c r="K1066" s="6"/>
      <c r="L1066" s="6"/>
      <c r="M1066" s="6"/>
      <c r="N1066" s="6"/>
      <c r="O1066" s="6"/>
      <c r="P1066" s="6"/>
      <c r="Q1066" s="6"/>
      <c r="R1066" s="6"/>
      <c r="S1066" s="6"/>
      <c r="T1066" s="6"/>
      <c r="U1066" s="6"/>
      <c r="V1066" s="6"/>
      <c r="W1066" s="6"/>
      <c r="X1066" s="6"/>
      <c r="Y1066" s="6"/>
      <c r="Z1066" s="6"/>
      <c r="AA1066" s="6"/>
      <c r="AB1066" s="6"/>
    </row>
    <row r="1067" spans="1:28" ht="12.75" x14ac:dyDescent="0.2">
      <c r="A1067" s="13"/>
      <c r="B1067" s="6"/>
      <c r="C1067" s="6"/>
      <c r="D1067" s="6"/>
      <c r="E1067" s="6"/>
      <c r="F1067" s="6"/>
      <c r="G1067" s="6"/>
      <c r="H1067" s="6"/>
      <c r="I1067" s="6"/>
      <c r="J1067" s="6"/>
      <c r="K1067" s="6"/>
      <c r="L1067" s="6"/>
      <c r="M1067" s="6"/>
      <c r="N1067" s="6"/>
      <c r="O1067" s="6"/>
      <c r="P1067" s="6"/>
      <c r="Q1067" s="6"/>
      <c r="R1067" s="6"/>
      <c r="S1067" s="6"/>
      <c r="T1067" s="6"/>
      <c r="U1067" s="6"/>
      <c r="V1067" s="6"/>
      <c r="W1067" s="6"/>
      <c r="X1067" s="6"/>
      <c r="Y1067" s="6"/>
      <c r="Z1067" s="6"/>
      <c r="AA1067" s="6"/>
      <c r="AB1067" s="6"/>
    </row>
    <row r="1068" spans="1:28" ht="12.75" x14ac:dyDescent="0.2">
      <c r="A1068" s="13"/>
      <c r="B1068" s="6"/>
      <c r="C1068" s="6"/>
      <c r="D1068" s="6"/>
      <c r="E1068" s="6"/>
      <c r="F1068" s="6"/>
      <c r="G1068" s="6"/>
      <c r="H1068" s="6"/>
      <c r="I1068" s="6"/>
      <c r="J1068" s="6"/>
      <c r="K1068" s="6"/>
      <c r="L1068" s="6"/>
      <c r="M1068" s="6"/>
      <c r="N1068" s="6"/>
      <c r="O1068" s="6"/>
      <c r="P1068" s="6"/>
      <c r="Q1068" s="6"/>
      <c r="R1068" s="6"/>
      <c r="S1068" s="6"/>
      <c r="T1068" s="6"/>
      <c r="U1068" s="6"/>
      <c r="V1068" s="6"/>
      <c r="W1068" s="6"/>
      <c r="X1068" s="6"/>
      <c r="Y1068" s="6"/>
      <c r="Z1068" s="6"/>
      <c r="AA1068" s="6"/>
      <c r="AB1068" s="6"/>
    </row>
    <row r="1069" spans="1:28" ht="12.75" x14ac:dyDescent="0.2">
      <c r="A1069" s="13"/>
      <c r="B1069" s="6"/>
      <c r="C1069" s="6"/>
      <c r="D1069" s="6"/>
      <c r="E1069" s="6"/>
      <c r="F1069" s="6"/>
      <c r="G1069" s="6"/>
      <c r="H1069" s="6"/>
      <c r="I1069" s="6"/>
      <c r="J1069" s="6"/>
      <c r="K1069" s="6"/>
      <c r="L1069" s="6"/>
      <c r="M1069" s="6"/>
      <c r="N1069" s="6"/>
      <c r="O1069" s="6"/>
      <c r="P1069" s="6"/>
      <c r="Q1069" s="6"/>
      <c r="R1069" s="6"/>
      <c r="S1069" s="6"/>
      <c r="T1069" s="6"/>
      <c r="U1069" s="6"/>
      <c r="V1069" s="6"/>
      <c r="W1069" s="6"/>
      <c r="X1069" s="6"/>
      <c r="Y1069" s="6"/>
      <c r="Z1069" s="6"/>
      <c r="AA1069" s="6"/>
      <c r="AB1069" s="6"/>
    </row>
    <row r="1070" spans="1:28" ht="12.75" x14ac:dyDescent="0.2">
      <c r="A1070" s="13"/>
      <c r="B1070" s="6"/>
      <c r="C1070" s="6"/>
      <c r="D1070" s="6"/>
      <c r="E1070" s="6"/>
      <c r="F1070" s="6"/>
      <c r="G1070" s="6"/>
      <c r="H1070" s="6"/>
      <c r="I1070" s="6"/>
      <c r="J1070" s="6"/>
      <c r="K1070" s="6"/>
      <c r="L1070" s="6"/>
      <c r="M1070" s="6"/>
      <c r="N1070" s="6"/>
      <c r="O1070" s="6"/>
      <c r="P1070" s="6"/>
      <c r="Q1070" s="6"/>
      <c r="R1070" s="6"/>
      <c r="S1070" s="6"/>
      <c r="T1070" s="6"/>
      <c r="U1070" s="6"/>
      <c r="V1070" s="6"/>
      <c r="W1070" s="6"/>
      <c r="X1070" s="6"/>
      <c r="Y1070" s="6"/>
      <c r="Z1070" s="6"/>
      <c r="AA1070" s="6"/>
      <c r="AB1070" s="6"/>
    </row>
    <row r="1071" spans="1:28" ht="12.75" x14ac:dyDescent="0.2">
      <c r="A1071" s="13"/>
      <c r="B1071" s="6"/>
      <c r="C1071" s="6"/>
      <c r="D1071" s="6"/>
      <c r="E1071" s="6"/>
      <c r="F1071" s="6"/>
      <c r="G1071" s="6"/>
      <c r="H1071" s="6"/>
      <c r="I1071" s="6"/>
      <c r="J1071" s="6"/>
      <c r="K1071" s="6"/>
      <c r="L1071" s="6"/>
      <c r="M1071" s="6"/>
      <c r="N1071" s="6"/>
      <c r="O1071" s="6"/>
      <c r="P1071" s="6"/>
      <c r="Q1071" s="6"/>
      <c r="R1071" s="6"/>
      <c r="S1071" s="6"/>
      <c r="T1071" s="6"/>
      <c r="U1071" s="6"/>
      <c r="V1071" s="6"/>
      <c r="W1071" s="6"/>
      <c r="X1071" s="6"/>
      <c r="Y1071" s="6"/>
      <c r="Z1071" s="6"/>
      <c r="AA1071" s="6"/>
      <c r="AB1071" s="6"/>
    </row>
    <row r="1072" spans="1:28" ht="12.75" x14ac:dyDescent="0.2">
      <c r="A1072" s="13"/>
      <c r="B1072" s="6"/>
      <c r="C1072" s="6"/>
      <c r="D1072" s="6"/>
      <c r="E1072" s="6"/>
      <c r="F1072" s="6"/>
      <c r="G1072" s="6"/>
      <c r="H1072" s="6"/>
      <c r="I1072" s="6"/>
      <c r="J1072" s="6"/>
      <c r="K1072" s="6"/>
      <c r="L1072" s="6"/>
      <c r="M1072" s="6"/>
      <c r="N1072" s="6"/>
      <c r="O1072" s="6"/>
      <c r="P1072" s="6"/>
      <c r="Q1072" s="6"/>
      <c r="R1072" s="6"/>
      <c r="S1072" s="6"/>
      <c r="T1072" s="6"/>
      <c r="U1072" s="6"/>
      <c r="V1072" s="6"/>
      <c r="W1072" s="6"/>
      <c r="X1072" s="6"/>
      <c r="Y1072" s="6"/>
      <c r="Z1072" s="6"/>
      <c r="AA1072" s="6"/>
      <c r="AB1072" s="6"/>
    </row>
    <row r="1073" spans="1:28" ht="12.75" x14ac:dyDescent="0.2">
      <c r="A1073" s="13"/>
      <c r="B1073" s="6"/>
      <c r="C1073" s="6"/>
      <c r="D1073" s="6"/>
      <c r="E1073" s="6"/>
      <c r="F1073" s="6"/>
      <c r="G1073" s="6"/>
      <c r="H1073" s="6"/>
      <c r="I1073" s="6"/>
      <c r="J1073" s="6"/>
      <c r="K1073" s="6"/>
      <c r="L1073" s="6"/>
      <c r="M1073" s="6"/>
      <c r="N1073" s="6"/>
      <c r="O1073" s="6"/>
      <c r="P1073" s="6"/>
      <c r="Q1073" s="6"/>
      <c r="R1073" s="6"/>
      <c r="S1073" s="6"/>
      <c r="T1073" s="6"/>
      <c r="U1073" s="6"/>
      <c r="V1073" s="6"/>
      <c r="W1073" s="6"/>
      <c r="X1073" s="6"/>
      <c r="Y1073" s="6"/>
      <c r="Z1073" s="6"/>
      <c r="AA1073" s="6"/>
      <c r="AB1073" s="6"/>
    </row>
    <row r="1074" spans="1:28" ht="12.75" x14ac:dyDescent="0.2">
      <c r="A1074" s="13"/>
      <c r="B1074" s="6"/>
      <c r="C1074" s="6"/>
      <c r="D1074" s="6"/>
      <c r="E1074" s="6"/>
      <c r="F1074" s="6"/>
      <c r="G1074" s="6"/>
      <c r="H1074" s="6"/>
      <c r="I1074" s="6"/>
      <c r="J1074" s="6"/>
      <c r="K1074" s="6"/>
      <c r="L1074" s="6"/>
      <c r="M1074" s="6"/>
      <c r="N1074" s="6"/>
      <c r="O1074" s="6"/>
      <c r="P1074" s="6"/>
      <c r="Q1074" s="6"/>
      <c r="R1074" s="6"/>
      <c r="S1074" s="6"/>
      <c r="T1074" s="6"/>
      <c r="U1074" s="6"/>
      <c r="V1074" s="6"/>
      <c r="W1074" s="6"/>
      <c r="X1074" s="6"/>
      <c r="Y1074" s="6"/>
      <c r="Z1074" s="6"/>
      <c r="AA1074" s="6"/>
      <c r="AB1074" s="6"/>
    </row>
    <row r="1075" spans="1:28" ht="12.75" x14ac:dyDescent="0.2">
      <c r="A1075" s="13"/>
      <c r="B1075" s="6"/>
      <c r="C1075" s="6"/>
      <c r="D1075" s="6"/>
      <c r="E1075" s="6"/>
      <c r="F1075" s="6"/>
      <c r="G1075" s="6"/>
      <c r="H1075" s="6"/>
      <c r="I1075" s="6"/>
      <c r="J1075" s="6"/>
      <c r="K1075" s="6"/>
      <c r="L1075" s="6"/>
      <c r="M1075" s="6"/>
      <c r="N1075" s="6"/>
      <c r="O1075" s="6"/>
      <c r="P1075" s="6"/>
      <c r="Q1075" s="6"/>
      <c r="R1075" s="6"/>
      <c r="S1075" s="6"/>
      <c r="T1075" s="6"/>
      <c r="U1075" s="6"/>
      <c r="V1075" s="6"/>
      <c r="W1075" s="6"/>
      <c r="X1075" s="6"/>
      <c r="Y1075" s="6"/>
      <c r="Z1075" s="6"/>
      <c r="AA1075" s="6"/>
      <c r="AB1075" s="6"/>
    </row>
    <row r="1076" spans="1:28" ht="12.75" x14ac:dyDescent="0.2">
      <c r="A1076" s="13"/>
      <c r="B1076" s="6"/>
      <c r="C1076" s="6"/>
      <c r="D1076" s="6"/>
      <c r="E1076" s="6"/>
      <c r="F1076" s="6"/>
      <c r="G1076" s="6"/>
      <c r="H1076" s="6"/>
      <c r="I1076" s="6"/>
      <c r="J1076" s="6"/>
      <c r="K1076" s="6"/>
      <c r="L1076" s="6"/>
      <c r="M1076" s="6"/>
      <c r="N1076" s="6"/>
      <c r="O1076" s="6"/>
      <c r="P1076" s="6"/>
      <c r="Q1076" s="6"/>
      <c r="R1076" s="6"/>
      <c r="S1076" s="6"/>
      <c r="T1076" s="6"/>
      <c r="U1076" s="6"/>
      <c r="V1076" s="6"/>
      <c r="W1076" s="6"/>
      <c r="X1076" s="6"/>
      <c r="Y1076" s="6"/>
      <c r="Z1076" s="6"/>
      <c r="AA1076" s="6"/>
      <c r="AB1076" s="6"/>
    </row>
    <row r="1077" spans="1:28" ht="12.75" x14ac:dyDescent="0.2">
      <c r="A1077" s="13"/>
      <c r="B1077" s="6"/>
      <c r="C1077" s="6"/>
      <c r="D1077" s="6"/>
      <c r="E1077" s="6"/>
      <c r="F1077" s="6"/>
      <c r="G1077" s="6"/>
      <c r="H1077" s="6"/>
      <c r="I1077" s="6"/>
      <c r="J1077" s="6"/>
      <c r="K1077" s="6"/>
      <c r="L1077" s="6"/>
      <c r="M1077" s="6"/>
      <c r="N1077" s="6"/>
      <c r="O1077" s="6"/>
      <c r="P1077" s="6"/>
      <c r="Q1077" s="6"/>
      <c r="R1077" s="6"/>
      <c r="S1077" s="6"/>
      <c r="T1077" s="6"/>
      <c r="U1077" s="6"/>
      <c r="V1077" s="6"/>
      <c r="W1077" s="6"/>
      <c r="X1077" s="6"/>
      <c r="Y1077" s="6"/>
      <c r="Z1077" s="6"/>
      <c r="AA1077" s="6"/>
      <c r="AB1077" s="6"/>
    </row>
    <row r="1078" spans="1:28" ht="12.75" x14ac:dyDescent="0.2">
      <c r="A1078" s="13"/>
      <c r="B1078" s="6"/>
      <c r="C1078" s="6"/>
      <c r="D1078" s="6"/>
      <c r="E1078" s="6"/>
      <c r="F1078" s="6"/>
      <c r="G1078" s="6"/>
      <c r="H1078" s="6"/>
      <c r="I1078" s="6"/>
      <c r="J1078" s="6"/>
      <c r="K1078" s="6"/>
      <c r="L1078" s="6"/>
      <c r="M1078" s="6"/>
      <c r="N1078" s="6"/>
      <c r="O1078" s="6"/>
      <c r="P1078" s="6"/>
      <c r="Q1078" s="6"/>
      <c r="R1078" s="6"/>
      <c r="S1078" s="6"/>
      <c r="T1078" s="6"/>
      <c r="U1078" s="6"/>
      <c r="V1078" s="6"/>
      <c r="W1078" s="6"/>
      <c r="X1078" s="6"/>
      <c r="Y1078" s="6"/>
      <c r="Z1078" s="6"/>
      <c r="AA1078" s="6"/>
      <c r="AB1078" s="6"/>
    </row>
    <row r="1079" spans="1:28" ht="12.75" x14ac:dyDescent="0.2">
      <c r="A1079" s="13"/>
      <c r="B1079" s="6"/>
      <c r="C1079" s="6"/>
      <c r="D1079" s="6"/>
      <c r="E1079" s="6"/>
      <c r="F1079" s="6"/>
      <c r="G1079" s="6"/>
      <c r="H1079" s="6"/>
      <c r="I1079" s="6"/>
      <c r="J1079" s="6"/>
      <c r="K1079" s="6"/>
      <c r="L1079" s="6"/>
      <c r="M1079" s="6"/>
      <c r="N1079" s="6"/>
      <c r="O1079" s="6"/>
      <c r="P1079" s="6"/>
      <c r="Q1079" s="6"/>
      <c r="R1079" s="6"/>
      <c r="S1079" s="6"/>
      <c r="T1079" s="6"/>
      <c r="U1079" s="6"/>
      <c r="V1079" s="6"/>
      <c r="W1079" s="6"/>
      <c r="X1079" s="6"/>
      <c r="Y1079" s="6"/>
      <c r="Z1079" s="6"/>
      <c r="AA1079" s="6"/>
      <c r="AB1079" s="6"/>
    </row>
    <row r="1080" spans="1:28" ht="12.75" x14ac:dyDescent="0.2">
      <c r="A1080" s="13"/>
      <c r="B1080" s="6"/>
      <c r="C1080" s="6"/>
      <c r="D1080" s="6"/>
      <c r="E1080" s="6"/>
      <c r="F1080" s="6"/>
      <c r="G1080" s="6"/>
      <c r="H1080" s="6"/>
      <c r="I1080" s="6"/>
      <c r="J1080" s="6"/>
      <c r="K1080" s="6"/>
      <c r="L1080" s="6"/>
      <c r="M1080" s="6"/>
      <c r="N1080" s="6"/>
      <c r="O1080" s="6"/>
      <c r="P1080" s="6"/>
      <c r="Q1080" s="6"/>
      <c r="R1080" s="6"/>
      <c r="S1080" s="6"/>
      <c r="T1080" s="6"/>
      <c r="U1080" s="6"/>
      <c r="V1080" s="6"/>
      <c r="W1080" s="6"/>
      <c r="X1080" s="6"/>
      <c r="Y1080" s="6"/>
      <c r="Z1080" s="6"/>
      <c r="AA1080" s="6"/>
      <c r="AB1080" s="6"/>
    </row>
    <row r="1081" spans="1:28" ht="12.75" x14ac:dyDescent="0.2">
      <c r="A1081" s="13"/>
      <c r="B1081" s="6"/>
      <c r="C1081" s="6"/>
      <c r="D1081" s="6"/>
      <c r="E1081" s="6"/>
      <c r="F1081" s="6"/>
      <c r="G1081" s="6"/>
      <c r="H1081" s="6"/>
      <c r="I1081" s="6"/>
      <c r="J1081" s="6"/>
      <c r="K1081" s="6"/>
      <c r="L1081" s="6"/>
      <c r="M1081" s="6"/>
      <c r="N1081" s="6"/>
      <c r="O1081" s="6"/>
      <c r="P1081" s="6"/>
      <c r="Q1081" s="6"/>
      <c r="R1081" s="6"/>
      <c r="S1081" s="6"/>
      <c r="T1081" s="6"/>
      <c r="U1081" s="6"/>
      <c r="V1081" s="6"/>
      <c r="W1081" s="6"/>
      <c r="X1081" s="6"/>
      <c r="Y1081" s="6"/>
      <c r="Z1081" s="6"/>
      <c r="AA1081" s="6"/>
      <c r="AB1081" s="6"/>
    </row>
    <row r="1082" spans="1:28" ht="12.75" x14ac:dyDescent="0.2">
      <c r="A1082" s="13"/>
      <c r="B1082" s="6"/>
      <c r="C1082" s="6"/>
      <c r="D1082" s="6"/>
      <c r="E1082" s="6"/>
      <c r="F1082" s="6"/>
      <c r="G1082" s="6"/>
      <c r="H1082" s="6"/>
      <c r="I1082" s="6"/>
      <c r="J1082" s="6"/>
      <c r="K1082" s="6"/>
      <c r="L1082" s="6"/>
      <c r="M1082" s="6"/>
      <c r="N1082" s="6"/>
      <c r="O1082" s="6"/>
      <c r="P1082" s="6"/>
      <c r="Q1082" s="6"/>
      <c r="R1082" s="6"/>
      <c r="S1082" s="6"/>
      <c r="T1082" s="6"/>
      <c r="U1082" s="6"/>
      <c r="V1082" s="6"/>
      <c r="W1082" s="6"/>
      <c r="X1082" s="6"/>
      <c r="Y1082" s="6"/>
      <c r="Z1082" s="6"/>
      <c r="AA1082" s="6"/>
      <c r="AB1082" s="6"/>
    </row>
    <row r="1083" spans="1:28" ht="12.75" x14ac:dyDescent="0.2">
      <c r="A1083" s="13"/>
      <c r="B1083" s="6"/>
      <c r="C1083" s="6"/>
      <c r="D1083" s="6"/>
      <c r="E1083" s="6"/>
      <c r="F1083" s="6"/>
      <c r="G1083" s="6"/>
      <c r="H1083" s="6"/>
      <c r="I1083" s="6"/>
      <c r="J1083" s="6"/>
      <c r="K1083" s="6"/>
      <c r="L1083" s="6"/>
      <c r="M1083" s="6"/>
      <c r="N1083" s="6"/>
      <c r="O1083" s="6"/>
      <c r="P1083" s="6"/>
      <c r="Q1083" s="6"/>
      <c r="R1083" s="6"/>
      <c r="S1083" s="6"/>
      <c r="T1083" s="6"/>
      <c r="U1083" s="6"/>
      <c r="V1083" s="6"/>
      <c r="W1083" s="6"/>
      <c r="X1083" s="6"/>
      <c r="Y1083" s="6"/>
      <c r="Z1083" s="6"/>
      <c r="AA1083" s="6"/>
      <c r="AB1083" s="6"/>
    </row>
    <row r="1084" spans="1:28" ht="12.75" x14ac:dyDescent="0.2">
      <c r="A1084" s="13"/>
      <c r="B1084" s="6"/>
      <c r="C1084" s="6"/>
      <c r="D1084" s="6"/>
      <c r="E1084" s="6"/>
      <c r="F1084" s="6"/>
      <c r="G1084" s="6"/>
      <c r="H1084" s="6"/>
      <c r="I1084" s="6"/>
      <c r="J1084" s="6"/>
      <c r="K1084" s="6"/>
      <c r="L1084" s="6"/>
      <c r="M1084" s="6"/>
      <c r="N1084" s="6"/>
      <c r="O1084" s="6"/>
      <c r="P1084" s="6"/>
      <c r="Q1084" s="6"/>
      <c r="R1084" s="6"/>
      <c r="S1084" s="6"/>
      <c r="T1084" s="6"/>
      <c r="U1084" s="6"/>
      <c r="V1084" s="6"/>
      <c r="W1084" s="6"/>
      <c r="X1084" s="6"/>
      <c r="Y1084" s="6"/>
      <c r="Z1084" s="6"/>
      <c r="AA1084" s="6"/>
      <c r="AB1084" s="6"/>
    </row>
    <row r="1085" spans="1:28" ht="12.75" x14ac:dyDescent="0.2">
      <c r="A1085" s="13"/>
      <c r="B1085" s="6"/>
      <c r="C1085" s="6"/>
      <c r="D1085" s="6"/>
      <c r="E1085" s="6"/>
      <c r="F1085" s="6"/>
      <c r="G1085" s="6"/>
      <c r="H1085" s="6"/>
      <c r="I1085" s="6"/>
      <c r="J1085" s="6"/>
      <c r="K1085" s="6"/>
      <c r="L1085" s="6"/>
      <c r="M1085" s="6"/>
      <c r="N1085" s="6"/>
      <c r="O1085" s="6"/>
      <c r="P1085" s="6"/>
      <c r="Q1085" s="6"/>
      <c r="R1085" s="6"/>
      <c r="S1085" s="6"/>
      <c r="T1085" s="6"/>
      <c r="U1085" s="6"/>
      <c r="V1085" s="6"/>
      <c r="W1085" s="6"/>
      <c r="X1085" s="6"/>
      <c r="Y1085" s="6"/>
      <c r="Z1085" s="6"/>
      <c r="AA1085" s="6"/>
      <c r="AB1085" s="6"/>
    </row>
    <row r="1086" spans="1:28" ht="12.75" x14ac:dyDescent="0.2">
      <c r="A1086" s="13"/>
      <c r="B1086" s="6"/>
      <c r="C1086" s="6"/>
      <c r="D1086" s="6"/>
      <c r="E1086" s="6"/>
      <c r="F1086" s="6"/>
      <c r="G1086" s="6"/>
      <c r="H1086" s="6"/>
      <c r="I1086" s="6"/>
      <c r="J1086" s="6"/>
      <c r="K1086" s="6"/>
      <c r="L1086" s="6"/>
      <c r="M1086" s="6"/>
      <c r="N1086" s="6"/>
      <c r="O1086" s="6"/>
      <c r="P1086" s="6"/>
      <c r="Q1086" s="6"/>
      <c r="R1086" s="6"/>
      <c r="S1086" s="6"/>
      <c r="T1086" s="6"/>
      <c r="U1086" s="6"/>
      <c r="V1086" s="6"/>
      <c r="W1086" s="6"/>
      <c r="X1086" s="6"/>
      <c r="Y1086" s="6"/>
      <c r="Z1086" s="6"/>
      <c r="AA1086" s="6"/>
      <c r="AB1086" s="6"/>
    </row>
    <row r="1087" spans="1:28" ht="12.75" x14ac:dyDescent="0.2">
      <c r="A1087" s="13"/>
      <c r="B1087" s="6"/>
      <c r="C1087" s="6"/>
      <c r="D1087" s="6"/>
      <c r="E1087" s="6"/>
      <c r="F1087" s="6"/>
      <c r="G1087" s="6"/>
      <c r="H1087" s="6"/>
      <c r="I1087" s="6"/>
      <c r="J1087" s="6"/>
      <c r="K1087" s="6"/>
      <c r="L1087" s="6"/>
      <c r="M1087" s="6"/>
      <c r="N1087" s="6"/>
      <c r="O1087" s="6"/>
      <c r="P1087" s="6"/>
      <c r="Q1087" s="6"/>
      <c r="R1087" s="6"/>
      <c r="S1087" s="6"/>
      <c r="T1087" s="6"/>
      <c r="U1087" s="6"/>
      <c r="V1087" s="6"/>
      <c r="W1087" s="6"/>
      <c r="X1087" s="6"/>
      <c r="Y1087" s="6"/>
      <c r="Z1087" s="6"/>
      <c r="AA1087" s="6"/>
      <c r="AB1087" s="6"/>
    </row>
    <row r="1088" spans="1:28" ht="12.75" x14ac:dyDescent="0.2">
      <c r="A1088" s="13"/>
      <c r="B1088" s="6"/>
      <c r="C1088" s="6"/>
      <c r="D1088" s="6"/>
      <c r="E1088" s="6"/>
      <c r="F1088" s="6"/>
      <c r="G1088" s="6"/>
      <c r="H1088" s="6"/>
      <c r="I1088" s="6"/>
      <c r="J1088" s="6"/>
      <c r="K1088" s="6"/>
      <c r="L1088" s="6"/>
      <c r="M1088" s="6"/>
      <c r="N1088" s="6"/>
      <c r="O1088" s="6"/>
      <c r="P1088" s="6"/>
      <c r="Q1088" s="6"/>
      <c r="R1088" s="6"/>
      <c r="S1088" s="6"/>
      <c r="T1088" s="6"/>
      <c r="U1088" s="6"/>
      <c r="V1088" s="6"/>
      <c r="W1088" s="6"/>
      <c r="X1088" s="6"/>
      <c r="Y1088" s="6"/>
      <c r="Z1088" s="6"/>
      <c r="AA1088" s="6"/>
      <c r="AB1088" s="6"/>
    </row>
    <row r="1089" spans="1:28" ht="12.75" x14ac:dyDescent="0.2">
      <c r="A1089" s="13"/>
      <c r="B1089" s="6"/>
      <c r="C1089" s="6"/>
      <c r="D1089" s="6"/>
      <c r="E1089" s="6"/>
      <c r="F1089" s="6"/>
      <c r="G1089" s="6"/>
      <c r="H1089" s="6"/>
      <c r="I1089" s="6"/>
      <c r="J1089" s="6"/>
      <c r="K1089" s="6"/>
      <c r="L1089" s="6"/>
      <c r="M1089" s="6"/>
      <c r="N1089" s="6"/>
      <c r="O1089" s="6"/>
      <c r="P1089" s="6"/>
      <c r="Q1089" s="6"/>
      <c r="R1089" s="6"/>
      <c r="S1089" s="6"/>
      <c r="T1089" s="6"/>
      <c r="U1089" s="6"/>
      <c r="V1089" s="6"/>
      <c r="W1089" s="6"/>
      <c r="X1089" s="6"/>
      <c r="Y1089" s="6"/>
      <c r="Z1089" s="6"/>
      <c r="AA1089" s="6"/>
      <c r="AB1089" s="6"/>
    </row>
    <row r="1090" spans="1:28" ht="12.75" x14ac:dyDescent="0.2">
      <c r="A1090" s="13"/>
      <c r="B1090" s="6"/>
      <c r="C1090" s="6"/>
      <c r="D1090" s="6"/>
      <c r="E1090" s="6"/>
      <c r="F1090" s="6"/>
      <c r="G1090" s="6"/>
      <c r="H1090" s="6"/>
      <c r="I1090" s="6"/>
      <c r="J1090" s="6"/>
      <c r="K1090" s="6"/>
      <c r="L1090" s="6"/>
      <c r="M1090" s="6"/>
      <c r="N1090" s="6"/>
      <c r="O1090" s="6"/>
      <c r="P1090" s="6"/>
      <c r="Q1090" s="6"/>
      <c r="R1090" s="6"/>
      <c r="S1090" s="6"/>
      <c r="T1090" s="6"/>
      <c r="U1090" s="6"/>
      <c r="V1090" s="6"/>
      <c r="W1090" s="6"/>
      <c r="X1090" s="6"/>
      <c r="Y1090" s="6"/>
      <c r="Z1090" s="6"/>
      <c r="AA1090" s="6"/>
      <c r="AB1090" s="6"/>
    </row>
    <row r="1091" spans="1:28" ht="12.75" x14ac:dyDescent="0.2">
      <c r="A1091" s="13"/>
      <c r="B1091" s="6"/>
      <c r="C1091" s="6"/>
      <c r="D1091" s="6"/>
      <c r="E1091" s="6"/>
      <c r="F1091" s="6"/>
      <c r="G1091" s="6"/>
      <c r="H1091" s="6"/>
      <c r="I1091" s="6"/>
      <c r="J1091" s="6"/>
      <c r="K1091" s="6"/>
      <c r="L1091" s="6"/>
      <c r="M1091" s="6"/>
      <c r="N1091" s="6"/>
      <c r="O1091" s="6"/>
      <c r="P1091" s="6"/>
      <c r="Q1091" s="6"/>
      <c r="R1091" s="6"/>
      <c r="S1091" s="6"/>
      <c r="T1091" s="6"/>
      <c r="U1091" s="6"/>
      <c r="V1091" s="6"/>
      <c r="W1091" s="6"/>
      <c r="X1091" s="6"/>
      <c r="Y1091" s="6"/>
      <c r="Z1091" s="6"/>
      <c r="AA1091" s="6"/>
      <c r="AB1091" s="6"/>
    </row>
    <row r="1092" spans="1:28" ht="12.75" x14ac:dyDescent="0.2">
      <c r="A1092" s="13"/>
      <c r="B1092" s="6"/>
      <c r="C1092" s="6"/>
      <c r="D1092" s="6"/>
      <c r="E1092" s="6"/>
      <c r="F1092" s="6"/>
      <c r="G1092" s="6"/>
      <c r="H1092" s="6"/>
      <c r="I1092" s="6"/>
      <c r="J1092" s="6"/>
      <c r="K1092" s="6"/>
      <c r="L1092" s="6"/>
      <c r="M1092" s="6"/>
      <c r="N1092" s="6"/>
      <c r="O1092" s="6"/>
      <c r="P1092" s="6"/>
      <c r="Q1092" s="6"/>
      <c r="R1092" s="6"/>
      <c r="S1092" s="6"/>
      <c r="T1092" s="6"/>
      <c r="U1092" s="6"/>
      <c r="V1092" s="6"/>
      <c r="W1092" s="6"/>
      <c r="X1092" s="6"/>
      <c r="Y1092" s="6"/>
      <c r="Z1092" s="6"/>
      <c r="AA1092" s="6"/>
      <c r="AB1092" s="6"/>
    </row>
    <row r="1093" spans="1:28" ht="12.75" x14ac:dyDescent="0.2">
      <c r="A1093" s="13"/>
      <c r="B1093" s="6"/>
      <c r="C1093" s="6"/>
      <c r="D1093" s="6"/>
      <c r="E1093" s="6"/>
      <c r="F1093" s="6"/>
      <c r="G1093" s="6"/>
      <c r="H1093" s="6"/>
      <c r="I1093" s="6"/>
      <c r="J1093" s="6"/>
      <c r="K1093" s="6"/>
      <c r="L1093" s="6"/>
      <c r="M1093" s="6"/>
      <c r="N1093" s="6"/>
      <c r="O1093" s="6"/>
      <c r="P1093" s="6"/>
      <c r="Q1093" s="6"/>
      <c r="R1093" s="6"/>
      <c r="S1093" s="6"/>
      <c r="T1093" s="6"/>
      <c r="U1093" s="6"/>
      <c r="V1093" s="6"/>
      <c r="W1093" s="6"/>
      <c r="X1093" s="6"/>
      <c r="Y1093" s="6"/>
      <c r="Z1093" s="6"/>
      <c r="AA1093" s="6"/>
      <c r="AB1093" s="6"/>
    </row>
    <row r="1094" spans="1:28" ht="12.75" x14ac:dyDescent="0.2">
      <c r="A1094" s="13"/>
      <c r="B1094" s="6"/>
      <c r="C1094" s="6"/>
      <c r="D1094" s="6"/>
      <c r="E1094" s="6"/>
      <c r="F1094" s="6"/>
      <c r="G1094" s="6"/>
      <c r="H1094" s="6"/>
      <c r="I1094" s="6"/>
      <c r="J1094" s="6"/>
      <c r="K1094" s="6"/>
      <c r="L1094" s="6"/>
      <c r="M1094" s="6"/>
      <c r="N1094" s="6"/>
      <c r="O1094" s="6"/>
      <c r="P1094" s="6"/>
      <c r="Q1094" s="6"/>
      <c r="R1094" s="6"/>
      <c r="S1094" s="6"/>
      <c r="T1094" s="6"/>
      <c r="U1094" s="6"/>
      <c r="V1094" s="6"/>
      <c r="W1094" s="6"/>
      <c r="X1094" s="6"/>
      <c r="Y1094" s="6"/>
      <c r="Z1094" s="6"/>
      <c r="AA1094" s="6"/>
      <c r="AB1094" s="6"/>
    </row>
    <row r="1095" spans="1:28" ht="12.75" x14ac:dyDescent="0.2">
      <c r="A1095" s="13"/>
      <c r="B1095" s="6"/>
      <c r="C1095" s="6"/>
      <c r="D1095" s="6"/>
      <c r="E1095" s="6"/>
      <c r="F1095" s="6"/>
      <c r="G1095" s="6"/>
      <c r="H1095" s="6"/>
      <c r="I1095" s="6"/>
      <c r="J1095" s="6"/>
      <c r="K1095" s="6"/>
      <c r="L1095" s="6"/>
      <c r="M1095" s="6"/>
      <c r="N1095" s="6"/>
      <c r="O1095" s="6"/>
      <c r="P1095" s="6"/>
      <c r="Q1095" s="6"/>
      <c r="R1095" s="6"/>
      <c r="S1095" s="6"/>
      <c r="T1095" s="6"/>
      <c r="U1095" s="6"/>
      <c r="V1095" s="6"/>
      <c r="W1095" s="6"/>
      <c r="X1095" s="6"/>
      <c r="Y1095" s="6"/>
      <c r="Z1095" s="6"/>
      <c r="AA1095" s="6"/>
      <c r="AB1095" s="6"/>
    </row>
    <row r="1096" spans="1:28" ht="12.75" x14ac:dyDescent="0.2">
      <c r="A1096" s="13"/>
      <c r="B1096" s="6"/>
      <c r="C1096" s="6"/>
      <c r="D1096" s="6"/>
      <c r="E1096" s="6"/>
      <c r="F1096" s="6"/>
      <c r="G1096" s="6"/>
      <c r="H1096" s="6"/>
      <c r="I1096" s="6"/>
      <c r="J1096" s="6"/>
      <c r="K1096" s="6"/>
      <c r="L1096" s="6"/>
      <c r="M1096" s="6"/>
      <c r="N1096" s="6"/>
      <c r="O1096" s="6"/>
      <c r="P1096" s="6"/>
      <c r="Q1096" s="6"/>
      <c r="R1096" s="6"/>
      <c r="S1096" s="6"/>
      <c r="T1096" s="6"/>
      <c r="U1096" s="6"/>
      <c r="V1096" s="6"/>
      <c r="W1096" s="6"/>
      <c r="X1096" s="6"/>
      <c r="Y1096" s="6"/>
      <c r="Z1096" s="6"/>
      <c r="AA1096" s="6"/>
      <c r="AB1096" s="6"/>
    </row>
    <row r="1097" spans="1:28" ht="12.75" x14ac:dyDescent="0.2">
      <c r="A1097" s="13"/>
      <c r="B1097" s="6"/>
      <c r="C1097" s="6"/>
      <c r="D1097" s="6"/>
      <c r="E1097" s="6"/>
      <c r="F1097" s="6"/>
      <c r="G1097" s="6"/>
      <c r="H1097" s="6"/>
      <c r="I1097" s="6"/>
      <c r="J1097" s="6"/>
      <c r="K1097" s="6"/>
      <c r="L1097" s="6"/>
      <c r="M1097" s="6"/>
      <c r="N1097" s="6"/>
      <c r="O1097" s="6"/>
      <c r="P1097" s="6"/>
      <c r="Q1097" s="6"/>
      <c r="R1097" s="6"/>
      <c r="S1097" s="6"/>
      <c r="T1097" s="6"/>
      <c r="U1097" s="6"/>
      <c r="V1097" s="6"/>
      <c r="W1097" s="6"/>
      <c r="X1097" s="6"/>
      <c r="Y1097" s="6"/>
      <c r="Z1097" s="6"/>
      <c r="AA1097" s="6"/>
      <c r="AB1097" s="6"/>
    </row>
    <row r="1098" spans="1:28" ht="12.75" x14ac:dyDescent="0.2">
      <c r="A1098" s="13"/>
      <c r="B1098" s="6"/>
      <c r="C1098" s="6"/>
      <c r="D1098" s="6"/>
      <c r="E1098" s="6"/>
      <c r="F1098" s="6"/>
      <c r="G1098" s="6"/>
      <c r="H1098" s="6"/>
      <c r="I1098" s="6"/>
      <c r="J1098" s="6"/>
      <c r="K1098" s="6"/>
      <c r="L1098" s="6"/>
      <c r="M1098" s="6"/>
      <c r="N1098" s="6"/>
      <c r="O1098" s="6"/>
      <c r="P1098" s="6"/>
      <c r="Q1098" s="6"/>
      <c r="R1098" s="6"/>
      <c r="S1098" s="6"/>
      <c r="T1098" s="6"/>
      <c r="U1098" s="6"/>
      <c r="V1098" s="6"/>
      <c r="W1098" s="6"/>
      <c r="X1098" s="6"/>
      <c r="Y1098" s="6"/>
      <c r="Z1098" s="6"/>
      <c r="AA1098" s="6"/>
      <c r="AB1098" s="6"/>
    </row>
    <row r="1099" spans="1:28" ht="12.75" x14ac:dyDescent="0.2">
      <c r="A1099" s="13"/>
      <c r="B1099" s="6"/>
      <c r="C1099" s="6"/>
      <c r="D1099" s="6"/>
      <c r="E1099" s="6"/>
      <c r="F1099" s="6"/>
      <c r="G1099" s="6"/>
      <c r="H1099" s="6"/>
      <c r="I1099" s="6"/>
      <c r="J1099" s="6"/>
      <c r="K1099" s="6"/>
      <c r="L1099" s="6"/>
      <c r="M1099" s="6"/>
      <c r="N1099" s="6"/>
      <c r="O1099" s="6"/>
      <c r="P1099" s="6"/>
      <c r="Q1099" s="6"/>
      <c r="R1099" s="6"/>
      <c r="S1099" s="6"/>
      <c r="T1099" s="6"/>
      <c r="U1099" s="6"/>
      <c r="V1099" s="6"/>
      <c r="W1099" s="6"/>
      <c r="X1099" s="6"/>
      <c r="Y1099" s="6"/>
      <c r="Z1099" s="6"/>
      <c r="AA1099" s="6"/>
      <c r="AB1099" s="6"/>
    </row>
    <row r="1100" spans="1:28" ht="12.75" x14ac:dyDescent="0.2">
      <c r="A1100" s="13"/>
      <c r="B1100" s="6"/>
      <c r="C1100" s="6"/>
      <c r="D1100" s="6"/>
      <c r="E1100" s="6"/>
      <c r="F1100" s="6"/>
      <c r="G1100" s="6"/>
      <c r="H1100" s="6"/>
      <c r="I1100" s="6"/>
      <c r="J1100" s="6"/>
      <c r="K1100" s="6"/>
      <c r="L1100" s="6"/>
      <c r="M1100" s="6"/>
      <c r="N1100" s="6"/>
      <c r="O1100" s="6"/>
      <c r="P1100" s="6"/>
      <c r="Q1100" s="6"/>
      <c r="R1100" s="6"/>
      <c r="S1100" s="6"/>
      <c r="T1100" s="6"/>
      <c r="U1100" s="6"/>
      <c r="V1100" s="6"/>
      <c r="W1100" s="6"/>
      <c r="X1100" s="6"/>
      <c r="Y1100" s="6"/>
      <c r="Z1100" s="6"/>
      <c r="AA1100" s="6"/>
      <c r="AB1100" s="6"/>
    </row>
    <row r="1101" spans="1:28" ht="12.75" x14ac:dyDescent="0.2">
      <c r="A1101" s="13"/>
      <c r="B1101" s="6"/>
      <c r="C1101" s="6"/>
      <c r="D1101" s="6"/>
      <c r="E1101" s="6"/>
      <c r="F1101" s="6"/>
      <c r="G1101" s="6"/>
      <c r="H1101" s="6"/>
      <c r="I1101" s="6"/>
      <c r="J1101" s="6"/>
      <c r="K1101" s="6"/>
      <c r="L1101" s="6"/>
      <c r="M1101" s="6"/>
      <c r="N1101" s="6"/>
      <c r="O1101" s="6"/>
      <c r="P1101" s="6"/>
      <c r="Q1101" s="6"/>
      <c r="R1101" s="6"/>
      <c r="S1101" s="6"/>
      <c r="T1101" s="6"/>
      <c r="U1101" s="6"/>
      <c r="V1101" s="6"/>
      <c r="W1101" s="6"/>
      <c r="X1101" s="6"/>
      <c r="Y1101" s="6"/>
      <c r="Z1101" s="6"/>
      <c r="AA1101" s="6"/>
      <c r="AB1101" s="6"/>
    </row>
    <row r="1102" spans="1:28" ht="12.75" x14ac:dyDescent="0.2">
      <c r="A1102" s="13"/>
      <c r="B1102" s="6"/>
      <c r="C1102" s="6"/>
      <c r="D1102" s="6"/>
      <c r="E1102" s="6"/>
      <c r="F1102" s="6"/>
      <c r="G1102" s="6"/>
      <c r="H1102" s="6"/>
      <c r="I1102" s="6"/>
      <c r="J1102" s="6"/>
      <c r="K1102" s="6"/>
      <c r="L1102" s="6"/>
      <c r="M1102" s="6"/>
      <c r="N1102" s="6"/>
      <c r="O1102" s="6"/>
      <c r="P1102" s="6"/>
      <c r="Q1102" s="6"/>
      <c r="R1102" s="6"/>
      <c r="S1102" s="6"/>
      <c r="T1102" s="6"/>
      <c r="U1102" s="6"/>
      <c r="V1102" s="6"/>
      <c r="W1102" s="6"/>
      <c r="X1102" s="6"/>
      <c r="Y1102" s="6"/>
      <c r="Z1102" s="6"/>
      <c r="AA1102" s="6"/>
      <c r="AB1102" s="6"/>
    </row>
    <row r="1103" spans="1:28" ht="12.75" x14ac:dyDescent="0.2">
      <c r="A1103" s="13"/>
      <c r="B1103" s="6"/>
      <c r="C1103" s="6"/>
      <c r="D1103" s="6"/>
      <c r="E1103" s="6"/>
      <c r="F1103" s="6"/>
      <c r="G1103" s="6"/>
      <c r="H1103" s="6"/>
      <c r="I1103" s="6"/>
      <c r="J1103" s="6"/>
      <c r="K1103" s="6"/>
      <c r="L1103" s="6"/>
      <c r="M1103" s="6"/>
      <c r="N1103" s="6"/>
      <c r="O1103" s="6"/>
      <c r="P1103" s="6"/>
      <c r="Q1103" s="6"/>
      <c r="R1103" s="6"/>
      <c r="S1103" s="6"/>
      <c r="T1103" s="6"/>
      <c r="U1103" s="6"/>
      <c r="V1103" s="6"/>
      <c r="W1103" s="6"/>
      <c r="X1103" s="6"/>
      <c r="Y1103" s="6"/>
      <c r="Z1103" s="6"/>
      <c r="AA1103" s="6"/>
      <c r="AB1103" s="6"/>
    </row>
    <row r="1104" spans="1:28" ht="12.75" x14ac:dyDescent="0.2">
      <c r="A1104" s="13"/>
      <c r="B1104" s="6"/>
      <c r="C1104" s="6"/>
      <c r="D1104" s="6"/>
      <c r="E1104" s="6"/>
      <c r="F1104" s="6"/>
      <c r="G1104" s="6"/>
      <c r="H1104" s="6"/>
      <c r="I1104" s="6"/>
      <c r="J1104" s="6"/>
      <c r="K1104" s="6"/>
      <c r="L1104" s="6"/>
      <c r="M1104" s="6"/>
      <c r="N1104" s="6"/>
      <c r="O1104" s="6"/>
      <c r="P1104" s="6"/>
      <c r="Q1104" s="6"/>
      <c r="R1104" s="6"/>
      <c r="S1104" s="6"/>
      <c r="T1104" s="6"/>
      <c r="U1104" s="6"/>
      <c r="V1104" s="6"/>
      <c r="W1104" s="6"/>
      <c r="X1104" s="6"/>
      <c r="Y1104" s="6"/>
      <c r="Z1104" s="6"/>
      <c r="AA1104" s="6"/>
      <c r="AB1104" s="6"/>
    </row>
    <row r="1105" spans="1:28" ht="12.75" x14ac:dyDescent="0.2">
      <c r="A1105" s="13"/>
      <c r="B1105" s="6"/>
      <c r="C1105" s="6"/>
      <c r="D1105" s="6"/>
      <c r="E1105" s="6"/>
      <c r="F1105" s="6"/>
      <c r="G1105" s="6"/>
      <c r="H1105" s="6"/>
      <c r="I1105" s="6"/>
      <c r="J1105" s="6"/>
      <c r="K1105" s="6"/>
      <c r="L1105" s="6"/>
      <c r="M1105" s="6"/>
      <c r="N1105" s="6"/>
      <c r="O1105" s="6"/>
      <c r="P1105" s="6"/>
      <c r="Q1105" s="6"/>
      <c r="R1105" s="6"/>
      <c r="S1105" s="6"/>
      <c r="T1105" s="6"/>
      <c r="U1105" s="6"/>
      <c r="V1105" s="6"/>
      <c r="W1105" s="6"/>
      <c r="X1105" s="6"/>
      <c r="Y1105" s="6"/>
      <c r="Z1105" s="6"/>
      <c r="AA1105" s="6"/>
      <c r="AB1105" s="6"/>
    </row>
    <row r="1106" spans="1:28" ht="12.75" x14ac:dyDescent="0.2">
      <c r="A1106" s="13"/>
      <c r="B1106" s="6"/>
      <c r="C1106" s="6"/>
      <c r="D1106" s="6"/>
      <c r="E1106" s="6"/>
      <c r="F1106" s="6"/>
      <c r="G1106" s="6"/>
      <c r="H1106" s="6"/>
      <c r="I1106" s="6"/>
      <c r="J1106" s="6"/>
      <c r="K1106" s="6"/>
      <c r="L1106" s="6"/>
      <c r="M1106" s="6"/>
      <c r="N1106" s="6"/>
      <c r="O1106" s="6"/>
      <c r="P1106" s="6"/>
      <c r="Q1106" s="6"/>
      <c r="R1106" s="6"/>
      <c r="S1106" s="6"/>
      <c r="T1106" s="6"/>
      <c r="U1106" s="6"/>
      <c r="V1106" s="6"/>
      <c r="W1106" s="6"/>
      <c r="X1106" s="6"/>
      <c r="Y1106" s="6"/>
      <c r="Z1106" s="6"/>
      <c r="AA1106" s="6"/>
      <c r="AB1106" s="6"/>
    </row>
    <row r="1107" spans="1:28" ht="12.75" x14ac:dyDescent="0.2">
      <c r="A1107" s="13"/>
      <c r="B1107" s="6"/>
      <c r="C1107" s="6"/>
      <c r="D1107" s="6"/>
      <c r="E1107" s="6"/>
      <c r="F1107" s="6"/>
      <c r="G1107" s="6"/>
      <c r="H1107" s="6"/>
      <c r="I1107" s="6"/>
      <c r="J1107" s="6"/>
      <c r="K1107" s="6"/>
      <c r="L1107" s="6"/>
      <c r="M1107" s="6"/>
      <c r="N1107" s="6"/>
      <c r="O1107" s="6"/>
      <c r="P1107" s="6"/>
      <c r="Q1107" s="6"/>
      <c r="R1107" s="6"/>
      <c r="S1107" s="6"/>
      <c r="T1107" s="6"/>
      <c r="U1107" s="6"/>
      <c r="V1107" s="6"/>
      <c r="W1107" s="6"/>
      <c r="X1107" s="6"/>
      <c r="Y1107" s="6"/>
      <c r="Z1107" s="6"/>
      <c r="AA1107" s="6"/>
      <c r="AB1107" s="6"/>
    </row>
    <row r="1108" spans="1:28" ht="12.75" x14ac:dyDescent="0.2">
      <c r="A1108" s="13"/>
      <c r="B1108" s="6"/>
      <c r="C1108" s="6"/>
      <c r="D1108" s="6"/>
      <c r="E1108" s="6"/>
      <c r="F1108" s="6"/>
      <c r="G1108" s="6"/>
      <c r="H1108" s="6"/>
      <c r="I1108" s="6"/>
      <c r="J1108" s="6"/>
      <c r="K1108" s="6"/>
      <c r="L1108" s="6"/>
      <c r="M1108" s="6"/>
      <c r="N1108" s="6"/>
      <c r="O1108" s="6"/>
      <c r="P1108" s="6"/>
      <c r="Q1108" s="6"/>
      <c r="R1108" s="6"/>
      <c r="S1108" s="6"/>
      <c r="T1108" s="6"/>
      <c r="U1108" s="6"/>
      <c r="V1108" s="6"/>
      <c r="W1108" s="6"/>
      <c r="X1108" s="6"/>
      <c r="Y1108" s="6"/>
      <c r="Z1108" s="6"/>
      <c r="AA1108" s="6"/>
      <c r="AB1108" s="6"/>
    </row>
    <row r="1109" spans="1:28" ht="12.75" x14ac:dyDescent="0.2">
      <c r="A1109" s="13"/>
      <c r="B1109" s="6"/>
      <c r="C1109" s="6"/>
      <c r="D1109" s="6"/>
      <c r="E1109" s="6"/>
      <c r="F1109" s="6"/>
      <c r="G1109" s="6"/>
      <c r="H1109" s="6"/>
      <c r="I1109" s="6"/>
      <c r="J1109" s="6"/>
      <c r="K1109" s="6"/>
      <c r="L1109" s="6"/>
      <c r="M1109" s="6"/>
      <c r="N1109" s="6"/>
      <c r="O1109" s="6"/>
      <c r="P1109" s="6"/>
      <c r="Q1109" s="6"/>
      <c r="R1109" s="6"/>
      <c r="S1109" s="6"/>
      <c r="T1109" s="6"/>
      <c r="U1109" s="6"/>
      <c r="V1109" s="6"/>
      <c r="W1109" s="6"/>
      <c r="X1109" s="6"/>
      <c r="Y1109" s="6"/>
      <c r="Z1109" s="6"/>
      <c r="AA1109" s="6"/>
      <c r="AB1109" s="6"/>
    </row>
    <row r="1110" spans="1:28" ht="12.75" x14ac:dyDescent="0.2">
      <c r="A1110" s="13"/>
      <c r="B1110" s="6"/>
      <c r="C1110" s="6"/>
      <c r="D1110" s="6"/>
      <c r="E1110" s="6"/>
      <c r="F1110" s="6"/>
      <c r="G1110" s="6"/>
      <c r="H1110" s="6"/>
      <c r="I1110" s="6"/>
      <c r="J1110" s="6"/>
      <c r="K1110" s="6"/>
      <c r="L1110" s="6"/>
      <c r="M1110" s="6"/>
      <c r="N1110" s="6"/>
      <c r="O1110" s="6"/>
      <c r="P1110" s="6"/>
      <c r="Q1110" s="6"/>
      <c r="R1110" s="6"/>
      <c r="S1110" s="6"/>
      <c r="T1110" s="6"/>
      <c r="U1110" s="6"/>
      <c r="V1110" s="6"/>
      <c r="W1110" s="6"/>
      <c r="X1110" s="6"/>
      <c r="Y1110" s="6"/>
      <c r="Z1110" s="6"/>
      <c r="AA1110" s="6"/>
      <c r="AB1110" s="6"/>
    </row>
    <row r="1111" spans="1:28" ht="12.75" x14ac:dyDescent="0.2">
      <c r="A1111" s="13"/>
      <c r="B1111" s="6"/>
      <c r="C1111" s="6"/>
      <c r="D1111" s="6"/>
      <c r="E1111" s="6"/>
      <c r="F1111" s="6"/>
      <c r="G1111" s="6"/>
      <c r="H1111" s="6"/>
      <c r="I1111" s="6"/>
      <c r="J1111" s="6"/>
      <c r="K1111" s="6"/>
      <c r="L1111" s="6"/>
      <c r="M1111" s="6"/>
      <c r="N1111" s="6"/>
      <c r="O1111" s="6"/>
      <c r="P1111" s="6"/>
      <c r="Q1111" s="6"/>
      <c r="R1111" s="6"/>
      <c r="S1111" s="6"/>
      <c r="T1111" s="6"/>
      <c r="U1111" s="6"/>
      <c r="V1111" s="6"/>
      <c r="W1111" s="6"/>
      <c r="X1111" s="6"/>
      <c r="Y1111" s="6"/>
      <c r="Z1111" s="6"/>
      <c r="AA1111" s="6"/>
      <c r="AB1111" s="6"/>
    </row>
    <row r="1112" spans="1:28" ht="12.75" x14ac:dyDescent="0.2">
      <c r="A1112" s="13"/>
      <c r="B1112" s="6"/>
      <c r="C1112" s="6"/>
      <c r="D1112" s="6"/>
      <c r="E1112" s="6"/>
      <c r="F1112" s="6"/>
      <c r="G1112" s="6"/>
      <c r="H1112" s="6"/>
      <c r="I1112" s="6"/>
      <c r="J1112" s="6"/>
      <c r="K1112" s="6"/>
      <c r="L1112" s="6"/>
      <c r="M1112" s="6"/>
      <c r="N1112" s="6"/>
      <c r="O1112" s="6"/>
      <c r="P1112" s="6"/>
      <c r="Q1112" s="6"/>
      <c r="R1112" s="6"/>
      <c r="S1112" s="6"/>
      <c r="T1112" s="6"/>
      <c r="U1112" s="6"/>
      <c r="V1112" s="6"/>
      <c r="W1112" s="6"/>
      <c r="X1112" s="6"/>
      <c r="Y1112" s="6"/>
      <c r="Z1112" s="6"/>
      <c r="AA1112" s="6"/>
      <c r="AB1112" s="6"/>
    </row>
    <row r="1113" spans="1:28" ht="12.75" x14ac:dyDescent="0.2">
      <c r="A1113" s="13"/>
      <c r="B1113" s="6"/>
      <c r="C1113" s="6"/>
      <c r="D1113" s="6"/>
      <c r="E1113" s="6"/>
      <c r="F1113" s="6"/>
      <c r="G1113" s="6"/>
      <c r="H1113" s="6"/>
      <c r="I1113" s="6"/>
      <c r="J1113" s="6"/>
      <c r="K1113" s="6"/>
      <c r="L1113" s="6"/>
      <c r="M1113" s="6"/>
      <c r="N1113" s="6"/>
      <c r="O1113" s="6"/>
      <c r="P1113" s="6"/>
      <c r="Q1113" s="6"/>
      <c r="R1113" s="6"/>
      <c r="S1113" s="6"/>
      <c r="T1113" s="6"/>
      <c r="U1113" s="6"/>
      <c r="V1113" s="6"/>
      <c r="W1113" s="6"/>
      <c r="X1113" s="6"/>
      <c r="Y1113" s="6"/>
      <c r="Z1113" s="6"/>
      <c r="AA1113" s="6"/>
      <c r="AB1113" s="6"/>
    </row>
    <row r="1114" spans="1:28" ht="12.75" x14ac:dyDescent="0.2">
      <c r="A1114" s="13"/>
      <c r="B1114" s="6"/>
      <c r="C1114" s="6"/>
      <c r="D1114" s="6"/>
      <c r="E1114" s="6"/>
      <c r="F1114" s="6"/>
      <c r="G1114" s="6"/>
      <c r="H1114" s="6"/>
      <c r="I1114" s="6"/>
      <c r="J1114" s="6"/>
      <c r="K1114" s="6"/>
      <c r="L1114" s="6"/>
      <c r="M1114" s="6"/>
      <c r="N1114" s="6"/>
      <c r="O1114" s="6"/>
      <c r="P1114" s="6"/>
      <c r="Q1114" s="6"/>
      <c r="R1114" s="6"/>
      <c r="S1114" s="6"/>
      <c r="T1114" s="6"/>
      <c r="U1114" s="6"/>
      <c r="V1114" s="6"/>
      <c r="W1114" s="6"/>
      <c r="X1114" s="6"/>
      <c r="Y1114" s="6"/>
      <c r="Z1114" s="6"/>
      <c r="AA1114" s="6"/>
      <c r="AB1114" s="6"/>
    </row>
    <row r="1115" spans="1:28" ht="12.75" x14ac:dyDescent="0.2">
      <c r="A1115" s="13"/>
      <c r="B1115" s="6"/>
      <c r="C1115" s="6"/>
      <c r="D1115" s="6"/>
      <c r="E1115" s="6"/>
      <c r="F1115" s="6"/>
      <c r="G1115" s="6"/>
      <c r="H1115" s="6"/>
      <c r="I1115" s="6"/>
      <c r="J1115" s="6"/>
      <c r="K1115" s="6"/>
      <c r="L1115" s="6"/>
      <c r="M1115" s="6"/>
      <c r="N1115" s="6"/>
      <c r="O1115" s="6"/>
      <c r="P1115" s="6"/>
      <c r="Q1115" s="6"/>
      <c r="R1115" s="6"/>
      <c r="S1115" s="6"/>
      <c r="T1115" s="6"/>
      <c r="U1115" s="6"/>
      <c r="V1115" s="6"/>
      <c r="W1115" s="6"/>
      <c r="X1115" s="6"/>
      <c r="Y1115" s="6"/>
      <c r="Z1115" s="6"/>
      <c r="AA1115" s="6"/>
      <c r="AB1115" s="6"/>
    </row>
    <row r="1116" spans="1:28" ht="12.75" x14ac:dyDescent="0.2">
      <c r="A1116" s="13"/>
      <c r="B1116" s="6"/>
      <c r="C1116" s="6"/>
      <c r="D1116" s="6"/>
      <c r="E1116" s="6"/>
      <c r="F1116" s="6"/>
      <c r="G1116" s="6"/>
      <c r="H1116" s="6"/>
      <c r="I1116" s="6"/>
      <c r="J1116" s="6"/>
      <c r="K1116" s="6"/>
      <c r="L1116" s="6"/>
      <c r="M1116" s="6"/>
      <c r="N1116" s="6"/>
      <c r="O1116" s="6"/>
      <c r="P1116" s="6"/>
      <c r="Q1116" s="6"/>
      <c r="R1116" s="6"/>
      <c r="S1116" s="6"/>
      <c r="T1116" s="6"/>
      <c r="U1116" s="6"/>
      <c r="V1116" s="6"/>
      <c r="W1116" s="6"/>
      <c r="X1116" s="6"/>
      <c r="Y1116" s="6"/>
      <c r="Z1116" s="6"/>
      <c r="AA1116" s="6"/>
      <c r="AB1116" s="6"/>
    </row>
    <row r="1117" spans="1:28" ht="12.75" x14ac:dyDescent="0.2">
      <c r="A1117" s="13"/>
      <c r="B1117" s="6"/>
      <c r="C1117" s="6"/>
      <c r="D1117" s="6"/>
      <c r="E1117" s="6"/>
      <c r="F1117" s="6"/>
      <c r="G1117" s="6"/>
      <c r="H1117" s="6"/>
      <c r="I1117" s="6"/>
      <c r="J1117" s="6"/>
      <c r="K1117" s="6"/>
      <c r="L1117" s="6"/>
      <c r="M1117" s="6"/>
      <c r="N1117" s="6"/>
      <c r="O1117" s="6"/>
      <c r="P1117" s="6"/>
      <c r="Q1117" s="6"/>
      <c r="R1117" s="6"/>
      <c r="S1117" s="6"/>
      <c r="T1117" s="6"/>
      <c r="U1117" s="6"/>
      <c r="V1117" s="6"/>
      <c r="W1117" s="6"/>
      <c r="X1117" s="6"/>
      <c r="Y1117" s="6"/>
      <c r="Z1117" s="6"/>
      <c r="AA1117" s="6"/>
      <c r="AB1117" s="6"/>
    </row>
    <row r="1118" spans="1:28" ht="12.75" x14ac:dyDescent="0.2">
      <c r="A1118" s="13"/>
      <c r="B1118" s="6"/>
      <c r="C1118" s="6"/>
      <c r="D1118" s="6"/>
      <c r="E1118" s="6"/>
      <c r="F1118" s="6"/>
      <c r="G1118" s="6"/>
      <c r="H1118" s="6"/>
      <c r="I1118" s="6"/>
      <c r="J1118" s="6"/>
      <c r="K1118" s="6"/>
      <c r="L1118" s="6"/>
      <c r="M1118" s="6"/>
      <c r="N1118" s="6"/>
      <c r="O1118" s="6"/>
      <c r="P1118" s="6"/>
      <c r="Q1118" s="6"/>
      <c r="R1118" s="6"/>
      <c r="S1118" s="6"/>
      <c r="T1118" s="6"/>
      <c r="U1118" s="6"/>
      <c r="V1118" s="6"/>
      <c r="W1118" s="6"/>
      <c r="X1118" s="6"/>
      <c r="Y1118" s="6"/>
      <c r="Z1118" s="6"/>
      <c r="AA1118" s="6"/>
      <c r="AB1118" s="6"/>
    </row>
    <row r="1119" spans="1:28" ht="12.75" x14ac:dyDescent="0.2">
      <c r="A1119" s="13"/>
      <c r="B1119" s="6"/>
      <c r="C1119" s="6"/>
      <c r="D1119" s="6"/>
      <c r="E1119" s="6"/>
      <c r="F1119" s="6"/>
      <c r="G1119" s="6"/>
      <c r="H1119" s="6"/>
      <c r="I1119" s="6"/>
      <c r="J1119" s="6"/>
      <c r="K1119" s="6"/>
      <c r="L1119" s="6"/>
      <c r="M1119" s="6"/>
      <c r="N1119" s="6"/>
      <c r="O1119" s="6"/>
      <c r="P1119" s="6"/>
      <c r="Q1119" s="6"/>
      <c r="R1119" s="6"/>
      <c r="S1119" s="6"/>
      <c r="T1119" s="6"/>
      <c r="U1119" s="6"/>
      <c r="V1119" s="6"/>
      <c r="W1119" s="6"/>
      <c r="X1119" s="6"/>
      <c r="Y1119" s="6"/>
      <c r="Z1119" s="6"/>
      <c r="AA1119" s="6"/>
      <c r="AB1119" s="6"/>
    </row>
    <row r="1120" spans="1:28" ht="12.75" x14ac:dyDescent="0.2">
      <c r="A1120" s="13"/>
      <c r="B1120" s="6"/>
      <c r="C1120" s="6"/>
      <c r="D1120" s="6"/>
      <c r="E1120" s="6"/>
      <c r="F1120" s="6"/>
      <c r="G1120" s="6"/>
      <c r="H1120" s="6"/>
      <c r="I1120" s="6"/>
      <c r="J1120" s="6"/>
      <c r="K1120" s="6"/>
      <c r="L1120" s="6"/>
      <c r="M1120" s="6"/>
      <c r="N1120" s="6"/>
      <c r="O1120" s="6"/>
      <c r="P1120" s="6"/>
      <c r="Q1120" s="6"/>
      <c r="R1120" s="6"/>
      <c r="S1120" s="6"/>
      <c r="T1120" s="6"/>
      <c r="U1120" s="6"/>
      <c r="V1120" s="6"/>
      <c r="W1120" s="6"/>
      <c r="X1120" s="6"/>
      <c r="Y1120" s="6"/>
      <c r="Z1120" s="6"/>
      <c r="AA1120" s="6"/>
      <c r="AB1120" s="6"/>
    </row>
    <row r="1121" spans="1:28" ht="12.75" x14ac:dyDescent="0.2">
      <c r="A1121" s="13"/>
      <c r="B1121" s="6"/>
      <c r="C1121" s="6"/>
      <c r="D1121" s="6"/>
      <c r="E1121" s="6"/>
      <c r="F1121" s="6"/>
      <c r="G1121" s="6"/>
      <c r="H1121" s="6"/>
      <c r="I1121" s="6"/>
      <c r="J1121" s="6"/>
      <c r="K1121" s="6"/>
      <c r="L1121" s="6"/>
      <c r="M1121" s="6"/>
      <c r="N1121" s="6"/>
      <c r="O1121" s="6"/>
      <c r="P1121" s="6"/>
      <c r="Q1121" s="6"/>
      <c r="R1121" s="6"/>
      <c r="S1121" s="6"/>
      <c r="T1121" s="6"/>
      <c r="U1121" s="6"/>
      <c r="V1121" s="6"/>
      <c r="W1121" s="6"/>
      <c r="X1121" s="6"/>
      <c r="Y1121" s="6"/>
      <c r="Z1121" s="6"/>
      <c r="AA1121" s="6"/>
      <c r="AB1121" s="6"/>
    </row>
    <row r="1122" spans="1:28" ht="12.75" x14ac:dyDescent="0.2">
      <c r="A1122" s="13"/>
      <c r="B1122" s="6"/>
      <c r="C1122" s="6"/>
      <c r="D1122" s="6"/>
      <c r="E1122" s="6"/>
      <c r="F1122" s="6"/>
      <c r="G1122" s="6"/>
      <c r="H1122" s="6"/>
      <c r="I1122" s="6"/>
      <c r="J1122" s="6"/>
      <c r="K1122" s="6"/>
      <c r="L1122" s="6"/>
      <c r="M1122" s="6"/>
      <c r="N1122" s="6"/>
      <c r="O1122" s="6"/>
      <c r="P1122" s="6"/>
      <c r="Q1122" s="6"/>
      <c r="R1122" s="6"/>
      <c r="S1122" s="6"/>
      <c r="T1122" s="6"/>
      <c r="U1122" s="6"/>
      <c r="V1122" s="6"/>
      <c r="W1122" s="6"/>
      <c r="X1122" s="6"/>
      <c r="Y1122" s="6"/>
      <c r="Z1122" s="6"/>
      <c r="AA1122" s="6"/>
      <c r="AB1122" s="6"/>
    </row>
    <row r="1123" spans="1:28" ht="12.75" x14ac:dyDescent="0.2">
      <c r="A1123" s="13"/>
      <c r="B1123" s="6"/>
      <c r="C1123" s="6"/>
      <c r="D1123" s="6"/>
      <c r="E1123" s="6"/>
      <c r="F1123" s="6"/>
      <c r="G1123" s="6"/>
      <c r="H1123" s="6"/>
      <c r="I1123" s="6"/>
      <c r="J1123" s="6"/>
      <c r="K1123" s="6"/>
      <c r="L1123" s="6"/>
      <c r="M1123" s="6"/>
      <c r="N1123" s="6"/>
      <c r="O1123" s="6"/>
      <c r="P1123" s="6"/>
      <c r="Q1123" s="6"/>
      <c r="R1123" s="6"/>
      <c r="S1123" s="6"/>
      <c r="T1123" s="6"/>
      <c r="U1123" s="6"/>
      <c r="V1123" s="6"/>
      <c r="W1123" s="6"/>
      <c r="X1123" s="6"/>
      <c r="Y1123" s="6"/>
      <c r="Z1123" s="6"/>
      <c r="AA1123" s="6"/>
      <c r="AB1123" s="6"/>
    </row>
    <row r="1124" spans="1:28" ht="12.75" x14ac:dyDescent="0.2">
      <c r="A1124" s="13"/>
      <c r="B1124" s="6"/>
      <c r="C1124" s="6"/>
      <c r="D1124" s="6"/>
      <c r="E1124" s="6"/>
      <c r="F1124" s="6"/>
      <c r="G1124" s="6"/>
      <c r="H1124" s="6"/>
      <c r="I1124" s="6"/>
      <c r="J1124" s="6"/>
      <c r="K1124" s="6"/>
      <c r="L1124" s="6"/>
      <c r="M1124" s="6"/>
      <c r="N1124" s="6"/>
      <c r="O1124" s="6"/>
      <c r="P1124" s="6"/>
      <c r="Q1124" s="6"/>
      <c r="R1124" s="6"/>
      <c r="S1124" s="6"/>
      <c r="T1124" s="6"/>
      <c r="U1124" s="6"/>
      <c r="V1124" s="6"/>
      <c r="W1124" s="6"/>
      <c r="X1124" s="6"/>
      <c r="Y1124" s="6"/>
      <c r="Z1124" s="6"/>
      <c r="AA1124" s="6"/>
      <c r="AB1124" s="6"/>
    </row>
    <row r="1125" spans="1:28" ht="12.75" x14ac:dyDescent="0.2">
      <c r="A1125" s="13"/>
      <c r="B1125" s="6"/>
      <c r="C1125" s="6"/>
      <c r="D1125" s="6"/>
      <c r="E1125" s="6"/>
      <c r="F1125" s="6"/>
      <c r="G1125" s="6"/>
      <c r="H1125" s="6"/>
      <c r="I1125" s="6"/>
      <c r="J1125" s="6"/>
      <c r="K1125" s="6"/>
      <c r="L1125" s="6"/>
      <c r="M1125" s="6"/>
      <c r="N1125" s="6"/>
      <c r="O1125" s="6"/>
      <c r="P1125" s="6"/>
      <c r="Q1125" s="6"/>
      <c r="R1125" s="6"/>
      <c r="S1125" s="6"/>
      <c r="T1125" s="6"/>
      <c r="U1125" s="6"/>
      <c r="V1125" s="6"/>
      <c r="W1125" s="6"/>
      <c r="X1125" s="6"/>
      <c r="Y1125" s="6"/>
      <c r="Z1125" s="6"/>
      <c r="AA1125" s="6"/>
      <c r="AB1125" s="6"/>
    </row>
    <row r="1126" spans="1:28" ht="12.75" x14ac:dyDescent="0.2">
      <c r="A1126" s="13"/>
      <c r="B1126" s="6"/>
      <c r="C1126" s="6"/>
      <c r="D1126" s="6"/>
      <c r="E1126" s="6"/>
      <c r="F1126" s="6"/>
      <c r="G1126" s="6"/>
      <c r="H1126" s="6"/>
      <c r="I1126" s="6"/>
      <c r="J1126" s="6"/>
      <c r="K1126" s="6"/>
      <c r="L1126" s="6"/>
      <c r="M1126" s="6"/>
      <c r="N1126" s="6"/>
      <c r="O1126" s="6"/>
      <c r="P1126" s="6"/>
      <c r="Q1126" s="6"/>
      <c r="R1126" s="6"/>
      <c r="S1126" s="6"/>
      <c r="T1126" s="6"/>
      <c r="U1126" s="6"/>
      <c r="V1126" s="6"/>
      <c r="W1126" s="6"/>
      <c r="X1126" s="6"/>
      <c r="Y1126" s="6"/>
      <c r="Z1126" s="6"/>
      <c r="AA1126" s="6"/>
      <c r="AB1126" s="6"/>
    </row>
    <row r="1127" spans="1:28" ht="12.75" x14ac:dyDescent="0.2">
      <c r="A1127" s="13"/>
      <c r="B1127" s="6"/>
      <c r="C1127" s="6"/>
      <c r="D1127" s="6"/>
      <c r="E1127" s="6"/>
      <c r="F1127" s="6"/>
      <c r="G1127" s="6"/>
      <c r="H1127" s="6"/>
      <c r="I1127" s="6"/>
      <c r="J1127" s="6"/>
      <c r="K1127" s="6"/>
      <c r="L1127" s="6"/>
      <c r="M1127" s="6"/>
      <c r="N1127" s="6"/>
      <c r="O1127" s="6"/>
      <c r="P1127" s="6"/>
      <c r="Q1127" s="6"/>
      <c r="R1127" s="6"/>
      <c r="S1127" s="6"/>
      <c r="T1127" s="6"/>
      <c r="U1127" s="6"/>
      <c r="V1127" s="6"/>
      <c r="W1127" s="6"/>
      <c r="X1127" s="6"/>
      <c r="Y1127" s="6"/>
      <c r="Z1127" s="6"/>
      <c r="AA1127" s="6"/>
      <c r="AB1127" s="6"/>
    </row>
    <row r="1128" spans="1:28" ht="12.75" x14ac:dyDescent="0.2">
      <c r="A1128" s="13"/>
      <c r="B1128" s="6"/>
      <c r="C1128" s="6"/>
      <c r="D1128" s="6"/>
      <c r="E1128" s="6"/>
      <c r="F1128" s="6"/>
      <c r="G1128" s="6"/>
      <c r="H1128" s="6"/>
      <c r="I1128" s="6"/>
      <c r="J1128" s="6"/>
      <c r="K1128" s="6"/>
      <c r="L1128" s="6"/>
      <c r="M1128" s="6"/>
      <c r="N1128" s="6"/>
      <c r="O1128" s="6"/>
      <c r="P1128" s="6"/>
      <c r="Q1128" s="6"/>
      <c r="R1128" s="6"/>
      <c r="S1128" s="6"/>
      <c r="T1128" s="6"/>
      <c r="U1128" s="6"/>
      <c r="V1128" s="6"/>
      <c r="W1128" s="6"/>
      <c r="X1128" s="6"/>
      <c r="Y1128" s="6"/>
      <c r="Z1128" s="6"/>
      <c r="AA1128" s="6"/>
      <c r="AB1128" s="6"/>
    </row>
    <row r="1129" spans="1:28" ht="12.75" x14ac:dyDescent="0.2">
      <c r="A1129" s="13"/>
      <c r="B1129" s="6"/>
      <c r="C1129" s="6"/>
      <c r="D1129" s="6"/>
      <c r="E1129" s="6"/>
      <c r="F1129" s="6"/>
      <c r="G1129" s="6"/>
      <c r="H1129" s="6"/>
      <c r="I1129" s="6"/>
      <c r="J1129" s="6"/>
      <c r="K1129" s="6"/>
      <c r="L1129" s="6"/>
      <c r="M1129" s="6"/>
      <c r="N1129" s="6"/>
      <c r="O1129" s="6"/>
      <c r="P1129" s="6"/>
      <c r="Q1129" s="6"/>
      <c r="R1129" s="6"/>
      <c r="S1129" s="6"/>
      <c r="T1129" s="6"/>
      <c r="U1129" s="6"/>
      <c r="V1129" s="6"/>
      <c r="W1129" s="6"/>
      <c r="X1129" s="6"/>
      <c r="Y1129" s="6"/>
      <c r="Z1129" s="6"/>
      <c r="AA1129" s="6"/>
      <c r="AB1129" s="6"/>
    </row>
    <row r="1130" spans="1:28" ht="12.75" x14ac:dyDescent="0.2">
      <c r="A1130" s="13"/>
      <c r="B1130" s="6"/>
      <c r="C1130" s="6"/>
      <c r="D1130" s="6"/>
      <c r="E1130" s="6"/>
      <c r="F1130" s="6"/>
      <c r="G1130" s="6"/>
      <c r="H1130" s="6"/>
      <c r="I1130" s="6"/>
      <c r="J1130" s="6"/>
      <c r="K1130" s="6"/>
      <c r="L1130" s="6"/>
      <c r="M1130" s="6"/>
      <c r="N1130" s="6"/>
      <c r="O1130" s="6"/>
      <c r="P1130" s="6"/>
      <c r="Q1130" s="6"/>
      <c r="R1130" s="6"/>
      <c r="S1130" s="6"/>
      <c r="T1130" s="6"/>
      <c r="U1130" s="6"/>
      <c r="V1130" s="6"/>
      <c r="W1130" s="6"/>
      <c r="X1130" s="6"/>
      <c r="Y1130" s="6"/>
      <c r="Z1130" s="6"/>
      <c r="AA1130" s="6"/>
      <c r="AB1130" s="6"/>
    </row>
    <row r="1131" spans="1:28" ht="12.75" x14ac:dyDescent="0.2">
      <c r="A1131" s="13"/>
      <c r="B1131" s="6"/>
      <c r="C1131" s="6"/>
      <c r="D1131" s="6"/>
      <c r="E1131" s="6"/>
      <c r="F1131" s="6"/>
      <c r="G1131" s="6"/>
      <c r="H1131" s="6"/>
      <c r="I1131" s="6"/>
      <c r="J1131" s="6"/>
      <c r="K1131" s="6"/>
      <c r="L1131" s="6"/>
      <c r="M1131" s="6"/>
      <c r="N1131" s="6"/>
      <c r="O1131" s="6"/>
      <c r="P1131" s="6"/>
      <c r="Q1131" s="6"/>
      <c r="R1131" s="6"/>
      <c r="S1131" s="6"/>
      <c r="T1131" s="6"/>
      <c r="U1131" s="6"/>
      <c r="V1131" s="6"/>
      <c r="W1131" s="6"/>
      <c r="X1131" s="6"/>
      <c r="Y1131" s="6"/>
      <c r="Z1131" s="6"/>
      <c r="AA1131" s="6"/>
      <c r="AB1131" s="6"/>
    </row>
    <row r="1132" spans="1:28" ht="12.75" x14ac:dyDescent="0.2">
      <c r="A1132" s="13"/>
      <c r="B1132" s="6"/>
      <c r="C1132" s="6"/>
      <c r="D1132" s="6"/>
      <c r="E1132" s="6"/>
      <c r="F1132" s="6"/>
      <c r="G1132" s="6"/>
      <c r="H1132" s="6"/>
      <c r="I1132" s="6"/>
      <c r="J1132" s="6"/>
      <c r="K1132" s="6"/>
      <c r="L1132" s="6"/>
      <c r="M1132" s="6"/>
      <c r="N1132" s="6"/>
      <c r="O1132" s="6"/>
      <c r="P1132" s="6"/>
      <c r="Q1132" s="6"/>
      <c r="R1132" s="6"/>
      <c r="S1132" s="6"/>
      <c r="T1132" s="6"/>
      <c r="U1132" s="6"/>
      <c r="V1132" s="6"/>
      <c r="W1132" s="6"/>
      <c r="X1132" s="6"/>
      <c r="Y1132" s="6"/>
      <c r="Z1132" s="6"/>
      <c r="AA1132" s="6"/>
      <c r="AB1132" s="6"/>
    </row>
    <row r="1133" spans="1:28" ht="12.75" x14ac:dyDescent="0.2">
      <c r="A1133" s="13"/>
      <c r="B1133" s="6"/>
      <c r="C1133" s="6"/>
      <c r="D1133" s="6"/>
      <c r="E1133" s="6"/>
      <c r="F1133" s="6"/>
      <c r="G1133" s="6"/>
      <c r="H1133" s="6"/>
      <c r="I1133" s="6"/>
      <c r="J1133" s="6"/>
      <c r="K1133" s="6"/>
      <c r="L1133" s="6"/>
      <c r="M1133" s="6"/>
      <c r="N1133" s="6"/>
      <c r="O1133" s="6"/>
      <c r="P1133" s="6"/>
      <c r="Q1133" s="6"/>
      <c r="R1133" s="6"/>
      <c r="S1133" s="6"/>
      <c r="T1133" s="6"/>
      <c r="U1133" s="6"/>
      <c r="V1133" s="6"/>
      <c r="W1133" s="6"/>
      <c r="X1133" s="6"/>
      <c r="Y1133" s="6"/>
      <c r="Z1133" s="6"/>
      <c r="AA1133" s="6"/>
      <c r="AB1133" s="6"/>
    </row>
    <row r="1134" spans="1:28" ht="12.75" x14ac:dyDescent="0.2">
      <c r="A1134" s="13"/>
      <c r="B1134" s="6"/>
      <c r="C1134" s="6"/>
      <c r="D1134" s="6"/>
      <c r="E1134" s="6"/>
      <c r="F1134" s="6"/>
      <c r="G1134" s="6"/>
      <c r="H1134" s="6"/>
      <c r="I1134" s="6"/>
      <c r="J1134" s="6"/>
      <c r="K1134" s="6"/>
      <c r="L1134" s="6"/>
      <c r="M1134" s="6"/>
      <c r="N1134" s="6"/>
      <c r="O1134" s="6"/>
      <c r="P1134" s="6"/>
      <c r="Q1134" s="6"/>
      <c r="R1134" s="6"/>
      <c r="S1134" s="6"/>
      <c r="T1134" s="6"/>
      <c r="U1134" s="6"/>
      <c r="V1134" s="6"/>
      <c r="W1134" s="6"/>
      <c r="X1134" s="6"/>
      <c r="Y1134" s="6"/>
      <c r="Z1134" s="6"/>
      <c r="AA1134" s="6"/>
      <c r="AB1134" s="6"/>
    </row>
    <row r="1135" spans="1:28" ht="12.75" x14ac:dyDescent="0.2">
      <c r="A1135" s="13"/>
      <c r="B1135" s="6"/>
      <c r="C1135" s="6"/>
      <c r="D1135" s="6"/>
      <c r="E1135" s="6"/>
      <c r="F1135" s="6"/>
      <c r="G1135" s="6"/>
      <c r="H1135" s="6"/>
      <c r="I1135" s="6"/>
      <c r="J1135" s="6"/>
      <c r="K1135" s="6"/>
      <c r="L1135" s="6"/>
      <c r="M1135" s="6"/>
      <c r="N1135" s="6"/>
      <c r="O1135" s="6"/>
      <c r="P1135" s="6"/>
      <c r="Q1135" s="6"/>
      <c r="R1135" s="6"/>
      <c r="S1135" s="6"/>
      <c r="T1135" s="6"/>
      <c r="U1135" s="6"/>
      <c r="V1135" s="6"/>
      <c r="W1135" s="6"/>
      <c r="X1135" s="6"/>
      <c r="Y1135" s="6"/>
      <c r="Z1135" s="6"/>
      <c r="AA1135" s="6"/>
      <c r="AB1135" s="6"/>
    </row>
    <row r="1136" spans="1:28" ht="12.75" x14ac:dyDescent="0.2">
      <c r="A1136" s="13"/>
      <c r="B1136" s="6"/>
      <c r="C1136" s="6"/>
      <c r="D1136" s="6"/>
      <c r="E1136" s="6"/>
      <c r="F1136" s="6"/>
      <c r="G1136" s="6"/>
      <c r="H1136" s="6"/>
      <c r="I1136" s="6"/>
      <c r="J1136" s="6"/>
      <c r="K1136" s="6"/>
      <c r="L1136" s="6"/>
      <c r="M1136" s="6"/>
      <c r="N1136" s="6"/>
      <c r="O1136" s="6"/>
      <c r="P1136" s="6"/>
      <c r="Q1136" s="6"/>
      <c r="R1136" s="6"/>
      <c r="S1136" s="6"/>
      <c r="T1136" s="6"/>
      <c r="U1136" s="6"/>
      <c r="V1136" s="6"/>
      <c r="W1136" s="6"/>
      <c r="X1136" s="6"/>
      <c r="Y1136" s="6"/>
      <c r="Z1136" s="6"/>
      <c r="AA1136" s="6"/>
      <c r="AB1136" s="6"/>
    </row>
    <row r="1137" spans="1:28" ht="12.75" x14ac:dyDescent="0.2">
      <c r="A1137" s="13"/>
      <c r="B1137" s="6"/>
      <c r="C1137" s="6"/>
      <c r="D1137" s="6"/>
      <c r="E1137" s="6"/>
      <c r="F1137" s="6"/>
      <c r="G1137" s="6"/>
      <c r="H1137" s="6"/>
      <c r="I1137" s="6"/>
      <c r="J1137" s="6"/>
      <c r="K1137" s="6"/>
      <c r="L1137" s="6"/>
      <c r="M1137" s="6"/>
      <c r="N1137" s="6"/>
      <c r="O1137" s="6"/>
      <c r="P1137" s="6"/>
      <c r="Q1137" s="6"/>
      <c r="R1137" s="6"/>
      <c r="S1137" s="6"/>
      <c r="T1137" s="6"/>
      <c r="U1137" s="6"/>
      <c r="V1137" s="6"/>
      <c r="W1137" s="6"/>
      <c r="X1137" s="6"/>
      <c r="Y1137" s="6"/>
      <c r="Z1137" s="6"/>
      <c r="AA1137" s="6"/>
      <c r="AB1137" s="6"/>
    </row>
    <row r="1138" spans="1:28" ht="12.75" x14ac:dyDescent="0.2">
      <c r="A1138" s="13"/>
      <c r="B1138" s="6"/>
      <c r="C1138" s="6"/>
      <c r="D1138" s="6"/>
      <c r="E1138" s="6"/>
      <c r="F1138" s="6"/>
      <c r="G1138" s="6"/>
      <c r="H1138" s="6"/>
      <c r="I1138" s="6"/>
      <c r="J1138" s="6"/>
      <c r="K1138" s="6"/>
      <c r="L1138" s="6"/>
      <c r="M1138" s="6"/>
      <c r="N1138" s="6"/>
      <c r="O1138" s="6"/>
      <c r="P1138" s="6"/>
      <c r="Q1138" s="6"/>
      <c r="R1138" s="6"/>
      <c r="S1138" s="6"/>
      <c r="T1138" s="6"/>
      <c r="U1138" s="6"/>
      <c r="V1138" s="6"/>
      <c r="W1138" s="6"/>
      <c r="X1138" s="6"/>
      <c r="Y1138" s="6"/>
      <c r="Z1138" s="6"/>
      <c r="AA1138" s="6"/>
      <c r="AB1138" s="6"/>
    </row>
    <row r="1139" spans="1:28" ht="12.75" x14ac:dyDescent="0.2">
      <c r="A1139" s="13"/>
      <c r="B1139" s="6"/>
      <c r="C1139" s="6"/>
      <c r="D1139" s="6"/>
      <c r="E1139" s="6"/>
      <c r="F1139" s="6"/>
      <c r="G1139" s="6"/>
      <c r="H1139" s="6"/>
      <c r="I1139" s="6"/>
      <c r="J1139" s="6"/>
      <c r="K1139" s="6"/>
      <c r="L1139" s="6"/>
      <c r="M1139" s="6"/>
      <c r="N1139" s="6"/>
      <c r="O1139" s="6"/>
      <c r="P1139" s="6"/>
      <c r="Q1139" s="6"/>
      <c r="R1139" s="6"/>
      <c r="S1139" s="6"/>
      <c r="T1139" s="6"/>
      <c r="U1139" s="6"/>
      <c r="V1139" s="6"/>
      <c r="W1139" s="6"/>
      <c r="X1139" s="6"/>
      <c r="Y1139" s="6"/>
      <c r="Z1139" s="6"/>
      <c r="AA1139" s="6"/>
      <c r="AB1139" s="6"/>
    </row>
    <row r="1140" spans="1:28" ht="12.75" x14ac:dyDescent="0.2">
      <c r="A1140" s="13"/>
      <c r="B1140" s="6"/>
      <c r="C1140" s="6"/>
      <c r="D1140" s="6"/>
      <c r="E1140" s="6"/>
      <c r="F1140" s="6"/>
      <c r="G1140" s="6"/>
      <c r="H1140" s="6"/>
      <c r="I1140" s="6"/>
      <c r="J1140" s="6"/>
      <c r="K1140" s="6"/>
      <c r="L1140" s="6"/>
      <c r="M1140" s="6"/>
      <c r="N1140" s="6"/>
      <c r="O1140" s="6"/>
      <c r="P1140" s="6"/>
      <c r="Q1140" s="6"/>
      <c r="R1140" s="6"/>
      <c r="S1140" s="6"/>
      <c r="T1140" s="6"/>
      <c r="U1140" s="6"/>
      <c r="V1140" s="6"/>
      <c r="W1140" s="6"/>
      <c r="X1140" s="6"/>
      <c r="Y1140" s="6"/>
      <c r="Z1140" s="6"/>
      <c r="AA1140" s="6"/>
      <c r="AB1140" s="6"/>
    </row>
    <row r="1141" spans="1:28" ht="12.75" x14ac:dyDescent="0.2">
      <c r="A1141" s="13"/>
      <c r="B1141" s="6"/>
      <c r="C1141" s="6"/>
      <c r="D1141" s="6"/>
      <c r="E1141" s="6"/>
      <c r="F1141" s="6"/>
      <c r="G1141" s="6"/>
      <c r="H1141" s="6"/>
      <c r="I1141" s="6"/>
      <c r="J1141" s="6"/>
      <c r="K1141" s="6"/>
      <c r="L1141" s="6"/>
      <c r="M1141" s="6"/>
      <c r="N1141" s="6"/>
      <c r="O1141" s="6"/>
      <c r="P1141" s="6"/>
      <c r="Q1141" s="6"/>
      <c r="R1141" s="6"/>
      <c r="S1141" s="6"/>
      <c r="T1141" s="6"/>
      <c r="U1141" s="6"/>
      <c r="V1141" s="6"/>
      <c r="W1141" s="6"/>
      <c r="X1141" s="6"/>
      <c r="Y1141" s="6"/>
      <c r="Z1141" s="6"/>
      <c r="AA1141" s="6"/>
      <c r="AB1141" s="6"/>
    </row>
    <row r="1142" spans="1:28" ht="12.75" x14ac:dyDescent="0.2">
      <c r="A1142" s="13"/>
      <c r="B1142" s="6"/>
      <c r="C1142" s="6"/>
      <c r="D1142" s="6"/>
      <c r="E1142" s="6"/>
      <c r="F1142" s="6"/>
      <c r="G1142" s="6"/>
      <c r="H1142" s="6"/>
      <c r="I1142" s="6"/>
      <c r="J1142" s="6"/>
      <c r="K1142" s="6"/>
      <c r="L1142" s="6"/>
      <c r="M1142" s="6"/>
      <c r="N1142" s="6"/>
      <c r="O1142" s="6"/>
      <c r="P1142" s="6"/>
      <c r="Q1142" s="6"/>
      <c r="R1142" s="6"/>
      <c r="S1142" s="6"/>
      <c r="T1142" s="6"/>
      <c r="U1142" s="6"/>
      <c r="V1142" s="6"/>
      <c r="W1142" s="6"/>
      <c r="X1142" s="6"/>
      <c r="Y1142" s="6"/>
      <c r="Z1142" s="6"/>
      <c r="AA1142" s="6"/>
      <c r="AB1142" s="6"/>
    </row>
    <row r="1143" spans="1:28" ht="12.75" x14ac:dyDescent="0.2">
      <c r="A1143" s="13"/>
      <c r="B1143" s="6"/>
      <c r="C1143" s="6"/>
      <c r="D1143" s="6"/>
      <c r="E1143" s="6"/>
      <c r="F1143" s="6"/>
      <c r="G1143" s="6"/>
      <c r="H1143" s="6"/>
      <c r="I1143" s="6"/>
      <c r="J1143" s="6"/>
      <c r="K1143" s="6"/>
      <c r="L1143" s="6"/>
      <c r="M1143" s="6"/>
      <c r="N1143" s="6"/>
      <c r="O1143" s="6"/>
      <c r="P1143" s="6"/>
      <c r="Q1143" s="6"/>
      <c r="R1143" s="6"/>
      <c r="S1143" s="6"/>
      <c r="T1143" s="6"/>
      <c r="U1143" s="6"/>
      <c r="V1143" s="6"/>
      <c r="W1143" s="6"/>
      <c r="X1143" s="6"/>
      <c r="Y1143" s="6"/>
      <c r="Z1143" s="6"/>
      <c r="AA1143" s="6"/>
      <c r="AB1143" s="6"/>
    </row>
    <row r="1144" spans="1:28" ht="12.75" x14ac:dyDescent="0.2">
      <c r="A1144" s="13"/>
      <c r="B1144" s="6"/>
      <c r="C1144" s="6"/>
      <c r="D1144" s="6"/>
      <c r="E1144" s="6"/>
      <c r="F1144" s="6"/>
      <c r="G1144" s="6"/>
      <c r="H1144" s="6"/>
      <c r="I1144" s="6"/>
      <c r="J1144" s="6"/>
      <c r="K1144" s="6"/>
      <c r="L1144" s="6"/>
      <c r="M1144" s="6"/>
      <c r="N1144" s="6"/>
      <c r="O1144" s="6"/>
      <c r="P1144" s="6"/>
      <c r="Q1144" s="6"/>
      <c r="R1144" s="6"/>
      <c r="S1144" s="6"/>
      <c r="T1144" s="6"/>
      <c r="U1144" s="6"/>
      <c r="V1144" s="6"/>
      <c r="W1144" s="6"/>
      <c r="X1144" s="6"/>
      <c r="Y1144" s="6"/>
      <c r="Z1144" s="6"/>
      <c r="AA1144" s="6"/>
      <c r="AB1144" s="6"/>
    </row>
    <row r="1145" spans="1:28" ht="12.75" x14ac:dyDescent="0.2">
      <c r="A1145" s="13"/>
      <c r="B1145" s="6"/>
      <c r="C1145" s="6"/>
      <c r="D1145" s="6"/>
      <c r="E1145" s="6"/>
      <c r="F1145" s="6"/>
      <c r="G1145" s="6"/>
      <c r="H1145" s="6"/>
      <c r="I1145" s="6"/>
      <c r="J1145" s="6"/>
      <c r="K1145" s="6"/>
      <c r="L1145" s="6"/>
      <c r="M1145" s="6"/>
      <c r="N1145" s="6"/>
      <c r="O1145" s="6"/>
      <c r="P1145" s="6"/>
      <c r="Q1145" s="6"/>
      <c r="R1145" s="6"/>
      <c r="S1145" s="6"/>
      <c r="T1145" s="6"/>
      <c r="U1145" s="6"/>
      <c r="V1145" s="6"/>
      <c r="W1145" s="6"/>
      <c r="X1145" s="6"/>
      <c r="Y1145" s="6"/>
      <c r="Z1145" s="6"/>
      <c r="AA1145" s="6"/>
      <c r="AB1145" s="6"/>
    </row>
    <row r="1146" spans="1:28" ht="12.75" x14ac:dyDescent="0.2">
      <c r="A1146" s="13"/>
      <c r="B1146" s="6"/>
      <c r="C1146" s="6"/>
      <c r="D1146" s="6"/>
      <c r="E1146" s="6"/>
      <c r="F1146" s="6"/>
      <c r="G1146" s="6"/>
      <c r="H1146" s="6"/>
      <c r="I1146" s="6"/>
      <c r="J1146" s="6"/>
      <c r="K1146" s="6"/>
      <c r="L1146" s="6"/>
      <c r="M1146" s="6"/>
      <c r="N1146" s="6"/>
      <c r="O1146" s="6"/>
      <c r="P1146" s="6"/>
      <c r="Q1146" s="6"/>
      <c r="R1146" s="6"/>
      <c r="S1146" s="6"/>
      <c r="T1146" s="6"/>
      <c r="U1146" s="6"/>
      <c r="V1146" s="6"/>
      <c r="W1146" s="6"/>
      <c r="X1146" s="6"/>
      <c r="Y1146" s="6"/>
      <c r="Z1146" s="6"/>
      <c r="AA1146" s="6"/>
      <c r="AB1146" s="6"/>
    </row>
    <row r="1147" spans="1:28" ht="12.75" x14ac:dyDescent="0.2">
      <c r="A1147" s="13"/>
      <c r="B1147" s="6"/>
      <c r="C1147" s="6"/>
      <c r="D1147" s="6"/>
      <c r="E1147" s="6"/>
      <c r="F1147" s="6"/>
      <c r="G1147" s="6"/>
      <c r="H1147" s="6"/>
      <c r="I1147" s="6"/>
      <c r="J1147" s="6"/>
      <c r="K1147" s="6"/>
      <c r="L1147" s="6"/>
      <c r="M1147" s="6"/>
      <c r="N1147" s="6"/>
      <c r="O1147" s="6"/>
      <c r="P1147" s="6"/>
      <c r="Q1147" s="6"/>
      <c r="R1147" s="6"/>
      <c r="S1147" s="6"/>
      <c r="T1147" s="6"/>
      <c r="U1147" s="6"/>
      <c r="V1147" s="6"/>
      <c r="W1147" s="6"/>
      <c r="X1147" s="6"/>
      <c r="Y1147" s="6"/>
      <c r="Z1147" s="6"/>
      <c r="AA1147" s="6"/>
      <c r="AB1147" s="6"/>
    </row>
    <row r="1148" spans="1:28" ht="12.75" x14ac:dyDescent="0.2">
      <c r="A1148" s="13"/>
      <c r="B1148" s="6"/>
      <c r="C1148" s="6"/>
      <c r="D1148" s="6"/>
      <c r="E1148" s="6"/>
      <c r="F1148" s="6"/>
      <c r="G1148" s="6"/>
      <c r="H1148" s="6"/>
      <c r="I1148" s="6"/>
      <c r="J1148" s="6"/>
      <c r="K1148" s="6"/>
      <c r="L1148" s="6"/>
      <c r="M1148" s="6"/>
      <c r="N1148" s="6"/>
      <c r="O1148" s="6"/>
      <c r="P1148" s="6"/>
      <c r="Q1148" s="6"/>
      <c r="R1148" s="6"/>
      <c r="S1148" s="6"/>
      <c r="T1148" s="6"/>
      <c r="U1148" s="6"/>
      <c r="V1148" s="6"/>
      <c r="W1148" s="6"/>
      <c r="X1148" s="6"/>
      <c r="Y1148" s="6"/>
      <c r="Z1148" s="6"/>
      <c r="AA1148" s="6"/>
      <c r="AB1148" s="6"/>
    </row>
    <row r="1149" spans="1:28" ht="12.75" x14ac:dyDescent="0.2">
      <c r="A1149" s="13"/>
      <c r="B1149" s="6"/>
      <c r="C1149" s="6"/>
      <c r="D1149" s="6"/>
      <c r="E1149" s="6"/>
      <c r="F1149" s="6"/>
      <c r="G1149" s="6"/>
      <c r="H1149" s="6"/>
      <c r="I1149" s="6"/>
      <c r="J1149" s="6"/>
      <c r="K1149" s="6"/>
      <c r="L1149" s="6"/>
      <c r="M1149" s="6"/>
      <c r="N1149" s="6"/>
      <c r="O1149" s="6"/>
      <c r="P1149" s="6"/>
      <c r="Q1149" s="6"/>
      <c r="R1149" s="6"/>
      <c r="S1149" s="6"/>
      <c r="T1149" s="6"/>
      <c r="U1149" s="6"/>
      <c r="V1149" s="6"/>
      <c r="W1149" s="6"/>
      <c r="X1149" s="6"/>
      <c r="Y1149" s="6"/>
      <c r="Z1149" s="6"/>
      <c r="AA1149" s="6"/>
      <c r="AB1149" s="6"/>
    </row>
    <row r="1150" spans="1:28" ht="12.75" x14ac:dyDescent="0.2">
      <c r="A1150" s="13"/>
      <c r="B1150" s="6"/>
      <c r="C1150" s="6"/>
      <c r="D1150" s="6"/>
      <c r="E1150" s="6"/>
      <c r="F1150" s="6"/>
      <c r="G1150" s="6"/>
      <c r="H1150" s="6"/>
      <c r="I1150" s="6"/>
      <c r="J1150" s="6"/>
      <c r="K1150" s="6"/>
      <c r="L1150" s="6"/>
      <c r="M1150" s="6"/>
      <c r="N1150" s="6"/>
      <c r="O1150" s="6"/>
      <c r="P1150" s="6"/>
      <c r="Q1150" s="6"/>
      <c r="R1150" s="6"/>
      <c r="S1150" s="6"/>
      <c r="T1150" s="6"/>
      <c r="U1150" s="6"/>
      <c r="V1150" s="6"/>
      <c r="W1150" s="6"/>
      <c r="X1150" s="6"/>
      <c r="Y1150" s="6"/>
      <c r="Z1150" s="6"/>
      <c r="AA1150" s="6"/>
      <c r="AB1150" s="6"/>
    </row>
    <row r="1151" spans="1:28" ht="12.75" x14ac:dyDescent="0.2">
      <c r="A1151" s="13"/>
      <c r="B1151" s="6"/>
      <c r="C1151" s="6"/>
      <c r="D1151" s="6"/>
      <c r="E1151" s="6"/>
      <c r="F1151" s="6"/>
      <c r="G1151" s="6"/>
      <c r="H1151" s="6"/>
      <c r="I1151" s="6"/>
      <c r="J1151" s="6"/>
      <c r="K1151" s="6"/>
      <c r="L1151" s="6"/>
      <c r="M1151" s="6"/>
      <c r="N1151" s="6"/>
      <c r="O1151" s="6"/>
      <c r="P1151" s="6"/>
      <c r="Q1151" s="6"/>
      <c r="R1151" s="6"/>
      <c r="S1151" s="6"/>
      <c r="T1151" s="6"/>
      <c r="U1151" s="6"/>
      <c r="V1151" s="6"/>
      <c r="W1151" s="6"/>
      <c r="X1151" s="6"/>
      <c r="Y1151" s="6"/>
      <c r="Z1151" s="6"/>
      <c r="AA1151" s="6"/>
      <c r="AB1151" s="6"/>
    </row>
    <row r="1152" spans="1:28" ht="12.75" x14ac:dyDescent="0.2">
      <c r="A1152" s="13"/>
      <c r="B1152" s="6"/>
      <c r="C1152" s="6"/>
      <c r="D1152" s="6"/>
      <c r="E1152" s="6"/>
      <c r="F1152" s="6"/>
      <c r="G1152" s="6"/>
      <c r="H1152" s="6"/>
      <c r="I1152" s="6"/>
      <c r="J1152" s="6"/>
      <c r="K1152" s="6"/>
      <c r="L1152" s="6"/>
      <c r="M1152" s="6"/>
      <c r="N1152" s="6"/>
      <c r="O1152" s="6"/>
      <c r="P1152" s="6"/>
      <c r="Q1152" s="6"/>
      <c r="R1152" s="6"/>
      <c r="S1152" s="6"/>
      <c r="T1152" s="6"/>
      <c r="U1152" s="6"/>
      <c r="V1152" s="6"/>
      <c r="W1152" s="6"/>
      <c r="X1152" s="6"/>
      <c r="Y1152" s="6"/>
      <c r="Z1152" s="6"/>
      <c r="AA1152" s="6"/>
      <c r="AB1152" s="6"/>
    </row>
    <row r="1153" spans="1:28" ht="12.75" x14ac:dyDescent="0.2">
      <c r="A1153" s="13"/>
      <c r="B1153" s="6"/>
      <c r="C1153" s="6"/>
      <c r="D1153" s="6"/>
      <c r="E1153" s="6"/>
      <c r="F1153" s="6"/>
      <c r="G1153" s="6"/>
      <c r="H1153" s="6"/>
      <c r="I1153" s="6"/>
      <c r="J1153" s="6"/>
      <c r="K1153" s="6"/>
      <c r="L1153" s="6"/>
      <c r="M1153" s="6"/>
      <c r="N1153" s="6"/>
      <c r="O1153" s="6"/>
      <c r="P1153" s="6"/>
      <c r="Q1153" s="6"/>
      <c r="R1153" s="6"/>
      <c r="S1153" s="6"/>
      <c r="T1153" s="6"/>
      <c r="U1153" s="6"/>
      <c r="V1153" s="6"/>
      <c r="W1153" s="6"/>
      <c r="X1153" s="6"/>
      <c r="Y1153" s="6"/>
      <c r="Z1153" s="6"/>
      <c r="AA1153" s="6"/>
      <c r="AB1153" s="6"/>
    </row>
    <row r="1154" spans="1:28" ht="12.75" x14ac:dyDescent="0.2">
      <c r="A1154" s="13"/>
      <c r="B1154" s="6"/>
      <c r="C1154" s="6"/>
      <c r="D1154" s="6"/>
      <c r="E1154" s="6"/>
      <c r="F1154" s="6"/>
      <c r="G1154" s="6"/>
      <c r="H1154" s="6"/>
      <c r="I1154" s="6"/>
      <c r="J1154" s="6"/>
      <c r="K1154" s="6"/>
      <c r="L1154" s="6"/>
      <c r="M1154" s="6"/>
      <c r="N1154" s="6"/>
      <c r="O1154" s="6"/>
      <c r="P1154" s="6"/>
      <c r="Q1154" s="6"/>
      <c r="R1154" s="6"/>
      <c r="S1154" s="6"/>
      <c r="T1154" s="6"/>
      <c r="U1154" s="6"/>
      <c r="V1154" s="6"/>
      <c r="W1154" s="6"/>
      <c r="X1154" s="6"/>
      <c r="Y1154" s="6"/>
      <c r="Z1154" s="6"/>
      <c r="AA1154" s="6"/>
      <c r="AB1154" s="6"/>
    </row>
    <row r="1155" spans="1:28" ht="12.75" x14ac:dyDescent="0.2">
      <c r="A1155" s="13"/>
      <c r="B1155" s="6"/>
      <c r="C1155" s="6"/>
      <c r="D1155" s="6"/>
      <c r="E1155" s="6"/>
      <c r="F1155" s="6"/>
      <c r="G1155" s="6"/>
      <c r="H1155" s="6"/>
      <c r="I1155" s="6"/>
      <c r="J1155" s="6"/>
      <c r="K1155" s="6"/>
      <c r="L1155" s="6"/>
      <c r="M1155" s="6"/>
      <c r="N1155" s="6"/>
      <c r="O1155" s="6"/>
      <c r="P1155" s="6"/>
      <c r="Q1155" s="6"/>
      <c r="R1155" s="6"/>
      <c r="S1155" s="6"/>
      <c r="T1155" s="6"/>
      <c r="U1155" s="6"/>
      <c r="V1155" s="6"/>
      <c r="W1155" s="6"/>
      <c r="X1155" s="6"/>
      <c r="Y1155" s="6"/>
      <c r="Z1155" s="6"/>
      <c r="AA1155" s="6"/>
      <c r="AB1155" s="6"/>
    </row>
    <row r="1156" spans="1:28" ht="12.75" x14ac:dyDescent="0.2">
      <c r="A1156" s="13"/>
      <c r="B1156" s="6"/>
      <c r="C1156" s="6"/>
      <c r="D1156" s="6"/>
      <c r="E1156" s="6"/>
      <c r="F1156" s="6"/>
      <c r="G1156" s="6"/>
      <c r="H1156" s="6"/>
      <c r="I1156" s="6"/>
      <c r="J1156" s="6"/>
      <c r="K1156" s="6"/>
      <c r="L1156" s="6"/>
      <c r="M1156" s="6"/>
      <c r="N1156" s="6"/>
      <c r="O1156" s="6"/>
      <c r="P1156" s="6"/>
      <c r="Q1156" s="6"/>
      <c r="R1156" s="6"/>
      <c r="S1156" s="6"/>
      <c r="T1156" s="6"/>
      <c r="U1156" s="6"/>
      <c r="V1156" s="6"/>
      <c r="W1156" s="6"/>
      <c r="X1156" s="6"/>
      <c r="Y1156" s="6"/>
      <c r="Z1156" s="6"/>
      <c r="AA1156" s="6"/>
      <c r="AB1156" s="6"/>
    </row>
    <row r="1157" spans="1:28" ht="12.75" x14ac:dyDescent="0.2">
      <c r="A1157" s="13"/>
      <c r="B1157" s="6"/>
      <c r="C1157" s="6"/>
      <c r="D1157" s="6"/>
      <c r="E1157" s="6"/>
      <c r="F1157" s="6"/>
      <c r="G1157" s="6"/>
      <c r="H1157" s="6"/>
      <c r="I1157" s="6"/>
      <c r="J1157" s="6"/>
      <c r="K1157" s="6"/>
      <c r="L1157" s="6"/>
      <c r="M1157" s="6"/>
      <c r="N1157" s="6"/>
      <c r="O1157" s="6"/>
      <c r="P1157" s="6"/>
      <c r="Q1157" s="6"/>
      <c r="R1157" s="6"/>
      <c r="S1157" s="6"/>
      <c r="T1157" s="6"/>
      <c r="U1157" s="6"/>
      <c r="V1157" s="6"/>
      <c r="W1157" s="6"/>
      <c r="X1157" s="6"/>
      <c r="Y1157" s="6"/>
      <c r="Z1157" s="6"/>
      <c r="AA1157" s="6"/>
      <c r="AB1157" s="6"/>
    </row>
    <row r="1158" spans="1:28" ht="12.75" x14ac:dyDescent="0.2">
      <c r="A1158" s="13"/>
      <c r="B1158" s="6"/>
      <c r="C1158" s="6"/>
      <c r="D1158" s="6"/>
      <c r="E1158" s="6"/>
      <c r="F1158" s="6"/>
      <c r="G1158" s="6"/>
      <c r="H1158" s="6"/>
      <c r="I1158" s="6"/>
      <c r="J1158" s="6"/>
      <c r="K1158" s="6"/>
      <c r="L1158" s="6"/>
      <c r="M1158" s="6"/>
      <c r="N1158" s="6"/>
      <c r="O1158" s="6"/>
      <c r="P1158" s="6"/>
      <c r="Q1158" s="6"/>
      <c r="R1158" s="6"/>
      <c r="S1158" s="6"/>
      <c r="T1158" s="6"/>
      <c r="U1158" s="6"/>
      <c r="V1158" s="6"/>
      <c r="W1158" s="6"/>
      <c r="X1158" s="6"/>
      <c r="Y1158" s="6"/>
      <c r="Z1158" s="6"/>
      <c r="AA1158" s="6"/>
      <c r="AB1158" s="6"/>
    </row>
    <row r="1159" spans="1:28" ht="12.75" x14ac:dyDescent="0.2">
      <c r="A1159" s="13"/>
      <c r="B1159" s="6"/>
      <c r="C1159" s="6"/>
      <c r="D1159" s="6"/>
      <c r="E1159" s="6"/>
      <c r="F1159" s="6"/>
      <c r="G1159" s="6"/>
      <c r="H1159" s="6"/>
      <c r="I1159" s="6"/>
      <c r="J1159" s="6"/>
      <c r="K1159" s="6"/>
      <c r="L1159" s="6"/>
      <c r="M1159" s="6"/>
      <c r="N1159" s="6"/>
      <c r="O1159" s="6"/>
      <c r="P1159" s="6"/>
      <c r="Q1159" s="6"/>
      <c r="R1159" s="6"/>
      <c r="S1159" s="6"/>
      <c r="T1159" s="6"/>
      <c r="U1159" s="6"/>
      <c r="V1159" s="6"/>
      <c r="W1159" s="6"/>
      <c r="X1159" s="6"/>
      <c r="Y1159" s="6"/>
      <c r="Z1159" s="6"/>
      <c r="AA1159" s="6"/>
      <c r="AB1159" s="6"/>
    </row>
    <row r="1160" spans="1:28" ht="12.75" x14ac:dyDescent="0.2">
      <c r="A1160" s="13"/>
      <c r="B1160" s="6"/>
      <c r="C1160" s="6"/>
      <c r="D1160" s="6"/>
      <c r="E1160" s="6"/>
      <c r="F1160" s="6"/>
      <c r="G1160" s="6"/>
      <c r="H1160" s="6"/>
      <c r="I1160" s="6"/>
      <c r="J1160" s="6"/>
      <c r="K1160" s="6"/>
      <c r="L1160" s="6"/>
      <c r="M1160" s="6"/>
      <c r="N1160" s="6"/>
      <c r="O1160" s="6"/>
      <c r="P1160" s="6"/>
      <c r="Q1160" s="6"/>
      <c r="R1160" s="6"/>
      <c r="S1160" s="6"/>
      <c r="T1160" s="6"/>
      <c r="U1160" s="6"/>
      <c r="V1160" s="6"/>
      <c r="W1160" s="6"/>
      <c r="X1160" s="6"/>
      <c r="Y1160" s="6"/>
      <c r="Z1160" s="6"/>
      <c r="AA1160" s="6"/>
      <c r="AB1160" s="6"/>
    </row>
    <row r="1161" spans="1:28" ht="12.75" x14ac:dyDescent="0.2">
      <c r="A1161" s="13"/>
      <c r="B1161" s="6"/>
      <c r="C1161" s="6"/>
      <c r="D1161" s="6"/>
      <c r="E1161" s="6"/>
      <c r="F1161" s="6"/>
      <c r="G1161" s="6"/>
      <c r="H1161" s="6"/>
      <c r="I1161" s="6"/>
      <c r="J1161" s="6"/>
      <c r="K1161" s="6"/>
      <c r="L1161" s="6"/>
      <c r="M1161" s="6"/>
      <c r="N1161" s="6"/>
      <c r="O1161" s="6"/>
      <c r="P1161" s="6"/>
      <c r="Q1161" s="6"/>
      <c r="R1161" s="6"/>
      <c r="S1161" s="6"/>
      <c r="T1161" s="6"/>
      <c r="U1161" s="6"/>
      <c r="V1161" s="6"/>
      <c r="W1161" s="6"/>
      <c r="X1161" s="6"/>
      <c r="Y1161" s="6"/>
      <c r="Z1161" s="6"/>
      <c r="AA1161" s="6"/>
      <c r="AB1161" s="6"/>
    </row>
    <row r="1162" spans="1:28" ht="12.75" x14ac:dyDescent="0.2">
      <c r="A1162" s="13"/>
      <c r="B1162" s="6"/>
      <c r="C1162" s="6"/>
      <c r="D1162" s="6"/>
      <c r="E1162" s="6"/>
      <c r="F1162" s="6"/>
      <c r="G1162" s="6"/>
      <c r="H1162" s="6"/>
      <c r="I1162" s="6"/>
      <c r="J1162" s="6"/>
      <c r="K1162" s="6"/>
      <c r="L1162" s="6"/>
      <c r="M1162" s="6"/>
      <c r="N1162" s="6"/>
      <c r="O1162" s="6"/>
      <c r="P1162" s="6"/>
      <c r="Q1162" s="6"/>
      <c r="R1162" s="6"/>
      <c r="S1162" s="6"/>
      <c r="T1162" s="6"/>
      <c r="U1162" s="6"/>
      <c r="V1162" s="6"/>
      <c r="W1162" s="6"/>
      <c r="X1162" s="6"/>
      <c r="Y1162" s="6"/>
      <c r="Z1162" s="6"/>
      <c r="AA1162" s="6"/>
      <c r="AB1162" s="6"/>
    </row>
    <row r="1163" spans="1:28" ht="12.75" x14ac:dyDescent="0.2">
      <c r="A1163" s="13"/>
      <c r="B1163" s="6"/>
      <c r="C1163" s="6"/>
      <c r="D1163" s="6"/>
      <c r="E1163" s="6"/>
      <c r="F1163" s="6"/>
      <c r="G1163" s="6"/>
      <c r="H1163" s="6"/>
      <c r="I1163" s="6"/>
      <c r="J1163" s="6"/>
      <c r="K1163" s="6"/>
      <c r="L1163" s="6"/>
      <c r="M1163" s="6"/>
      <c r="N1163" s="6"/>
      <c r="O1163" s="6"/>
      <c r="P1163" s="6"/>
      <c r="Q1163" s="6"/>
      <c r="R1163" s="6"/>
      <c r="S1163" s="6"/>
      <c r="T1163" s="6"/>
      <c r="U1163" s="6"/>
      <c r="V1163" s="6"/>
      <c r="W1163" s="6"/>
      <c r="X1163" s="6"/>
      <c r="Y1163" s="6"/>
      <c r="Z1163" s="6"/>
      <c r="AA1163" s="6"/>
      <c r="AB1163" s="6"/>
    </row>
    <row r="1164" spans="1:28" ht="12.75" x14ac:dyDescent="0.2">
      <c r="A1164" s="13"/>
      <c r="B1164" s="6"/>
      <c r="C1164" s="6"/>
      <c r="D1164" s="6"/>
      <c r="E1164" s="6"/>
      <c r="F1164" s="6"/>
      <c r="G1164" s="6"/>
      <c r="H1164" s="6"/>
      <c r="I1164" s="6"/>
      <c r="J1164" s="6"/>
      <c r="K1164" s="6"/>
      <c r="L1164" s="6"/>
      <c r="M1164" s="6"/>
      <c r="N1164" s="6"/>
      <c r="O1164" s="6"/>
      <c r="P1164" s="6"/>
      <c r="Q1164" s="6"/>
      <c r="R1164" s="6"/>
      <c r="S1164" s="6"/>
      <c r="T1164" s="6"/>
      <c r="U1164" s="6"/>
      <c r="V1164" s="6"/>
      <c r="W1164" s="6"/>
      <c r="X1164" s="6"/>
      <c r="Y1164" s="6"/>
      <c r="Z1164" s="6"/>
      <c r="AA1164" s="6"/>
      <c r="AB1164" s="6"/>
    </row>
    <row r="1165" spans="1:28" ht="12.75" x14ac:dyDescent="0.2">
      <c r="A1165" s="13"/>
      <c r="B1165" s="6"/>
      <c r="C1165" s="6"/>
      <c r="D1165" s="6"/>
      <c r="E1165" s="6"/>
      <c r="F1165" s="6"/>
      <c r="G1165" s="6"/>
      <c r="H1165" s="6"/>
      <c r="I1165" s="6"/>
      <c r="J1165" s="6"/>
      <c r="K1165" s="6"/>
      <c r="L1165" s="6"/>
      <c r="M1165" s="6"/>
      <c r="N1165" s="6"/>
      <c r="O1165" s="6"/>
      <c r="P1165" s="6"/>
      <c r="Q1165" s="6"/>
      <c r="R1165" s="6"/>
      <c r="S1165" s="6"/>
      <c r="T1165" s="6"/>
      <c r="U1165" s="6"/>
      <c r="V1165" s="6"/>
      <c r="W1165" s="6"/>
      <c r="X1165" s="6"/>
      <c r="Y1165" s="6"/>
      <c r="Z1165" s="6"/>
      <c r="AA1165" s="6"/>
      <c r="AB1165" s="6"/>
    </row>
    <row r="1166" spans="1:28" ht="12.75" x14ac:dyDescent="0.2">
      <c r="A1166" s="13"/>
      <c r="B1166" s="6"/>
      <c r="C1166" s="6"/>
      <c r="D1166" s="6"/>
      <c r="E1166" s="6"/>
      <c r="F1166" s="6"/>
      <c r="G1166" s="6"/>
      <c r="H1166" s="6"/>
      <c r="I1166" s="6"/>
      <c r="J1166" s="6"/>
      <c r="K1166" s="6"/>
      <c r="L1166" s="6"/>
      <c r="M1166" s="6"/>
      <c r="N1166" s="6"/>
      <c r="O1166" s="6"/>
      <c r="P1166" s="6"/>
      <c r="Q1166" s="6"/>
      <c r="R1166" s="6"/>
      <c r="S1166" s="6"/>
      <c r="T1166" s="6"/>
      <c r="U1166" s="6"/>
      <c r="V1166" s="6"/>
      <c r="W1166" s="6"/>
      <c r="X1166" s="6"/>
      <c r="Y1166" s="6"/>
      <c r="Z1166" s="6"/>
      <c r="AA1166" s="6"/>
      <c r="AB1166" s="6"/>
    </row>
    <row r="1167" spans="1:28" ht="12.75" x14ac:dyDescent="0.2">
      <c r="A1167" s="13"/>
      <c r="B1167" s="6"/>
      <c r="C1167" s="6"/>
      <c r="D1167" s="6"/>
      <c r="E1167" s="6"/>
      <c r="F1167" s="6"/>
      <c r="G1167" s="6"/>
      <c r="H1167" s="6"/>
      <c r="I1167" s="6"/>
      <c r="J1167" s="6"/>
      <c r="K1167" s="6"/>
      <c r="L1167" s="6"/>
      <c r="M1167" s="6"/>
      <c r="N1167" s="6"/>
      <c r="O1167" s="6"/>
      <c r="P1167" s="6"/>
      <c r="Q1167" s="6"/>
      <c r="R1167" s="6"/>
      <c r="S1167" s="6"/>
      <c r="T1167" s="6"/>
      <c r="U1167" s="6"/>
      <c r="V1167" s="6"/>
      <c r="W1167" s="6"/>
      <c r="X1167" s="6"/>
      <c r="Y1167" s="6"/>
      <c r="Z1167" s="6"/>
      <c r="AA1167" s="6"/>
      <c r="AB1167" s="6"/>
    </row>
    <row r="1168" spans="1:28" ht="12.75" x14ac:dyDescent="0.2">
      <c r="A1168" s="13"/>
      <c r="B1168" s="6"/>
      <c r="C1168" s="6"/>
      <c r="D1168" s="6"/>
      <c r="E1168" s="6"/>
      <c r="F1168" s="6"/>
      <c r="G1168" s="6"/>
      <c r="H1168" s="6"/>
      <c r="I1168" s="6"/>
      <c r="J1168" s="6"/>
      <c r="K1168" s="6"/>
      <c r="L1168" s="6"/>
      <c r="M1168" s="6"/>
      <c r="N1168" s="6"/>
      <c r="O1168" s="6"/>
      <c r="P1168" s="6"/>
      <c r="Q1168" s="6"/>
      <c r="R1168" s="6"/>
      <c r="S1168" s="6"/>
      <c r="T1168" s="6"/>
      <c r="U1168" s="6"/>
      <c r="V1168" s="6"/>
      <c r="W1168" s="6"/>
      <c r="X1168" s="6"/>
      <c r="Y1168" s="6"/>
      <c r="Z1168" s="6"/>
      <c r="AA1168" s="6"/>
      <c r="AB1168" s="6"/>
    </row>
    <row r="1169" spans="1:28" ht="12.75" x14ac:dyDescent="0.2">
      <c r="A1169" s="13"/>
      <c r="B1169" s="6"/>
      <c r="C1169" s="6"/>
      <c r="D1169" s="6"/>
      <c r="E1169" s="6"/>
      <c r="F1169" s="6"/>
      <c r="G1169" s="6"/>
      <c r="H1169" s="6"/>
      <c r="I1169" s="6"/>
      <c r="J1169" s="6"/>
      <c r="K1169" s="6"/>
      <c r="L1169" s="6"/>
      <c r="M1169" s="6"/>
      <c r="N1169" s="6"/>
      <c r="O1169" s="6"/>
      <c r="P1169" s="6"/>
      <c r="Q1169" s="6"/>
      <c r="R1169" s="6"/>
      <c r="S1169" s="6"/>
      <c r="T1169" s="6"/>
      <c r="U1169" s="6"/>
      <c r="V1169" s="6"/>
      <c r="W1169" s="6"/>
      <c r="X1169" s="6"/>
      <c r="Y1169" s="6"/>
      <c r="Z1169" s="6"/>
      <c r="AA1169" s="6"/>
      <c r="AB1169" s="6"/>
    </row>
    <row r="1170" spans="1:28" ht="12.75" x14ac:dyDescent="0.2">
      <c r="A1170" s="13"/>
      <c r="B1170" s="6"/>
      <c r="C1170" s="6"/>
      <c r="D1170" s="6"/>
      <c r="E1170" s="6"/>
      <c r="F1170" s="6"/>
      <c r="G1170" s="6"/>
      <c r="H1170" s="6"/>
      <c r="I1170" s="6"/>
      <c r="J1170" s="6"/>
      <c r="K1170" s="6"/>
      <c r="L1170" s="6"/>
      <c r="M1170" s="6"/>
      <c r="N1170" s="6"/>
      <c r="O1170" s="6"/>
      <c r="P1170" s="6"/>
      <c r="Q1170" s="6"/>
      <c r="R1170" s="6"/>
      <c r="S1170" s="6"/>
      <c r="T1170" s="6"/>
      <c r="U1170" s="6"/>
      <c r="V1170" s="6"/>
      <c r="W1170" s="6"/>
      <c r="X1170" s="6"/>
      <c r="Y1170" s="6"/>
      <c r="Z1170" s="6"/>
      <c r="AA1170" s="6"/>
      <c r="AB1170" s="6"/>
    </row>
    <row r="1171" spans="1:28" ht="12.75" x14ac:dyDescent="0.2">
      <c r="A1171" s="13"/>
      <c r="B1171" s="6"/>
      <c r="C1171" s="6"/>
      <c r="D1171" s="6"/>
      <c r="E1171" s="6"/>
      <c r="F1171" s="6"/>
      <c r="G1171" s="6"/>
      <c r="H1171" s="6"/>
      <c r="I1171" s="6"/>
      <c r="J1171" s="6"/>
      <c r="K1171" s="6"/>
      <c r="L1171" s="6"/>
      <c r="M1171" s="6"/>
      <c r="N1171" s="6"/>
      <c r="O1171" s="6"/>
      <c r="P1171" s="6"/>
      <c r="Q1171" s="6"/>
      <c r="R1171" s="6"/>
      <c r="S1171" s="6"/>
      <c r="T1171" s="6"/>
      <c r="U1171" s="6"/>
      <c r="V1171" s="6"/>
      <c r="W1171" s="6"/>
      <c r="X1171" s="6"/>
      <c r="Y1171" s="6"/>
      <c r="Z1171" s="6"/>
      <c r="AA1171" s="6"/>
      <c r="AB1171" s="6"/>
    </row>
    <row r="1172" spans="1:28" ht="12.75" x14ac:dyDescent="0.2">
      <c r="A1172" s="13"/>
      <c r="B1172" s="6"/>
      <c r="C1172" s="6"/>
      <c r="D1172" s="6"/>
      <c r="E1172" s="6"/>
      <c r="F1172" s="6"/>
      <c r="G1172" s="6"/>
      <c r="H1172" s="6"/>
      <c r="I1172" s="6"/>
      <c r="J1172" s="6"/>
      <c r="K1172" s="6"/>
      <c r="L1172" s="6"/>
      <c r="M1172" s="6"/>
      <c r="N1172" s="6"/>
      <c r="O1172" s="6"/>
      <c r="P1172" s="6"/>
      <c r="Q1172" s="6"/>
      <c r="R1172" s="6"/>
      <c r="S1172" s="6"/>
      <c r="T1172" s="6"/>
      <c r="U1172" s="6"/>
      <c r="V1172" s="6"/>
      <c r="W1172" s="6"/>
      <c r="X1172" s="6"/>
      <c r="Y1172" s="6"/>
      <c r="Z1172" s="6"/>
      <c r="AA1172" s="6"/>
      <c r="AB1172" s="6"/>
    </row>
    <row r="1173" spans="1:28" ht="12.75" x14ac:dyDescent="0.2">
      <c r="A1173" s="13"/>
      <c r="B1173" s="6"/>
      <c r="C1173" s="6"/>
      <c r="D1173" s="6"/>
      <c r="E1173" s="6"/>
      <c r="F1173" s="6"/>
      <c r="G1173" s="6"/>
      <c r="H1173" s="6"/>
      <c r="I1173" s="6"/>
      <c r="J1173" s="6"/>
      <c r="K1173" s="6"/>
      <c r="L1173" s="6"/>
      <c r="M1173" s="6"/>
      <c r="N1173" s="6"/>
      <c r="O1173" s="6"/>
      <c r="P1173" s="6"/>
      <c r="Q1173" s="6"/>
      <c r="R1173" s="6"/>
      <c r="S1173" s="6"/>
      <c r="T1173" s="6"/>
      <c r="U1173" s="6"/>
      <c r="V1173" s="6"/>
      <c r="W1173" s="6"/>
      <c r="X1173" s="6"/>
      <c r="Y1173" s="6"/>
      <c r="Z1173" s="6"/>
      <c r="AA1173" s="6"/>
      <c r="AB1173" s="6"/>
    </row>
    <row r="1174" spans="1:28" ht="12.75" x14ac:dyDescent="0.2">
      <c r="A1174" s="13"/>
      <c r="B1174" s="6"/>
      <c r="C1174" s="6"/>
      <c r="D1174" s="6"/>
      <c r="E1174" s="6"/>
      <c r="F1174" s="6"/>
      <c r="G1174" s="6"/>
      <c r="H1174" s="6"/>
      <c r="I1174" s="6"/>
      <c r="J1174" s="6"/>
      <c r="K1174" s="6"/>
      <c r="L1174" s="6"/>
      <c r="M1174" s="6"/>
      <c r="N1174" s="6"/>
      <c r="O1174" s="6"/>
      <c r="P1174" s="6"/>
      <c r="Q1174" s="6"/>
      <c r="R1174" s="6"/>
      <c r="S1174" s="6"/>
      <c r="T1174" s="6"/>
      <c r="U1174" s="6"/>
      <c r="V1174" s="6"/>
      <c r="W1174" s="6"/>
      <c r="X1174" s="6"/>
      <c r="Y1174" s="6"/>
      <c r="Z1174" s="6"/>
      <c r="AA1174" s="6"/>
      <c r="AB1174" s="6"/>
    </row>
    <row r="1175" spans="1:28" ht="12.75" x14ac:dyDescent="0.2">
      <c r="A1175" s="13"/>
      <c r="B1175" s="6"/>
      <c r="C1175" s="6"/>
      <c r="D1175" s="6"/>
      <c r="E1175" s="6"/>
      <c r="F1175" s="6"/>
      <c r="G1175" s="6"/>
      <c r="H1175" s="6"/>
      <c r="I1175" s="6"/>
      <c r="J1175" s="6"/>
      <c r="K1175" s="6"/>
      <c r="L1175" s="6"/>
      <c r="M1175" s="6"/>
      <c r="N1175" s="6"/>
      <c r="O1175" s="6"/>
      <c r="P1175" s="6"/>
      <c r="Q1175" s="6"/>
      <c r="R1175" s="6"/>
      <c r="S1175" s="6"/>
      <c r="T1175" s="6"/>
      <c r="U1175" s="6"/>
      <c r="V1175" s="6"/>
      <c r="W1175" s="6"/>
      <c r="X1175" s="6"/>
      <c r="Y1175" s="6"/>
      <c r="Z1175" s="6"/>
      <c r="AA1175" s="6"/>
      <c r="AB1175" s="6"/>
    </row>
    <row r="1176" spans="1:28" ht="12.75" x14ac:dyDescent="0.2">
      <c r="A1176" s="13"/>
      <c r="B1176" s="6"/>
      <c r="C1176" s="6"/>
      <c r="D1176" s="6"/>
      <c r="E1176" s="6"/>
      <c r="F1176" s="6"/>
      <c r="G1176" s="6"/>
      <c r="H1176" s="6"/>
      <c r="I1176" s="6"/>
      <c r="J1176" s="6"/>
      <c r="K1176" s="6"/>
      <c r="L1176" s="6"/>
      <c r="M1176" s="6"/>
      <c r="N1176" s="6"/>
      <c r="O1176" s="6"/>
      <c r="P1176" s="6"/>
      <c r="Q1176" s="6"/>
      <c r="R1176" s="6"/>
      <c r="S1176" s="6"/>
      <c r="T1176" s="6"/>
      <c r="U1176" s="6"/>
      <c r="V1176" s="6"/>
      <c r="W1176" s="6"/>
      <c r="X1176" s="6"/>
      <c r="Y1176" s="6"/>
      <c r="Z1176" s="6"/>
      <c r="AA1176" s="6"/>
      <c r="AB1176" s="6"/>
    </row>
    <row r="1177" spans="1:28" ht="12.75" x14ac:dyDescent="0.2">
      <c r="A1177" s="13"/>
      <c r="B1177" s="6"/>
      <c r="C1177" s="6"/>
      <c r="D1177" s="6"/>
      <c r="E1177" s="6"/>
      <c r="F1177" s="6"/>
      <c r="G1177" s="6"/>
      <c r="H1177" s="6"/>
      <c r="I1177" s="6"/>
      <c r="J1177" s="6"/>
      <c r="K1177" s="6"/>
      <c r="L1177" s="6"/>
      <c r="M1177" s="6"/>
      <c r="N1177" s="6"/>
      <c r="O1177" s="6"/>
      <c r="P1177" s="6"/>
      <c r="Q1177" s="6"/>
      <c r="R1177" s="6"/>
      <c r="S1177" s="6"/>
      <c r="T1177" s="6"/>
      <c r="U1177" s="6"/>
      <c r="V1177" s="6"/>
      <c r="W1177" s="6"/>
      <c r="X1177" s="6"/>
      <c r="Y1177" s="6"/>
      <c r="Z1177" s="6"/>
      <c r="AA1177" s="6"/>
      <c r="AB1177" s="6"/>
    </row>
    <row r="1178" spans="1:28" ht="12.75" x14ac:dyDescent="0.2">
      <c r="A1178" s="13"/>
      <c r="B1178" s="6"/>
      <c r="C1178" s="6"/>
      <c r="D1178" s="6"/>
      <c r="E1178" s="6"/>
      <c r="F1178" s="6"/>
      <c r="G1178" s="6"/>
      <c r="H1178" s="6"/>
      <c r="I1178" s="6"/>
      <c r="J1178" s="6"/>
      <c r="K1178" s="6"/>
      <c r="L1178" s="6"/>
      <c r="M1178" s="6"/>
      <c r="N1178" s="6"/>
      <c r="O1178" s="6"/>
      <c r="P1178" s="6"/>
      <c r="Q1178" s="6"/>
      <c r="R1178" s="6"/>
      <c r="S1178" s="6"/>
      <c r="T1178" s="6"/>
      <c r="U1178" s="6"/>
      <c r="V1178" s="6"/>
      <c r="W1178" s="6"/>
      <c r="X1178" s="6"/>
      <c r="Y1178" s="6"/>
      <c r="Z1178" s="6"/>
      <c r="AA1178" s="6"/>
      <c r="AB1178" s="6"/>
    </row>
    <row r="1179" spans="1:28" ht="12.75" x14ac:dyDescent="0.2">
      <c r="A1179" s="13"/>
      <c r="B1179" s="6"/>
      <c r="C1179" s="6"/>
      <c r="D1179" s="6"/>
      <c r="E1179" s="6"/>
      <c r="F1179" s="6"/>
      <c r="G1179" s="6"/>
      <c r="H1179" s="6"/>
      <c r="I1179" s="6"/>
      <c r="J1179" s="6"/>
      <c r="K1179" s="6"/>
      <c r="L1179" s="6"/>
      <c r="M1179" s="6"/>
      <c r="N1179" s="6"/>
      <c r="O1179" s="6"/>
      <c r="P1179" s="6"/>
      <c r="Q1179" s="6"/>
      <c r="R1179" s="6"/>
      <c r="S1179" s="6"/>
      <c r="T1179" s="6"/>
      <c r="U1179" s="6"/>
      <c r="V1179" s="6"/>
      <c r="W1179" s="6"/>
      <c r="X1179" s="6"/>
      <c r="Y1179" s="6"/>
      <c r="Z1179" s="6"/>
      <c r="AA1179" s="6"/>
      <c r="AB1179" s="6"/>
    </row>
    <row r="1180" spans="1:28" ht="12.75" x14ac:dyDescent="0.2">
      <c r="A1180" s="13"/>
      <c r="B1180" s="6"/>
      <c r="C1180" s="6"/>
      <c r="D1180" s="6"/>
      <c r="E1180" s="6"/>
      <c r="F1180" s="6"/>
      <c r="G1180" s="6"/>
      <c r="H1180" s="6"/>
      <c r="I1180" s="6"/>
      <c r="J1180" s="6"/>
      <c r="K1180" s="6"/>
      <c r="L1180" s="6"/>
      <c r="M1180" s="6"/>
      <c r="N1180" s="6"/>
      <c r="O1180" s="6"/>
      <c r="P1180" s="6"/>
      <c r="Q1180" s="6"/>
      <c r="R1180" s="6"/>
      <c r="S1180" s="6"/>
      <c r="T1180" s="6"/>
      <c r="U1180" s="6"/>
      <c r="V1180" s="6"/>
      <c r="W1180" s="6"/>
      <c r="X1180" s="6"/>
      <c r="Y1180" s="6"/>
      <c r="Z1180" s="6"/>
      <c r="AA1180" s="6"/>
      <c r="AB1180" s="6"/>
    </row>
    <row r="1181" spans="1:28" ht="12.75" x14ac:dyDescent="0.2">
      <c r="A1181" s="13"/>
      <c r="B1181" s="6"/>
      <c r="C1181" s="6"/>
      <c r="D1181" s="6"/>
      <c r="E1181" s="6"/>
      <c r="F1181" s="6"/>
      <c r="G1181" s="6"/>
      <c r="H1181" s="6"/>
      <c r="I1181" s="6"/>
      <c r="J1181" s="6"/>
      <c r="K1181" s="6"/>
      <c r="L1181" s="6"/>
      <c r="M1181" s="6"/>
      <c r="N1181" s="6"/>
      <c r="O1181" s="6"/>
      <c r="P1181" s="6"/>
      <c r="Q1181" s="6"/>
      <c r="R1181" s="6"/>
      <c r="S1181" s="6"/>
      <c r="T1181" s="6"/>
      <c r="U1181" s="6"/>
      <c r="V1181" s="6"/>
      <c r="W1181" s="6"/>
      <c r="X1181" s="6"/>
      <c r="Y1181" s="6"/>
      <c r="Z1181" s="6"/>
      <c r="AA1181" s="6"/>
      <c r="AB1181" s="6"/>
    </row>
    <row r="1182" spans="1:28" ht="12.75" x14ac:dyDescent="0.2">
      <c r="A1182" s="13"/>
      <c r="B1182" s="6"/>
      <c r="C1182" s="6"/>
      <c r="D1182" s="6"/>
      <c r="E1182" s="6"/>
      <c r="F1182" s="6"/>
      <c r="G1182" s="6"/>
      <c r="H1182" s="6"/>
      <c r="I1182" s="6"/>
      <c r="J1182" s="6"/>
      <c r="K1182" s="6"/>
      <c r="L1182" s="6"/>
      <c r="M1182" s="6"/>
      <c r="N1182" s="6"/>
      <c r="O1182" s="6"/>
      <c r="P1182" s="6"/>
      <c r="Q1182" s="6"/>
      <c r="R1182" s="6"/>
      <c r="S1182" s="6"/>
      <c r="T1182" s="6"/>
      <c r="U1182" s="6"/>
      <c r="V1182" s="6"/>
      <c r="W1182" s="6"/>
      <c r="X1182" s="6"/>
      <c r="Y1182" s="6"/>
      <c r="Z1182" s="6"/>
      <c r="AA1182" s="6"/>
      <c r="AB1182" s="6"/>
    </row>
    <row r="1183" spans="1:28" ht="12.75" x14ac:dyDescent="0.2">
      <c r="A1183" s="13"/>
      <c r="B1183" s="6"/>
      <c r="C1183" s="6"/>
      <c r="D1183" s="6"/>
      <c r="E1183" s="6"/>
      <c r="F1183" s="6"/>
      <c r="G1183" s="6"/>
      <c r="H1183" s="6"/>
      <c r="I1183" s="6"/>
      <c r="J1183" s="6"/>
      <c r="K1183" s="6"/>
      <c r="L1183" s="6"/>
      <c r="M1183" s="6"/>
      <c r="N1183" s="6"/>
      <c r="O1183" s="6"/>
      <c r="P1183" s="6"/>
      <c r="Q1183" s="6"/>
      <c r="R1183" s="6"/>
      <c r="S1183" s="6"/>
      <c r="T1183" s="6"/>
      <c r="U1183" s="6"/>
      <c r="V1183" s="6"/>
      <c r="W1183" s="6"/>
      <c r="X1183" s="6"/>
      <c r="Y1183" s="6"/>
      <c r="Z1183" s="6"/>
      <c r="AA1183" s="6"/>
      <c r="AB1183" s="6"/>
    </row>
    <row r="1184" spans="1:28" ht="12.75" x14ac:dyDescent="0.2">
      <c r="A1184" s="13"/>
      <c r="B1184" s="6"/>
      <c r="C1184" s="6"/>
      <c r="D1184" s="6"/>
      <c r="E1184" s="6"/>
      <c r="F1184" s="6"/>
      <c r="G1184" s="6"/>
      <c r="H1184" s="6"/>
      <c r="I1184" s="6"/>
      <c r="J1184" s="6"/>
      <c r="K1184" s="6"/>
      <c r="L1184" s="6"/>
      <c r="M1184" s="6"/>
      <c r="N1184" s="6"/>
      <c r="O1184" s="6"/>
      <c r="P1184" s="6"/>
      <c r="Q1184" s="6"/>
      <c r="R1184" s="6"/>
      <c r="S1184" s="6"/>
      <c r="T1184" s="6"/>
      <c r="U1184" s="6"/>
      <c r="V1184" s="6"/>
      <c r="W1184" s="6"/>
      <c r="X1184" s="6"/>
      <c r="Y1184" s="6"/>
      <c r="Z1184" s="6"/>
      <c r="AA1184" s="6"/>
      <c r="AB1184" s="6"/>
    </row>
    <row r="1185" spans="1:28" ht="12.75" x14ac:dyDescent="0.2">
      <c r="A1185" s="13"/>
      <c r="B1185" s="6"/>
      <c r="C1185" s="6"/>
      <c r="D1185" s="6"/>
      <c r="E1185" s="6"/>
      <c r="F1185" s="6"/>
      <c r="G1185" s="6"/>
      <c r="H1185" s="6"/>
      <c r="I1185" s="6"/>
      <c r="J1185" s="6"/>
      <c r="K1185" s="6"/>
      <c r="L1185" s="6"/>
      <c r="M1185" s="6"/>
      <c r="N1185" s="6"/>
      <c r="O1185" s="6"/>
      <c r="P1185" s="6"/>
      <c r="Q1185" s="6"/>
      <c r="R1185" s="6"/>
      <c r="S1185" s="6"/>
      <c r="T1185" s="6"/>
      <c r="U1185" s="6"/>
      <c r="V1185" s="6"/>
      <c r="W1185" s="6"/>
      <c r="X1185" s="6"/>
      <c r="Y1185" s="6"/>
      <c r="Z1185" s="6"/>
      <c r="AA1185" s="6"/>
      <c r="AB1185" s="6"/>
    </row>
    <row r="1186" spans="1:28" ht="12.75" x14ac:dyDescent="0.2">
      <c r="A1186" s="13"/>
      <c r="B1186" s="6"/>
      <c r="C1186" s="6"/>
      <c r="D1186" s="6"/>
      <c r="E1186" s="6"/>
      <c r="F1186" s="6"/>
      <c r="G1186" s="6"/>
      <c r="H1186" s="6"/>
      <c r="I1186" s="6"/>
      <c r="J1186" s="6"/>
      <c r="K1186" s="6"/>
      <c r="L1186" s="6"/>
      <c r="M1186" s="6"/>
      <c r="N1186" s="6"/>
      <c r="O1186" s="6"/>
      <c r="P1186" s="6"/>
      <c r="Q1186" s="6"/>
      <c r="R1186" s="6"/>
      <c r="S1186" s="6"/>
      <c r="T1186" s="6"/>
      <c r="U1186" s="6"/>
      <c r="V1186" s="6"/>
      <c r="W1186" s="6"/>
      <c r="X1186" s="6"/>
      <c r="Y1186" s="6"/>
      <c r="Z1186" s="6"/>
      <c r="AA1186" s="6"/>
      <c r="AB1186" s="6"/>
    </row>
    <row r="1187" spans="1:28" ht="12.75" x14ac:dyDescent="0.2">
      <c r="A1187" s="13"/>
      <c r="B1187" s="6"/>
      <c r="C1187" s="6"/>
      <c r="D1187" s="6"/>
      <c r="E1187" s="6"/>
      <c r="F1187" s="6"/>
      <c r="G1187" s="6"/>
      <c r="H1187" s="6"/>
      <c r="I1187" s="6"/>
      <c r="J1187" s="6"/>
      <c r="K1187" s="6"/>
      <c r="L1187" s="6"/>
      <c r="M1187" s="6"/>
      <c r="N1187" s="6"/>
      <c r="O1187" s="6"/>
      <c r="P1187" s="6"/>
      <c r="Q1187" s="6"/>
      <c r="R1187" s="6"/>
      <c r="S1187" s="6"/>
      <c r="T1187" s="6"/>
      <c r="U1187" s="6"/>
      <c r="V1187" s="6"/>
      <c r="W1187" s="6"/>
      <c r="X1187" s="6"/>
      <c r="Y1187" s="6"/>
      <c r="Z1187" s="6"/>
      <c r="AA1187" s="6"/>
      <c r="AB1187" s="6"/>
    </row>
    <row r="1188" spans="1:28" ht="12.75" x14ac:dyDescent="0.2">
      <c r="A1188" s="13"/>
      <c r="B1188" s="6"/>
      <c r="C1188" s="6"/>
      <c r="D1188" s="6"/>
      <c r="E1188" s="6"/>
      <c r="F1188" s="6"/>
      <c r="G1188" s="6"/>
      <c r="H1188" s="6"/>
      <c r="I1188" s="6"/>
      <c r="J1188" s="6"/>
      <c r="K1188" s="6"/>
      <c r="L1188" s="6"/>
      <c r="M1188" s="6"/>
      <c r="N1188" s="6"/>
      <c r="O1188" s="6"/>
      <c r="P1188" s="6"/>
      <c r="Q1188" s="6"/>
      <c r="R1188" s="6"/>
      <c r="S1188" s="6"/>
      <c r="T1188" s="6"/>
      <c r="U1188" s="6"/>
      <c r="V1188" s="6"/>
      <c r="W1188" s="6"/>
      <c r="X1188" s="6"/>
      <c r="Y1188" s="6"/>
      <c r="Z1188" s="6"/>
      <c r="AA1188" s="6"/>
      <c r="AB1188" s="6"/>
    </row>
    <row r="1189" spans="1:28" ht="12.75" x14ac:dyDescent="0.2">
      <c r="A1189" s="13"/>
      <c r="B1189" s="6"/>
      <c r="C1189" s="6"/>
      <c r="D1189" s="6"/>
      <c r="E1189" s="6"/>
      <c r="F1189" s="6"/>
      <c r="G1189" s="6"/>
      <c r="H1189" s="6"/>
      <c r="I1189" s="6"/>
      <c r="J1189" s="6"/>
      <c r="K1189" s="6"/>
      <c r="L1189" s="6"/>
      <c r="M1189" s="6"/>
      <c r="N1189" s="6"/>
      <c r="O1189" s="6"/>
      <c r="P1189" s="6"/>
      <c r="Q1189" s="6"/>
      <c r="R1189" s="6"/>
      <c r="S1189" s="6"/>
      <c r="T1189" s="6"/>
      <c r="U1189" s="6"/>
      <c r="V1189" s="6"/>
      <c r="W1189" s="6"/>
      <c r="X1189" s="6"/>
      <c r="Y1189" s="6"/>
      <c r="Z1189" s="6"/>
      <c r="AA1189" s="6"/>
      <c r="AB1189" s="6"/>
    </row>
    <row r="1190" spans="1:28" ht="12.75" x14ac:dyDescent="0.2">
      <c r="A1190" s="13"/>
      <c r="B1190" s="6"/>
      <c r="C1190" s="6"/>
      <c r="D1190" s="6"/>
      <c r="E1190" s="6"/>
      <c r="F1190" s="6"/>
      <c r="G1190" s="6"/>
      <c r="H1190" s="6"/>
      <c r="I1190" s="6"/>
      <c r="J1190" s="6"/>
      <c r="K1190" s="6"/>
      <c r="L1190" s="6"/>
      <c r="M1190" s="6"/>
      <c r="N1190" s="6"/>
      <c r="O1190" s="6"/>
      <c r="P1190" s="6"/>
      <c r="Q1190" s="6"/>
      <c r="R1190" s="6"/>
      <c r="S1190" s="6"/>
      <c r="T1190" s="6"/>
      <c r="U1190" s="6"/>
      <c r="V1190" s="6"/>
      <c r="W1190" s="6"/>
      <c r="X1190" s="6"/>
      <c r="Y1190" s="6"/>
      <c r="Z1190" s="6"/>
      <c r="AA1190" s="6"/>
      <c r="AB1190" s="6"/>
    </row>
    <row r="1191" spans="1:28" ht="12.75" x14ac:dyDescent="0.2">
      <c r="A1191" s="13"/>
      <c r="B1191" s="6"/>
      <c r="C1191" s="6"/>
      <c r="D1191" s="6"/>
      <c r="E1191" s="6"/>
      <c r="F1191" s="6"/>
      <c r="G1191" s="6"/>
      <c r="H1191" s="6"/>
      <c r="I1191" s="6"/>
      <c r="J1191" s="6"/>
      <c r="K1191" s="6"/>
      <c r="L1191" s="6"/>
      <c r="M1191" s="6"/>
      <c r="N1191" s="6"/>
      <c r="O1191" s="6"/>
      <c r="P1191" s="6"/>
      <c r="Q1191" s="6"/>
      <c r="R1191" s="6"/>
      <c r="S1191" s="6"/>
      <c r="T1191" s="6"/>
      <c r="U1191" s="6"/>
      <c r="V1191" s="6"/>
      <c r="W1191" s="6"/>
      <c r="X1191" s="6"/>
      <c r="Y1191" s="6"/>
      <c r="Z1191" s="6"/>
      <c r="AA1191" s="6"/>
      <c r="AB1191" s="6"/>
    </row>
    <row r="1192" spans="1:28" ht="12.75" x14ac:dyDescent="0.2">
      <c r="A1192" s="13"/>
      <c r="B1192" s="6"/>
      <c r="C1192" s="6"/>
      <c r="D1192" s="6"/>
      <c r="E1192" s="6"/>
      <c r="F1192" s="6"/>
      <c r="G1192" s="6"/>
      <c r="H1192" s="6"/>
      <c r="I1192" s="6"/>
      <c r="J1192" s="6"/>
      <c r="K1192" s="6"/>
      <c r="L1192" s="6"/>
      <c r="M1192" s="6"/>
      <c r="N1192" s="6"/>
      <c r="O1192" s="6"/>
      <c r="P1192" s="6"/>
      <c r="Q1192" s="6"/>
      <c r="R1192" s="6"/>
      <c r="S1192" s="6"/>
      <c r="T1192" s="6"/>
      <c r="U1192" s="6"/>
      <c r="V1192" s="6"/>
      <c r="W1192" s="6"/>
      <c r="X1192" s="6"/>
      <c r="Y1192" s="6"/>
      <c r="Z1192" s="6"/>
      <c r="AA1192" s="6"/>
      <c r="AB1192" s="6"/>
    </row>
    <row r="1193" spans="1:28" ht="12.75" x14ac:dyDescent="0.2">
      <c r="A1193" s="13"/>
      <c r="B1193" s="6"/>
      <c r="C1193" s="6"/>
      <c r="D1193" s="6"/>
      <c r="E1193" s="6"/>
      <c r="F1193" s="6"/>
      <c r="G1193" s="6"/>
      <c r="H1193" s="6"/>
      <c r="I1193" s="6"/>
      <c r="J1193" s="6"/>
      <c r="K1193" s="6"/>
      <c r="L1193" s="6"/>
      <c r="M1193" s="6"/>
      <c r="N1193" s="6"/>
      <c r="O1193" s="6"/>
      <c r="P1193" s="6"/>
      <c r="Q1193" s="6"/>
      <c r="R1193" s="6"/>
      <c r="S1193" s="6"/>
      <c r="T1193" s="6"/>
      <c r="U1193" s="6"/>
      <c r="V1193" s="6"/>
      <c r="W1193" s="6"/>
      <c r="X1193" s="6"/>
      <c r="Y1193" s="6"/>
      <c r="Z1193" s="6"/>
      <c r="AA1193" s="6"/>
      <c r="AB1193" s="6"/>
    </row>
    <row r="1194" spans="1:28" ht="12.75" x14ac:dyDescent="0.2">
      <c r="A1194" s="13"/>
      <c r="B1194" s="6"/>
      <c r="C1194" s="6"/>
      <c r="D1194" s="6"/>
      <c r="E1194" s="6"/>
      <c r="F1194" s="6"/>
      <c r="G1194" s="6"/>
      <c r="H1194" s="6"/>
      <c r="I1194" s="6"/>
      <c r="J1194" s="6"/>
      <c r="K1194" s="6"/>
      <c r="L1194" s="6"/>
      <c r="M1194" s="6"/>
      <c r="N1194" s="6"/>
      <c r="O1194" s="6"/>
      <c r="P1194" s="6"/>
      <c r="Q1194" s="6"/>
      <c r="R1194" s="6"/>
      <c r="S1194" s="6"/>
      <c r="T1194" s="6"/>
      <c r="U1194" s="6"/>
      <c r="V1194" s="6"/>
      <c r="W1194" s="6"/>
      <c r="X1194" s="6"/>
      <c r="Y1194" s="6"/>
      <c r="Z1194" s="6"/>
      <c r="AA1194" s="6"/>
      <c r="AB1194" s="6"/>
    </row>
    <row r="1195" spans="1:28" ht="12.75" x14ac:dyDescent="0.2">
      <c r="A1195" s="13"/>
      <c r="B1195" s="6"/>
      <c r="C1195" s="6"/>
      <c r="D1195" s="6"/>
      <c r="E1195" s="6"/>
      <c r="F1195" s="6"/>
      <c r="G1195" s="6"/>
      <c r="H1195" s="6"/>
      <c r="I1195" s="6"/>
      <c r="J1195" s="6"/>
      <c r="K1195" s="6"/>
      <c r="L1195" s="6"/>
      <c r="M1195" s="6"/>
      <c r="N1195" s="6"/>
      <c r="O1195" s="6"/>
      <c r="P1195" s="6"/>
      <c r="Q1195" s="6"/>
      <c r="R1195" s="6"/>
      <c r="S1195" s="6"/>
      <c r="T1195" s="6"/>
      <c r="U1195" s="6"/>
      <c r="V1195" s="6"/>
      <c r="W1195" s="6"/>
      <c r="X1195" s="6"/>
      <c r="Y1195" s="6"/>
      <c r="Z1195" s="6"/>
      <c r="AA1195" s="6"/>
      <c r="AB1195" s="6"/>
    </row>
    <row r="1196" spans="1:28" ht="12.75" x14ac:dyDescent="0.2">
      <c r="A1196" s="13"/>
      <c r="B1196" s="6"/>
      <c r="C1196" s="6"/>
      <c r="D1196" s="6"/>
      <c r="E1196" s="6"/>
      <c r="F1196" s="6"/>
      <c r="G1196" s="6"/>
      <c r="H1196" s="6"/>
      <c r="I1196" s="6"/>
      <c r="J1196" s="6"/>
      <c r="K1196" s="6"/>
      <c r="L1196" s="6"/>
      <c r="M1196" s="6"/>
      <c r="N1196" s="6"/>
      <c r="O1196" s="6"/>
      <c r="P1196" s="6"/>
      <c r="Q1196" s="6"/>
      <c r="R1196" s="6"/>
      <c r="S1196" s="6"/>
      <c r="T1196" s="6"/>
      <c r="U1196" s="6"/>
      <c r="V1196" s="6"/>
      <c r="W1196" s="6"/>
      <c r="X1196" s="6"/>
      <c r="Y1196" s="6"/>
      <c r="Z1196" s="6"/>
      <c r="AA1196" s="6"/>
      <c r="AB1196" s="6"/>
    </row>
    <row r="1197" spans="1:28" ht="12.75" x14ac:dyDescent="0.2">
      <c r="A1197" s="13"/>
      <c r="B1197" s="6"/>
      <c r="C1197" s="6"/>
      <c r="D1197" s="6"/>
      <c r="E1197" s="6"/>
      <c r="F1197" s="6"/>
      <c r="G1197" s="6"/>
      <c r="H1197" s="6"/>
      <c r="I1197" s="6"/>
      <c r="J1197" s="6"/>
      <c r="K1197" s="6"/>
      <c r="L1197" s="6"/>
      <c r="M1197" s="6"/>
      <c r="N1197" s="6"/>
      <c r="O1197" s="6"/>
      <c r="P1197" s="6"/>
      <c r="Q1197" s="6"/>
      <c r="R1197" s="6"/>
      <c r="S1197" s="6"/>
      <c r="T1197" s="6"/>
      <c r="U1197" s="6"/>
      <c r="V1197" s="6"/>
      <c r="W1197" s="6"/>
      <c r="X1197" s="6"/>
      <c r="Y1197" s="6"/>
      <c r="Z1197" s="6"/>
      <c r="AA1197" s="6"/>
      <c r="AB1197" s="6"/>
    </row>
    <row r="1198" spans="1:28" ht="12.75" x14ac:dyDescent="0.2">
      <c r="A1198" s="13"/>
      <c r="B1198" s="6"/>
      <c r="C1198" s="6"/>
      <c r="D1198" s="6"/>
      <c r="E1198" s="6"/>
      <c r="F1198" s="6"/>
      <c r="G1198" s="6"/>
      <c r="H1198" s="6"/>
      <c r="I1198" s="6"/>
      <c r="J1198" s="6"/>
      <c r="K1198" s="6"/>
      <c r="L1198" s="6"/>
      <c r="M1198" s="6"/>
      <c r="N1198" s="6"/>
      <c r="O1198" s="6"/>
      <c r="P1198" s="6"/>
      <c r="Q1198" s="6"/>
      <c r="R1198" s="6"/>
      <c r="S1198" s="6"/>
      <c r="T1198" s="6"/>
      <c r="U1198" s="6"/>
      <c r="V1198" s="6"/>
      <c r="W1198" s="6"/>
      <c r="X1198" s="6"/>
      <c r="Y1198" s="6"/>
      <c r="Z1198" s="6"/>
      <c r="AA1198" s="6"/>
      <c r="AB1198" s="6"/>
    </row>
    <row r="1199" spans="1:28" ht="12.75" x14ac:dyDescent="0.2">
      <c r="A1199" s="13"/>
      <c r="B1199" s="6"/>
      <c r="C1199" s="6"/>
      <c r="D1199" s="6"/>
      <c r="E1199" s="6"/>
      <c r="F1199" s="6"/>
      <c r="G1199" s="6"/>
      <c r="H1199" s="6"/>
      <c r="I1199" s="6"/>
      <c r="J1199" s="6"/>
      <c r="K1199" s="6"/>
      <c r="L1199" s="6"/>
      <c r="M1199" s="6"/>
      <c r="N1199" s="6"/>
      <c r="O1199" s="6"/>
      <c r="P1199" s="6"/>
      <c r="Q1199" s="6"/>
      <c r="R1199" s="6"/>
      <c r="S1199" s="6"/>
      <c r="T1199" s="6"/>
      <c r="U1199" s="6"/>
      <c r="V1199" s="6"/>
      <c r="W1199" s="6"/>
      <c r="X1199" s="6"/>
      <c r="Y1199" s="6"/>
      <c r="Z1199" s="6"/>
      <c r="AA1199" s="6"/>
      <c r="AB1199" s="6"/>
    </row>
    <row r="1200" spans="1:28" ht="12.75" x14ac:dyDescent="0.2">
      <c r="A1200" s="13"/>
      <c r="B1200" s="6"/>
      <c r="C1200" s="6"/>
      <c r="D1200" s="6"/>
      <c r="E1200" s="6"/>
      <c r="F1200" s="6"/>
      <c r="G1200" s="6"/>
      <c r="H1200" s="6"/>
      <c r="I1200" s="6"/>
      <c r="J1200" s="6"/>
      <c r="K1200" s="6"/>
      <c r="L1200" s="6"/>
      <c r="M1200" s="6"/>
      <c r="N1200" s="6"/>
      <c r="O1200" s="6"/>
      <c r="P1200" s="6"/>
      <c r="Q1200" s="6"/>
      <c r="R1200" s="6"/>
      <c r="S1200" s="6"/>
      <c r="T1200" s="6"/>
      <c r="U1200" s="6"/>
      <c r="V1200" s="6"/>
      <c r="W1200" s="6"/>
      <c r="X1200" s="6"/>
      <c r="Y1200" s="6"/>
      <c r="Z1200" s="6"/>
      <c r="AA1200" s="6"/>
      <c r="AB1200" s="6"/>
    </row>
    <row r="1201" spans="1:28" ht="12.75" x14ac:dyDescent="0.2">
      <c r="A1201" s="13"/>
      <c r="B1201" s="6"/>
      <c r="C1201" s="6"/>
      <c r="D1201" s="6"/>
      <c r="E1201" s="6"/>
      <c r="F1201" s="6"/>
      <c r="G1201" s="6"/>
      <c r="H1201" s="6"/>
      <c r="I1201" s="6"/>
      <c r="J1201" s="6"/>
      <c r="K1201" s="6"/>
      <c r="L1201" s="6"/>
      <c r="M1201" s="6"/>
      <c r="N1201" s="6"/>
      <c r="O1201" s="6"/>
      <c r="P1201" s="6"/>
      <c r="Q1201" s="6"/>
      <c r="R1201" s="6"/>
      <c r="S1201" s="6"/>
      <c r="T1201" s="6"/>
      <c r="U1201" s="6"/>
      <c r="V1201" s="6"/>
      <c r="W1201" s="6"/>
      <c r="X1201" s="6"/>
      <c r="Y1201" s="6"/>
      <c r="Z1201" s="6"/>
      <c r="AA1201" s="6"/>
      <c r="AB1201" s="6"/>
    </row>
    <row r="1202" spans="1:28" ht="12.75" x14ac:dyDescent="0.2">
      <c r="A1202" s="13"/>
      <c r="B1202" s="6"/>
      <c r="C1202" s="6"/>
      <c r="D1202" s="6"/>
      <c r="E1202" s="6"/>
      <c r="F1202" s="6"/>
      <c r="G1202" s="6"/>
      <c r="H1202" s="6"/>
      <c r="I1202" s="6"/>
      <c r="J1202" s="6"/>
      <c r="K1202" s="6"/>
      <c r="L1202" s="6"/>
      <c r="M1202" s="6"/>
      <c r="N1202" s="6"/>
      <c r="O1202" s="6"/>
      <c r="P1202" s="6"/>
      <c r="Q1202" s="6"/>
      <c r="R1202" s="6"/>
      <c r="S1202" s="6"/>
      <c r="T1202" s="6"/>
      <c r="U1202" s="6"/>
      <c r="V1202" s="6"/>
      <c r="W1202" s="6"/>
      <c r="X1202" s="6"/>
      <c r="Y1202" s="6"/>
      <c r="Z1202" s="6"/>
      <c r="AA1202" s="6"/>
      <c r="AB1202" s="6"/>
    </row>
    <row r="1203" spans="1:28" ht="12.75" x14ac:dyDescent="0.2">
      <c r="A1203" s="13"/>
      <c r="B1203" s="6"/>
      <c r="C1203" s="6"/>
      <c r="D1203" s="6"/>
      <c r="E1203" s="6"/>
      <c r="F1203" s="6"/>
      <c r="G1203" s="6"/>
      <c r="H1203" s="6"/>
      <c r="I1203" s="6"/>
      <c r="J1203" s="6"/>
      <c r="K1203" s="6"/>
      <c r="L1203" s="6"/>
      <c r="M1203" s="6"/>
      <c r="N1203" s="6"/>
      <c r="O1203" s="6"/>
      <c r="P1203" s="6"/>
      <c r="Q1203" s="6"/>
      <c r="R1203" s="6"/>
      <c r="S1203" s="6"/>
      <c r="T1203" s="6"/>
      <c r="U1203" s="6"/>
      <c r="V1203" s="6"/>
      <c r="W1203" s="6"/>
      <c r="X1203" s="6"/>
      <c r="Y1203" s="6"/>
      <c r="Z1203" s="6"/>
      <c r="AA1203" s="6"/>
      <c r="AB1203" s="6"/>
    </row>
    <row r="1204" spans="1:28" ht="12.75" x14ac:dyDescent="0.2">
      <c r="A1204" s="13"/>
      <c r="B1204" s="6"/>
      <c r="C1204" s="6"/>
      <c r="D1204" s="6"/>
      <c r="E1204" s="6"/>
      <c r="F1204" s="6"/>
      <c r="G1204" s="6"/>
      <c r="H1204" s="6"/>
      <c r="I1204" s="6"/>
      <c r="J1204" s="6"/>
      <c r="K1204" s="6"/>
      <c r="L1204" s="6"/>
      <c r="M1204" s="6"/>
      <c r="N1204" s="6"/>
      <c r="O1204" s="6"/>
      <c r="P1204" s="6"/>
      <c r="Q1204" s="6"/>
      <c r="R1204" s="6"/>
      <c r="S1204" s="6"/>
      <c r="T1204" s="6"/>
      <c r="U1204" s="6"/>
      <c r="V1204" s="6"/>
      <c r="W1204" s="6"/>
      <c r="X1204" s="6"/>
      <c r="Y1204" s="6"/>
      <c r="Z1204" s="6"/>
      <c r="AA1204" s="6"/>
      <c r="AB1204" s="6"/>
    </row>
    <row r="1205" spans="1:28" ht="12.75" x14ac:dyDescent="0.2">
      <c r="A1205" s="13"/>
      <c r="B1205" s="6"/>
      <c r="C1205" s="6"/>
      <c r="D1205" s="6"/>
      <c r="E1205" s="6"/>
      <c r="F1205" s="6"/>
      <c r="G1205" s="6"/>
      <c r="H1205" s="6"/>
      <c r="I1205" s="6"/>
      <c r="J1205" s="6"/>
      <c r="K1205" s="6"/>
      <c r="L1205" s="6"/>
      <c r="M1205" s="6"/>
      <c r="N1205" s="6"/>
      <c r="O1205" s="6"/>
      <c r="P1205" s="6"/>
      <c r="Q1205" s="6"/>
      <c r="R1205" s="6"/>
      <c r="S1205" s="6"/>
      <c r="T1205" s="6"/>
      <c r="U1205" s="6"/>
      <c r="V1205" s="6"/>
      <c r="W1205" s="6"/>
      <c r="X1205" s="6"/>
      <c r="Y1205" s="6"/>
      <c r="Z1205" s="6"/>
      <c r="AA1205" s="6"/>
      <c r="AB1205" s="6"/>
    </row>
    <row r="1206" spans="1:28" ht="12.75" x14ac:dyDescent="0.2">
      <c r="A1206" s="13"/>
      <c r="B1206" s="6"/>
      <c r="C1206" s="6"/>
      <c r="D1206" s="6"/>
      <c r="E1206" s="6"/>
      <c r="F1206" s="6"/>
      <c r="G1206" s="6"/>
      <c r="H1206" s="6"/>
      <c r="I1206" s="6"/>
      <c r="J1206" s="6"/>
      <c r="K1206" s="6"/>
      <c r="L1206" s="6"/>
      <c r="M1206" s="6"/>
      <c r="N1206" s="6"/>
      <c r="O1206" s="6"/>
      <c r="P1206" s="6"/>
      <c r="Q1206" s="6"/>
      <c r="R1206" s="6"/>
      <c r="S1206" s="6"/>
      <c r="T1206" s="6"/>
      <c r="U1206" s="6"/>
      <c r="V1206" s="6"/>
      <c r="W1206" s="6"/>
      <c r="X1206" s="6"/>
      <c r="Y1206" s="6"/>
      <c r="Z1206" s="6"/>
      <c r="AA1206" s="6"/>
      <c r="AB1206" s="6"/>
    </row>
    <row r="1207" spans="1:28" ht="12.75" x14ac:dyDescent="0.2">
      <c r="A1207" s="13"/>
      <c r="B1207" s="6"/>
      <c r="C1207" s="6"/>
      <c r="D1207" s="6"/>
      <c r="E1207" s="6"/>
      <c r="F1207" s="6"/>
      <c r="G1207" s="6"/>
      <c r="H1207" s="6"/>
      <c r="I1207" s="6"/>
      <c r="J1207" s="6"/>
      <c r="K1207" s="6"/>
      <c r="L1207" s="6"/>
      <c r="M1207" s="6"/>
      <c r="N1207" s="6"/>
      <c r="O1207" s="6"/>
      <c r="P1207" s="6"/>
      <c r="Q1207" s="6"/>
      <c r="R1207" s="6"/>
      <c r="S1207" s="6"/>
      <c r="T1207" s="6"/>
      <c r="U1207" s="6"/>
      <c r="V1207" s="6"/>
      <c r="W1207" s="6"/>
      <c r="X1207" s="6"/>
      <c r="Y1207" s="6"/>
      <c r="Z1207" s="6"/>
      <c r="AA1207" s="6"/>
      <c r="AB1207" s="6"/>
    </row>
    <row r="1208" spans="1:28" ht="12.75" x14ac:dyDescent="0.2">
      <c r="A1208" s="13"/>
      <c r="B1208" s="6"/>
      <c r="C1208" s="6"/>
      <c r="D1208" s="6"/>
      <c r="E1208" s="6"/>
      <c r="F1208" s="6"/>
      <c r="G1208" s="6"/>
      <c r="H1208" s="6"/>
      <c r="I1208" s="6"/>
      <c r="J1208" s="6"/>
      <c r="K1208" s="6"/>
      <c r="L1208" s="6"/>
      <c r="M1208" s="6"/>
      <c r="N1208" s="6"/>
      <c r="O1208" s="6"/>
      <c r="P1208" s="6"/>
      <c r="Q1208" s="6"/>
      <c r="R1208" s="6"/>
      <c r="S1208" s="6"/>
      <c r="T1208" s="6"/>
      <c r="U1208" s="6"/>
      <c r="V1208" s="6"/>
      <c r="W1208" s="6"/>
      <c r="X1208" s="6"/>
      <c r="Y1208" s="6"/>
      <c r="Z1208" s="6"/>
      <c r="AA1208" s="6"/>
      <c r="AB1208" s="6"/>
    </row>
    <row r="1209" spans="1:28" ht="12.75" x14ac:dyDescent="0.2">
      <c r="A1209" s="13"/>
      <c r="B1209" s="6"/>
      <c r="C1209" s="6"/>
      <c r="D1209" s="6"/>
      <c r="E1209" s="6"/>
      <c r="F1209" s="6"/>
      <c r="G1209" s="6"/>
      <c r="H1209" s="6"/>
      <c r="I1209" s="6"/>
      <c r="J1209" s="6"/>
      <c r="K1209" s="6"/>
      <c r="L1209" s="6"/>
      <c r="M1209" s="6"/>
      <c r="N1209" s="6"/>
      <c r="O1209" s="6"/>
      <c r="P1209" s="6"/>
      <c r="Q1209" s="6"/>
      <c r="R1209" s="6"/>
      <c r="S1209" s="6"/>
      <c r="T1209" s="6"/>
      <c r="U1209" s="6"/>
      <c r="V1209" s="6"/>
      <c r="W1209" s="6"/>
      <c r="X1209" s="6"/>
      <c r="Y1209" s="6"/>
      <c r="Z1209" s="6"/>
      <c r="AA1209" s="6"/>
      <c r="AB1209" s="6"/>
    </row>
    <row r="1210" spans="1:28" ht="12.75" x14ac:dyDescent="0.2">
      <c r="A1210" s="13"/>
      <c r="B1210" s="6"/>
      <c r="C1210" s="6"/>
      <c r="D1210" s="6"/>
      <c r="E1210" s="6"/>
      <c r="F1210" s="6"/>
      <c r="G1210" s="6"/>
      <c r="H1210" s="6"/>
      <c r="I1210" s="6"/>
      <c r="J1210" s="6"/>
      <c r="K1210" s="6"/>
      <c r="L1210" s="6"/>
      <c r="M1210" s="6"/>
      <c r="N1210" s="6"/>
      <c r="O1210" s="6"/>
      <c r="P1210" s="6"/>
      <c r="Q1210" s="6"/>
      <c r="R1210" s="6"/>
      <c r="S1210" s="6"/>
      <c r="T1210" s="6"/>
      <c r="U1210" s="6"/>
      <c r="V1210" s="6"/>
      <c r="W1210" s="6"/>
      <c r="X1210" s="6"/>
      <c r="Y1210" s="6"/>
      <c r="Z1210" s="6"/>
      <c r="AA1210" s="6"/>
      <c r="AB1210" s="6"/>
    </row>
    <row r="1211" spans="1:28" ht="12.75" x14ac:dyDescent="0.2">
      <c r="A1211" s="13"/>
      <c r="B1211" s="6"/>
      <c r="C1211" s="6"/>
      <c r="D1211" s="6"/>
      <c r="E1211" s="6"/>
      <c r="F1211" s="6"/>
      <c r="G1211" s="6"/>
      <c r="H1211" s="6"/>
      <c r="I1211" s="6"/>
      <c r="J1211" s="6"/>
      <c r="K1211" s="6"/>
      <c r="L1211" s="6"/>
      <c r="M1211" s="6"/>
      <c r="N1211" s="6"/>
      <c r="O1211" s="6"/>
      <c r="P1211" s="6"/>
      <c r="Q1211" s="6"/>
      <c r="R1211" s="6"/>
      <c r="S1211" s="6"/>
      <c r="T1211" s="6"/>
      <c r="U1211" s="6"/>
      <c r="V1211" s="6"/>
      <c r="W1211" s="6"/>
      <c r="X1211" s="6"/>
      <c r="Y1211" s="6"/>
      <c r="Z1211" s="6"/>
      <c r="AA1211" s="6"/>
      <c r="AB1211" s="6"/>
    </row>
    <row r="1212" spans="1:28" ht="12.75" x14ac:dyDescent="0.2">
      <c r="A1212" s="13"/>
      <c r="B1212" s="6"/>
      <c r="C1212" s="6"/>
      <c r="D1212" s="6"/>
      <c r="E1212" s="6"/>
      <c r="F1212" s="6"/>
      <c r="G1212" s="6"/>
      <c r="H1212" s="6"/>
      <c r="I1212" s="6"/>
      <c r="J1212" s="6"/>
      <c r="K1212" s="6"/>
      <c r="L1212" s="6"/>
      <c r="M1212" s="6"/>
      <c r="N1212" s="6"/>
      <c r="O1212" s="6"/>
      <c r="P1212" s="6"/>
      <c r="Q1212" s="6"/>
      <c r="R1212" s="6"/>
      <c r="S1212" s="6"/>
      <c r="T1212" s="6"/>
      <c r="U1212" s="6"/>
      <c r="V1212" s="6"/>
      <c r="W1212" s="6"/>
      <c r="X1212" s="6"/>
      <c r="Y1212" s="6"/>
      <c r="Z1212" s="6"/>
      <c r="AA1212" s="6"/>
      <c r="AB1212" s="6"/>
    </row>
    <row r="1213" spans="1:28" ht="12.75" x14ac:dyDescent="0.2">
      <c r="A1213" s="13"/>
      <c r="B1213" s="6"/>
      <c r="C1213" s="6"/>
      <c r="D1213" s="6"/>
      <c r="E1213" s="6"/>
      <c r="F1213" s="6"/>
      <c r="G1213" s="6"/>
      <c r="H1213" s="6"/>
      <c r="I1213" s="6"/>
      <c r="J1213" s="6"/>
      <c r="K1213" s="6"/>
      <c r="L1213" s="6"/>
      <c r="M1213" s="6"/>
      <c r="N1213" s="6"/>
      <c r="O1213" s="6"/>
      <c r="P1213" s="6"/>
      <c r="Q1213" s="6"/>
      <c r="R1213" s="6"/>
      <c r="S1213" s="6"/>
      <c r="T1213" s="6"/>
      <c r="U1213" s="6"/>
      <c r="V1213" s="6"/>
      <c r="W1213" s="6"/>
      <c r="X1213" s="6"/>
      <c r="Y1213" s="6"/>
      <c r="Z1213" s="6"/>
      <c r="AA1213" s="6"/>
      <c r="AB1213" s="6"/>
    </row>
    <row r="1214" spans="1:28" ht="12.75" x14ac:dyDescent="0.2">
      <c r="A1214" s="13"/>
      <c r="B1214" s="6"/>
      <c r="C1214" s="6"/>
      <c r="D1214" s="6"/>
      <c r="E1214" s="6"/>
      <c r="F1214" s="6"/>
      <c r="G1214" s="6"/>
      <c r="H1214" s="6"/>
      <c r="I1214" s="6"/>
      <c r="J1214" s="6"/>
      <c r="K1214" s="6"/>
      <c r="L1214" s="6"/>
      <c r="M1214" s="6"/>
      <c r="N1214" s="6"/>
      <c r="O1214" s="6"/>
      <c r="P1214" s="6"/>
      <c r="Q1214" s="6"/>
      <c r="R1214" s="6"/>
      <c r="S1214" s="6"/>
      <c r="T1214" s="6"/>
      <c r="U1214" s="6"/>
      <c r="V1214" s="6"/>
      <c r="W1214" s="6"/>
      <c r="X1214" s="6"/>
      <c r="Y1214" s="6"/>
      <c r="Z1214" s="6"/>
      <c r="AA1214" s="6"/>
      <c r="AB1214" s="6"/>
    </row>
    <row r="1215" spans="1:28" ht="12.75" x14ac:dyDescent="0.2">
      <c r="A1215" s="13"/>
      <c r="B1215" s="6"/>
      <c r="C1215" s="6"/>
      <c r="D1215" s="6"/>
      <c r="E1215" s="6"/>
      <c r="F1215" s="6"/>
      <c r="G1215" s="6"/>
      <c r="H1215" s="6"/>
      <c r="I1215" s="6"/>
      <c r="J1215" s="6"/>
      <c r="K1215" s="6"/>
      <c r="L1215" s="6"/>
      <c r="M1215" s="6"/>
      <c r="N1215" s="6"/>
      <c r="O1215" s="6"/>
      <c r="P1215" s="6"/>
      <c r="Q1215" s="6"/>
      <c r="R1215" s="6"/>
      <c r="S1215" s="6"/>
      <c r="T1215" s="6"/>
      <c r="U1215" s="6"/>
      <c r="V1215" s="6"/>
      <c r="W1215" s="6"/>
      <c r="X1215" s="6"/>
      <c r="Y1215" s="6"/>
      <c r="Z1215" s="6"/>
      <c r="AA1215" s="6"/>
      <c r="AB1215" s="6"/>
    </row>
    <row r="1216" spans="1:28" ht="12.75" x14ac:dyDescent="0.2">
      <c r="A1216" s="13"/>
      <c r="B1216" s="6"/>
      <c r="C1216" s="6"/>
      <c r="D1216" s="6"/>
      <c r="E1216" s="6"/>
      <c r="F1216" s="6"/>
      <c r="G1216" s="6"/>
      <c r="H1216" s="6"/>
      <c r="I1216" s="6"/>
      <c r="J1216" s="6"/>
      <c r="K1216" s="6"/>
      <c r="L1216" s="6"/>
      <c r="M1216" s="6"/>
      <c r="N1216" s="6"/>
      <c r="O1216" s="6"/>
      <c r="P1216" s="6"/>
      <c r="Q1216" s="6"/>
      <c r="R1216" s="6"/>
      <c r="S1216" s="6"/>
      <c r="T1216" s="6"/>
      <c r="U1216" s="6"/>
      <c r="V1216" s="6"/>
      <c r="W1216" s="6"/>
      <c r="X1216" s="6"/>
      <c r="Y1216" s="6"/>
      <c r="Z1216" s="6"/>
      <c r="AA1216" s="6"/>
      <c r="AB1216" s="6"/>
    </row>
    <row r="1217" spans="1:28" ht="12.75" x14ac:dyDescent="0.2">
      <c r="A1217" s="13"/>
      <c r="B1217" s="6"/>
      <c r="C1217" s="6"/>
      <c r="D1217" s="6"/>
      <c r="E1217" s="6"/>
      <c r="F1217" s="6"/>
      <c r="G1217" s="6"/>
      <c r="H1217" s="6"/>
      <c r="I1217" s="6"/>
      <c r="J1217" s="6"/>
      <c r="K1217" s="6"/>
      <c r="L1217" s="6"/>
      <c r="M1217" s="6"/>
      <c r="N1217" s="6"/>
      <c r="O1217" s="6"/>
      <c r="P1217" s="6"/>
      <c r="Q1217" s="6"/>
      <c r="R1217" s="6"/>
      <c r="S1217" s="6"/>
      <c r="T1217" s="6"/>
      <c r="U1217" s="6"/>
      <c r="V1217" s="6"/>
      <c r="W1217" s="6"/>
      <c r="X1217" s="6"/>
      <c r="Y1217" s="6"/>
      <c r="Z1217" s="6"/>
      <c r="AA1217" s="6"/>
      <c r="AB1217" s="6"/>
    </row>
    <row r="1218" spans="1:28" ht="12.75" x14ac:dyDescent="0.2">
      <c r="A1218" s="13"/>
      <c r="B1218" s="6"/>
      <c r="C1218" s="6"/>
      <c r="D1218" s="6"/>
      <c r="E1218" s="6"/>
      <c r="F1218" s="6"/>
      <c r="G1218" s="6"/>
      <c r="H1218" s="6"/>
      <c r="I1218" s="6"/>
      <c r="J1218" s="6"/>
      <c r="K1218" s="6"/>
      <c r="L1218" s="6"/>
      <c r="M1218" s="6"/>
      <c r="N1218" s="6"/>
      <c r="O1218" s="6"/>
      <c r="P1218" s="6"/>
      <c r="Q1218" s="6"/>
      <c r="R1218" s="6"/>
      <c r="S1218" s="6"/>
      <c r="T1218" s="6"/>
      <c r="U1218" s="6"/>
      <c r="V1218" s="6"/>
      <c r="W1218" s="6"/>
      <c r="X1218" s="6"/>
      <c r="Y1218" s="6"/>
      <c r="Z1218" s="6"/>
      <c r="AA1218" s="6"/>
      <c r="AB1218" s="6"/>
    </row>
    <row r="1219" spans="1:28" ht="12.75" x14ac:dyDescent="0.2">
      <c r="A1219" s="13"/>
      <c r="B1219" s="6"/>
      <c r="C1219" s="6"/>
      <c r="D1219" s="6"/>
      <c r="E1219" s="6"/>
      <c r="F1219" s="6"/>
      <c r="G1219" s="6"/>
      <c r="H1219" s="6"/>
      <c r="I1219" s="6"/>
      <c r="J1219" s="6"/>
      <c r="K1219" s="6"/>
      <c r="L1219" s="6"/>
      <c r="M1219" s="6"/>
      <c r="N1219" s="6"/>
      <c r="O1219" s="6"/>
      <c r="P1219" s="6"/>
      <c r="Q1219" s="6"/>
      <c r="R1219" s="6"/>
      <c r="S1219" s="6"/>
      <c r="T1219" s="6"/>
      <c r="U1219" s="6"/>
      <c r="V1219" s="6"/>
      <c r="W1219" s="6"/>
      <c r="X1219" s="6"/>
      <c r="Y1219" s="6"/>
      <c r="Z1219" s="6"/>
      <c r="AA1219" s="6"/>
      <c r="AB1219" s="6"/>
    </row>
    <row r="1220" spans="1:28" ht="12.75" x14ac:dyDescent="0.2">
      <c r="A1220" s="13"/>
      <c r="B1220" s="6"/>
      <c r="C1220" s="6"/>
      <c r="D1220" s="6"/>
      <c r="E1220" s="6"/>
      <c r="F1220" s="6"/>
      <c r="G1220" s="6"/>
      <c r="H1220" s="6"/>
      <c r="I1220" s="6"/>
      <c r="J1220" s="6"/>
      <c r="K1220" s="6"/>
      <c r="L1220" s="6"/>
      <c r="M1220" s="6"/>
      <c r="N1220" s="6"/>
      <c r="O1220" s="6"/>
      <c r="P1220" s="6"/>
      <c r="Q1220" s="6"/>
      <c r="R1220" s="6"/>
      <c r="S1220" s="6"/>
      <c r="T1220" s="6"/>
      <c r="U1220" s="6"/>
      <c r="V1220" s="6"/>
      <c r="W1220" s="6"/>
      <c r="X1220" s="6"/>
      <c r="Y1220" s="6"/>
      <c r="Z1220" s="6"/>
      <c r="AA1220" s="6"/>
      <c r="AB1220" s="6"/>
    </row>
    <row r="1221" spans="1:28" ht="12.75" x14ac:dyDescent="0.2">
      <c r="A1221" s="13"/>
      <c r="B1221" s="6"/>
      <c r="C1221" s="6"/>
      <c r="D1221" s="6"/>
      <c r="E1221" s="6"/>
      <c r="F1221" s="6"/>
      <c r="G1221" s="6"/>
      <c r="H1221" s="6"/>
      <c r="I1221" s="6"/>
      <c r="J1221" s="6"/>
      <c r="K1221" s="6"/>
      <c r="L1221" s="6"/>
      <c r="M1221" s="6"/>
      <c r="N1221" s="6"/>
      <c r="O1221" s="6"/>
      <c r="P1221" s="6"/>
      <c r="Q1221" s="6"/>
      <c r="R1221" s="6"/>
      <c r="S1221" s="6"/>
      <c r="T1221" s="6"/>
      <c r="U1221" s="6"/>
      <c r="V1221" s="6"/>
      <c r="W1221" s="6"/>
      <c r="X1221" s="6"/>
      <c r="Y1221" s="6"/>
      <c r="Z1221" s="6"/>
      <c r="AA1221" s="6"/>
      <c r="AB1221" s="6"/>
    </row>
    <row r="1222" spans="1:28" ht="12.75" x14ac:dyDescent="0.2">
      <c r="A1222" s="13"/>
      <c r="B1222" s="6"/>
      <c r="C1222" s="6"/>
      <c r="D1222" s="6"/>
      <c r="E1222" s="6"/>
      <c r="F1222" s="6"/>
      <c r="G1222" s="6"/>
      <c r="H1222" s="6"/>
      <c r="I1222" s="6"/>
      <c r="J1222" s="6"/>
      <c r="K1222" s="6"/>
      <c r="L1222" s="6"/>
      <c r="M1222" s="6"/>
      <c r="N1222" s="6"/>
      <c r="O1222" s="6"/>
      <c r="P1222" s="6"/>
      <c r="Q1222" s="6"/>
      <c r="R1222" s="6"/>
      <c r="S1222" s="6"/>
      <c r="T1222" s="6"/>
      <c r="U1222" s="6"/>
      <c r="V1222" s="6"/>
      <c r="W1222" s="6"/>
      <c r="X1222" s="6"/>
      <c r="Y1222" s="6"/>
      <c r="Z1222" s="6"/>
      <c r="AA1222" s="6"/>
      <c r="AB1222" s="6"/>
    </row>
    <row r="1223" spans="1:28" ht="12.75" x14ac:dyDescent="0.2">
      <c r="A1223" s="13"/>
      <c r="B1223" s="6"/>
      <c r="C1223" s="6"/>
      <c r="D1223" s="6"/>
      <c r="E1223" s="6"/>
      <c r="F1223" s="6"/>
      <c r="G1223" s="6"/>
      <c r="H1223" s="6"/>
      <c r="I1223" s="6"/>
      <c r="J1223" s="6"/>
      <c r="K1223" s="6"/>
      <c r="L1223" s="6"/>
      <c r="M1223" s="6"/>
      <c r="N1223" s="6"/>
      <c r="O1223" s="6"/>
      <c r="P1223" s="6"/>
      <c r="Q1223" s="6"/>
      <c r="R1223" s="6"/>
      <c r="S1223" s="6"/>
      <c r="T1223" s="6"/>
      <c r="U1223" s="6"/>
      <c r="V1223" s="6"/>
      <c r="W1223" s="6"/>
      <c r="X1223" s="6"/>
      <c r="Y1223" s="6"/>
      <c r="Z1223" s="6"/>
      <c r="AA1223" s="6"/>
      <c r="AB1223" s="6"/>
    </row>
    <row r="1224" spans="1:28" ht="12.75" x14ac:dyDescent="0.2">
      <c r="A1224" s="13"/>
      <c r="B1224" s="6"/>
      <c r="C1224" s="6"/>
      <c r="D1224" s="6"/>
      <c r="E1224" s="6"/>
      <c r="F1224" s="6"/>
      <c r="G1224" s="6"/>
      <c r="H1224" s="6"/>
      <c r="I1224" s="6"/>
      <c r="J1224" s="6"/>
      <c r="K1224" s="6"/>
      <c r="L1224" s="6"/>
      <c r="M1224" s="6"/>
      <c r="N1224" s="6"/>
      <c r="O1224" s="6"/>
      <c r="P1224" s="6"/>
      <c r="Q1224" s="6"/>
      <c r="R1224" s="6"/>
      <c r="S1224" s="6"/>
      <c r="T1224" s="6"/>
      <c r="U1224" s="6"/>
      <c r="V1224" s="6"/>
      <c r="W1224" s="6"/>
      <c r="X1224" s="6"/>
      <c r="Y1224" s="6"/>
      <c r="Z1224" s="6"/>
      <c r="AA1224" s="6"/>
      <c r="AB1224" s="6"/>
    </row>
    <row r="1225" spans="1:28" ht="12.75" x14ac:dyDescent="0.2">
      <c r="A1225" s="13"/>
      <c r="B1225" s="6"/>
      <c r="C1225" s="6"/>
      <c r="D1225" s="6"/>
      <c r="E1225" s="6"/>
      <c r="F1225" s="6"/>
      <c r="G1225" s="6"/>
      <c r="H1225" s="6"/>
      <c r="I1225" s="6"/>
      <c r="J1225" s="6"/>
      <c r="K1225" s="6"/>
      <c r="L1225" s="6"/>
      <c r="M1225" s="6"/>
      <c r="N1225" s="6"/>
      <c r="O1225" s="6"/>
      <c r="P1225" s="6"/>
      <c r="Q1225" s="6"/>
      <c r="R1225" s="6"/>
      <c r="S1225" s="6"/>
      <c r="T1225" s="6"/>
      <c r="U1225" s="6"/>
      <c r="V1225" s="6"/>
      <c r="W1225" s="6"/>
      <c r="X1225" s="6"/>
      <c r="Y1225" s="6"/>
      <c r="Z1225" s="6"/>
      <c r="AA1225" s="6"/>
      <c r="AB1225" s="6"/>
    </row>
    <row r="1226" spans="1:28" ht="12.75" x14ac:dyDescent="0.2">
      <c r="A1226" s="13"/>
      <c r="B1226" s="6"/>
      <c r="C1226" s="6"/>
      <c r="D1226" s="6"/>
      <c r="E1226" s="6"/>
      <c r="F1226" s="6"/>
      <c r="G1226" s="6"/>
      <c r="H1226" s="6"/>
      <c r="I1226" s="6"/>
      <c r="J1226" s="6"/>
      <c r="K1226" s="6"/>
      <c r="L1226" s="6"/>
      <c r="M1226" s="6"/>
      <c r="N1226" s="6"/>
      <c r="O1226" s="6"/>
      <c r="P1226" s="6"/>
      <c r="Q1226" s="6"/>
      <c r="R1226" s="6"/>
      <c r="S1226" s="6"/>
      <c r="T1226" s="6"/>
      <c r="U1226" s="6"/>
      <c r="V1226" s="6"/>
      <c r="W1226" s="6"/>
      <c r="X1226" s="6"/>
      <c r="Y1226" s="6"/>
      <c r="Z1226" s="6"/>
      <c r="AA1226" s="6"/>
      <c r="AB1226" s="6"/>
    </row>
    <row r="1227" spans="1:28" ht="12.75" x14ac:dyDescent="0.2">
      <c r="A1227" s="13"/>
      <c r="B1227" s="6"/>
      <c r="C1227" s="6"/>
      <c r="D1227" s="6"/>
      <c r="E1227" s="6"/>
      <c r="F1227" s="6"/>
      <c r="G1227" s="6"/>
      <c r="H1227" s="6"/>
      <c r="I1227" s="6"/>
      <c r="J1227" s="6"/>
      <c r="K1227" s="6"/>
      <c r="L1227" s="6"/>
      <c r="M1227" s="6"/>
      <c r="N1227" s="6"/>
      <c r="O1227" s="6"/>
      <c r="P1227" s="6"/>
      <c r="Q1227" s="6"/>
      <c r="R1227" s="6"/>
      <c r="S1227" s="6"/>
      <c r="T1227" s="6"/>
      <c r="U1227" s="6"/>
      <c r="V1227" s="6"/>
      <c r="W1227" s="6"/>
      <c r="X1227" s="6"/>
      <c r="Y1227" s="6"/>
      <c r="Z1227" s="6"/>
      <c r="AA1227" s="6"/>
      <c r="AB1227" s="6"/>
    </row>
    <row r="1228" spans="1:28" ht="12.75" x14ac:dyDescent="0.2">
      <c r="A1228" s="13"/>
      <c r="B1228" s="6"/>
      <c r="C1228" s="6"/>
      <c r="D1228" s="6"/>
      <c r="E1228" s="6"/>
      <c r="F1228" s="6"/>
      <c r="G1228" s="6"/>
      <c r="H1228" s="6"/>
      <c r="I1228" s="6"/>
      <c r="J1228" s="6"/>
      <c r="K1228" s="6"/>
      <c r="L1228" s="6"/>
      <c r="M1228" s="6"/>
      <c r="N1228" s="6"/>
      <c r="O1228" s="6"/>
      <c r="P1228" s="6"/>
      <c r="Q1228" s="6"/>
      <c r="R1228" s="6"/>
      <c r="S1228" s="6"/>
      <c r="T1228" s="6"/>
      <c r="U1228" s="6"/>
      <c r="V1228" s="6"/>
      <c r="W1228" s="6"/>
      <c r="X1228" s="6"/>
      <c r="Y1228" s="6"/>
      <c r="Z1228" s="6"/>
      <c r="AA1228" s="6"/>
      <c r="AB1228" s="6"/>
    </row>
    <row r="1229" spans="1:28" ht="12.75" x14ac:dyDescent="0.2">
      <c r="A1229" s="13"/>
      <c r="B1229" s="6"/>
      <c r="C1229" s="6"/>
      <c r="D1229" s="6"/>
      <c r="E1229" s="6"/>
      <c r="F1229" s="6"/>
      <c r="G1229" s="6"/>
      <c r="H1229" s="6"/>
      <c r="I1229" s="6"/>
      <c r="J1229" s="6"/>
      <c r="K1229" s="6"/>
      <c r="L1229" s="6"/>
      <c r="M1229" s="6"/>
      <c r="N1229" s="6"/>
      <c r="O1229" s="6"/>
      <c r="P1229" s="6"/>
      <c r="Q1229" s="6"/>
      <c r="R1229" s="6"/>
      <c r="S1229" s="6"/>
      <c r="T1229" s="6"/>
      <c r="U1229" s="6"/>
      <c r="V1229" s="6"/>
      <c r="W1229" s="6"/>
      <c r="X1229" s="6"/>
      <c r="Y1229" s="6"/>
      <c r="Z1229" s="6"/>
      <c r="AA1229" s="6"/>
      <c r="AB1229" s="6"/>
    </row>
    <row r="1230" spans="1:28" ht="12.75" x14ac:dyDescent="0.2">
      <c r="A1230" s="13"/>
      <c r="B1230" s="6"/>
      <c r="C1230" s="6"/>
      <c r="D1230" s="6"/>
      <c r="E1230" s="6"/>
      <c r="F1230" s="6"/>
      <c r="G1230" s="6"/>
      <c r="H1230" s="6"/>
      <c r="I1230" s="6"/>
      <c r="J1230" s="6"/>
      <c r="K1230" s="6"/>
      <c r="L1230" s="6"/>
      <c r="M1230" s="6"/>
      <c r="N1230" s="6"/>
      <c r="O1230" s="6"/>
      <c r="P1230" s="6"/>
      <c r="Q1230" s="6"/>
      <c r="R1230" s="6"/>
      <c r="S1230" s="6"/>
      <c r="T1230" s="6"/>
      <c r="U1230" s="6"/>
      <c r="V1230" s="6"/>
      <c r="W1230" s="6"/>
      <c r="X1230" s="6"/>
      <c r="Y1230" s="6"/>
      <c r="Z1230" s="6"/>
      <c r="AA1230" s="6"/>
      <c r="AB1230" s="6"/>
    </row>
    <row r="1231" spans="1:28" ht="12.75" x14ac:dyDescent="0.2">
      <c r="A1231" s="13"/>
      <c r="B1231" s="6"/>
      <c r="C1231" s="6"/>
      <c r="D1231" s="6"/>
      <c r="E1231" s="6"/>
      <c r="F1231" s="6"/>
      <c r="G1231" s="6"/>
      <c r="H1231" s="6"/>
      <c r="I1231" s="6"/>
      <c r="J1231" s="6"/>
      <c r="K1231" s="6"/>
      <c r="L1231" s="6"/>
      <c r="M1231" s="6"/>
      <c r="N1231" s="6"/>
      <c r="O1231" s="6"/>
      <c r="P1231" s="6"/>
      <c r="Q1231" s="6"/>
      <c r="R1231" s="6"/>
      <c r="S1231" s="6"/>
      <c r="T1231" s="6"/>
      <c r="U1231" s="6"/>
      <c r="V1231" s="6"/>
      <c r="W1231" s="6"/>
      <c r="X1231" s="6"/>
      <c r="Y1231" s="6"/>
      <c r="Z1231" s="6"/>
      <c r="AA1231" s="6"/>
      <c r="AB1231" s="6"/>
    </row>
    <row r="1232" spans="1:28" ht="12.75" x14ac:dyDescent="0.2">
      <c r="A1232" s="13"/>
      <c r="B1232" s="6"/>
      <c r="C1232" s="6"/>
      <c r="D1232" s="6"/>
      <c r="E1232" s="6"/>
      <c r="F1232" s="6"/>
      <c r="G1232" s="6"/>
      <c r="H1232" s="6"/>
      <c r="I1232" s="6"/>
      <c r="J1232" s="6"/>
      <c r="K1232" s="6"/>
      <c r="L1232" s="6"/>
      <c r="M1232" s="6"/>
      <c r="N1232" s="6"/>
      <c r="O1232" s="6"/>
      <c r="P1232" s="6"/>
      <c r="Q1232" s="6"/>
      <c r="R1232" s="6"/>
      <c r="S1232" s="6"/>
      <c r="T1232" s="6"/>
      <c r="U1232" s="6"/>
      <c r="V1232" s="6"/>
      <c r="W1232" s="6"/>
      <c r="X1232" s="6"/>
      <c r="Y1232" s="6"/>
      <c r="Z1232" s="6"/>
      <c r="AA1232" s="6"/>
      <c r="AB1232" s="6"/>
    </row>
    <row r="1233" spans="1:28" ht="12.75" x14ac:dyDescent="0.2">
      <c r="A1233" s="13"/>
      <c r="B1233" s="6"/>
      <c r="C1233" s="6"/>
      <c r="D1233" s="6"/>
      <c r="E1233" s="6"/>
      <c r="F1233" s="6"/>
      <c r="G1233" s="6"/>
      <c r="H1233" s="6"/>
      <c r="I1233" s="6"/>
      <c r="J1233" s="6"/>
      <c r="K1233" s="6"/>
      <c r="L1233" s="6"/>
      <c r="M1233" s="6"/>
      <c r="N1233" s="6"/>
      <c r="O1233" s="6"/>
      <c r="P1233" s="6"/>
      <c r="Q1233" s="6"/>
      <c r="R1233" s="6"/>
      <c r="S1233" s="6"/>
      <c r="T1233" s="6"/>
      <c r="U1233" s="6"/>
      <c r="V1233" s="6"/>
      <c r="W1233" s="6"/>
      <c r="X1233" s="6"/>
      <c r="Y1233" s="6"/>
      <c r="Z1233" s="6"/>
      <c r="AA1233" s="6"/>
      <c r="AB1233" s="6"/>
    </row>
    <row r="1234" spans="1:28" ht="12.75" x14ac:dyDescent="0.2">
      <c r="A1234" s="13"/>
      <c r="B1234" s="6"/>
      <c r="C1234" s="6"/>
      <c r="D1234" s="6"/>
      <c r="E1234" s="6"/>
      <c r="F1234" s="6"/>
      <c r="G1234" s="6"/>
      <c r="H1234" s="6"/>
      <c r="I1234" s="6"/>
      <c r="J1234" s="6"/>
      <c r="K1234" s="6"/>
      <c r="L1234" s="6"/>
      <c r="M1234" s="6"/>
      <c r="N1234" s="6"/>
      <c r="O1234" s="6"/>
      <c r="P1234" s="6"/>
      <c r="Q1234" s="6"/>
      <c r="R1234" s="6"/>
      <c r="S1234" s="6"/>
      <c r="T1234" s="6"/>
      <c r="U1234" s="6"/>
      <c r="V1234" s="6"/>
      <c r="W1234" s="6"/>
      <c r="X1234" s="6"/>
      <c r="Y1234" s="6"/>
      <c r="Z1234" s="6"/>
      <c r="AA1234" s="6"/>
      <c r="AB1234" s="6"/>
    </row>
    <row r="1235" spans="1:28" ht="12.75" x14ac:dyDescent="0.2">
      <c r="A1235" s="13"/>
      <c r="B1235" s="6"/>
      <c r="C1235" s="6"/>
      <c r="D1235" s="6"/>
      <c r="E1235" s="6"/>
      <c r="F1235" s="6"/>
      <c r="G1235" s="6"/>
      <c r="H1235" s="6"/>
      <c r="I1235" s="6"/>
      <c r="J1235" s="6"/>
      <c r="K1235" s="6"/>
      <c r="L1235" s="6"/>
      <c r="M1235" s="6"/>
      <c r="N1235" s="6"/>
      <c r="O1235" s="6"/>
      <c r="P1235" s="6"/>
      <c r="Q1235" s="6"/>
      <c r="R1235" s="6"/>
      <c r="S1235" s="6"/>
      <c r="T1235" s="6"/>
      <c r="U1235" s="6"/>
      <c r="V1235" s="6"/>
      <c r="W1235" s="6"/>
      <c r="X1235" s="6"/>
      <c r="Y1235" s="6"/>
      <c r="Z1235" s="6"/>
      <c r="AA1235" s="6"/>
      <c r="AB1235" s="6"/>
    </row>
    <row r="1236" spans="1:28" ht="12.75" x14ac:dyDescent="0.2">
      <c r="A1236" s="13"/>
      <c r="B1236" s="6"/>
      <c r="C1236" s="6"/>
      <c r="D1236" s="6"/>
      <c r="E1236" s="6"/>
      <c r="F1236" s="6"/>
      <c r="G1236" s="6"/>
      <c r="H1236" s="6"/>
      <c r="I1236" s="6"/>
      <c r="J1236" s="6"/>
      <c r="K1236" s="6"/>
      <c r="L1236" s="6"/>
      <c r="M1236" s="6"/>
      <c r="N1236" s="6"/>
      <c r="O1236" s="6"/>
      <c r="P1236" s="6"/>
      <c r="Q1236" s="6"/>
      <c r="R1236" s="6"/>
      <c r="S1236" s="6"/>
      <c r="T1236" s="6"/>
      <c r="U1236" s="6"/>
      <c r="V1236" s="6"/>
      <c r="W1236" s="6"/>
      <c r="X1236" s="6"/>
      <c r="Y1236" s="6"/>
      <c r="Z1236" s="6"/>
      <c r="AA1236" s="6"/>
      <c r="AB1236" s="6"/>
    </row>
    <row r="1237" spans="1:28" ht="12.75" x14ac:dyDescent="0.2">
      <c r="A1237" s="13"/>
      <c r="B1237" s="6"/>
      <c r="C1237" s="6"/>
      <c r="D1237" s="6"/>
      <c r="E1237" s="6"/>
      <c r="F1237" s="6"/>
      <c r="G1237" s="6"/>
      <c r="H1237" s="6"/>
      <c r="I1237" s="6"/>
      <c r="J1237" s="6"/>
      <c r="K1237" s="6"/>
      <c r="L1237" s="6"/>
      <c r="M1237" s="6"/>
      <c r="N1237" s="6"/>
      <c r="O1237" s="6"/>
      <c r="P1237" s="6"/>
      <c r="Q1237" s="6"/>
      <c r="R1237" s="6"/>
      <c r="S1237" s="6"/>
      <c r="T1237" s="6"/>
      <c r="U1237" s="6"/>
      <c r="V1237" s="6"/>
      <c r="W1237" s="6"/>
      <c r="X1237" s="6"/>
      <c r="Y1237" s="6"/>
      <c r="Z1237" s="6"/>
      <c r="AA1237" s="6"/>
      <c r="AB1237" s="6"/>
    </row>
    <row r="1238" spans="1:28" ht="12.75" x14ac:dyDescent="0.2">
      <c r="A1238" s="13"/>
      <c r="B1238" s="6"/>
      <c r="C1238" s="6"/>
      <c r="D1238" s="6"/>
      <c r="E1238" s="6"/>
      <c r="F1238" s="6"/>
      <c r="G1238" s="6"/>
      <c r="H1238" s="6"/>
      <c r="I1238" s="6"/>
      <c r="J1238" s="6"/>
      <c r="K1238" s="6"/>
      <c r="L1238" s="6"/>
      <c r="M1238" s="6"/>
      <c r="N1238" s="6"/>
      <c r="O1238" s="6"/>
      <c r="P1238" s="6"/>
      <c r="Q1238" s="6"/>
      <c r="R1238" s="6"/>
      <c r="S1238" s="6"/>
      <c r="T1238" s="6"/>
      <c r="U1238" s="6"/>
      <c r="V1238" s="6"/>
      <c r="W1238" s="6"/>
      <c r="X1238" s="6"/>
      <c r="Y1238" s="6"/>
      <c r="Z1238" s="6"/>
      <c r="AA1238" s="6"/>
      <c r="AB1238" s="6"/>
    </row>
    <row r="1239" spans="1:28" ht="12.75" x14ac:dyDescent="0.2">
      <c r="A1239" s="13"/>
      <c r="B1239" s="6"/>
      <c r="C1239" s="6"/>
      <c r="D1239" s="6"/>
      <c r="E1239" s="6"/>
      <c r="F1239" s="6"/>
      <c r="G1239" s="6"/>
      <c r="H1239" s="6"/>
      <c r="I1239" s="6"/>
      <c r="J1239" s="6"/>
      <c r="K1239" s="6"/>
      <c r="L1239" s="6"/>
      <c r="M1239" s="6"/>
      <c r="N1239" s="6"/>
      <c r="O1239" s="6"/>
      <c r="P1239" s="6"/>
      <c r="Q1239" s="6"/>
      <c r="R1239" s="6"/>
      <c r="S1239" s="6"/>
      <c r="T1239" s="6"/>
      <c r="U1239" s="6"/>
      <c r="V1239" s="6"/>
      <c r="W1239" s="6"/>
      <c r="X1239" s="6"/>
      <c r="Y1239" s="6"/>
      <c r="Z1239" s="6"/>
      <c r="AA1239" s="6"/>
      <c r="AB1239" s="6"/>
    </row>
    <row r="1240" spans="1:28" ht="12.75" x14ac:dyDescent="0.2">
      <c r="A1240" s="13"/>
      <c r="B1240" s="6"/>
      <c r="C1240" s="6"/>
      <c r="D1240" s="6"/>
      <c r="E1240" s="6"/>
      <c r="F1240" s="6"/>
      <c r="G1240" s="6"/>
      <c r="H1240" s="6"/>
      <c r="I1240" s="6"/>
      <c r="J1240" s="6"/>
      <c r="K1240" s="6"/>
      <c r="L1240" s="6"/>
      <c r="M1240" s="6"/>
      <c r="N1240" s="6"/>
      <c r="O1240" s="6"/>
      <c r="P1240" s="6"/>
      <c r="Q1240" s="6"/>
      <c r="R1240" s="6"/>
      <c r="S1240" s="6"/>
      <c r="T1240" s="6"/>
      <c r="U1240" s="6"/>
      <c r="V1240" s="6"/>
      <c r="W1240" s="6"/>
      <c r="X1240" s="6"/>
      <c r="Y1240" s="6"/>
      <c r="Z1240" s="6"/>
      <c r="AA1240" s="6"/>
      <c r="AB1240" s="6"/>
    </row>
    <row r="1241" spans="1:28" ht="12.75" x14ac:dyDescent="0.2">
      <c r="A1241" s="13"/>
      <c r="B1241" s="6"/>
      <c r="C1241" s="6"/>
      <c r="D1241" s="6"/>
      <c r="E1241" s="6"/>
      <c r="F1241" s="6"/>
      <c r="G1241" s="6"/>
      <c r="H1241" s="6"/>
      <c r="I1241" s="6"/>
      <c r="J1241" s="6"/>
      <c r="K1241" s="6"/>
      <c r="L1241" s="6"/>
      <c r="M1241" s="6"/>
      <c r="N1241" s="6"/>
      <c r="O1241" s="6"/>
      <c r="P1241" s="6"/>
      <c r="Q1241" s="6"/>
      <c r="R1241" s="6"/>
      <c r="S1241" s="6"/>
      <c r="T1241" s="6"/>
      <c r="U1241" s="6"/>
      <c r="V1241" s="6"/>
      <c r="W1241" s="6"/>
      <c r="X1241" s="6"/>
      <c r="Y1241" s="6"/>
      <c r="Z1241" s="6"/>
      <c r="AA1241" s="6"/>
      <c r="AB1241" s="6"/>
    </row>
    <row r="1242" spans="1:28" ht="12.75" x14ac:dyDescent="0.2">
      <c r="A1242" s="13"/>
      <c r="B1242" s="6"/>
      <c r="C1242" s="6"/>
      <c r="D1242" s="6"/>
      <c r="E1242" s="6"/>
      <c r="F1242" s="6"/>
      <c r="G1242" s="6"/>
      <c r="H1242" s="6"/>
      <c r="I1242" s="6"/>
      <c r="J1242" s="6"/>
      <c r="K1242" s="6"/>
      <c r="L1242" s="6"/>
      <c r="M1242" s="6"/>
      <c r="N1242" s="6"/>
      <c r="O1242" s="6"/>
      <c r="P1242" s="6"/>
      <c r="Q1242" s="6"/>
      <c r="R1242" s="6"/>
      <c r="S1242" s="6"/>
      <c r="T1242" s="6"/>
      <c r="U1242" s="6"/>
      <c r="V1242" s="6"/>
      <c r="W1242" s="6"/>
      <c r="X1242" s="6"/>
      <c r="Y1242" s="6"/>
      <c r="Z1242" s="6"/>
      <c r="AA1242" s="6"/>
      <c r="AB1242" s="6"/>
    </row>
    <row r="1243" spans="1:28" ht="12.75" x14ac:dyDescent="0.2">
      <c r="A1243" s="13"/>
      <c r="B1243" s="6"/>
      <c r="C1243" s="6"/>
      <c r="D1243" s="6"/>
      <c r="E1243" s="6"/>
      <c r="F1243" s="6"/>
      <c r="G1243" s="6"/>
      <c r="H1243" s="6"/>
      <c r="I1243" s="6"/>
      <c r="J1243" s="6"/>
      <c r="K1243" s="6"/>
      <c r="L1243" s="6"/>
      <c r="M1243" s="6"/>
      <c r="N1243" s="6"/>
      <c r="O1243" s="6"/>
      <c r="P1243" s="6"/>
      <c r="Q1243" s="6"/>
      <c r="R1243" s="6"/>
      <c r="S1243" s="6"/>
      <c r="T1243" s="6"/>
      <c r="U1243" s="6"/>
      <c r="V1243" s="6"/>
      <c r="W1243" s="6"/>
      <c r="X1243" s="6"/>
      <c r="Y1243" s="6"/>
      <c r="Z1243" s="6"/>
      <c r="AA1243" s="6"/>
      <c r="AB1243" s="6"/>
    </row>
    <row r="1244" spans="1:28" ht="12.75" x14ac:dyDescent="0.2">
      <c r="A1244" s="13"/>
      <c r="B1244" s="6"/>
      <c r="C1244" s="6"/>
      <c r="D1244" s="6"/>
      <c r="E1244" s="6"/>
      <c r="F1244" s="6"/>
      <c r="G1244" s="6"/>
      <c r="H1244" s="6"/>
      <c r="I1244" s="6"/>
      <c r="J1244" s="6"/>
      <c r="K1244" s="6"/>
      <c r="L1244" s="6"/>
      <c r="M1244" s="6"/>
      <c r="N1244" s="6"/>
      <c r="O1244" s="6"/>
      <c r="P1244" s="6"/>
      <c r="Q1244" s="6"/>
      <c r="R1244" s="6"/>
      <c r="S1244" s="6"/>
      <c r="T1244" s="6"/>
      <c r="U1244" s="6"/>
      <c r="V1244" s="6"/>
      <c r="W1244" s="6"/>
      <c r="X1244" s="6"/>
      <c r="Y1244" s="6"/>
      <c r="Z1244" s="6"/>
      <c r="AA1244" s="6"/>
      <c r="AB1244" s="6"/>
    </row>
    <row r="1245" spans="1:28" ht="12.75" x14ac:dyDescent="0.2">
      <c r="A1245" s="13"/>
      <c r="B1245" s="6"/>
      <c r="C1245" s="6"/>
      <c r="D1245" s="6"/>
      <c r="E1245" s="6"/>
      <c r="F1245" s="6"/>
      <c r="G1245" s="6"/>
      <c r="H1245" s="6"/>
      <c r="I1245" s="6"/>
      <c r="J1245" s="6"/>
      <c r="K1245" s="6"/>
      <c r="L1245" s="6"/>
      <c r="M1245" s="6"/>
      <c r="N1245" s="6"/>
      <c r="O1245" s="6"/>
      <c r="P1245" s="6"/>
      <c r="Q1245" s="6"/>
      <c r="R1245" s="6"/>
      <c r="S1245" s="6"/>
      <c r="T1245" s="6"/>
      <c r="U1245" s="6"/>
      <c r="V1245" s="6"/>
      <c r="W1245" s="6"/>
      <c r="X1245" s="6"/>
      <c r="Y1245" s="6"/>
      <c r="Z1245" s="6"/>
      <c r="AA1245" s="6"/>
      <c r="AB1245" s="6"/>
    </row>
    <row r="1246" spans="1:28" ht="12.75" x14ac:dyDescent="0.2">
      <c r="A1246" s="13"/>
      <c r="B1246" s="6"/>
      <c r="C1246" s="6"/>
      <c r="D1246" s="6"/>
      <c r="E1246" s="6"/>
      <c r="F1246" s="6"/>
      <c r="G1246" s="6"/>
      <c r="H1246" s="6"/>
      <c r="I1246" s="6"/>
      <c r="J1246" s="6"/>
      <c r="K1246" s="6"/>
      <c r="L1246" s="6"/>
      <c r="M1246" s="6"/>
      <c r="N1246" s="6"/>
      <c r="O1246" s="6"/>
      <c r="P1246" s="6"/>
      <c r="Q1246" s="6"/>
      <c r="R1246" s="6"/>
      <c r="S1246" s="6"/>
      <c r="T1246" s="6"/>
      <c r="U1246" s="6"/>
      <c r="V1246" s="6"/>
      <c r="W1246" s="6"/>
      <c r="X1246" s="6"/>
      <c r="Y1246" s="6"/>
      <c r="Z1246" s="6"/>
      <c r="AA1246" s="6"/>
      <c r="AB1246" s="6"/>
    </row>
    <row r="1247" spans="1:28" ht="12.75" x14ac:dyDescent="0.2">
      <c r="A1247" s="13"/>
      <c r="B1247" s="6"/>
      <c r="C1247" s="6"/>
      <c r="D1247" s="6"/>
      <c r="E1247" s="6"/>
      <c r="F1247" s="6"/>
      <c r="G1247" s="6"/>
      <c r="H1247" s="6"/>
      <c r="I1247" s="6"/>
      <c r="J1247" s="6"/>
      <c r="K1247" s="6"/>
      <c r="L1247" s="6"/>
      <c r="M1247" s="6"/>
      <c r="N1247" s="6"/>
      <c r="O1247" s="6"/>
      <c r="P1247" s="6"/>
      <c r="Q1247" s="6"/>
      <c r="R1247" s="6"/>
      <c r="S1247" s="6"/>
      <c r="T1247" s="6"/>
      <c r="U1247" s="6"/>
      <c r="V1247" s="6"/>
      <c r="W1247" s="6"/>
      <c r="X1247" s="6"/>
      <c r="Y1247" s="6"/>
      <c r="Z1247" s="6"/>
      <c r="AA1247" s="6"/>
      <c r="AB1247" s="6"/>
    </row>
    <row r="1248" spans="1:28" ht="12.75" x14ac:dyDescent="0.2">
      <c r="A1248" s="13"/>
      <c r="B1248" s="6"/>
      <c r="C1248" s="6"/>
      <c r="D1248" s="6"/>
      <c r="E1248" s="6"/>
      <c r="F1248" s="6"/>
      <c r="G1248" s="6"/>
      <c r="H1248" s="6"/>
      <c r="I1248" s="6"/>
      <c r="J1248" s="6"/>
      <c r="K1248" s="6"/>
      <c r="L1248" s="6"/>
      <c r="M1248" s="6"/>
      <c r="N1248" s="6"/>
      <c r="O1248" s="6"/>
      <c r="P1248" s="6"/>
      <c r="Q1248" s="6"/>
      <c r="R1248" s="6"/>
      <c r="S1248" s="6"/>
      <c r="T1248" s="6"/>
      <c r="U1248" s="6"/>
      <c r="V1248" s="6"/>
      <c r="W1248" s="6"/>
      <c r="X1248" s="6"/>
      <c r="Y1248" s="6"/>
      <c r="Z1248" s="6"/>
      <c r="AA1248" s="6"/>
      <c r="AB1248" s="6"/>
    </row>
    <row r="1249" spans="1:28" ht="12.75" x14ac:dyDescent="0.2">
      <c r="A1249" s="13"/>
      <c r="B1249" s="6"/>
      <c r="C1249" s="6"/>
      <c r="D1249" s="6"/>
      <c r="E1249" s="6"/>
      <c r="F1249" s="6"/>
      <c r="G1249" s="6"/>
      <c r="H1249" s="6"/>
      <c r="I1249" s="6"/>
      <c r="J1249" s="6"/>
      <c r="K1249" s="6"/>
      <c r="L1249" s="6"/>
      <c r="M1249" s="6"/>
      <c r="N1249" s="6"/>
      <c r="O1249" s="6"/>
      <c r="P1249" s="6"/>
      <c r="Q1249" s="6"/>
      <c r="R1249" s="6"/>
      <c r="S1249" s="6"/>
      <c r="T1249" s="6"/>
      <c r="U1249" s="6"/>
      <c r="V1249" s="6"/>
      <c r="W1249" s="6"/>
      <c r="X1249" s="6"/>
      <c r="Y1249" s="6"/>
      <c r="Z1249" s="6"/>
      <c r="AA1249" s="6"/>
      <c r="AB1249" s="6"/>
    </row>
    <row r="1250" spans="1:28" ht="12.75" x14ac:dyDescent="0.2">
      <c r="A1250" s="13"/>
      <c r="B1250" s="6"/>
      <c r="C1250" s="6"/>
      <c r="D1250" s="6"/>
      <c r="E1250" s="6"/>
      <c r="F1250" s="6"/>
      <c r="G1250" s="6"/>
      <c r="H1250" s="6"/>
      <c r="I1250" s="6"/>
      <c r="J1250" s="6"/>
      <c r="K1250" s="6"/>
      <c r="L1250" s="6"/>
      <c r="M1250" s="6"/>
      <c r="N1250" s="6"/>
      <c r="O1250" s="6"/>
      <c r="P1250" s="6"/>
      <c r="Q1250" s="6"/>
      <c r="R1250" s="6"/>
      <c r="S1250" s="6"/>
      <c r="T1250" s="6"/>
      <c r="U1250" s="6"/>
      <c r="V1250" s="6"/>
      <c r="W1250" s="6"/>
      <c r="X1250" s="6"/>
      <c r="Y1250" s="6"/>
      <c r="Z1250" s="6"/>
      <c r="AA1250" s="6"/>
      <c r="AB1250" s="6"/>
    </row>
    <row r="1251" spans="1:28" ht="12.75" x14ac:dyDescent="0.2">
      <c r="A1251" s="13"/>
      <c r="B1251" s="6"/>
      <c r="C1251" s="6"/>
      <c r="D1251" s="6"/>
      <c r="E1251" s="6"/>
      <c r="F1251" s="6"/>
      <c r="G1251" s="6"/>
      <c r="H1251" s="6"/>
      <c r="I1251" s="6"/>
      <c r="J1251" s="6"/>
      <c r="K1251" s="6"/>
      <c r="L1251" s="6"/>
      <c r="M1251" s="6"/>
      <c r="N1251" s="6"/>
      <c r="O1251" s="6"/>
      <c r="P1251" s="6"/>
      <c r="Q1251" s="6"/>
      <c r="R1251" s="6"/>
      <c r="S1251" s="6"/>
      <c r="T1251" s="6"/>
      <c r="U1251" s="6"/>
      <c r="V1251" s="6"/>
      <c r="W1251" s="6"/>
      <c r="X1251" s="6"/>
      <c r="Y1251" s="6"/>
      <c r="Z1251" s="6"/>
      <c r="AA1251" s="6"/>
      <c r="AB1251" s="6"/>
    </row>
    <row r="1252" spans="1:28" ht="12.75" x14ac:dyDescent="0.2">
      <c r="A1252" s="13"/>
      <c r="B1252" s="6"/>
      <c r="C1252" s="6"/>
      <c r="D1252" s="6"/>
      <c r="E1252" s="6"/>
      <c r="F1252" s="6"/>
      <c r="G1252" s="6"/>
      <c r="H1252" s="6"/>
      <c r="I1252" s="6"/>
      <c r="J1252" s="6"/>
      <c r="K1252" s="6"/>
      <c r="L1252" s="6"/>
      <c r="M1252" s="6"/>
      <c r="N1252" s="6"/>
      <c r="O1252" s="6"/>
      <c r="P1252" s="6"/>
      <c r="Q1252" s="6"/>
      <c r="R1252" s="6"/>
      <c r="S1252" s="6"/>
      <c r="T1252" s="6"/>
      <c r="U1252" s="6"/>
      <c r="V1252" s="6"/>
      <c r="W1252" s="6"/>
      <c r="X1252" s="6"/>
      <c r="Y1252" s="6"/>
      <c r="Z1252" s="6"/>
      <c r="AA1252" s="6"/>
      <c r="AB1252" s="6"/>
    </row>
    <row r="1253" spans="1:28" ht="12.75" x14ac:dyDescent="0.2">
      <c r="A1253" s="13"/>
      <c r="B1253" s="6"/>
      <c r="C1253" s="6"/>
      <c r="D1253" s="6"/>
      <c r="E1253" s="6"/>
      <c r="F1253" s="6"/>
      <c r="G1253" s="6"/>
      <c r="H1253" s="6"/>
      <c r="I1253" s="6"/>
      <c r="J1253" s="6"/>
      <c r="K1253" s="6"/>
      <c r="L1253" s="6"/>
      <c r="M1253" s="6"/>
      <c r="N1253" s="6"/>
      <c r="O1253" s="6"/>
      <c r="P1253" s="6"/>
      <c r="Q1253" s="6"/>
      <c r="R1253" s="6"/>
      <c r="S1253" s="6"/>
      <c r="T1253" s="6"/>
      <c r="U1253" s="6"/>
      <c r="V1253" s="6"/>
      <c r="W1253" s="6"/>
      <c r="X1253" s="6"/>
      <c r="Y1253" s="6"/>
      <c r="Z1253" s="6"/>
      <c r="AA1253" s="6"/>
      <c r="AB1253" s="6"/>
    </row>
    <row r="1254" spans="1:28" ht="12.75" x14ac:dyDescent="0.2">
      <c r="A1254" s="13"/>
      <c r="B1254" s="6"/>
      <c r="C1254" s="6"/>
      <c r="D1254" s="6"/>
      <c r="E1254" s="6"/>
      <c r="F1254" s="6"/>
      <c r="G1254" s="6"/>
      <c r="H1254" s="6"/>
      <c r="I1254" s="6"/>
      <c r="J1254" s="6"/>
      <c r="K1254" s="6"/>
      <c r="L1254" s="6"/>
      <c r="M1254" s="6"/>
      <c r="N1254" s="6"/>
      <c r="O1254" s="6"/>
      <c r="P1254" s="6"/>
      <c r="Q1254" s="6"/>
      <c r="R1254" s="6"/>
      <c r="S1254" s="6"/>
      <c r="T1254" s="6"/>
      <c r="U1254" s="6"/>
      <c r="V1254" s="6"/>
      <c r="W1254" s="6"/>
      <c r="X1254" s="6"/>
      <c r="Y1254" s="6"/>
      <c r="Z1254" s="6"/>
      <c r="AA1254" s="6"/>
      <c r="AB1254" s="6"/>
    </row>
    <row r="1255" spans="1:28" ht="12.75" x14ac:dyDescent="0.2">
      <c r="A1255" s="13"/>
      <c r="B1255" s="6"/>
      <c r="C1255" s="6"/>
      <c r="D1255" s="6"/>
      <c r="E1255" s="6"/>
      <c r="F1255" s="6"/>
      <c r="G1255" s="6"/>
      <c r="H1255" s="6"/>
      <c r="I1255" s="6"/>
      <c r="J1255" s="6"/>
      <c r="K1255" s="6"/>
      <c r="L1255" s="6"/>
      <c r="M1255" s="6"/>
      <c r="N1255" s="6"/>
      <c r="O1255" s="6"/>
      <c r="P1255" s="6"/>
      <c r="Q1255" s="6"/>
      <c r="R1255" s="6"/>
      <c r="S1255" s="6"/>
      <c r="T1255" s="6"/>
      <c r="U1255" s="6"/>
      <c r="V1255" s="6"/>
      <c r="W1255" s="6"/>
      <c r="X1255" s="6"/>
      <c r="Y1255" s="6"/>
      <c r="Z1255" s="6"/>
      <c r="AA1255" s="6"/>
      <c r="AB1255" s="6"/>
    </row>
    <row r="1256" spans="1:28" ht="12.75" x14ac:dyDescent="0.2">
      <c r="A1256" s="13"/>
      <c r="B1256" s="6"/>
      <c r="C1256" s="6"/>
      <c r="D1256" s="6"/>
      <c r="E1256" s="6"/>
      <c r="F1256" s="6"/>
      <c r="G1256" s="6"/>
      <c r="H1256" s="6"/>
      <c r="I1256" s="6"/>
      <c r="J1256" s="6"/>
      <c r="K1256" s="6"/>
      <c r="L1256" s="6"/>
      <c r="M1256" s="6"/>
      <c r="N1256" s="6"/>
      <c r="O1256" s="6"/>
      <c r="P1256" s="6"/>
      <c r="Q1256" s="6"/>
      <c r="R1256" s="6"/>
      <c r="S1256" s="6"/>
      <c r="T1256" s="6"/>
      <c r="U1256" s="6"/>
      <c r="V1256" s="6"/>
      <c r="W1256" s="6"/>
      <c r="X1256" s="6"/>
      <c r="Y1256" s="6"/>
      <c r="Z1256" s="6"/>
      <c r="AA1256" s="6"/>
      <c r="AB1256" s="6"/>
    </row>
    <row r="1257" spans="1:28" ht="12.75" x14ac:dyDescent="0.2">
      <c r="A1257" s="13"/>
      <c r="B1257" s="6"/>
      <c r="C1257" s="6"/>
      <c r="D1257" s="6"/>
      <c r="E1257" s="6"/>
      <c r="F1257" s="6"/>
      <c r="G1257" s="6"/>
      <c r="H1257" s="6"/>
      <c r="I1257" s="6"/>
      <c r="J1257" s="6"/>
      <c r="K1257" s="6"/>
      <c r="L1257" s="6"/>
      <c r="M1257" s="6"/>
      <c r="N1257" s="6"/>
      <c r="O1257" s="6"/>
      <c r="P1257" s="6"/>
      <c r="Q1257" s="6"/>
      <c r="R1257" s="6"/>
      <c r="S1257" s="6"/>
      <c r="T1257" s="6"/>
      <c r="U1257" s="6"/>
      <c r="V1257" s="6"/>
      <c r="W1257" s="6"/>
      <c r="X1257" s="6"/>
      <c r="Y1257" s="6"/>
      <c r="Z1257" s="6"/>
      <c r="AA1257" s="6"/>
      <c r="AB1257" s="6"/>
    </row>
    <row r="1258" spans="1:28" ht="12.75" x14ac:dyDescent="0.2">
      <c r="A1258" s="13"/>
      <c r="B1258" s="6"/>
      <c r="C1258" s="6"/>
      <c r="D1258" s="6"/>
      <c r="E1258" s="6"/>
      <c r="F1258" s="6"/>
      <c r="G1258" s="6"/>
      <c r="H1258" s="6"/>
      <c r="I1258" s="6"/>
      <c r="J1258" s="6"/>
      <c r="K1258" s="6"/>
      <c r="L1258" s="6"/>
      <c r="M1258" s="6"/>
      <c r="N1258" s="6"/>
      <c r="O1258" s="6"/>
      <c r="P1258" s="6"/>
      <c r="Q1258" s="6"/>
      <c r="R1258" s="6"/>
      <c r="S1258" s="6"/>
      <c r="T1258" s="6"/>
      <c r="U1258" s="6"/>
      <c r="V1258" s="6"/>
      <c r="W1258" s="6"/>
      <c r="X1258" s="6"/>
      <c r="Y1258" s="6"/>
      <c r="Z1258" s="6"/>
      <c r="AA1258" s="6"/>
      <c r="AB1258" s="6"/>
    </row>
    <row r="1259" spans="1:28" ht="12.75" x14ac:dyDescent="0.2">
      <c r="A1259" s="13"/>
      <c r="B1259" s="6"/>
      <c r="C1259" s="6"/>
      <c r="D1259" s="6"/>
      <c r="E1259" s="6"/>
      <c r="F1259" s="6"/>
      <c r="G1259" s="6"/>
      <c r="H1259" s="6"/>
      <c r="I1259" s="6"/>
      <c r="J1259" s="6"/>
      <c r="K1259" s="6"/>
      <c r="L1259" s="6"/>
      <c r="M1259" s="6"/>
      <c r="N1259" s="6"/>
      <c r="O1259" s="6"/>
      <c r="P1259" s="6"/>
      <c r="Q1259" s="6"/>
      <c r="R1259" s="6"/>
      <c r="S1259" s="6"/>
      <c r="T1259" s="6"/>
      <c r="U1259" s="6"/>
      <c r="V1259" s="6"/>
      <c r="W1259" s="6"/>
      <c r="X1259" s="6"/>
      <c r="Y1259" s="6"/>
      <c r="Z1259" s="6"/>
      <c r="AA1259" s="6"/>
      <c r="AB1259" s="6"/>
    </row>
    <row r="1260" spans="1:28" ht="12.75" x14ac:dyDescent="0.2">
      <c r="A1260" s="13"/>
      <c r="B1260" s="6"/>
      <c r="C1260" s="6"/>
      <c r="D1260" s="6"/>
      <c r="E1260" s="6"/>
      <c r="F1260" s="6"/>
      <c r="G1260" s="6"/>
      <c r="H1260" s="6"/>
      <c r="I1260" s="6"/>
      <c r="J1260" s="6"/>
      <c r="K1260" s="6"/>
      <c r="L1260" s="6"/>
      <c r="M1260" s="6"/>
      <c r="N1260" s="6"/>
      <c r="O1260" s="6"/>
      <c r="P1260" s="6"/>
      <c r="Q1260" s="6"/>
      <c r="R1260" s="6"/>
      <c r="S1260" s="6"/>
      <c r="T1260" s="6"/>
      <c r="U1260" s="6"/>
      <c r="V1260" s="6"/>
      <c r="W1260" s="6"/>
      <c r="X1260" s="6"/>
      <c r="Y1260" s="6"/>
      <c r="Z1260" s="6"/>
      <c r="AA1260" s="6"/>
      <c r="AB1260" s="6"/>
    </row>
    <row r="1261" spans="1:28" ht="12.75" x14ac:dyDescent="0.2">
      <c r="A1261" s="13"/>
      <c r="B1261" s="6"/>
      <c r="C1261" s="6"/>
      <c r="D1261" s="6"/>
      <c r="E1261" s="6"/>
      <c r="F1261" s="6"/>
      <c r="G1261" s="6"/>
      <c r="H1261" s="6"/>
      <c r="I1261" s="6"/>
      <c r="J1261" s="6"/>
      <c r="K1261" s="6"/>
      <c r="L1261" s="6"/>
      <c r="M1261" s="6"/>
      <c r="N1261" s="6"/>
      <c r="O1261" s="6"/>
      <c r="P1261" s="6"/>
      <c r="Q1261" s="6"/>
      <c r="R1261" s="6"/>
      <c r="S1261" s="6"/>
      <c r="T1261" s="6"/>
      <c r="U1261" s="6"/>
      <c r="V1261" s="6"/>
      <c r="W1261" s="6"/>
      <c r="X1261" s="6"/>
      <c r="Y1261" s="6"/>
      <c r="Z1261" s="6"/>
      <c r="AA1261" s="6"/>
      <c r="AB1261" s="6"/>
    </row>
    <row r="1262" spans="1:28" ht="12.75" x14ac:dyDescent="0.2">
      <c r="A1262" s="13"/>
      <c r="B1262" s="6"/>
      <c r="C1262" s="6"/>
      <c r="D1262" s="6"/>
      <c r="E1262" s="6"/>
      <c r="F1262" s="6"/>
      <c r="G1262" s="6"/>
      <c r="H1262" s="6"/>
      <c r="I1262" s="6"/>
      <c r="J1262" s="6"/>
      <c r="K1262" s="6"/>
      <c r="L1262" s="6"/>
      <c r="M1262" s="6"/>
      <c r="N1262" s="6"/>
      <c r="O1262" s="6"/>
      <c r="P1262" s="6"/>
      <c r="Q1262" s="6"/>
      <c r="R1262" s="6"/>
      <c r="S1262" s="6"/>
      <c r="T1262" s="6"/>
      <c r="U1262" s="6"/>
      <c r="V1262" s="6"/>
      <c r="W1262" s="6"/>
      <c r="X1262" s="6"/>
      <c r="Y1262" s="6"/>
      <c r="Z1262" s="6"/>
      <c r="AA1262" s="6"/>
      <c r="AB1262" s="6"/>
    </row>
    <row r="1263" spans="1:28" ht="12.75" x14ac:dyDescent="0.2">
      <c r="A1263" s="13"/>
      <c r="B1263" s="6"/>
      <c r="C1263" s="6"/>
      <c r="D1263" s="6"/>
      <c r="E1263" s="6"/>
      <c r="F1263" s="6"/>
      <c r="G1263" s="6"/>
      <c r="H1263" s="6"/>
      <c r="I1263" s="6"/>
      <c r="J1263" s="6"/>
      <c r="K1263" s="6"/>
      <c r="L1263" s="6"/>
      <c r="M1263" s="6"/>
      <c r="N1263" s="6"/>
      <c r="O1263" s="6"/>
      <c r="P1263" s="6"/>
      <c r="Q1263" s="6"/>
      <c r="R1263" s="6"/>
      <c r="S1263" s="6"/>
      <c r="T1263" s="6"/>
      <c r="U1263" s="6"/>
      <c r="V1263" s="6"/>
      <c r="W1263" s="6"/>
      <c r="X1263" s="6"/>
      <c r="Y1263" s="6"/>
      <c r="Z1263" s="6"/>
      <c r="AA1263" s="6"/>
      <c r="AB1263" s="6"/>
    </row>
    <row r="1264" spans="1:28" ht="12.75" x14ac:dyDescent="0.2">
      <c r="A1264" s="13"/>
      <c r="B1264" s="6"/>
      <c r="C1264" s="6"/>
      <c r="D1264" s="6"/>
      <c r="E1264" s="6"/>
      <c r="F1264" s="6"/>
      <c r="G1264" s="6"/>
      <c r="H1264" s="6"/>
      <c r="I1264" s="6"/>
      <c r="J1264" s="6"/>
      <c r="K1264" s="6"/>
      <c r="L1264" s="6"/>
      <c r="M1264" s="6"/>
      <c r="N1264" s="6"/>
      <c r="O1264" s="6"/>
      <c r="P1264" s="6"/>
      <c r="Q1264" s="6"/>
      <c r="R1264" s="6"/>
      <c r="S1264" s="6"/>
      <c r="T1264" s="6"/>
      <c r="U1264" s="6"/>
      <c r="V1264" s="6"/>
      <c r="W1264" s="6"/>
      <c r="X1264" s="6"/>
      <c r="Y1264" s="6"/>
      <c r="Z1264" s="6"/>
      <c r="AA1264" s="6"/>
      <c r="AB1264" s="6"/>
    </row>
    <row r="1265" spans="1:28" ht="12.75" x14ac:dyDescent="0.2">
      <c r="A1265" s="13"/>
      <c r="B1265" s="6"/>
      <c r="C1265" s="6"/>
      <c r="D1265" s="6"/>
      <c r="E1265" s="6"/>
      <c r="F1265" s="6"/>
      <c r="G1265" s="6"/>
      <c r="H1265" s="6"/>
      <c r="I1265" s="6"/>
      <c r="J1265" s="6"/>
      <c r="K1265" s="6"/>
      <c r="L1265" s="6"/>
      <c r="M1265" s="6"/>
      <c r="N1265" s="6"/>
      <c r="O1265" s="6"/>
      <c r="P1265" s="6"/>
      <c r="Q1265" s="6"/>
      <c r="R1265" s="6"/>
      <c r="S1265" s="6"/>
      <c r="T1265" s="6"/>
      <c r="U1265" s="6"/>
      <c r="V1265" s="6"/>
      <c r="W1265" s="6"/>
      <c r="X1265" s="6"/>
      <c r="Y1265" s="6"/>
      <c r="Z1265" s="6"/>
      <c r="AA1265" s="6"/>
      <c r="AB1265" s="6"/>
    </row>
    <row r="1266" spans="1:28" ht="12.75" x14ac:dyDescent="0.2">
      <c r="A1266" s="13"/>
      <c r="B1266" s="6"/>
      <c r="C1266" s="6"/>
      <c r="D1266" s="6"/>
      <c r="E1266" s="6"/>
      <c r="F1266" s="6"/>
      <c r="G1266" s="6"/>
      <c r="H1266" s="6"/>
      <c r="I1266" s="6"/>
      <c r="J1266" s="6"/>
      <c r="K1266" s="6"/>
      <c r="L1266" s="6"/>
      <c r="M1266" s="6"/>
      <c r="N1266" s="6"/>
      <c r="O1266" s="6"/>
      <c r="P1266" s="6"/>
      <c r="Q1266" s="6"/>
      <c r="R1266" s="6"/>
      <c r="S1266" s="6"/>
      <c r="T1266" s="6"/>
      <c r="U1266" s="6"/>
      <c r="V1266" s="6"/>
      <c r="W1266" s="6"/>
      <c r="X1266" s="6"/>
      <c r="Y1266" s="6"/>
      <c r="Z1266" s="6"/>
      <c r="AA1266" s="6"/>
      <c r="AB1266" s="6"/>
    </row>
    <row r="1267" spans="1:28" ht="12.75" x14ac:dyDescent="0.2">
      <c r="A1267" s="13"/>
      <c r="B1267" s="6"/>
      <c r="C1267" s="6"/>
      <c r="D1267" s="6"/>
      <c r="E1267" s="6"/>
      <c r="F1267" s="6"/>
      <c r="G1267" s="6"/>
      <c r="H1267" s="6"/>
      <c r="I1267" s="6"/>
      <c r="J1267" s="6"/>
      <c r="K1267" s="6"/>
      <c r="L1267" s="6"/>
      <c r="M1267" s="6"/>
      <c r="N1267" s="6"/>
      <c r="O1267" s="6"/>
      <c r="P1267" s="6"/>
      <c r="Q1267" s="6"/>
      <c r="R1267" s="6"/>
      <c r="S1267" s="6"/>
      <c r="T1267" s="6"/>
      <c r="U1267" s="6"/>
      <c r="V1267" s="6"/>
      <c r="W1267" s="6"/>
      <c r="X1267" s="6"/>
      <c r="Y1267" s="6"/>
      <c r="Z1267" s="6"/>
      <c r="AA1267" s="6"/>
      <c r="AB1267" s="6"/>
    </row>
    <row r="1268" spans="1:28" ht="12.75" x14ac:dyDescent="0.2">
      <c r="A1268" s="13"/>
      <c r="B1268" s="6"/>
      <c r="C1268" s="6"/>
      <c r="D1268" s="6"/>
      <c r="E1268" s="6"/>
      <c r="F1268" s="6"/>
      <c r="G1268" s="6"/>
      <c r="H1268" s="6"/>
      <c r="I1268" s="6"/>
      <c r="J1268" s="6"/>
      <c r="K1268" s="6"/>
      <c r="L1268" s="6"/>
      <c r="M1268" s="6"/>
      <c r="N1268" s="6"/>
      <c r="O1268" s="6"/>
      <c r="P1268" s="6"/>
      <c r="Q1268" s="6"/>
      <c r="R1268" s="6"/>
      <c r="S1268" s="6"/>
      <c r="T1268" s="6"/>
      <c r="U1268" s="6"/>
      <c r="V1268" s="6"/>
      <c r="W1268" s="6"/>
      <c r="X1268" s="6"/>
      <c r="Y1268" s="6"/>
      <c r="Z1268" s="6"/>
      <c r="AA1268" s="6"/>
      <c r="AB1268" s="6"/>
    </row>
    <row r="1269" spans="1:28" ht="12.75" x14ac:dyDescent="0.2">
      <c r="A1269" s="13"/>
      <c r="B1269" s="6"/>
      <c r="C1269" s="6"/>
      <c r="D1269" s="6"/>
      <c r="E1269" s="6"/>
      <c r="F1269" s="6"/>
      <c r="G1269" s="6"/>
      <c r="H1269" s="6"/>
      <c r="I1269" s="6"/>
      <c r="J1269" s="6"/>
      <c r="K1269" s="6"/>
      <c r="L1269" s="6"/>
      <c r="M1269" s="6"/>
      <c r="N1269" s="6"/>
      <c r="O1269" s="6"/>
      <c r="P1269" s="6"/>
      <c r="Q1269" s="6"/>
      <c r="R1269" s="6"/>
      <c r="S1269" s="6"/>
      <c r="T1269" s="6"/>
      <c r="U1269" s="6"/>
      <c r="V1269" s="6"/>
      <c r="W1269" s="6"/>
      <c r="X1269" s="6"/>
      <c r="Y1269" s="6"/>
      <c r="Z1269" s="6"/>
      <c r="AA1269" s="6"/>
      <c r="AB1269" s="6"/>
    </row>
    <row r="1270" spans="1:28" ht="12.75" x14ac:dyDescent="0.2">
      <c r="A1270" s="13"/>
      <c r="B1270" s="6"/>
      <c r="C1270" s="6"/>
      <c r="D1270" s="6"/>
      <c r="E1270" s="6"/>
      <c r="F1270" s="6"/>
      <c r="G1270" s="6"/>
      <c r="H1270" s="6"/>
      <c r="I1270" s="6"/>
      <c r="J1270" s="6"/>
      <c r="K1270" s="6"/>
      <c r="L1270" s="6"/>
      <c r="M1270" s="6"/>
      <c r="N1270" s="6"/>
      <c r="O1270" s="6"/>
      <c r="P1270" s="6"/>
      <c r="Q1270" s="6"/>
      <c r="R1270" s="6"/>
      <c r="S1270" s="6"/>
      <c r="T1270" s="6"/>
      <c r="U1270" s="6"/>
      <c r="V1270" s="6"/>
      <c r="W1270" s="6"/>
      <c r="X1270" s="6"/>
      <c r="Y1270" s="6"/>
      <c r="Z1270" s="6"/>
      <c r="AA1270" s="6"/>
      <c r="AB1270" s="6"/>
    </row>
    <row r="1271" spans="1:28" ht="12.75" x14ac:dyDescent="0.2">
      <c r="A1271" s="13"/>
      <c r="B1271" s="6"/>
      <c r="C1271" s="6"/>
      <c r="D1271" s="6"/>
      <c r="E1271" s="6"/>
      <c r="F1271" s="6"/>
      <c r="G1271" s="6"/>
      <c r="H1271" s="6"/>
      <c r="I1271" s="6"/>
      <c r="J1271" s="6"/>
      <c r="K1271" s="6"/>
      <c r="L1271" s="6"/>
      <c r="M1271" s="6"/>
      <c r="N1271" s="6"/>
      <c r="O1271" s="6"/>
      <c r="P1271" s="6"/>
      <c r="Q1271" s="6"/>
      <c r="R1271" s="6"/>
      <c r="S1271" s="6"/>
      <c r="T1271" s="6"/>
      <c r="U1271" s="6"/>
      <c r="V1271" s="6"/>
      <c r="W1271" s="6"/>
      <c r="X1271" s="6"/>
      <c r="Y1271" s="6"/>
      <c r="Z1271" s="6"/>
      <c r="AA1271" s="6"/>
      <c r="AB1271" s="6"/>
    </row>
    <row r="1272" spans="1:28" ht="12.75" x14ac:dyDescent="0.2">
      <c r="A1272" s="13"/>
      <c r="B1272" s="6"/>
      <c r="C1272" s="6"/>
      <c r="D1272" s="6"/>
      <c r="E1272" s="6"/>
      <c r="F1272" s="6"/>
      <c r="G1272" s="6"/>
      <c r="H1272" s="6"/>
      <c r="I1272" s="6"/>
      <c r="J1272" s="6"/>
      <c r="K1272" s="6"/>
      <c r="L1272" s="6"/>
      <c r="M1272" s="6"/>
      <c r="N1272" s="6"/>
      <c r="O1272" s="6"/>
      <c r="P1272" s="6"/>
      <c r="Q1272" s="6"/>
      <c r="R1272" s="6"/>
      <c r="S1272" s="6"/>
      <c r="T1272" s="6"/>
      <c r="U1272" s="6"/>
      <c r="V1272" s="6"/>
      <c r="W1272" s="6"/>
      <c r="X1272" s="6"/>
      <c r="Y1272" s="6"/>
      <c r="Z1272" s="6"/>
      <c r="AA1272" s="6"/>
      <c r="AB1272" s="6"/>
    </row>
    <row r="1273" spans="1:28" ht="12.75" x14ac:dyDescent="0.2">
      <c r="A1273" s="13"/>
      <c r="B1273" s="6"/>
      <c r="C1273" s="6"/>
      <c r="D1273" s="6"/>
      <c r="E1273" s="6"/>
      <c r="F1273" s="6"/>
      <c r="G1273" s="6"/>
      <c r="H1273" s="6"/>
      <c r="I1273" s="6"/>
      <c r="J1273" s="6"/>
      <c r="K1273" s="6"/>
      <c r="L1273" s="6"/>
      <c r="M1273" s="6"/>
      <c r="N1273" s="6"/>
      <c r="O1273" s="6"/>
      <c r="P1273" s="6"/>
      <c r="Q1273" s="6"/>
      <c r="R1273" s="6"/>
      <c r="S1273" s="6"/>
      <c r="T1273" s="6"/>
      <c r="U1273" s="6"/>
      <c r="V1273" s="6"/>
      <c r="W1273" s="6"/>
      <c r="X1273" s="6"/>
      <c r="Y1273" s="6"/>
      <c r="Z1273" s="6"/>
      <c r="AA1273" s="6"/>
      <c r="AB1273" s="6"/>
    </row>
    <row r="1274" spans="1:28" ht="12.75" x14ac:dyDescent="0.2">
      <c r="A1274" s="13"/>
      <c r="B1274" s="6"/>
      <c r="C1274" s="6"/>
      <c r="D1274" s="6"/>
      <c r="E1274" s="6"/>
      <c r="F1274" s="6"/>
      <c r="G1274" s="6"/>
      <c r="H1274" s="6"/>
      <c r="I1274" s="6"/>
      <c r="J1274" s="6"/>
      <c r="K1274" s="6"/>
      <c r="L1274" s="6"/>
      <c r="M1274" s="6"/>
      <c r="N1274" s="6"/>
      <c r="O1274" s="6"/>
      <c r="P1274" s="6"/>
      <c r="Q1274" s="6"/>
      <c r="R1274" s="6"/>
      <c r="S1274" s="6"/>
      <c r="T1274" s="6"/>
      <c r="U1274" s="6"/>
      <c r="V1274" s="6"/>
      <c r="W1274" s="6"/>
      <c r="X1274" s="6"/>
      <c r="Y1274" s="6"/>
      <c r="Z1274" s="6"/>
      <c r="AA1274" s="6"/>
      <c r="AB1274" s="6"/>
    </row>
    <row r="1275" spans="1:28" ht="12.75" x14ac:dyDescent="0.2">
      <c r="A1275" s="13"/>
      <c r="B1275" s="6"/>
      <c r="C1275" s="6"/>
      <c r="D1275" s="6"/>
      <c r="E1275" s="6"/>
      <c r="F1275" s="6"/>
      <c r="G1275" s="6"/>
      <c r="H1275" s="6"/>
      <c r="I1275" s="6"/>
      <c r="J1275" s="6"/>
      <c r="K1275" s="6"/>
      <c r="L1275" s="6"/>
      <c r="M1275" s="6"/>
      <c r="N1275" s="6"/>
      <c r="O1275" s="6"/>
      <c r="P1275" s="6"/>
      <c r="Q1275" s="6"/>
      <c r="R1275" s="6"/>
      <c r="S1275" s="6"/>
      <c r="T1275" s="6"/>
      <c r="U1275" s="6"/>
      <c r="V1275" s="6"/>
      <c r="W1275" s="6"/>
      <c r="X1275" s="6"/>
      <c r="Y1275" s="6"/>
      <c r="Z1275" s="6"/>
      <c r="AA1275" s="6"/>
      <c r="AB1275" s="6"/>
    </row>
    <row r="1276" spans="1:28" ht="12.75" x14ac:dyDescent="0.2">
      <c r="A1276" s="13"/>
      <c r="B1276" s="6"/>
      <c r="C1276" s="6"/>
      <c r="D1276" s="6"/>
      <c r="E1276" s="6"/>
      <c r="F1276" s="6"/>
      <c r="G1276" s="6"/>
      <c r="H1276" s="6"/>
      <c r="I1276" s="6"/>
      <c r="J1276" s="6"/>
      <c r="K1276" s="6"/>
      <c r="L1276" s="6"/>
      <c r="M1276" s="6"/>
      <c r="N1276" s="6"/>
      <c r="O1276" s="6"/>
      <c r="P1276" s="6"/>
      <c r="Q1276" s="6"/>
      <c r="R1276" s="6"/>
      <c r="S1276" s="6"/>
      <c r="T1276" s="6"/>
      <c r="U1276" s="6"/>
      <c r="V1276" s="6"/>
      <c r="W1276" s="6"/>
      <c r="X1276" s="6"/>
      <c r="Y1276" s="6"/>
      <c r="Z1276" s="6"/>
      <c r="AA1276" s="6"/>
      <c r="AB1276" s="6"/>
    </row>
    <row r="1277" spans="1:28" ht="12.75" x14ac:dyDescent="0.2">
      <c r="A1277" s="13"/>
      <c r="B1277" s="6"/>
      <c r="C1277" s="6"/>
      <c r="D1277" s="6"/>
      <c r="E1277" s="6"/>
      <c r="F1277" s="6"/>
      <c r="G1277" s="6"/>
      <c r="H1277" s="6"/>
      <c r="I1277" s="6"/>
      <c r="J1277" s="6"/>
      <c r="K1277" s="6"/>
      <c r="L1277" s="6"/>
      <c r="M1277" s="6"/>
      <c r="N1277" s="6"/>
      <c r="O1277" s="6"/>
      <c r="P1277" s="6"/>
      <c r="Q1277" s="6"/>
      <c r="R1277" s="6"/>
      <c r="S1277" s="6"/>
      <c r="T1277" s="6"/>
      <c r="U1277" s="6"/>
      <c r="V1277" s="6"/>
      <c r="W1277" s="6"/>
      <c r="X1277" s="6"/>
      <c r="Y1277" s="6"/>
      <c r="Z1277" s="6"/>
      <c r="AA1277" s="6"/>
      <c r="AB1277" s="6"/>
    </row>
    <row r="1278" spans="1:28" ht="12.75" x14ac:dyDescent="0.2">
      <c r="A1278" s="13"/>
      <c r="B1278" s="6"/>
      <c r="C1278" s="6"/>
      <c r="D1278" s="6"/>
      <c r="E1278" s="6"/>
      <c r="F1278" s="6"/>
      <c r="G1278" s="6"/>
      <c r="H1278" s="6"/>
      <c r="I1278" s="6"/>
      <c r="J1278" s="6"/>
      <c r="K1278" s="6"/>
      <c r="L1278" s="6"/>
      <c r="M1278" s="6"/>
      <c r="N1278" s="6"/>
      <c r="O1278" s="6"/>
      <c r="P1278" s="6"/>
      <c r="Q1278" s="6"/>
      <c r="R1278" s="6"/>
      <c r="S1278" s="6"/>
      <c r="T1278" s="6"/>
      <c r="U1278" s="6"/>
      <c r="V1278" s="6"/>
      <c r="W1278" s="6"/>
      <c r="X1278" s="6"/>
      <c r="Y1278" s="6"/>
      <c r="Z1278" s="6"/>
      <c r="AA1278" s="6"/>
      <c r="AB1278" s="6"/>
    </row>
    <row r="1279" spans="1:28" ht="12.75" x14ac:dyDescent="0.2">
      <c r="A1279" s="13"/>
      <c r="B1279" s="6"/>
      <c r="C1279" s="6"/>
      <c r="D1279" s="6"/>
      <c r="E1279" s="6"/>
      <c r="F1279" s="6"/>
      <c r="G1279" s="6"/>
      <c r="H1279" s="6"/>
      <c r="I1279" s="6"/>
      <c r="J1279" s="6"/>
      <c r="K1279" s="6"/>
      <c r="L1279" s="6"/>
      <c r="M1279" s="6"/>
      <c r="N1279" s="6"/>
      <c r="O1279" s="6"/>
      <c r="P1279" s="6"/>
      <c r="Q1279" s="6"/>
      <c r="R1279" s="6"/>
      <c r="S1279" s="6"/>
      <c r="T1279" s="6"/>
      <c r="U1279" s="6"/>
      <c r="V1279" s="6"/>
      <c r="W1279" s="6"/>
      <c r="X1279" s="6"/>
      <c r="Y1279" s="6"/>
      <c r="Z1279" s="6"/>
      <c r="AA1279" s="6"/>
      <c r="AB1279" s="6"/>
    </row>
    <row r="1280" spans="1:28" ht="12.75" x14ac:dyDescent="0.2">
      <c r="A1280" s="13"/>
      <c r="B1280" s="6"/>
      <c r="C1280" s="6"/>
      <c r="D1280" s="6"/>
      <c r="E1280" s="6"/>
      <c r="F1280" s="6"/>
      <c r="G1280" s="6"/>
      <c r="H1280" s="6"/>
      <c r="I1280" s="6"/>
      <c r="J1280" s="6"/>
      <c r="K1280" s="6"/>
      <c r="L1280" s="6"/>
      <c r="M1280" s="6"/>
      <c r="N1280" s="6"/>
      <c r="O1280" s="6"/>
      <c r="P1280" s="6"/>
      <c r="Q1280" s="6"/>
      <c r="R1280" s="6"/>
      <c r="S1280" s="6"/>
      <c r="T1280" s="6"/>
      <c r="U1280" s="6"/>
      <c r="V1280" s="6"/>
      <c r="W1280" s="6"/>
      <c r="X1280" s="6"/>
      <c r="Y1280" s="6"/>
      <c r="Z1280" s="6"/>
      <c r="AA1280" s="6"/>
      <c r="AB1280" s="6"/>
    </row>
    <row r="1281" spans="1:28" ht="12.75" x14ac:dyDescent="0.2">
      <c r="A1281" s="13"/>
      <c r="B1281" s="6"/>
      <c r="C1281" s="6"/>
      <c r="D1281" s="6"/>
      <c r="E1281" s="6"/>
      <c r="F1281" s="6"/>
      <c r="G1281" s="6"/>
      <c r="H1281" s="6"/>
      <c r="I1281" s="6"/>
      <c r="J1281" s="6"/>
      <c r="K1281" s="6"/>
      <c r="L1281" s="6"/>
      <c r="M1281" s="6"/>
      <c r="N1281" s="6"/>
      <c r="O1281" s="6"/>
      <c r="P1281" s="6"/>
      <c r="Q1281" s="6"/>
      <c r="R1281" s="6"/>
      <c r="S1281" s="6"/>
      <c r="T1281" s="6"/>
      <c r="U1281" s="6"/>
      <c r="V1281" s="6"/>
      <c r="W1281" s="6"/>
      <c r="X1281" s="6"/>
      <c r="Y1281" s="6"/>
      <c r="Z1281" s="6"/>
      <c r="AA1281" s="6"/>
      <c r="AB1281" s="6"/>
    </row>
    <row r="1282" spans="1:28" ht="12.75" x14ac:dyDescent="0.2">
      <c r="A1282" s="13"/>
      <c r="B1282" s="6"/>
      <c r="C1282" s="6"/>
      <c r="D1282" s="6"/>
      <c r="E1282" s="6"/>
      <c r="F1282" s="6"/>
      <c r="G1282" s="6"/>
      <c r="H1282" s="6"/>
      <c r="I1282" s="6"/>
      <c r="J1282" s="6"/>
      <c r="K1282" s="6"/>
      <c r="L1282" s="6"/>
      <c r="M1282" s="6"/>
      <c r="N1282" s="6"/>
      <c r="O1282" s="6"/>
      <c r="P1282" s="6"/>
      <c r="Q1282" s="6"/>
      <c r="R1282" s="6"/>
      <c r="S1282" s="6"/>
      <c r="T1282" s="6"/>
      <c r="U1282" s="6"/>
      <c r="V1282" s="6"/>
      <c r="W1282" s="6"/>
      <c r="X1282" s="6"/>
      <c r="Y1282" s="6"/>
      <c r="Z1282" s="6"/>
      <c r="AA1282" s="6"/>
      <c r="AB1282" s="6"/>
    </row>
    <row r="1283" spans="1:28" ht="12.75" x14ac:dyDescent="0.2">
      <c r="A1283" s="13"/>
      <c r="B1283" s="6"/>
      <c r="C1283" s="6"/>
      <c r="D1283" s="6"/>
      <c r="E1283" s="6"/>
      <c r="F1283" s="6"/>
      <c r="G1283" s="6"/>
      <c r="H1283" s="6"/>
      <c r="I1283" s="6"/>
      <c r="J1283" s="6"/>
      <c r="K1283" s="6"/>
      <c r="L1283" s="6"/>
      <c r="M1283" s="6"/>
      <c r="N1283" s="6"/>
      <c r="O1283" s="6"/>
      <c r="P1283" s="6"/>
      <c r="Q1283" s="6"/>
      <c r="R1283" s="6"/>
      <c r="S1283" s="6"/>
      <c r="T1283" s="6"/>
      <c r="U1283" s="6"/>
      <c r="V1283" s="6"/>
      <c r="W1283" s="6"/>
      <c r="X1283" s="6"/>
      <c r="Y1283" s="6"/>
      <c r="Z1283" s="6"/>
      <c r="AA1283" s="6"/>
      <c r="AB1283" s="6"/>
    </row>
    <row r="1284" spans="1:28" ht="12.75" x14ac:dyDescent="0.2">
      <c r="A1284" s="13"/>
      <c r="B1284" s="6"/>
      <c r="C1284" s="6"/>
      <c r="D1284" s="6"/>
      <c r="E1284" s="6"/>
      <c r="F1284" s="6"/>
      <c r="G1284" s="6"/>
      <c r="H1284" s="6"/>
      <c r="I1284" s="6"/>
      <c r="J1284" s="6"/>
      <c r="K1284" s="6"/>
      <c r="L1284" s="6"/>
      <c r="M1284" s="6"/>
      <c r="N1284" s="6"/>
      <c r="O1284" s="6"/>
      <c r="P1284" s="6"/>
      <c r="Q1284" s="6"/>
      <c r="R1284" s="6"/>
      <c r="S1284" s="6"/>
      <c r="T1284" s="6"/>
      <c r="U1284" s="6"/>
      <c r="V1284" s="6"/>
      <c r="W1284" s="6"/>
      <c r="X1284" s="6"/>
      <c r="Y1284" s="6"/>
      <c r="Z1284" s="6"/>
      <c r="AA1284" s="6"/>
      <c r="AB1284" s="6"/>
    </row>
    <row r="1285" spans="1:28" ht="12.75" x14ac:dyDescent="0.2">
      <c r="A1285" s="13"/>
      <c r="B1285" s="6"/>
      <c r="C1285" s="6"/>
      <c r="D1285" s="6"/>
      <c r="E1285" s="6"/>
      <c r="F1285" s="6"/>
      <c r="G1285" s="6"/>
      <c r="H1285" s="6"/>
      <c r="I1285" s="6"/>
      <c r="J1285" s="6"/>
      <c r="K1285" s="6"/>
      <c r="L1285" s="6"/>
      <c r="M1285" s="6"/>
      <c r="N1285" s="6"/>
      <c r="O1285" s="6"/>
      <c r="P1285" s="6"/>
      <c r="Q1285" s="6"/>
      <c r="R1285" s="6"/>
      <c r="S1285" s="6"/>
      <c r="T1285" s="6"/>
      <c r="U1285" s="6"/>
      <c r="V1285" s="6"/>
      <c r="W1285" s="6"/>
      <c r="X1285" s="6"/>
      <c r="Y1285" s="6"/>
      <c r="Z1285" s="6"/>
      <c r="AA1285" s="6"/>
      <c r="AB1285" s="6"/>
    </row>
    <row r="1286" spans="1:28" ht="12.75" x14ac:dyDescent="0.2">
      <c r="A1286" s="13"/>
      <c r="B1286" s="6"/>
      <c r="C1286" s="6"/>
      <c r="D1286" s="6"/>
      <c r="E1286" s="6"/>
      <c r="F1286" s="6"/>
      <c r="G1286" s="6"/>
      <c r="H1286" s="6"/>
      <c r="I1286" s="6"/>
      <c r="J1286" s="6"/>
      <c r="K1286" s="6"/>
      <c r="L1286" s="6"/>
      <c r="M1286" s="6"/>
      <c r="N1286" s="6"/>
      <c r="O1286" s="6"/>
      <c r="P1286" s="6"/>
      <c r="Q1286" s="6"/>
      <c r="R1286" s="6"/>
      <c r="S1286" s="6"/>
      <c r="T1286" s="6"/>
      <c r="U1286" s="6"/>
      <c r="V1286" s="6"/>
      <c r="W1286" s="6"/>
      <c r="X1286" s="6"/>
      <c r="Y1286" s="6"/>
      <c r="Z1286" s="6"/>
      <c r="AA1286" s="6"/>
      <c r="AB1286" s="6"/>
    </row>
    <row r="1287" spans="1:28" ht="12.75" x14ac:dyDescent="0.2">
      <c r="A1287" s="13"/>
      <c r="B1287" s="6"/>
      <c r="C1287" s="6"/>
      <c r="D1287" s="6"/>
      <c r="E1287" s="6"/>
      <c r="F1287" s="6"/>
      <c r="G1287" s="6"/>
      <c r="H1287" s="6"/>
      <c r="I1287" s="6"/>
      <c r="J1287" s="6"/>
      <c r="K1287" s="6"/>
      <c r="L1287" s="6"/>
      <c r="M1287" s="6"/>
      <c r="N1287" s="6"/>
      <c r="O1287" s="6"/>
      <c r="P1287" s="6"/>
      <c r="Q1287" s="6"/>
      <c r="R1287" s="6"/>
      <c r="S1287" s="6"/>
      <c r="T1287" s="6"/>
      <c r="U1287" s="6"/>
      <c r="V1287" s="6"/>
      <c r="W1287" s="6"/>
      <c r="X1287" s="6"/>
      <c r="Y1287" s="6"/>
      <c r="Z1287" s="6"/>
      <c r="AA1287" s="6"/>
      <c r="AB1287" s="6"/>
    </row>
    <row r="1288" spans="1:28" ht="12.75" x14ac:dyDescent="0.2">
      <c r="A1288" s="13"/>
      <c r="B1288" s="6"/>
      <c r="C1288" s="6"/>
      <c r="D1288" s="6"/>
      <c r="E1288" s="6"/>
      <c r="F1288" s="6"/>
      <c r="G1288" s="6"/>
      <c r="H1288" s="6"/>
      <c r="I1288" s="6"/>
      <c r="J1288" s="6"/>
      <c r="K1288" s="6"/>
      <c r="L1288" s="6"/>
      <c r="M1288" s="6"/>
      <c r="N1288" s="6"/>
      <c r="O1288" s="6"/>
      <c r="P1288" s="6"/>
      <c r="Q1288" s="6"/>
      <c r="R1288" s="6"/>
      <c r="S1288" s="6"/>
      <c r="T1288" s="6"/>
      <c r="U1288" s="6"/>
      <c r="V1288" s="6"/>
      <c r="W1288" s="6"/>
      <c r="X1288" s="6"/>
      <c r="Y1288" s="6"/>
      <c r="Z1288" s="6"/>
      <c r="AA1288" s="6"/>
      <c r="AB1288" s="6"/>
    </row>
    <row r="1289" spans="1:28" ht="12.75" x14ac:dyDescent="0.2">
      <c r="A1289" s="13"/>
      <c r="B1289" s="6"/>
      <c r="C1289" s="6"/>
      <c r="D1289" s="6"/>
      <c r="E1289" s="6"/>
      <c r="F1289" s="6"/>
      <c r="G1289" s="6"/>
      <c r="H1289" s="6"/>
      <c r="I1289" s="6"/>
      <c r="J1289" s="6"/>
      <c r="K1289" s="6"/>
      <c r="L1289" s="6"/>
      <c r="M1289" s="6"/>
      <c r="N1289" s="6"/>
      <c r="O1289" s="6"/>
      <c r="P1289" s="6"/>
      <c r="Q1289" s="6"/>
      <c r="R1289" s="6"/>
      <c r="S1289" s="6"/>
      <c r="T1289" s="6"/>
      <c r="U1289" s="6"/>
      <c r="V1289" s="6"/>
      <c r="W1289" s="6"/>
      <c r="X1289" s="6"/>
      <c r="Y1289" s="6"/>
      <c r="Z1289" s="6"/>
      <c r="AA1289" s="6"/>
      <c r="AB1289" s="6"/>
    </row>
    <row r="1290" spans="1:28" ht="12.75" x14ac:dyDescent="0.2">
      <c r="A1290" s="13"/>
      <c r="B1290" s="6"/>
      <c r="C1290" s="6"/>
      <c r="D1290" s="6"/>
      <c r="E1290" s="6"/>
      <c r="F1290" s="6"/>
      <c r="G1290" s="6"/>
      <c r="H1290" s="6"/>
      <c r="I1290" s="6"/>
      <c r="J1290" s="6"/>
      <c r="K1290" s="6"/>
      <c r="L1290" s="6"/>
      <c r="M1290" s="6"/>
      <c r="N1290" s="6"/>
      <c r="O1290" s="6"/>
      <c r="P1290" s="6"/>
      <c r="Q1290" s="6"/>
      <c r="R1290" s="6"/>
      <c r="S1290" s="6"/>
      <c r="T1290" s="6"/>
      <c r="U1290" s="6"/>
      <c r="V1290" s="6"/>
      <c r="W1290" s="6"/>
      <c r="X1290" s="6"/>
      <c r="Y1290" s="6"/>
      <c r="Z1290" s="6"/>
      <c r="AA1290" s="6"/>
      <c r="AB1290" s="6"/>
    </row>
    <row r="1291" spans="1:28" ht="12.75" x14ac:dyDescent="0.2">
      <c r="A1291" s="13"/>
      <c r="B1291" s="6"/>
      <c r="C1291" s="6"/>
      <c r="D1291" s="6"/>
      <c r="E1291" s="6"/>
      <c r="F1291" s="6"/>
      <c r="G1291" s="6"/>
      <c r="H1291" s="6"/>
      <c r="I1291" s="6"/>
      <c r="J1291" s="6"/>
      <c r="K1291" s="6"/>
      <c r="L1291" s="6"/>
      <c r="M1291" s="6"/>
      <c r="N1291" s="6"/>
      <c r="O1291" s="6"/>
      <c r="P1291" s="6"/>
      <c r="Q1291" s="6"/>
      <c r="R1291" s="6"/>
      <c r="S1291" s="6"/>
      <c r="T1291" s="6"/>
      <c r="U1291" s="6"/>
      <c r="V1291" s="6"/>
      <c r="W1291" s="6"/>
      <c r="X1291" s="6"/>
      <c r="Y1291" s="6"/>
      <c r="Z1291" s="6"/>
      <c r="AA1291" s="6"/>
      <c r="AB1291" s="6"/>
    </row>
    <row r="1292" spans="1:28" ht="12.75" x14ac:dyDescent="0.2">
      <c r="A1292" s="13"/>
      <c r="B1292" s="6"/>
      <c r="C1292" s="6"/>
      <c r="D1292" s="6"/>
      <c r="E1292" s="6"/>
      <c r="F1292" s="6"/>
      <c r="G1292" s="6"/>
      <c r="H1292" s="6"/>
      <c r="I1292" s="6"/>
      <c r="J1292" s="6"/>
      <c r="K1292" s="6"/>
      <c r="L1292" s="6"/>
      <c r="M1292" s="6"/>
      <c r="N1292" s="6"/>
      <c r="O1292" s="6"/>
      <c r="P1292" s="6"/>
      <c r="Q1292" s="6"/>
      <c r="R1292" s="6"/>
      <c r="S1292" s="6"/>
      <c r="T1292" s="6"/>
      <c r="U1292" s="6"/>
      <c r="V1292" s="6"/>
      <c r="W1292" s="6"/>
      <c r="X1292" s="6"/>
      <c r="Y1292" s="6"/>
      <c r="Z1292" s="6"/>
      <c r="AA1292" s="6"/>
      <c r="AB1292" s="6"/>
    </row>
    <row r="1293" spans="1:28" ht="12.75" x14ac:dyDescent="0.2">
      <c r="A1293" s="13"/>
      <c r="B1293" s="6"/>
      <c r="C1293" s="6"/>
      <c r="D1293" s="6"/>
      <c r="E1293" s="6"/>
      <c r="F1293" s="6"/>
      <c r="G1293" s="6"/>
      <c r="H1293" s="6"/>
      <c r="I1293" s="6"/>
      <c r="J1293" s="6"/>
      <c r="K1293" s="6"/>
      <c r="L1293" s="6"/>
      <c r="M1293" s="6"/>
      <c r="N1293" s="6"/>
      <c r="O1293" s="6"/>
      <c r="P1293" s="6"/>
      <c r="Q1293" s="6"/>
      <c r="R1293" s="6"/>
      <c r="S1293" s="6"/>
      <c r="T1293" s="6"/>
      <c r="U1293" s="6"/>
      <c r="V1293" s="6"/>
      <c r="W1293" s="6"/>
      <c r="X1293" s="6"/>
      <c r="Y1293" s="6"/>
      <c r="Z1293" s="6"/>
      <c r="AA1293" s="6"/>
      <c r="AB1293" s="6"/>
    </row>
    <row r="1294" spans="1:28" ht="12.75" x14ac:dyDescent="0.2">
      <c r="A1294" s="13"/>
      <c r="B1294" s="6"/>
      <c r="C1294" s="6"/>
      <c r="D1294" s="6"/>
      <c r="E1294" s="6"/>
      <c r="F1294" s="6"/>
      <c r="G1294" s="6"/>
      <c r="H1294" s="6"/>
      <c r="I1294" s="6"/>
      <c r="J1294" s="6"/>
      <c r="K1294" s="6"/>
      <c r="L1294" s="6"/>
      <c r="M1294" s="6"/>
      <c r="N1294" s="6"/>
      <c r="O1294" s="6"/>
      <c r="P1294" s="6"/>
      <c r="Q1294" s="6"/>
      <c r="R1294" s="6"/>
      <c r="S1294" s="6"/>
      <c r="T1294" s="6"/>
      <c r="U1294" s="6"/>
      <c r="V1294" s="6"/>
      <c r="W1294" s="6"/>
      <c r="X1294" s="6"/>
      <c r="Y1294" s="6"/>
      <c r="Z1294" s="6"/>
      <c r="AA1294" s="6"/>
      <c r="AB1294" s="6"/>
    </row>
    <row r="1295" spans="1:28" ht="12.75" x14ac:dyDescent="0.2">
      <c r="A1295" s="13"/>
      <c r="B1295" s="6"/>
      <c r="C1295" s="6"/>
      <c r="D1295" s="6"/>
      <c r="E1295" s="6"/>
      <c r="F1295" s="6"/>
      <c r="G1295" s="6"/>
      <c r="H1295" s="6"/>
      <c r="I1295" s="6"/>
      <c r="J1295" s="6"/>
      <c r="K1295" s="6"/>
      <c r="L1295" s="6"/>
      <c r="M1295" s="6"/>
      <c r="N1295" s="6"/>
      <c r="O1295" s="6"/>
      <c r="P1295" s="6"/>
      <c r="Q1295" s="6"/>
      <c r="R1295" s="6"/>
      <c r="S1295" s="6"/>
      <c r="T1295" s="6"/>
      <c r="U1295" s="6"/>
      <c r="V1295" s="6"/>
      <c r="W1295" s="6"/>
      <c r="X1295" s="6"/>
      <c r="Y1295" s="6"/>
      <c r="Z1295" s="6"/>
      <c r="AA1295" s="6"/>
      <c r="AB1295" s="6"/>
    </row>
    <row r="1296" spans="1:28" ht="12.75" x14ac:dyDescent="0.2">
      <c r="A1296" s="13"/>
      <c r="B1296" s="6"/>
      <c r="C1296" s="6"/>
      <c r="D1296" s="6"/>
      <c r="E1296" s="6"/>
      <c r="F1296" s="6"/>
      <c r="G1296" s="6"/>
      <c r="H1296" s="6"/>
      <c r="I1296" s="6"/>
      <c r="J1296" s="6"/>
      <c r="K1296" s="6"/>
      <c r="L1296" s="6"/>
      <c r="M1296" s="6"/>
      <c r="N1296" s="6"/>
      <c r="O1296" s="6"/>
      <c r="P1296" s="6"/>
      <c r="Q1296" s="6"/>
      <c r="R1296" s="6"/>
      <c r="S1296" s="6"/>
      <c r="T1296" s="6"/>
      <c r="U1296" s="6"/>
      <c r="V1296" s="6"/>
      <c r="W1296" s="6"/>
      <c r="X1296" s="6"/>
      <c r="Y1296" s="6"/>
      <c r="Z1296" s="6"/>
      <c r="AA1296" s="6"/>
      <c r="AB1296" s="6"/>
    </row>
    <row r="1297" spans="1:28" ht="12.75" x14ac:dyDescent="0.2">
      <c r="A1297" s="13"/>
      <c r="B1297" s="6"/>
      <c r="C1297" s="6"/>
      <c r="D1297" s="6"/>
      <c r="E1297" s="6"/>
      <c r="F1297" s="6"/>
      <c r="G1297" s="6"/>
      <c r="H1297" s="6"/>
      <c r="I1297" s="6"/>
      <c r="J1297" s="6"/>
      <c r="K1297" s="6"/>
      <c r="L1297" s="6"/>
      <c r="M1297" s="6"/>
      <c r="N1297" s="6"/>
      <c r="O1297" s="6"/>
      <c r="P1297" s="6"/>
      <c r="Q1297" s="6"/>
      <c r="R1297" s="6"/>
      <c r="S1297" s="6"/>
      <c r="T1297" s="6"/>
      <c r="U1297" s="6"/>
      <c r="V1297" s="6"/>
      <c r="W1297" s="6"/>
      <c r="X1297" s="6"/>
      <c r="Y1297" s="6"/>
      <c r="Z1297" s="6"/>
      <c r="AA1297" s="6"/>
      <c r="AB1297" s="6"/>
    </row>
    <row r="1298" spans="1:28" ht="12.75" x14ac:dyDescent="0.2">
      <c r="A1298" s="13"/>
      <c r="B1298" s="6"/>
      <c r="C1298" s="6"/>
      <c r="D1298" s="6"/>
      <c r="E1298" s="6"/>
      <c r="F1298" s="6"/>
      <c r="G1298" s="6"/>
      <c r="H1298" s="6"/>
      <c r="I1298" s="6"/>
      <c r="J1298" s="6"/>
      <c r="K1298" s="6"/>
      <c r="L1298" s="6"/>
      <c r="M1298" s="6"/>
      <c r="N1298" s="6"/>
      <c r="O1298" s="6"/>
      <c r="P1298" s="6"/>
      <c r="Q1298" s="6"/>
      <c r="R1298" s="6"/>
      <c r="S1298" s="6"/>
      <c r="T1298" s="6"/>
      <c r="U1298" s="6"/>
      <c r="V1298" s="6"/>
      <c r="W1298" s="6"/>
      <c r="X1298" s="6"/>
      <c r="Y1298" s="6"/>
      <c r="Z1298" s="6"/>
      <c r="AA1298" s="6"/>
      <c r="AB1298" s="6"/>
    </row>
    <row r="1299" spans="1:28" ht="12.75" x14ac:dyDescent="0.2">
      <c r="A1299" s="13"/>
      <c r="B1299" s="6"/>
      <c r="C1299" s="6"/>
      <c r="D1299" s="6"/>
      <c r="E1299" s="6"/>
      <c r="F1299" s="6"/>
      <c r="G1299" s="6"/>
      <c r="H1299" s="6"/>
      <c r="I1299" s="6"/>
      <c r="J1299" s="6"/>
      <c r="K1299" s="6"/>
      <c r="L1299" s="6"/>
      <c r="M1299" s="6"/>
      <c r="N1299" s="6"/>
      <c r="O1299" s="6"/>
      <c r="P1299" s="6"/>
      <c r="Q1299" s="6"/>
      <c r="R1299" s="6"/>
      <c r="S1299" s="6"/>
      <c r="T1299" s="6"/>
      <c r="U1299" s="6"/>
      <c r="V1299" s="6"/>
      <c r="W1299" s="6"/>
      <c r="X1299" s="6"/>
      <c r="Y1299" s="6"/>
      <c r="Z1299" s="6"/>
      <c r="AA1299" s="6"/>
      <c r="AB1299" s="6"/>
    </row>
    <row r="1300" spans="1:28" ht="12.75" x14ac:dyDescent="0.2">
      <c r="A1300" s="13"/>
      <c r="B1300" s="6"/>
      <c r="C1300" s="6"/>
      <c r="D1300" s="6"/>
      <c r="E1300" s="6"/>
      <c r="F1300" s="6"/>
      <c r="G1300" s="6"/>
      <c r="H1300" s="6"/>
      <c r="I1300" s="6"/>
      <c r="J1300" s="6"/>
      <c r="K1300" s="6"/>
      <c r="L1300" s="6"/>
      <c r="M1300" s="6"/>
      <c r="N1300" s="6"/>
      <c r="O1300" s="6"/>
      <c r="P1300" s="6"/>
      <c r="Q1300" s="6"/>
      <c r="R1300" s="6"/>
      <c r="S1300" s="6"/>
      <c r="T1300" s="6"/>
      <c r="U1300" s="6"/>
      <c r="V1300" s="6"/>
      <c r="W1300" s="6"/>
      <c r="X1300" s="6"/>
      <c r="Y1300" s="6"/>
      <c r="Z1300" s="6"/>
      <c r="AA1300" s="6"/>
      <c r="AB1300" s="6"/>
    </row>
    <row r="1301" spans="1:28" ht="12.75" x14ac:dyDescent="0.2">
      <c r="A1301" s="13"/>
      <c r="B1301" s="6"/>
      <c r="C1301" s="6"/>
      <c r="D1301" s="6"/>
      <c r="E1301" s="6"/>
      <c r="F1301" s="6"/>
      <c r="G1301" s="6"/>
      <c r="H1301" s="6"/>
      <c r="I1301" s="6"/>
      <c r="J1301" s="6"/>
      <c r="K1301" s="6"/>
      <c r="L1301" s="6"/>
      <c r="M1301" s="6"/>
      <c r="N1301" s="6"/>
      <c r="O1301" s="6"/>
      <c r="P1301" s="6"/>
      <c r="Q1301" s="6"/>
      <c r="R1301" s="6"/>
      <c r="S1301" s="6"/>
      <c r="T1301" s="6"/>
      <c r="U1301" s="6"/>
      <c r="V1301" s="6"/>
      <c r="W1301" s="6"/>
      <c r="X1301" s="6"/>
      <c r="Y1301" s="6"/>
      <c r="Z1301" s="6"/>
      <c r="AA1301" s="6"/>
      <c r="AB1301" s="6"/>
    </row>
    <row r="1302" spans="1:28" ht="12.75" x14ac:dyDescent="0.2">
      <c r="A1302" s="13"/>
      <c r="B1302" s="6"/>
      <c r="C1302" s="6"/>
      <c r="D1302" s="6"/>
      <c r="E1302" s="6"/>
      <c r="F1302" s="6"/>
      <c r="G1302" s="6"/>
      <c r="H1302" s="6"/>
      <c r="I1302" s="6"/>
      <c r="J1302" s="6"/>
      <c r="K1302" s="6"/>
      <c r="L1302" s="6"/>
      <c r="M1302" s="6"/>
      <c r="N1302" s="6"/>
      <c r="O1302" s="6"/>
      <c r="P1302" s="6"/>
      <c r="Q1302" s="6"/>
      <c r="R1302" s="6"/>
      <c r="S1302" s="6"/>
      <c r="T1302" s="6"/>
      <c r="U1302" s="6"/>
      <c r="V1302" s="6"/>
      <c r="W1302" s="6"/>
      <c r="X1302" s="6"/>
      <c r="Y1302" s="6"/>
      <c r="Z1302" s="6"/>
      <c r="AA1302" s="6"/>
      <c r="AB1302" s="6"/>
    </row>
    <row r="1303" spans="1:28" ht="12.75" x14ac:dyDescent="0.2">
      <c r="A1303" s="13"/>
      <c r="B1303" s="6"/>
      <c r="C1303" s="6"/>
      <c r="D1303" s="6"/>
      <c r="E1303" s="6"/>
      <c r="F1303" s="6"/>
      <c r="G1303" s="6"/>
      <c r="H1303" s="6"/>
      <c r="I1303" s="6"/>
      <c r="J1303" s="6"/>
      <c r="K1303" s="6"/>
      <c r="L1303" s="6"/>
      <c r="M1303" s="6"/>
      <c r="N1303" s="6"/>
      <c r="O1303" s="6"/>
      <c r="P1303" s="6"/>
      <c r="Q1303" s="6"/>
      <c r="R1303" s="6"/>
      <c r="S1303" s="6"/>
      <c r="T1303" s="6"/>
      <c r="U1303" s="6"/>
      <c r="V1303" s="6"/>
      <c r="W1303" s="6"/>
      <c r="X1303" s="6"/>
      <c r="Y1303" s="6"/>
      <c r="Z1303" s="6"/>
      <c r="AA1303" s="6"/>
      <c r="AB1303" s="6"/>
    </row>
    <row r="1304" spans="1:28" ht="12.75" x14ac:dyDescent="0.2">
      <c r="A1304" s="13"/>
      <c r="B1304" s="6"/>
      <c r="C1304" s="6"/>
      <c r="D1304" s="6"/>
      <c r="E1304" s="6"/>
      <c r="F1304" s="6"/>
      <c r="G1304" s="6"/>
      <c r="H1304" s="6"/>
      <c r="I1304" s="6"/>
      <c r="J1304" s="6"/>
      <c r="K1304" s="6"/>
      <c r="L1304" s="6"/>
      <c r="M1304" s="6"/>
      <c r="N1304" s="6"/>
      <c r="O1304" s="6"/>
      <c r="P1304" s="6"/>
      <c r="Q1304" s="6"/>
      <c r="R1304" s="6"/>
      <c r="S1304" s="6"/>
      <c r="T1304" s="6"/>
      <c r="U1304" s="6"/>
      <c r="V1304" s="6"/>
      <c r="W1304" s="6"/>
      <c r="X1304" s="6"/>
      <c r="Y1304" s="6"/>
      <c r="Z1304" s="6"/>
      <c r="AA1304" s="6"/>
      <c r="AB1304" s="6"/>
    </row>
    <row r="1305" spans="1:28" ht="12.75" x14ac:dyDescent="0.2">
      <c r="A1305" s="13"/>
      <c r="B1305" s="6"/>
      <c r="C1305" s="6"/>
      <c r="D1305" s="6"/>
      <c r="E1305" s="6"/>
      <c r="F1305" s="6"/>
      <c r="G1305" s="6"/>
      <c r="H1305" s="6"/>
      <c r="I1305" s="6"/>
      <c r="J1305" s="6"/>
      <c r="K1305" s="6"/>
      <c r="L1305" s="6"/>
      <c r="M1305" s="6"/>
      <c r="N1305" s="6"/>
      <c r="O1305" s="6"/>
      <c r="P1305" s="6"/>
      <c r="Q1305" s="6"/>
      <c r="R1305" s="6"/>
      <c r="S1305" s="6"/>
      <c r="T1305" s="6"/>
      <c r="U1305" s="6"/>
      <c r="V1305" s="6"/>
      <c r="W1305" s="6"/>
      <c r="X1305" s="6"/>
      <c r="Y1305" s="6"/>
      <c r="Z1305" s="6"/>
      <c r="AA1305" s="6"/>
      <c r="AB1305" s="6"/>
    </row>
    <row r="1306" spans="1:28" ht="12.75" x14ac:dyDescent="0.2">
      <c r="A1306" s="13"/>
      <c r="B1306" s="6"/>
      <c r="C1306" s="6"/>
      <c r="D1306" s="6"/>
      <c r="E1306" s="6"/>
      <c r="F1306" s="6"/>
      <c r="G1306" s="6"/>
      <c r="H1306" s="6"/>
      <c r="I1306" s="6"/>
      <c r="J1306" s="6"/>
      <c r="K1306" s="6"/>
      <c r="L1306" s="6"/>
      <c r="M1306" s="6"/>
      <c r="N1306" s="6"/>
      <c r="O1306" s="6"/>
      <c r="P1306" s="6"/>
      <c r="Q1306" s="6"/>
      <c r="R1306" s="6"/>
      <c r="S1306" s="6"/>
      <c r="T1306" s="6"/>
      <c r="U1306" s="6"/>
      <c r="V1306" s="6"/>
      <c r="W1306" s="6"/>
      <c r="X1306" s="6"/>
      <c r="Y1306" s="6"/>
      <c r="Z1306" s="6"/>
      <c r="AA1306" s="6"/>
      <c r="AB1306" s="6"/>
    </row>
    <row r="1307" spans="1:28" ht="12.75" x14ac:dyDescent="0.2">
      <c r="A1307" s="13"/>
      <c r="B1307" s="6"/>
      <c r="C1307" s="6"/>
      <c r="D1307" s="6"/>
      <c r="E1307" s="6"/>
      <c r="F1307" s="6"/>
      <c r="G1307" s="6"/>
      <c r="H1307" s="6"/>
      <c r="I1307" s="6"/>
      <c r="J1307" s="6"/>
      <c r="K1307" s="6"/>
      <c r="L1307" s="6"/>
      <c r="M1307" s="6"/>
      <c r="N1307" s="6"/>
      <c r="O1307" s="6"/>
      <c r="P1307" s="6"/>
      <c r="Q1307" s="6"/>
      <c r="R1307" s="6"/>
      <c r="S1307" s="6"/>
      <c r="T1307" s="6"/>
      <c r="U1307" s="6"/>
      <c r="V1307" s="6"/>
      <c r="W1307" s="6"/>
      <c r="X1307" s="6"/>
      <c r="Y1307" s="6"/>
      <c r="Z1307" s="6"/>
      <c r="AA1307" s="6"/>
      <c r="AB1307" s="6"/>
    </row>
    <row r="1308" spans="1:28" ht="12.75" x14ac:dyDescent="0.2">
      <c r="A1308" s="13"/>
      <c r="B1308" s="6"/>
      <c r="C1308" s="6"/>
      <c r="D1308" s="6"/>
      <c r="E1308" s="6"/>
      <c r="F1308" s="6"/>
      <c r="G1308" s="6"/>
      <c r="H1308" s="6"/>
      <c r="I1308" s="6"/>
      <c r="J1308" s="6"/>
      <c r="K1308" s="6"/>
      <c r="L1308" s="6"/>
      <c r="M1308" s="6"/>
      <c r="N1308" s="6"/>
      <c r="O1308" s="6"/>
      <c r="P1308" s="6"/>
      <c r="Q1308" s="6"/>
      <c r="R1308" s="6"/>
      <c r="S1308" s="6"/>
      <c r="T1308" s="6"/>
      <c r="U1308" s="6"/>
      <c r="V1308" s="6"/>
      <c r="W1308" s="6"/>
      <c r="X1308" s="6"/>
      <c r="Y1308" s="6"/>
      <c r="Z1308" s="6"/>
      <c r="AA1308" s="6"/>
      <c r="AB1308" s="6"/>
    </row>
    <row r="1309" spans="1:28" ht="12.75" x14ac:dyDescent="0.2">
      <c r="A1309" s="13"/>
      <c r="B1309" s="6"/>
      <c r="C1309" s="6"/>
      <c r="D1309" s="6"/>
      <c r="E1309" s="6"/>
      <c r="F1309" s="6"/>
      <c r="G1309" s="6"/>
      <c r="H1309" s="6"/>
      <c r="I1309" s="6"/>
      <c r="J1309" s="6"/>
      <c r="K1309" s="6"/>
      <c r="L1309" s="6"/>
      <c r="M1309" s="6"/>
      <c r="N1309" s="6"/>
      <c r="O1309" s="6"/>
      <c r="P1309" s="6"/>
      <c r="Q1309" s="6"/>
      <c r="R1309" s="6"/>
      <c r="S1309" s="6"/>
      <c r="T1309" s="6"/>
      <c r="U1309" s="6"/>
      <c r="V1309" s="6"/>
      <c r="W1309" s="6"/>
      <c r="X1309" s="6"/>
      <c r="Y1309" s="6"/>
      <c r="Z1309" s="6"/>
      <c r="AA1309" s="6"/>
      <c r="AB1309" s="6"/>
    </row>
    <row r="1310" spans="1:28" ht="12.75" x14ac:dyDescent="0.2">
      <c r="A1310" s="13"/>
      <c r="B1310" s="6"/>
      <c r="C1310" s="6"/>
      <c r="D1310" s="6"/>
      <c r="E1310" s="6"/>
      <c r="F1310" s="6"/>
      <c r="G1310" s="6"/>
      <c r="H1310" s="6"/>
      <c r="I1310" s="6"/>
      <c r="J1310" s="6"/>
      <c r="K1310" s="6"/>
      <c r="L1310" s="6"/>
      <c r="M1310" s="6"/>
      <c r="N1310" s="6"/>
      <c r="O1310" s="6"/>
      <c r="P1310" s="6"/>
      <c r="Q1310" s="6"/>
      <c r="R1310" s="6"/>
      <c r="S1310" s="6"/>
      <c r="T1310" s="6"/>
      <c r="U1310" s="6"/>
      <c r="V1310" s="6"/>
      <c r="W1310" s="6"/>
      <c r="X1310" s="6"/>
      <c r="Y1310" s="6"/>
      <c r="Z1310" s="6"/>
      <c r="AA1310" s="6"/>
      <c r="AB1310" s="6"/>
    </row>
    <row r="1311" spans="1:28" ht="12.75" x14ac:dyDescent="0.2">
      <c r="A1311" s="13"/>
      <c r="B1311" s="6"/>
      <c r="C1311" s="6"/>
      <c r="D1311" s="6"/>
      <c r="E1311" s="6"/>
      <c r="F1311" s="6"/>
      <c r="G1311" s="6"/>
      <c r="H1311" s="6"/>
      <c r="I1311" s="6"/>
      <c r="J1311" s="6"/>
      <c r="K1311" s="6"/>
      <c r="L1311" s="6"/>
      <c r="M1311" s="6"/>
      <c r="N1311" s="6"/>
      <c r="O1311" s="6"/>
      <c r="P1311" s="6"/>
      <c r="Q1311" s="6"/>
      <c r="R1311" s="6"/>
      <c r="S1311" s="6"/>
      <c r="T1311" s="6"/>
      <c r="U1311" s="6"/>
      <c r="V1311" s="6"/>
      <c r="W1311" s="6"/>
      <c r="X1311" s="6"/>
      <c r="Y1311" s="6"/>
      <c r="Z1311" s="6"/>
      <c r="AA1311" s="6"/>
      <c r="AB1311" s="6"/>
    </row>
    <row r="1312" spans="1:28" ht="12.75" x14ac:dyDescent="0.2">
      <c r="A1312" s="13"/>
      <c r="B1312" s="6"/>
      <c r="C1312" s="6"/>
      <c r="D1312" s="6"/>
      <c r="E1312" s="6"/>
      <c r="F1312" s="6"/>
      <c r="G1312" s="6"/>
      <c r="H1312" s="6"/>
      <c r="I1312" s="6"/>
      <c r="J1312" s="6"/>
      <c r="K1312" s="6"/>
      <c r="L1312" s="6"/>
      <c r="M1312" s="6"/>
      <c r="N1312" s="6"/>
      <c r="O1312" s="6"/>
      <c r="P1312" s="6"/>
      <c r="Q1312" s="6"/>
      <c r="R1312" s="6"/>
      <c r="S1312" s="6"/>
      <c r="T1312" s="6"/>
      <c r="U1312" s="6"/>
      <c r="V1312" s="6"/>
      <c r="W1312" s="6"/>
      <c r="X1312" s="6"/>
      <c r="Y1312" s="6"/>
      <c r="Z1312" s="6"/>
      <c r="AA1312" s="6"/>
      <c r="AB1312" s="6"/>
    </row>
    <row r="1313" spans="1:28" ht="12.75" x14ac:dyDescent="0.2">
      <c r="A1313" s="13"/>
      <c r="B1313" s="6"/>
      <c r="C1313" s="6"/>
      <c r="D1313" s="6"/>
      <c r="E1313" s="6"/>
      <c r="F1313" s="6"/>
      <c r="G1313" s="6"/>
      <c r="H1313" s="6"/>
      <c r="I1313" s="6"/>
      <c r="J1313" s="6"/>
      <c r="K1313" s="6"/>
      <c r="L1313" s="6"/>
      <c r="M1313" s="6"/>
      <c r="N1313" s="6"/>
      <c r="O1313" s="6"/>
      <c r="P1313" s="6"/>
      <c r="Q1313" s="6"/>
      <c r="R1313" s="6"/>
      <c r="S1313" s="6"/>
      <c r="T1313" s="6"/>
      <c r="U1313" s="6"/>
      <c r="V1313" s="6"/>
      <c r="W1313" s="6"/>
      <c r="X1313" s="6"/>
      <c r="Y1313" s="6"/>
      <c r="Z1313" s="6"/>
      <c r="AA1313" s="6"/>
      <c r="AB1313" s="6"/>
    </row>
    <row r="1314" spans="1:28" ht="12.75" x14ac:dyDescent="0.2">
      <c r="A1314" s="13"/>
      <c r="B1314" s="6"/>
      <c r="C1314" s="6"/>
      <c r="D1314" s="6"/>
      <c r="E1314" s="6"/>
      <c r="F1314" s="6"/>
      <c r="G1314" s="6"/>
      <c r="H1314" s="6"/>
      <c r="I1314" s="6"/>
      <c r="J1314" s="6"/>
      <c r="K1314" s="6"/>
      <c r="L1314" s="6"/>
      <c r="M1314" s="6"/>
      <c r="N1314" s="6"/>
      <c r="O1314" s="6"/>
      <c r="P1314" s="6"/>
      <c r="Q1314" s="6"/>
      <c r="R1314" s="6"/>
      <c r="S1314" s="6"/>
      <c r="T1314" s="6"/>
      <c r="U1314" s="6"/>
      <c r="V1314" s="6"/>
      <c r="W1314" s="6"/>
      <c r="X1314" s="6"/>
      <c r="Y1314" s="6"/>
      <c r="Z1314" s="6"/>
      <c r="AA1314" s="6"/>
      <c r="AB1314" s="6"/>
    </row>
    <row r="1315" spans="1:28" ht="12.75" x14ac:dyDescent="0.2">
      <c r="A1315" s="13"/>
      <c r="B1315" s="6"/>
      <c r="C1315" s="6"/>
      <c r="D1315" s="6"/>
      <c r="E1315" s="6"/>
      <c r="F1315" s="6"/>
      <c r="G1315" s="6"/>
      <c r="H1315" s="6"/>
      <c r="I1315" s="6"/>
      <c r="J1315" s="6"/>
      <c r="K1315" s="6"/>
      <c r="L1315" s="6"/>
      <c r="M1315" s="6"/>
      <c r="N1315" s="6"/>
      <c r="O1315" s="6"/>
      <c r="P1315" s="6"/>
      <c r="Q1315" s="6"/>
      <c r="R1315" s="6"/>
      <c r="S1315" s="6"/>
      <c r="T1315" s="6"/>
      <c r="U1315" s="6"/>
      <c r="V1315" s="6"/>
      <c r="W1315" s="6"/>
      <c r="X1315" s="6"/>
      <c r="Y1315" s="6"/>
      <c r="Z1315" s="6"/>
      <c r="AA1315" s="6"/>
      <c r="AB1315" s="6"/>
    </row>
    <row r="1316" spans="1:28" ht="12.75" x14ac:dyDescent="0.2">
      <c r="A1316" s="13"/>
      <c r="B1316" s="6"/>
      <c r="C1316" s="6"/>
      <c r="D1316" s="6"/>
      <c r="E1316" s="6"/>
      <c r="F1316" s="6"/>
      <c r="G1316" s="6"/>
      <c r="H1316" s="6"/>
      <c r="I1316" s="6"/>
      <c r="J1316" s="6"/>
      <c r="K1316" s="6"/>
      <c r="L1316" s="6"/>
      <c r="M1316" s="6"/>
      <c r="N1316" s="6"/>
      <c r="O1316" s="6"/>
      <c r="P1316" s="6"/>
      <c r="Q1316" s="6"/>
      <c r="R1316" s="6"/>
      <c r="S1316" s="6"/>
      <c r="T1316" s="6"/>
      <c r="U1316" s="6"/>
      <c r="V1316" s="6"/>
      <c r="W1316" s="6"/>
      <c r="X1316" s="6"/>
      <c r="Y1316" s="6"/>
      <c r="Z1316" s="6"/>
      <c r="AA1316" s="6"/>
      <c r="AB1316" s="6"/>
    </row>
    <row r="1317" spans="1:28" ht="12.75" x14ac:dyDescent="0.2">
      <c r="A1317" s="13"/>
      <c r="B1317" s="6"/>
      <c r="C1317" s="6"/>
      <c r="D1317" s="6"/>
      <c r="E1317" s="6"/>
      <c r="F1317" s="6"/>
      <c r="G1317" s="6"/>
      <c r="H1317" s="6"/>
      <c r="I1317" s="6"/>
      <c r="J1317" s="6"/>
      <c r="K1317" s="6"/>
      <c r="L1317" s="6"/>
      <c r="M1317" s="6"/>
      <c r="N1317" s="6"/>
      <c r="O1317" s="6"/>
      <c r="P1317" s="6"/>
      <c r="Q1317" s="6"/>
      <c r="R1317" s="6"/>
      <c r="S1317" s="6"/>
      <c r="T1317" s="6"/>
      <c r="U1317" s="6"/>
      <c r="V1317" s="6"/>
      <c r="W1317" s="6"/>
      <c r="X1317" s="6"/>
      <c r="Y1317" s="6"/>
      <c r="Z1317" s="6"/>
      <c r="AA1317" s="6"/>
      <c r="AB1317" s="6"/>
    </row>
    <row r="1318" spans="1:28" ht="12.75" x14ac:dyDescent="0.2">
      <c r="A1318" s="13"/>
      <c r="B1318" s="6"/>
      <c r="C1318" s="6"/>
      <c r="D1318" s="6"/>
      <c r="E1318" s="6"/>
      <c r="F1318" s="6"/>
      <c r="G1318" s="6"/>
      <c r="H1318" s="6"/>
      <c r="I1318" s="6"/>
      <c r="J1318" s="6"/>
      <c r="K1318" s="6"/>
      <c r="L1318" s="6"/>
      <c r="M1318" s="6"/>
      <c r="N1318" s="6"/>
      <c r="O1318" s="6"/>
      <c r="P1318" s="6"/>
      <c r="Q1318" s="6"/>
      <c r="R1318" s="6"/>
      <c r="S1318" s="6"/>
      <c r="T1318" s="6"/>
      <c r="U1318" s="6"/>
      <c r="V1318" s="6"/>
      <c r="W1318" s="6"/>
      <c r="X1318" s="6"/>
      <c r="Y1318" s="6"/>
      <c r="Z1318" s="6"/>
      <c r="AA1318" s="6"/>
      <c r="AB1318" s="6"/>
    </row>
    <row r="1319" spans="1:28" ht="12.75" x14ac:dyDescent="0.2">
      <c r="A1319" s="13"/>
      <c r="B1319" s="6"/>
      <c r="C1319" s="6"/>
      <c r="D1319" s="6"/>
      <c r="E1319" s="6"/>
      <c r="F1319" s="6"/>
      <c r="G1319" s="6"/>
      <c r="H1319" s="6"/>
      <c r="I1319" s="6"/>
      <c r="J1319" s="6"/>
      <c r="K1319" s="6"/>
      <c r="L1319" s="6"/>
      <c r="M1319" s="6"/>
      <c r="N1319" s="6"/>
      <c r="O1319" s="6"/>
      <c r="P1319" s="6"/>
      <c r="Q1319" s="6"/>
      <c r="R1319" s="6"/>
      <c r="S1319" s="6"/>
      <c r="T1319" s="6"/>
      <c r="U1319" s="6"/>
      <c r="V1319" s="6"/>
      <c r="W1319" s="6"/>
      <c r="X1319" s="6"/>
      <c r="Y1319" s="6"/>
      <c r="Z1319" s="6"/>
      <c r="AA1319" s="6"/>
      <c r="AB1319" s="6"/>
    </row>
    <row r="1320" spans="1:28" ht="12.75" x14ac:dyDescent="0.2">
      <c r="A1320" s="13"/>
      <c r="B1320" s="6"/>
      <c r="C1320" s="6"/>
      <c r="D1320" s="6"/>
      <c r="E1320" s="6"/>
      <c r="F1320" s="6"/>
      <c r="G1320" s="6"/>
      <c r="H1320" s="6"/>
      <c r="I1320" s="6"/>
      <c r="J1320" s="6"/>
      <c r="K1320" s="6"/>
      <c r="L1320" s="6"/>
      <c r="M1320" s="6"/>
      <c r="N1320" s="6"/>
      <c r="O1320" s="6"/>
      <c r="P1320" s="6"/>
      <c r="Q1320" s="6"/>
      <c r="R1320" s="6"/>
      <c r="S1320" s="6"/>
      <c r="T1320" s="6"/>
      <c r="U1320" s="6"/>
      <c r="V1320" s="6"/>
      <c r="W1320" s="6"/>
      <c r="X1320" s="6"/>
      <c r="Y1320" s="6"/>
      <c r="Z1320" s="6"/>
      <c r="AA1320" s="6"/>
      <c r="AB1320" s="6"/>
    </row>
    <row r="1321" spans="1:28" ht="12.75" x14ac:dyDescent="0.2">
      <c r="A1321" s="13"/>
      <c r="B1321" s="6"/>
      <c r="C1321" s="6"/>
      <c r="D1321" s="6"/>
      <c r="E1321" s="6"/>
      <c r="F1321" s="6"/>
      <c r="G1321" s="6"/>
      <c r="H1321" s="6"/>
      <c r="I1321" s="6"/>
      <c r="J1321" s="6"/>
      <c r="K1321" s="6"/>
      <c r="L1321" s="6"/>
      <c r="M1321" s="6"/>
      <c r="N1321" s="6"/>
      <c r="O1321" s="6"/>
      <c r="P1321" s="6"/>
      <c r="Q1321" s="6"/>
      <c r="R1321" s="6"/>
      <c r="S1321" s="6"/>
      <c r="T1321" s="6"/>
      <c r="U1321" s="6"/>
      <c r="V1321" s="6"/>
      <c r="W1321" s="6"/>
      <c r="X1321" s="6"/>
      <c r="Y1321" s="6"/>
      <c r="Z1321" s="6"/>
      <c r="AA1321" s="6"/>
      <c r="AB1321" s="6"/>
    </row>
    <row r="1322" spans="1:28" ht="12.75" x14ac:dyDescent="0.2">
      <c r="A1322" s="13"/>
      <c r="B1322" s="6"/>
      <c r="C1322" s="6"/>
      <c r="D1322" s="6"/>
      <c r="E1322" s="6"/>
      <c r="F1322" s="6"/>
      <c r="G1322" s="6"/>
      <c r="H1322" s="6"/>
      <c r="I1322" s="6"/>
      <c r="J1322" s="6"/>
      <c r="K1322" s="6"/>
      <c r="L1322" s="6"/>
      <c r="M1322" s="6"/>
      <c r="N1322" s="6"/>
      <c r="O1322" s="6"/>
      <c r="P1322" s="6"/>
      <c r="Q1322" s="6"/>
      <c r="R1322" s="6"/>
      <c r="S1322" s="6"/>
      <c r="T1322" s="6"/>
      <c r="U1322" s="6"/>
      <c r="V1322" s="6"/>
      <c r="W1322" s="6"/>
      <c r="X1322" s="6"/>
      <c r="Y1322" s="6"/>
      <c r="Z1322" s="6"/>
      <c r="AA1322" s="6"/>
      <c r="AB1322" s="6"/>
    </row>
    <row r="1323" spans="1:28" ht="12.75" x14ac:dyDescent="0.2">
      <c r="A1323" s="13"/>
      <c r="B1323" s="6"/>
      <c r="C1323" s="6"/>
      <c r="D1323" s="6"/>
      <c r="E1323" s="6"/>
      <c r="F1323" s="6"/>
      <c r="G1323" s="6"/>
      <c r="H1323" s="6"/>
      <c r="I1323" s="6"/>
      <c r="J1323" s="6"/>
      <c r="K1323" s="6"/>
      <c r="L1323" s="6"/>
      <c r="M1323" s="6"/>
      <c r="N1323" s="6"/>
      <c r="O1323" s="6"/>
      <c r="P1323" s="6"/>
      <c r="Q1323" s="6"/>
      <c r="R1323" s="6"/>
      <c r="S1323" s="6"/>
      <c r="T1323" s="6"/>
      <c r="U1323" s="6"/>
      <c r="V1323" s="6"/>
      <c r="W1323" s="6"/>
      <c r="X1323" s="6"/>
      <c r="Y1323" s="6"/>
      <c r="Z1323" s="6"/>
      <c r="AA1323" s="6"/>
      <c r="AB1323" s="6"/>
    </row>
    <row r="1324" spans="1:28" ht="12.75" x14ac:dyDescent="0.2">
      <c r="A1324" s="13"/>
      <c r="B1324" s="6"/>
      <c r="C1324" s="6"/>
      <c r="D1324" s="6"/>
      <c r="E1324" s="6"/>
      <c r="F1324" s="6"/>
      <c r="G1324" s="6"/>
      <c r="H1324" s="6"/>
      <c r="I1324" s="6"/>
      <c r="J1324" s="6"/>
      <c r="K1324" s="6"/>
      <c r="L1324" s="6"/>
      <c r="M1324" s="6"/>
      <c r="N1324" s="6"/>
      <c r="O1324" s="6"/>
      <c r="P1324" s="6"/>
      <c r="Q1324" s="6"/>
      <c r="R1324" s="6"/>
      <c r="S1324" s="6"/>
      <c r="T1324" s="6"/>
      <c r="U1324" s="6"/>
      <c r="V1324" s="6"/>
      <c r="W1324" s="6"/>
      <c r="X1324" s="6"/>
      <c r="Y1324" s="6"/>
      <c r="Z1324" s="6"/>
      <c r="AA1324" s="6"/>
      <c r="AB1324" s="6"/>
    </row>
    <row r="1325" spans="1:28" ht="12.75" x14ac:dyDescent="0.2">
      <c r="A1325" s="13"/>
      <c r="B1325" s="6"/>
      <c r="C1325" s="6"/>
      <c r="D1325" s="6"/>
      <c r="E1325" s="6"/>
      <c r="F1325" s="6"/>
      <c r="G1325" s="6"/>
      <c r="H1325" s="6"/>
      <c r="I1325" s="6"/>
      <c r="J1325" s="6"/>
      <c r="K1325" s="6"/>
      <c r="L1325" s="6"/>
      <c r="M1325" s="6"/>
      <c r="N1325" s="6"/>
      <c r="O1325" s="6"/>
      <c r="P1325" s="6"/>
      <c r="Q1325" s="6"/>
      <c r="R1325" s="6"/>
      <c r="S1325" s="6"/>
      <c r="T1325" s="6"/>
      <c r="U1325" s="6"/>
      <c r="V1325" s="6"/>
      <c r="W1325" s="6"/>
      <c r="X1325" s="6"/>
      <c r="Y1325" s="6"/>
      <c r="Z1325" s="6"/>
      <c r="AA1325" s="6"/>
      <c r="AB1325" s="6"/>
    </row>
    <row r="1326" spans="1:28" ht="12.75" x14ac:dyDescent="0.2">
      <c r="A1326" s="13"/>
      <c r="B1326" s="6"/>
      <c r="C1326" s="6"/>
      <c r="D1326" s="6"/>
      <c r="E1326" s="6"/>
      <c r="F1326" s="6"/>
      <c r="G1326" s="6"/>
      <c r="H1326" s="6"/>
      <c r="I1326" s="6"/>
      <c r="J1326" s="6"/>
      <c r="K1326" s="6"/>
      <c r="L1326" s="6"/>
      <c r="M1326" s="6"/>
      <c r="N1326" s="6"/>
      <c r="O1326" s="6"/>
      <c r="P1326" s="6"/>
      <c r="Q1326" s="6"/>
      <c r="R1326" s="6"/>
      <c r="S1326" s="6"/>
      <c r="T1326" s="6"/>
      <c r="U1326" s="6"/>
      <c r="V1326" s="6"/>
      <c r="W1326" s="6"/>
      <c r="X1326" s="6"/>
      <c r="Y1326" s="6"/>
      <c r="Z1326" s="6"/>
      <c r="AA1326" s="6"/>
      <c r="AB1326" s="6"/>
    </row>
    <row r="1327" spans="1:28" ht="12.75" x14ac:dyDescent="0.2">
      <c r="A1327" s="13"/>
      <c r="B1327" s="6"/>
      <c r="C1327" s="6"/>
      <c r="D1327" s="6"/>
      <c r="E1327" s="6"/>
      <c r="F1327" s="6"/>
      <c r="G1327" s="6"/>
      <c r="H1327" s="6"/>
      <c r="I1327" s="6"/>
      <c r="J1327" s="6"/>
      <c r="K1327" s="6"/>
      <c r="L1327" s="6"/>
      <c r="M1327" s="6"/>
      <c r="N1327" s="6"/>
      <c r="O1327" s="6"/>
      <c r="P1327" s="6"/>
      <c r="Q1327" s="6"/>
      <c r="R1327" s="6"/>
      <c r="S1327" s="6"/>
      <c r="T1327" s="6"/>
      <c r="U1327" s="6"/>
      <c r="V1327" s="6"/>
      <c r="W1327" s="6"/>
      <c r="X1327" s="6"/>
      <c r="Y1327" s="6"/>
      <c r="Z1327" s="6"/>
      <c r="AA1327" s="6"/>
      <c r="AB1327" s="6"/>
    </row>
    <row r="1328" spans="1:28" ht="12.75" x14ac:dyDescent="0.2">
      <c r="A1328" s="13"/>
      <c r="B1328" s="6"/>
      <c r="C1328" s="6"/>
      <c r="D1328" s="6"/>
      <c r="E1328" s="6"/>
      <c r="F1328" s="6"/>
      <c r="G1328" s="6"/>
      <c r="H1328" s="6"/>
      <c r="I1328" s="6"/>
      <c r="J1328" s="6"/>
      <c r="K1328" s="6"/>
      <c r="L1328" s="6"/>
      <c r="M1328" s="6"/>
      <c r="N1328" s="6"/>
      <c r="O1328" s="6"/>
      <c r="P1328" s="6"/>
      <c r="Q1328" s="6"/>
      <c r="R1328" s="6"/>
      <c r="S1328" s="6"/>
      <c r="T1328" s="6"/>
      <c r="U1328" s="6"/>
      <c r="V1328" s="6"/>
      <c r="W1328" s="6"/>
      <c r="X1328" s="6"/>
      <c r="Y1328" s="6"/>
      <c r="Z1328" s="6"/>
      <c r="AA1328" s="6"/>
      <c r="AB1328" s="6"/>
    </row>
    <row r="1329" spans="1:28" ht="12.75" x14ac:dyDescent="0.2">
      <c r="A1329" s="13"/>
      <c r="B1329" s="6"/>
      <c r="C1329" s="6"/>
      <c r="D1329" s="6"/>
      <c r="E1329" s="6"/>
      <c r="F1329" s="6"/>
      <c r="G1329" s="6"/>
      <c r="H1329" s="6"/>
      <c r="I1329" s="6"/>
      <c r="J1329" s="6"/>
      <c r="K1329" s="6"/>
      <c r="L1329" s="6"/>
      <c r="M1329" s="6"/>
      <c r="N1329" s="6"/>
      <c r="O1329" s="6"/>
      <c r="P1329" s="6"/>
      <c r="Q1329" s="6"/>
      <c r="R1329" s="6"/>
      <c r="S1329" s="6"/>
      <c r="T1329" s="6"/>
      <c r="U1329" s="6"/>
      <c r="V1329" s="6"/>
      <c r="W1329" s="6"/>
      <c r="X1329" s="6"/>
      <c r="Y1329" s="6"/>
      <c r="Z1329" s="6"/>
      <c r="AA1329" s="6"/>
      <c r="AB1329" s="6"/>
    </row>
    <row r="1330" spans="1:28" ht="12.75" x14ac:dyDescent="0.2">
      <c r="A1330" s="13"/>
      <c r="B1330" s="6"/>
      <c r="C1330" s="6"/>
      <c r="D1330" s="6"/>
      <c r="E1330" s="6"/>
      <c r="F1330" s="6"/>
      <c r="G1330" s="6"/>
      <c r="H1330" s="6"/>
      <c r="I1330" s="6"/>
      <c r="J1330" s="6"/>
      <c r="K1330" s="6"/>
      <c r="L1330" s="6"/>
      <c r="M1330" s="6"/>
      <c r="N1330" s="6"/>
      <c r="O1330" s="6"/>
      <c r="P1330" s="6"/>
      <c r="Q1330" s="6"/>
      <c r="R1330" s="6"/>
      <c r="S1330" s="6"/>
      <c r="T1330" s="6"/>
      <c r="U1330" s="6"/>
      <c r="V1330" s="6"/>
      <c r="W1330" s="6"/>
      <c r="X1330" s="6"/>
      <c r="Y1330" s="6"/>
      <c r="Z1330" s="6"/>
      <c r="AA1330" s="6"/>
      <c r="AB1330" s="6"/>
    </row>
    <row r="1331" spans="1:28" ht="12.75" x14ac:dyDescent="0.2">
      <c r="A1331" s="13"/>
      <c r="B1331" s="6"/>
      <c r="C1331" s="6"/>
      <c r="D1331" s="6"/>
      <c r="E1331" s="6"/>
      <c r="F1331" s="6"/>
      <c r="G1331" s="6"/>
      <c r="H1331" s="6"/>
      <c r="I1331" s="6"/>
      <c r="J1331" s="6"/>
      <c r="K1331" s="6"/>
      <c r="L1331" s="6"/>
      <c r="M1331" s="6"/>
      <c r="N1331" s="6"/>
      <c r="O1331" s="6"/>
      <c r="P1331" s="6"/>
      <c r="Q1331" s="6"/>
      <c r="R1331" s="6"/>
      <c r="S1331" s="6"/>
      <c r="T1331" s="6"/>
      <c r="U1331" s="6"/>
      <c r="V1331" s="6"/>
      <c r="W1331" s="6"/>
      <c r="X1331" s="6"/>
      <c r="Y1331" s="6"/>
      <c r="Z1331" s="6"/>
      <c r="AA1331" s="6"/>
      <c r="AB1331" s="6"/>
    </row>
    <row r="1332" spans="1:28" ht="12.75" x14ac:dyDescent="0.2">
      <c r="A1332" s="13"/>
      <c r="B1332" s="6"/>
      <c r="C1332" s="6"/>
      <c r="D1332" s="6"/>
      <c r="E1332" s="6"/>
      <c r="F1332" s="6"/>
      <c r="G1332" s="6"/>
      <c r="H1332" s="6"/>
      <c r="I1332" s="6"/>
      <c r="J1332" s="6"/>
      <c r="K1332" s="6"/>
      <c r="L1332" s="6"/>
      <c r="M1332" s="6"/>
      <c r="N1332" s="6"/>
      <c r="O1332" s="6"/>
      <c r="P1332" s="6"/>
      <c r="Q1332" s="6"/>
      <c r="R1332" s="6"/>
      <c r="S1332" s="6"/>
      <c r="T1332" s="6"/>
      <c r="U1332" s="6"/>
      <c r="V1332" s="6"/>
      <c r="W1332" s="6"/>
      <c r="X1332" s="6"/>
      <c r="Y1332" s="6"/>
      <c r="Z1332" s="6"/>
      <c r="AA1332" s="6"/>
      <c r="AB1332" s="6"/>
    </row>
    <row r="1333" spans="1:28" ht="12.75" x14ac:dyDescent="0.2">
      <c r="A1333" s="13"/>
      <c r="B1333" s="6"/>
      <c r="C1333" s="6"/>
      <c r="D1333" s="6"/>
      <c r="E1333" s="6"/>
      <c r="F1333" s="6"/>
      <c r="G1333" s="6"/>
      <c r="H1333" s="6"/>
      <c r="I1333" s="6"/>
      <c r="J1333" s="6"/>
      <c r="K1333" s="6"/>
      <c r="L1333" s="6"/>
      <c r="M1333" s="6"/>
      <c r="N1333" s="6"/>
      <c r="O1333" s="6"/>
      <c r="P1333" s="6"/>
      <c r="Q1333" s="6"/>
      <c r="R1333" s="6"/>
      <c r="S1333" s="6"/>
      <c r="T1333" s="6"/>
      <c r="U1333" s="6"/>
      <c r="V1333" s="6"/>
      <c r="W1333" s="6"/>
      <c r="X1333" s="6"/>
      <c r="Y1333" s="6"/>
      <c r="Z1333" s="6"/>
      <c r="AA1333" s="6"/>
      <c r="AB1333" s="6"/>
    </row>
    <row r="1334" spans="1:28" ht="12.75" x14ac:dyDescent="0.2">
      <c r="A1334" s="13"/>
      <c r="B1334" s="6"/>
      <c r="C1334" s="6"/>
      <c r="D1334" s="6"/>
      <c r="E1334" s="6"/>
      <c r="F1334" s="6"/>
      <c r="G1334" s="6"/>
      <c r="H1334" s="6"/>
      <c r="I1334" s="6"/>
      <c r="J1334" s="6"/>
      <c r="K1334" s="6"/>
      <c r="L1334" s="6"/>
      <c r="M1334" s="6"/>
      <c r="N1334" s="6"/>
      <c r="O1334" s="6"/>
      <c r="P1334" s="6"/>
      <c r="Q1334" s="6"/>
      <c r="R1334" s="6"/>
      <c r="S1334" s="6"/>
      <c r="T1334" s="6"/>
      <c r="U1334" s="6"/>
      <c r="V1334" s="6"/>
      <c r="W1334" s="6"/>
      <c r="X1334" s="6"/>
      <c r="Y1334" s="6"/>
      <c r="Z1334" s="6"/>
      <c r="AA1334" s="6"/>
      <c r="AB1334" s="6"/>
    </row>
    <row r="1335" spans="1:28" ht="12.75" x14ac:dyDescent="0.2">
      <c r="A1335" s="13"/>
      <c r="B1335" s="6"/>
      <c r="C1335" s="6"/>
      <c r="D1335" s="6"/>
      <c r="E1335" s="6"/>
      <c r="F1335" s="6"/>
      <c r="G1335" s="6"/>
      <c r="H1335" s="6"/>
      <c r="I1335" s="6"/>
      <c r="J1335" s="6"/>
      <c r="K1335" s="6"/>
      <c r="L1335" s="6"/>
      <c r="M1335" s="6"/>
      <c r="N1335" s="6"/>
      <c r="O1335" s="6"/>
      <c r="P1335" s="6"/>
      <c r="Q1335" s="6"/>
      <c r="R1335" s="6"/>
      <c r="S1335" s="6"/>
      <c r="T1335" s="6"/>
      <c r="U1335" s="6"/>
      <c r="V1335" s="6"/>
      <c r="W1335" s="6"/>
      <c r="X1335" s="6"/>
      <c r="Y1335" s="6"/>
      <c r="Z1335" s="6"/>
      <c r="AA1335" s="6"/>
      <c r="AB1335" s="6"/>
    </row>
    <row r="1336" spans="1:28" ht="12.75" x14ac:dyDescent="0.2">
      <c r="A1336" s="13"/>
      <c r="B1336" s="6"/>
      <c r="C1336" s="6"/>
      <c r="D1336" s="6"/>
      <c r="E1336" s="6"/>
      <c r="F1336" s="6"/>
      <c r="G1336" s="6"/>
      <c r="H1336" s="6"/>
      <c r="I1336" s="6"/>
      <c r="J1336" s="6"/>
      <c r="K1336" s="6"/>
      <c r="L1336" s="6"/>
      <c r="M1336" s="6"/>
      <c r="N1336" s="6"/>
      <c r="O1336" s="6"/>
      <c r="P1336" s="6"/>
      <c r="Q1336" s="6"/>
      <c r="R1336" s="6"/>
      <c r="S1336" s="6"/>
      <c r="T1336" s="6"/>
      <c r="U1336" s="6"/>
      <c r="V1336" s="6"/>
      <c r="W1336" s="6"/>
      <c r="X1336" s="6"/>
      <c r="Y1336" s="6"/>
      <c r="Z1336" s="6"/>
      <c r="AA1336" s="6"/>
      <c r="AB1336" s="6"/>
    </row>
    <row r="1337" spans="1:28" ht="12.75" x14ac:dyDescent="0.2">
      <c r="A1337" s="13"/>
      <c r="B1337" s="6"/>
      <c r="C1337" s="6"/>
      <c r="D1337" s="6"/>
      <c r="E1337" s="6"/>
      <c r="F1337" s="6"/>
      <c r="G1337" s="6"/>
      <c r="H1337" s="6"/>
      <c r="I1337" s="6"/>
      <c r="J1337" s="6"/>
      <c r="K1337" s="6"/>
      <c r="L1337" s="6"/>
      <c r="M1337" s="6"/>
      <c r="N1337" s="6"/>
      <c r="O1337" s="6"/>
      <c r="P1337" s="6"/>
      <c r="Q1337" s="6"/>
      <c r="R1337" s="6"/>
      <c r="S1337" s="6"/>
      <c r="T1337" s="6"/>
      <c r="U1337" s="6"/>
      <c r="V1337" s="6"/>
      <c r="W1337" s="6"/>
      <c r="X1337" s="6"/>
      <c r="Y1337" s="6"/>
      <c r="Z1337" s="6"/>
      <c r="AA1337" s="6"/>
      <c r="AB1337" s="6"/>
    </row>
    <row r="1338" spans="1:28" ht="12.75" x14ac:dyDescent="0.2">
      <c r="A1338" s="13"/>
      <c r="B1338" s="6"/>
      <c r="C1338" s="6"/>
      <c r="D1338" s="6"/>
      <c r="E1338" s="6"/>
      <c r="F1338" s="6"/>
      <c r="G1338" s="6"/>
      <c r="H1338" s="6"/>
      <c r="I1338" s="6"/>
      <c r="J1338" s="6"/>
      <c r="K1338" s="6"/>
      <c r="L1338" s="6"/>
      <c r="M1338" s="6"/>
      <c r="N1338" s="6"/>
      <c r="O1338" s="6"/>
      <c r="P1338" s="6"/>
      <c r="Q1338" s="6"/>
      <c r="R1338" s="6"/>
      <c r="S1338" s="6"/>
      <c r="T1338" s="6"/>
      <c r="U1338" s="6"/>
      <c r="V1338" s="6"/>
      <c r="W1338" s="6"/>
      <c r="X1338" s="6"/>
      <c r="Y1338" s="6"/>
      <c r="Z1338" s="6"/>
      <c r="AA1338" s="6"/>
      <c r="AB1338" s="6"/>
    </row>
    <row r="1339" spans="1:28" ht="12.75" x14ac:dyDescent="0.2">
      <c r="A1339" s="13"/>
      <c r="B1339" s="6"/>
      <c r="C1339" s="6"/>
      <c r="D1339" s="6"/>
      <c r="E1339" s="6"/>
      <c r="F1339" s="6"/>
      <c r="G1339" s="6"/>
      <c r="H1339" s="6"/>
      <c r="I1339" s="6"/>
      <c r="J1339" s="6"/>
      <c r="K1339" s="6"/>
      <c r="L1339" s="6"/>
      <c r="M1339" s="6"/>
      <c r="N1339" s="6"/>
      <c r="O1339" s="6"/>
      <c r="P1339" s="6"/>
      <c r="Q1339" s="6"/>
      <c r="R1339" s="6"/>
      <c r="S1339" s="6"/>
      <c r="T1339" s="6"/>
      <c r="U1339" s="6"/>
      <c r="V1339" s="6"/>
      <c r="W1339" s="6"/>
      <c r="X1339" s="6"/>
      <c r="Y1339" s="6"/>
      <c r="Z1339" s="6"/>
      <c r="AA1339" s="6"/>
      <c r="AB1339" s="6"/>
    </row>
    <row r="1340" spans="1:28" ht="12.75" x14ac:dyDescent="0.2">
      <c r="A1340" s="13"/>
      <c r="B1340" s="6"/>
      <c r="C1340" s="6"/>
      <c r="D1340" s="6"/>
      <c r="E1340" s="6"/>
      <c r="F1340" s="6"/>
      <c r="G1340" s="6"/>
      <c r="H1340" s="6"/>
      <c r="I1340" s="6"/>
      <c r="J1340" s="6"/>
      <c r="K1340" s="6"/>
      <c r="L1340" s="6"/>
      <c r="M1340" s="6"/>
      <c r="N1340" s="6"/>
      <c r="O1340" s="6"/>
      <c r="P1340" s="6"/>
      <c r="Q1340" s="6"/>
      <c r="R1340" s="6"/>
      <c r="S1340" s="6"/>
      <c r="T1340" s="6"/>
      <c r="U1340" s="6"/>
      <c r="V1340" s="6"/>
      <c r="W1340" s="6"/>
      <c r="X1340" s="6"/>
      <c r="Y1340" s="6"/>
      <c r="Z1340" s="6"/>
      <c r="AA1340" s="6"/>
      <c r="AB1340" s="6"/>
    </row>
    <row r="1341" spans="1:28" ht="12.75" x14ac:dyDescent="0.2">
      <c r="A1341" s="13"/>
      <c r="B1341" s="6"/>
      <c r="C1341" s="6"/>
      <c r="D1341" s="6"/>
      <c r="E1341" s="6"/>
      <c r="F1341" s="6"/>
      <c r="G1341" s="6"/>
      <c r="H1341" s="6"/>
      <c r="I1341" s="6"/>
      <c r="J1341" s="6"/>
      <c r="K1341" s="6"/>
      <c r="L1341" s="6"/>
      <c r="M1341" s="6"/>
      <c r="N1341" s="6"/>
      <c r="O1341" s="6"/>
      <c r="P1341" s="6"/>
      <c r="Q1341" s="6"/>
      <c r="R1341" s="6"/>
      <c r="S1341" s="6"/>
      <c r="T1341" s="6"/>
      <c r="U1341" s="6"/>
      <c r="V1341" s="6"/>
      <c r="W1341" s="6"/>
      <c r="X1341" s="6"/>
      <c r="Y1341" s="6"/>
      <c r="Z1341" s="6"/>
      <c r="AA1341" s="6"/>
      <c r="AB1341" s="6"/>
    </row>
    <row r="1342" spans="1:28" ht="12.75" x14ac:dyDescent="0.2">
      <c r="A1342" s="13"/>
      <c r="B1342" s="6"/>
      <c r="C1342" s="6"/>
      <c r="D1342" s="6"/>
      <c r="E1342" s="6"/>
      <c r="F1342" s="6"/>
      <c r="G1342" s="6"/>
      <c r="H1342" s="6"/>
      <c r="I1342" s="6"/>
      <c r="J1342" s="6"/>
      <c r="K1342" s="6"/>
      <c r="L1342" s="6"/>
      <c r="M1342" s="6"/>
      <c r="N1342" s="6"/>
      <c r="O1342" s="6"/>
      <c r="P1342" s="6"/>
      <c r="Q1342" s="6"/>
      <c r="R1342" s="6"/>
      <c r="S1342" s="6"/>
      <c r="T1342" s="6"/>
      <c r="U1342" s="6"/>
      <c r="V1342" s="6"/>
      <c r="W1342" s="6"/>
      <c r="X1342" s="6"/>
      <c r="Y1342" s="6"/>
      <c r="Z1342" s="6"/>
      <c r="AA1342" s="6"/>
      <c r="AB1342" s="6"/>
    </row>
    <row r="1343" spans="1:28" ht="12.75" x14ac:dyDescent="0.2">
      <c r="A1343" s="13"/>
      <c r="B1343" s="6"/>
      <c r="C1343" s="6"/>
      <c r="D1343" s="6"/>
      <c r="E1343" s="6"/>
      <c r="F1343" s="6"/>
      <c r="G1343" s="6"/>
      <c r="H1343" s="6"/>
      <c r="I1343" s="6"/>
      <c r="J1343" s="6"/>
      <c r="K1343" s="6"/>
      <c r="L1343" s="6"/>
      <c r="M1343" s="6"/>
      <c r="N1343" s="6"/>
      <c r="O1343" s="6"/>
      <c r="P1343" s="6"/>
      <c r="Q1343" s="6"/>
      <c r="R1343" s="6"/>
      <c r="S1343" s="6"/>
      <c r="T1343" s="6"/>
      <c r="U1343" s="6"/>
      <c r="V1343" s="6"/>
      <c r="W1343" s="6"/>
      <c r="X1343" s="6"/>
      <c r="Y1343" s="6"/>
      <c r="Z1343" s="6"/>
      <c r="AA1343" s="6"/>
      <c r="AB1343" s="6"/>
    </row>
    <row r="1344" spans="1:28" ht="12.75" x14ac:dyDescent="0.2">
      <c r="A1344" s="13"/>
      <c r="B1344" s="6"/>
      <c r="C1344" s="6"/>
      <c r="D1344" s="6"/>
      <c r="E1344" s="6"/>
      <c r="F1344" s="6"/>
      <c r="G1344" s="6"/>
      <c r="H1344" s="6"/>
      <c r="I1344" s="6"/>
      <c r="J1344" s="6"/>
      <c r="K1344" s="6"/>
      <c r="L1344" s="6"/>
      <c r="M1344" s="6"/>
      <c r="N1344" s="6"/>
      <c r="O1344" s="6"/>
      <c r="P1344" s="6"/>
      <c r="Q1344" s="6"/>
      <c r="R1344" s="6"/>
      <c r="S1344" s="6"/>
      <c r="T1344" s="6"/>
      <c r="U1344" s="6"/>
      <c r="V1344" s="6"/>
      <c r="W1344" s="6"/>
      <c r="X1344" s="6"/>
      <c r="Y1344" s="6"/>
      <c r="Z1344" s="6"/>
      <c r="AA1344" s="6"/>
      <c r="AB1344" s="6"/>
    </row>
    <row r="1345" spans="1:28" ht="12.75" x14ac:dyDescent="0.2">
      <c r="A1345" s="13"/>
      <c r="B1345" s="6"/>
      <c r="C1345" s="6"/>
      <c r="D1345" s="6"/>
      <c r="E1345" s="6"/>
      <c r="F1345" s="6"/>
      <c r="G1345" s="6"/>
      <c r="H1345" s="6"/>
      <c r="I1345" s="6"/>
      <c r="J1345" s="6"/>
      <c r="K1345" s="6"/>
      <c r="L1345" s="6"/>
      <c r="M1345" s="6"/>
      <c r="N1345" s="6"/>
      <c r="O1345" s="6"/>
      <c r="P1345" s="6"/>
      <c r="Q1345" s="6"/>
      <c r="R1345" s="6"/>
      <c r="S1345" s="6"/>
      <c r="T1345" s="6"/>
      <c r="U1345" s="6"/>
      <c r="V1345" s="6"/>
      <c r="W1345" s="6"/>
      <c r="X1345" s="6"/>
      <c r="Y1345" s="6"/>
      <c r="Z1345" s="6"/>
      <c r="AA1345" s="6"/>
      <c r="AB1345" s="6"/>
    </row>
    <row r="1346" spans="1:28" ht="12.75" x14ac:dyDescent="0.2">
      <c r="A1346" s="13"/>
      <c r="B1346" s="6"/>
      <c r="C1346" s="6"/>
      <c r="D1346" s="6"/>
      <c r="E1346" s="6"/>
      <c r="F1346" s="6"/>
      <c r="G1346" s="6"/>
      <c r="H1346" s="6"/>
      <c r="I1346" s="6"/>
      <c r="J1346" s="6"/>
      <c r="K1346" s="6"/>
      <c r="L1346" s="6"/>
      <c r="M1346" s="6"/>
      <c r="N1346" s="6"/>
      <c r="O1346" s="6"/>
      <c r="P1346" s="6"/>
      <c r="Q1346" s="6"/>
      <c r="R1346" s="6"/>
      <c r="S1346" s="6"/>
      <c r="T1346" s="6"/>
      <c r="U1346" s="6"/>
      <c r="V1346" s="6"/>
      <c r="W1346" s="6"/>
      <c r="X1346" s="6"/>
      <c r="Y1346" s="6"/>
      <c r="Z1346" s="6"/>
      <c r="AA1346" s="6"/>
      <c r="AB1346" s="6"/>
    </row>
    <row r="1347" spans="1:28" ht="12.75" x14ac:dyDescent="0.2">
      <c r="A1347" s="13"/>
      <c r="B1347" s="6"/>
      <c r="C1347" s="6"/>
      <c r="D1347" s="6"/>
      <c r="E1347" s="6"/>
      <c r="F1347" s="6"/>
      <c r="G1347" s="6"/>
      <c r="H1347" s="6"/>
      <c r="I1347" s="6"/>
      <c r="J1347" s="6"/>
      <c r="K1347" s="6"/>
      <c r="L1347" s="6"/>
      <c r="M1347" s="6"/>
      <c r="N1347" s="6"/>
      <c r="O1347" s="6"/>
      <c r="P1347" s="6"/>
      <c r="Q1347" s="6"/>
      <c r="R1347" s="6"/>
      <c r="S1347" s="6"/>
      <c r="T1347" s="6"/>
      <c r="U1347" s="6"/>
      <c r="V1347" s="6"/>
      <c r="W1347" s="6"/>
      <c r="X1347" s="6"/>
      <c r="Y1347" s="6"/>
      <c r="Z1347" s="6"/>
      <c r="AA1347" s="6"/>
      <c r="AB1347" s="6"/>
    </row>
    <row r="1348" spans="1:28" ht="12.75" x14ac:dyDescent="0.2">
      <c r="A1348" s="13"/>
      <c r="B1348" s="6"/>
      <c r="C1348" s="6"/>
      <c r="D1348" s="6"/>
      <c r="E1348" s="6"/>
      <c r="F1348" s="6"/>
      <c r="G1348" s="6"/>
      <c r="H1348" s="6"/>
      <c r="I1348" s="6"/>
      <c r="J1348" s="6"/>
      <c r="K1348" s="6"/>
      <c r="L1348" s="6"/>
      <c r="M1348" s="6"/>
      <c r="N1348" s="6"/>
      <c r="O1348" s="6"/>
      <c r="P1348" s="6"/>
      <c r="Q1348" s="6"/>
      <c r="R1348" s="6"/>
      <c r="S1348" s="6"/>
      <c r="T1348" s="6"/>
      <c r="U1348" s="6"/>
      <c r="V1348" s="6"/>
      <c r="W1348" s="6"/>
      <c r="X1348" s="6"/>
      <c r="Y1348" s="6"/>
      <c r="Z1348" s="6"/>
      <c r="AA1348" s="6"/>
      <c r="AB1348" s="6"/>
    </row>
    <row r="1349" spans="1:28" ht="12.75" x14ac:dyDescent="0.2">
      <c r="A1349" s="13"/>
      <c r="B1349" s="6"/>
      <c r="C1349" s="6"/>
      <c r="D1349" s="6"/>
      <c r="E1349" s="6"/>
      <c r="F1349" s="6"/>
      <c r="G1349" s="6"/>
      <c r="H1349" s="6"/>
      <c r="I1349" s="6"/>
      <c r="J1349" s="6"/>
      <c r="K1349" s="6"/>
      <c r="L1349" s="6"/>
      <c r="M1349" s="6"/>
      <c r="N1349" s="6"/>
      <c r="O1349" s="6"/>
      <c r="P1349" s="6"/>
      <c r="Q1349" s="6"/>
      <c r="R1349" s="6"/>
      <c r="S1349" s="6"/>
      <c r="T1349" s="6"/>
      <c r="U1349" s="6"/>
      <c r="V1349" s="6"/>
      <c r="W1349" s="6"/>
      <c r="X1349" s="6"/>
      <c r="Y1349" s="6"/>
      <c r="Z1349" s="6"/>
      <c r="AA1349" s="6"/>
      <c r="AB1349" s="6"/>
    </row>
    <row r="1350" spans="1:28" ht="12.75" x14ac:dyDescent="0.2">
      <c r="A1350" s="13"/>
      <c r="B1350" s="6"/>
      <c r="C1350" s="6"/>
      <c r="D1350" s="6"/>
      <c r="E1350" s="6"/>
      <c r="F1350" s="6"/>
      <c r="G1350" s="6"/>
      <c r="H1350" s="6"/>
      <c r="I1350" s="6"/>
      <c r="J1350" s="6"/>
      <c r="K1350" s="6"/>
      <c r="L1350" s="6"/>
      <c r="M1350" s="6"/>
      <c r="N1350" s="6"/>
      <c r="O1350" s="6"/>
      <c r="P1350" s="6"/>
      <c r="Q1350" s="6"/>
      <c r="R1350" s="6"/>
      <c r="S1350" s="6"/>
      <c r="T1350" s="6"/>
      <c r="U1350" s="6"/>
      <c r="V1350" s="6"/>
      <c r="W1350" s="6"/>
      <c r="X1350" s="6"/>
      <c r="Y1350" s="6"/>
      <c r="Z1350" s="6"/>
      <c r="AA1350" s="6"/>
      <c r="AB1350" s="6"/>
    </row>
    <row r="1351" spans="1:28" ht="12.75" x14ac:dyDescent="0.2">
      <c r="A1351" s="13"/>
      <c r="B1351" s="6"/>
      <c r="C1351" s="6"/>
      <c r="D1351" s="6"/>
      <c r="E1351" s="6"/>
      <c r="F1351" s="6"/>
      <c r="G1351" s="6"/>
      <c r="H1351" s="6"/>
      <c r="I1351" s="6"/>
      <c r="J1351" s="6"/>
      <c r="K1351" s="6"/>
      <c r="L1351" s="6"/>
      <c r="M1351" s="6"/>
      <c r="N1351" s="6"/>
      <c r="O1351" s="6"/>
      <c r="P1351" s="6"/>
      <c r="Q1351" s="6"/>
      <c r="R1351" s="6"/>
      <c r="S1351" s="6"/>
      <c r="T1351" s="6"/>
      <c r="U1351" s="6"/>
      <c r="V1351" s="6"/>
      <c r="W1351" s="6"/>
      <c r="X1351" s="6"/>
      <c r="Y1351" s="6"/>
      <c r="Z1351" s="6"/>
      <c r="AA1351" s="6"/>
      <c r="AB1351" s="6"/>
    </row>
    <row r="1352" spans="1:28" ht="12.75" x14ac:dyDescent="0.2">
      <c r="A1352" s="13"/>
      <c r="B1352" s="6"/>
      <c r="C1352" s="6"/>
      <c r="D1352" s="6"/>
      <c r="E1352" s="6"/>
      <c r="F1352" s="6"/>
      <c r="G1352" s="6"/>
      <c r="H1352" s="6"/>
      <c r="I1352" s="6"/>
      <c r="J1352" s="6"/>
      <c r="K1352" s="6"/>
      <c r="L1352" s="6"/>
      <c r="M1352" s="6"/>
      <c r="N1352" s="6"/>
      <c r="O1352" s="6"/>
      <c r="P1352" s="6"/>
      <c r="Q1352" s="6"/>
      <c r="R1352" s="6"/>
      <c r="S1352" s="6"/>
      <c r="T1352" s="6"/>
      <c r="U1352" s="6"/>
      <c r="V1352" s="6"/>
      <c r="W1352" s="6"/>
      <c r="X1352" s="6"/>
      <c r="Y1352" s="6"/>
      <c r="Z1352" s="6"/>
      <c r="AA1352" s="6"/>
      <c r="AB1352" s="6"/>
    </row>
    <row r="1353" spans="1:28" ht="12.75" x14ac:dyDescent="0.2">
      <c r="A1353" s="13"/>
      <c r="B1353" s="6"/>
      <c r="C1353" s="6"/>
      <c r="D1353" s="6"/>
      <c r="E1353" s="6"/>
      <c r="F1353" s="6"/>
      <c r="G1353" s="6"/>
      <c r="H1353" s="6"/>
      <c r="I1353" s="6"/>
      <c r="J1353" s="6"/>
      <c r="K1353" s="6"/>
      <c r="L1353" s="6"/>
      <c r="M1353" s="6"/>
      <c r="N1353" s="6"/>
      <c r="O1353" s="6"/>
      <c r="P1353" s="6"/>
      <c r="Q1353" s="6"/>
      <c r="R1353" s="6"/>
      <c r="S1353" s="6"/>
      <c r="T1353" s="6"/>
      <c r="U1353" s="6"/>
      <c r="V1353" s="6"/>
      <c r="W1353" s="6"/>
      <c r="X1353" s="6"/>
      <c r="Y1353" s="6"/>
      <c r="Z1353" s="6"/>
      <c r="AA1353" s="6"/>
      <c r="AB1353" s="6"/>
    </row>
    <row r="1354" spans="1:28" ht="12.75" x14ac:dyDescent="0.2">
      <c r="A1354" s="13"/>
      <c r="B1354" s="6"/>
      <c r="C1354" s="6"/>
      <c r="D1354" s="6"/>
      <c r="E1354" s="6"/>
      <c r="F1354" s="6"/>
      <c r="G1354" s="6"/>
      <c r="H1354" s="6"/>
      <c r="I1354" s="6"/>
      <c r="J1354" s="6"/>
      <c r="K1354" s="6"/>
      <c r="L1354" s="6"/>
      <c r="M1354" s="6"/>
      <c r="N1354" s="6"/>
      <c r="O1354" s="6"/>
      <c r="P1354" s="6"/>
      <c r="Q1354" s="6"/>
      <c r="R1354" s="6"/>
      <c r="S1354" s="6"/>
      <c r="T1354" s="6"/>
      <c r="U1354" s="6"/>
      <c r="V1354" s="6"/>
      <c r="W1354" s="6"/>
      <c r="X1354" s="6"/>
      <c r="Y1354" s="6"/>
      <c r="Z1354" s="6"/>
      <c r="AA1354" s="6"/>
      <c r="AB1354" s="6"/>
    </row>
    <row r="1355" spans="1:28" ht="12.75" x14ac:dyDescent="0.2">
      <c r="A1355" s="13"/>
      <c r="B1355" s="6"/>
      <c r="C1355" s="6"/>
      <c r="D1355" s="6"/>
      <c r="E1355" s="6"/>
      <c r="F1355" s="6"/>
      <c r="G1355" s="6"/>
      <c r="H1355" s="6"/>
      <c r="I1355" s="6"/>
      <c r="J1355" s="6"/>
      <c r="K1355" s="6"/>
      <c r="L1355" s="6"/>
      <c r="M1355" s="6"/>
      <c r="N1355" s="6"/>
      <c r="O1355" s="6"/>
      <c r="P1355" s="6"/>
      <c r="Q1355" s="6"/>
      <c r="R1355" s="6"/>
      <c r="S1355" s="6"/>
      <c r="T1355" s="6"/>
      <c r="U1355" s="6"/>
      <c r="V1355" s="6"/>
      <c r="W1355" s="6"/>
      <c r="X1355" s="6"/>
      <c r="Y1355" s="6"/>
      <c r="Z1355" s="6"/>
      <c r="AA1355" s="6"/>
      <c r="AB1355" s="6"/>
    </row>
    <row r="1356" spans="1:28" ht="12.75" x14ac:dyDescent="0.2">
      <c r="A1356" s="13"/>
      <c r="B1356" s="6"/>
      <c r="C1356" s="6"/>
      <c r="D1356" s="6"/>
      <c r="E1356" s="6"/>
      <c r="F1356" s="6"/>
      <c r="G1356" s="6"/>
      <c r="H1356" s="6"/>
      <c r="I1356" s="6"/>
      <c r="J1356" s="6"/>
      <c r="K1356" s="6"/>
      <c r="L1356" s="6"/>
      <c r="M1356" s="6"/>
      <c r="N1356" s="6"/>
      <c r="O1356" s="6"/>
      <c r="P1356" s="6"/>
      <c r="Q1356" s="6"/>
      <c r="R1356" s="6"/>
      <c r="S1356" s="6"/>
      <c r="T1356" s="6"/>
      <c r="U1356" s="6"/>
      <c r="V1356" s="6"/>
      <c r="W1356" s="6"/>
      <c r="X1356" s="6"/>
      <c r="Y1356" s="6"/>
      <c r="Z1356" s="6"/>
      <c r="AA1356" s="6"/>
      <c r="AB1356" s="6"/>
    </row>
    <row r="1357" spans="1:28" ht="12.75" x14ac:dyDescent="0.2">
      <c r="A1357" s="13"/>
      <c r="B1357" s="6"/>
      <c r="C1357" s="6"/>
      <c r="D1357" s="6"/>
      <c r="E1357" s="6"/>
      <c r="F1357" s="6"/>
      <c r="G1357" s="6"/>
      <c r="H1357" s="6"/>
      <c r="I1357" s="6"/>
      <c r="J1357" s="6"/>
      <c r="K1357" s="6"/>
      <c r="L1357" s="6"/>
      <c r="M1357" s="6"/>
      <c r="N1357" s="6"/>
      <c r="O1357" s="6"/>
      <c r="P1357" s="6"/>
      <c r="Q1357" s="6"/>
      <c r="R1357" s="6"/>
      <c r="S1357" s="6"/>
      <c r="T1357" s="6"/>
      <c r="U1357" s="6"/>
      <c r="V1357" s="6"/>
      <c r="W1357" s="6"/>
      <c r="X1357" s="6"/>
      <c r="Y1357" s="6"/>
      <c r="Z1357" s="6"/>
      <c r="AA1357" s="6"/>
      <c r="AB1357" s="6"/>
    </row>
    <row r="1358" spans="1:28" ht="12.75" x14ac:dyDescent="0.2">
      <c r="A1358" s="13"/>
      <c r="B1358" s="6"/>
      <c r="C1358" s="6"/>
      <c r="D1358" s="6"/>
      <c r="E1358" s="6"/>
      <c r="F1358" s="6"/>
      <c r="G1358" s="6"/>
      <c r="H1358" s="6"/>
      <c r="I1358" s="6"/>
      <c r="J1358" s="6"/>
      <c r="K1358" s="6"/>
      <c r="L1358" s="6"/>
      <c r="M1358" s="6"/>
      <c r="N1358" s="6"/>
      <c r="O1358" s="6"/>
      <c r="P1358" s="6"/>
      <c r="Q1358" s="6"/>
      <c r="R1358" s="6"/>
      <c r="S1358" s="6"/>
      <c r="T1358" s="6"/>
      <c r="U1358" s="6"/>
      <c r="V1358" s="6"/>
      <c r="W1358" s="6"/>
      <c r="X1358" s="6"/>
      <c r="Y1358" s="6"/>
      <c r="Z1358" s="6"/>
      <c r="AA1358" s="6"/>
      <c r="AB1358" s="6"/>
    </row>
    <row r="1359" spans="1:28" ht="12.75" x14ac:dyDescent="0.2">
      <c r="A1359" s="13"/>
      <c r="B1359" s="6"/>
      <c r="C1359" s="6"/>
      <c r="D1359" s="6"/>
      <c r="E1359" s="6"/>
      <c r="F1359" s="6"/>
      <c r="G1359" s="6"/>
      <c r="H1359" s="6"/>
      <c r="I1359" s="6"/>
      <c r="J1359" s="6"/>
      <c r="K1359" s="6"/>
      <c r="L1359" s="6"/>
      <c r="M1359" s="6"/>
      <c r="N1359" s="6"/>
      <c r="O1359" s="6"/>
      <c r="P1359" s="6"/>
      <c r="Q1359" s="6"/>
      <c r="R1359" s="6"/>
      <c r="S1359" s="6"/>
      <c r="T1359" s="6"/>
      <c r="U1359" s="6"/>
      <c r="V1359" s="6"/>
      <c r="W1359" s="6"/>
      <c r="X1359" s="6"/>
      <c r="Y1359" s="6"/>
      <c r="Z1359" s="6"/>
      <c r="AA1359" s="6"/>
      <c r="AB1359" s="6"/>
    </row>
    <row r="1360" spans="1:28" ht="12.75" x14ac:dyDescent="0.2">
      <c r="A1360" s="13"/>
      <c r="B1360" s="6"/>
      <c r="C1360" s="6"/>
      <c r="D1360" s="6"/>
      <c r="E1360" s="6"/>
      <c r="F1360" s="6"/>
      <c r="G1360" s="6"/>
      <c r="H1360" s="6"/>
      <c r="I1360" s="6"/>
      <c r="J1360" s="6"/>
      <c r="K1360" s="6"/>
      <c r="L1360" s="6"/>
      <c r="M1360" s="6"/>
      <c r="N1360" s="6"/>
      <c r="O1360" s="6"/>
      <c r="P1360" s="6"/>
      <c r="Q1360" s="6"/>
      <c r="R1360" s="6"/>
      <c r="S1360" s="6"/>
      <c r="T1360" s="6"/>
      <c r="U1360" s="6"/>
      <c r="V1360" s="6"/>
      <c r="W1360" s="6"/>
      <c r="X1360" s="6"/>
      <c r="Y1360" s="6"/>
      <c r="Z1360" s="6"/>
      <c r="AA1360" s="6"/>
      <c r="AB1360" s="6"/>
    </row>
    <row r="1361" spans="1:28" ht="12.75" x14ac:dyDescent="0.2">
      <c r="A1361" s="13"/>
      <c r="B1361" s="6"/>
      <c r="C1361" s="6"/>
      <c r="D1361" s="6"/>
      <c r="E1361" s="6"/>
      <c r="F1361" s="6"/>
      <c r="G1361" s="6"/>
      <c r="H1361" s="6"/>
      <c r="I1361" s="6"/>
      <c r="J1361" s="6"/>
      <c r="K1361" s="6"/>
      <c r="L1361" s="6"/>
      <c r="M1361" s="6"/>
      <c r="N1361" s="6"/>
      <c r="O1361" s="6"/>
      <c r="P1361" s="6"/>
      <c r="Q1361" s="6"/>
      <c r="R1361" s="6"/>
      <c r="S1361" s="6"/>
      <c r="T1361" s="6"/>
      <c r="U1361" s="6"/>
      <c r="V1361" s="6"/>
      <c r="W1361" s="6"/>
      <c r="X1361" s="6"/>
      <c r="Y1361" s="6"/>
      <c r="Z1361" s="6"/>
      <c r="AA1361" s="6"/>
      <c r="AB1361" s="6"/>
    </row>
    <row r="1362" spans="1:28" ht="12.75" x14ac:dyDescent="0.2">
      <c r="A1362" s="13"/>
      <c r="B1362" s="6"/>
      <c r="C1362" s="6"/>
      <c r="D1362" s="6"/>
      <c r="E1362" s="6"/>
      <c r="F1362" s="6"/>
      <c r="G1362" s="6"/>
      <c r="H1362" s="6"/>
      <c r="I1362" s="6"/>
      <c r="J1362" s="6"/>
      <c r="K1362" s="6"/>
      <c r="L1362" s="6"/>
      <c r="M1362" s="6"/>
      <c r="N1362" s="6"/>
      <c r="O1362" s="6"/>
      <c r="P1362" s="6"/>
      <c r="Q1362" s="6"/>
      <c r="R1362" s="6"/>
      <c r="S1362" s="6"/>
      <c r="T1362" s="6"/>
      <c r="U1362" s="6"/>
      <c r="V1362" s="6"/>
      <c r="W1362" s="6"/>
      <c r="X1362" s="6"/>
      <c r="Y1362" s="6"/>
      <c r="Z1362" s="6"/>
      <c r="AA1362" s="6"/>
      <c r="AB1362" s="6"/>
    </row>
    <row r="1363" spans="1:28" ht="12.75" x14ac:dyDescent="0.2">
      <c r="A1363" s="13"/>
      <c r="B1363" s="6"/>
      <c r="C1363" s="6"/>
      <c r="D1363" s="6"/>
      <c r="E1363" s="6"/>
      <c r="F1363" s="6"/>
      <c r="G1363" s="6"/>
      <c r="H1363" s="6"/>
      <c r="I1363" s="6"/>
      <c r="J1363" s="6"/>
      <c r="K1363" s="6"/>
      <c r="L1363" s="6"/>
      <c r="M1363" s="6"/>
      <c r="N1363" s="6"/>
      <c r="O1363" s="6"/>
      <c r="P1363" s="6"/>
      <c r="Q1363" s="6"/>
      <c r="R1363" s="6"/>
      <c r="S1363" s="6"/>
      <c r="T1363" s="6"/>
      <c r="U1363" s="6"/>
      <c r="V1363" s="6"/>
      <c r="W1363" s="6"/>
      <c r="X1363" s="6"/>
      <c r="Y1363" s="6"/>
      <c r="Z1363" s="6"/>
      <c r="AA1363" s="6"/>
      <c r="AB1363" s="6"/>
    </row>
    <row r="1364" spans="1:28" ht="12.75" x14ac:dyDescent="0.2">
      <c r="A1364" s="13"/>
      <c r="B1364" s="6"/>
      <c r="C1364" s="6"/>
      <c r="D1364" s="6"/>
      <c r="E1364" s="6"/>
      <c r="F1364" s="6"/>
      <c r="G1364" s="6"/>
      <c r="H1364" s="6"/>
      <c r="I1364" s="6"/>
      <c r="J1364" s="6"/>
      <c r="K1364" s="6"/>
      <c r="L1364" s="6"/>
      <c r="M1364" s="6"/>
      <c r="N1364" s="6"/>
      <c r="O1364" s="6"/>
      <c r="P1364" s="6"/>
      <c r="Q1364" s="6"/>
      <c r="R1364" s="6"/>
      <c r="S1364" s="6"/>
      <c r="T1364" s="6"/>
      <c r="U1364" s="6"/>
      <c r="V1364" s="6"/>
      <c r="W1364" s="6"/>
      <c r="X1364" s="6"/>
      <c r="Y1364" s="6"/>
      <c r="Z1364" s="6"/>
      <c r="AA1364" s="6"/>
      <c r="AB1364" s="6"/>
    </row>
    <row r="1365" spans="1:28" ht="12.75" x14ac:dyDescent="0.2">
      <c r="A1365" s="13"/>
      <c r="B1365" s="6"/>
      <c r="C1365" s="6"/>
      <c r="D1365" s="6"/>
      <c r="E1365" s="6"/>
      <c r="F1365" s="6"/>
      <c r="G1365" s="6"/>
      <c r="H1365" s="6"/>
      <c r="I1365" s="6"/>
      <c r="J1365" s="6"/>
      <c r="K1365" s="6"/>
      <c r="L1365" s="6"/>
      <c r="M1365" s="6"/>
      <c r="N1365" s="6"/>
      <c r="O1365" s="6"/>
      <c r="P1365" s="6"/>
      <c r="Q1365" s="6"/>
      <c r="R1365" s="6"/>
      <c r="S1365" s="6"/>
      <c r="T1365" s="6"/>
      <c r="U1365" s="6"/>
      <c r="V1365" s="6"/>
      <c r="W1365" s="6"/>
      <c r="X1365" s="6"/>
      <c r="Y1365" s="6"/>
      <c r="Z1365" s="6"/>
      <c r="AA1365" s="6"/>
      <c r="AB1365" s="6"/>
    </row>
    <row r="1366" spans="1:28" ht="12.75" x14ac:dyDescent="0.2">
      <c r="A1366" s="13"/>
      <c r="B1366" s="6"/>
      <c r="C1366" s="6"/>
      <c r="D1366" s="6"/>
      <c r="E1366" s="6"/>
      <c r="F1366" s="6"/>
      <c r="G1366" s="6"/>
      <c r="H1366" s="6"/>
      <c r="I1366" s="6"/>
      <c r="J1366" s="6"/>
      <c r="K1366" s="6"/>
      <c r="L1366" s="6"/>
      <c r="M1366" s="6"/>
      <c r="N1366" s="6"/>
      <c r="O1366" s="6"/>
      <c r="P1366" s="6"/>
      <c r="Q1366" s="6"/>
      <c r="R1366" s="6"/>
      <c r="S1366" s="6"/>
      <c r="T1366" s="6"/>
      <c r="U1366" s="6"/>
      <c r="V1366" s="6"/>
      <c r="W1366" s="6"/>
      <c r="X1366" s="6"/>
      <c r="Y1366" s="6"/>
      <c r="Z1366" s="6"/>
      <c r="AA1366" s="6"/>
      <c r="AB1366" s="6"/>
    </row>
    <row r="1367" spans="1:28" ht="12.75" x14ac:dyDescent="0.2">
      <c r="A1367" s="13"/>
      <c r="B1367" s="6"/>
      <c r="C1367" s="6"/>
      <c r="D1367" s="6"/>
      <c r="E1367" s="6"/>
      <c r="F1367" s="6"/>
      <c r="G1367" s="6"/>
      <c r="H1367" s="6"/>
      <c r="I1367" s="6"/>
      <c r="J1367" s="6"/>
      <c r="K1367" s="6"/>
      <c r="L1367" s="6"/>
      <c r="M1367" s="6"/>
      <c r="N1367" s="6"/>
      <c r="O1367" s="6"/>
      <c r="P1367" s="6"/>
      <c r="Q1367" s="6"/>
      <c r="R1367" s="6"/>
      <c r="S1367" s="6"/>
      <c r="T1367" s="6"/>
      <c r="U1367" s="6"/>
      <c r="V1367" s="6"/>
      <c r="W1367" s="6"/>
      <c r="X1367" s="6"/>
      <c r="Y1367" s="6"/>
      <c r="Z1367" s="6"/>
      <c r="AA1367" s="6"/>
      <c r="AB1367" s="6"/>
    </row>
    <row r="1368" spans="1:28" ht="12.75" x14ac:dyDescent="0.2">
      <c r="A1368" s="13"/>
      <c r="B1368" s="6"/>
      <c r="C1368" s="6"/>
      <c r="D1368" s="6"/>
      <c r="E1368" s="6"/>
      <c r="F1368" s="6"/>
      <c r="G1368" s="6"/>
      <c r="H1368" s="6"/>
      <c r="I1368" s="6"/>
      <c r="J1368" s="6"/>
      <c r="K1368" s="6"/>
      <c r="L1368" s="6"/>
      <c r="M1368" s="6"/>
      <c r="N1368" s="6"/>
      <c r="O1368" s="6"/>
      <c r="P1368" s="6"/>
      <c r="Q1368" s="6"/>
      <c r="R1368" s="6"/>
      <c r="S1368" s="6"/>
      <c r="T1368" s="6"/>
      <c r="U1368" s="6"/>
      <c r="V1368" s="6"/>
      <c r="W1368" s="6"/>
      <c r="X1368" s="6"/>
      <c r="Y1368" s="6"/>
      <c r="Z1368" s="6"/>
      <c r="AA1368" s="6"/>
      <c r="AB1368" s="6"/>
    </row>
    <row r="1369" spans="1:28" ht="12.75" x14ac:dyDescent="0.2">
      <c r="A1369" s="13"/>
      <c r="B1369" s="6"/>
      <c r="C1369" s="6"/>
      <c r="D1369" s="6"/>
      <c r="E1369" s="6"/>
      <c r="F1369" s="6"/>
      <c r="G1369" s="6"/>
      <c r="H1369" s="6"/>
      <c r="I1369" s="6"/>
      <c r="J1369" s="6"/>
      <c r="K1369" s="6"/>
      <c r="L1369" s="6"/>
      <c r="M1369" s="6"/>
      <c r="N1369" s="6"/>
      <c r="O1369" s="6"/>
      <c r="P1369" s="6"/>
      <c r="Q1369" s="6"/>
      <c r="R1369" s="6"/>
      <c r="S1369" s="6"/>
      <c r="T1369" s="6"/>
      <c r="U1369" s="6"/>
      <c r="V1369" s="6"/>
      <c r="W1369" s="6"/>
      <c r="X1369" s="6"/>
      <c r="Y1369" s="6"/>
      <c r="Z1369" s="6"/>
      <c r="AA1369" s="6"/>
      <c r="AB1369" s="6"/>
    </row>
    <row r="1370" spans="1:28" ht="12.75" x14ac:dyDescent="0.2">
      <c r="A1370" s="13"/>
      <c r="B1370" s="6"/>
      <c r="C1370" s="6"/>
      <c r="D1370" s="6"/>
      <c r="E1370" s="6"/>
      <c r="F1370" s="6"/>
      <c r="G1370" s="6"/>
      <c r="H1370" s="6"/>
      <c r="I1370" s="6"/>
      <c r="J1370" s="6"/>
      <c r="K1370" s="6"/>
      <c r="L1370" s="6"/>
      <c r="M1370" s="6"/>
      <c r="N1370" s="6"/>
      <c r="O1370" s="6"/>
      <c r="P1370" s="6"/>
      <c r="Q1370" s="6"/>
      <c r="R1370" s="6"/>
      <c r="S1370" s="6"/>
      <c r="T1370" s="6"/>
      <c r="U1370" s="6"/>
      <c r="V1370" s="6"/>
      <c r="W1370" s="6"/>
      <c r="X1370" s="6"/>
      <c r="Y1370" s="6"/>
      <c r="Z1370" s="6"/>
      <c r="AA1370" s="6"/>
      <c r="AB1370" s="6"/>
    </row>
    <row r="1371" spans="1:28" ht="12.75" x14ac:dyDescent="0.2">
      <c r="A1371" s="13"/>
      <c r="B1371" s="6"/>
      <c r="C1371" s="6"/>
      <c r="D1371" s="6"/>
      <c r="E1371" s="6"/>
      <c r="F1371" s="6"/>
      <c r="G1371" s="6"/>
      <c r="H1371" s="6"/>
      <c r="I1371" s="6"/>
      <c r="J1371" s="6"/>
      <c r="K1371" s="6"/>
      <c r="L1371" s="6"/>
      <c r="M1371" s="6"/>
      <c r="N1371" s="6"/>
      <c r="O1371" s="6"/>
      <c r="P1371" s="6"/>
      <c r="Q1371" s="6"/>
      <c r="R1371" s="6"/>
      <c r="S1371" s="6"/>
      <c r="T1371" s="6"/>
      <c r="U1371" s="6"/>
      <c r="V1371" s="6"/>
      <c r="W1371" s="6"/>
      <c r="X1371" s="6"/>
      <c r="Y1371" s="6"/>
      <c r="Z1371" s="6"/>
      <c r="AA1371" s="6"/>
      <c r="AB1371" s="6"/>
    </row>
    <row r="1372" spans="1:28" ht="12.75" x14ac:dyDescent="0.2">
      <c r="A1372" s="13"/>
      <c r="B1372" s="6"/>
      <c r="C1372" s="6"/>
      <c r="D1372" s="6"/>
      <c r="E1372" s="6"/>
      <c r="F1372" s="6"/>
      <c r="G1372" s="6"/>
      <c r="H1372" s="6"/>
      <c r="I1372" s="6"/>
      <c r="J1372" s="6"/>
      <c r="K1372" s="6"/>
      <c r="L1372" s="6"/>
      <c r="M1372" s="6"/>
      <c r="N1372" s="6"/>
      <c r="O1372" s="6"/>
      <c r="P1372" s="6"/>
      <c r="Q1372" s="6"/>
      <c r="R1372" s="6"/>
      <c r="S1372" s="6"/>
      <c r="T1372" s="6"/>
      <c r="U1372" s="6"/>
      <c r="V1372" s="6"/>
      <c r="W1372" s="6"/>
      <c r="X1372" s="6"/>
      <c r="Y1372" s="6"/>
      <c r="Z1372" s="6"/>
      <c r="AA1372" s="6"/>
      <c r="AB1372" s="6"/>
    </row>
    <row r="1373" spans="1:28" ht="12.75" x14ac:dyDescent="0.2">
      <c r="A1373" s="13"/>
      <c r="B1373" s="6"/>
      <c r="C1373" s="6"/>
      <c r="D1373" s="6"/>
      <c r="E1373" s="6"/>
      <c r="F1373" s="6"/>
      <c r="G1373" s="6"/>
      <c r="H1373" s="6"/>
      <c r="I1373" s="6"/>
      <c r="J1373" s="6"/>
      <c r="K1373" s="6"/>
      <c r="L1373" s="6"/>
      <c r="M1373" s="6"/>
      <c r="N1373" s="6"/>
      <c r="O1373" s="6"/>
      <c r="P1373" s="6"/>
      <c r="Q1373" s="6"/>
      <c r="R1373" s="6"/>
      <c r="S1373" s="6"/>
      <c r="T1373" s="6"/>
      <c r="U1373" s="6"/>
      <c r="V1373" s="6"/>
      <c r="W1373" s="6"/>
      <c r="X1373" s="6"/>
      <c r="Y1373" s="6"/>
      <c r="Z1373" s="6"/>
      <c r="AA1373" s="6"/>
      <c r="AB1373" s="6"/>
    </row>
    <row r="1374" spans="1:28" ht="12.75" x14ac:dyDescent="0.2">
      <c r="A1374" s="13"/>
      <c r="B1374" s="6"/>
      <c r="C1374" s="6"/>
      <c r="D1374" s="6"/>
      <c r="E1374" s="6"/>
      <c r="F1374" s="6"/>
      <c r="G1374" s="6"/>
      <c r="H1374" s="6"/>
      <c r="I1374" s="6"/>
      <c r="J1374" s="6"/>
      <c r="K1374" s="6"/>
      <c r="L1374" s="6"/>
      <c r="M1374" s="6"/>
      <c r="N1374" s="6"/>
      <c r="O1374" s="6"/>
      <c r="P1374" s="6"/>
      <c r="Q1374" s="6"/>
      <c r="R1374" s="6"/>
      <c r="S1374" s="6"/>
      <c r="T1374" s="6"/>
      <c r="U1374" s="6"/>
      <c r="V1374" s="6"/>
      <c r="W1374" s="6"/>
      <c r="X1374" s="6"/>
      <c r="Y1374" s="6"/>
      <c r="Z1374" s="6"/>
      <c r="AA1374" s="6"/>
      <c r="AB1374" s="6"/>
    </row>
    <row r="1375" spans="1:28" ht="12.75" x14ac:dyDescent="0.2">
      <c r="A1375" s="13"/>
      <c r="B1375" s="6"/>
      <c r="C1375" s="6"/>
      <c r="D1375" s="6"/>
      <c r="E1375" s="6"/>
      <c r="F1375" s="6"/>
      <c r="G1375" s="6"/>
      <c r="H1375" s="6"/>
      <c r="I1375" s="6"/>
      <c r="J1375" s="6"/>
      <c r="K1375" s="6"/>
      <c r="L1375" s="6"/>
      <c r="M1375" s="6"/>
      <c r="N1375" s="6"/>
      <c r="O1375" s="6"/>
      <c r="P1375" s="6"/>
      <c r="Q1375" s="6"/>
      <c r="R1375" s="6"/>
      <c r="S1375" s="6"/>
      <c r="T1375" s="6"/>
      <c r="U1375" s="6"/>
      <c r="V1375" s="6"/>
      <c r="W1375" s="6"/>
      <c r="X1375" s="6"/>
      <c r="Y1375" s="6"/>
      <c r="Z1375" s="6"/>
      <c r="AA1375" s="6"/>
      <c r="AB1375" s="6"/>
    </row>
    <row r="1376" spans="1:28" ht="12.75" x14ac:dyDescent="0.2">
      <c r="A1376" s="13"/>
      <c r="B1376" s="6"/>
      <c r="C1376" s="6"/>
      <c r="D1376" s="6"/>
      <c r="E1376" s="6"/>
      <c r="F1376" s="6"/>
      <c r="G1376" s="6"/>
      <c r="H1376" s="6"/>
      <c r="I1376" s="6"/>
      <c r="J1376" s="6"/>
      <c r="K1376" s="6"/>
      <c r="L1376" s="6"/>
      <c r="M1376" s="6"/>
      <c r="N1376" s="6"/>
      <c r="O1376" s="6"/>
      <c r="P1376" s="6"/>
      <c r="Q1376" s="6"/>
      <c r="R1376" s="6"/>
      <c r="S1376" s="6"/>
      <c r="T1376" s="6"/>
      <c r="U1376" s="6"/>
      <c r="V1376" s="6"/>
      <c r="W1376" s="6"/>
      <c r="X1376" s="6"/>
      <c r="Y1376" s="6"/>
      <c r="Z1376" s="6"/>
      <c r="AA1376" s="6"/>
      <c r="AB1376" s="6"/>
    </row>
    <row r="1377" spans="1:28" ht="12.75" x14ac:dyDescent="0.2">
      <c r="A1377" s="13"/>
      <c r="B1377" s="6"/>
      <c r="C1377" s="6"/>
      <c r="D1377" s="6"/>
      <c r="E1377" s="6"/>
      <c r="F1377" s="6"/>
      <c r="G1377" s="6"/>
      <c r="H1377" s="6"/>
      <c r="I1377" s="6"/>
      <c r="J1377" s="6"/>
      <c r="K1377" s="6"/>
      <c r="L1377" s="6"/>
      <c r="M1377" s="6"/>
      <c r="N1377" s="6"/>
      <c r="O1377" s="6"/>
      <c r="P1377" s="6"/>
      <c r="Q1377" s="6"/>
      <c r="R1377" s="6"/>
      <c r="S1377" s="6"/>
      <c r="T1377" s="6"/>
      <c r="U1377" s="6"/>
      <c r="V1377" s="6"/>
      <c r="W1377" s="6"/>
      <c r="X1377" s="6"/>
      <c r="Y1377" s="6"/>
      <c r="Z1377" s="6"/>
      <c r="AA1377" s="6"/>
      <c r="AB1377" s="6"/>
    </row>
    <row r="1378" spans="1:28" ht="12.75" x14ac:dyDescent="0.2">
      <c r="A1378" s="13"/>
      <c r="B1378" s="6"/>
      <c r="C1378" s="6"/>
      <c r="D1378" s="6"/>
      <c r="E1378" s="6"/>
      <c r="F1378" s="6"/>
      <c r="G1378" s="6"/>
      <c r="H1378" s="6"/>
      <c r="I1378" s="6"/>
      <c r="J1378" s="6"/>
      <c r="K1378" s="6"/>
      <c r="L1378" s="6"/>
      <c r="M1378" s="6"/>
      <c r="N1378" s="6"/>
      <c r="O1378" s="6"/>
      <c r="P1378" s="6"/>
      <c r="Q1378" s="6"/>
      <c r="R1378" s="6"/>
      <c r="S1378" s="6"/>
      <c r="T1378" s="6"/>
      <c r="U1378" s="6"/>
      <c r="V1378" s="6"/>
      <c r="W1378" s="6"/>
      <c r="X1378" s="6"/>
      <c r="Y1378" s="6"/>
      <c r="Z1378" s="6"/>
      <c r="AA1378" s="6"/>
      <c r="AB1378" s="6"/>
    </row>
    <row r="1379" spans="1:28" ht="12.75" x14ac:dyDescent="0.2">
      <c r="A1379" s="13"/>
      <c r="B1379" s="6"/>
      <c r="C1379" s="6"/>
      <c r="D1379" s="6"/>
      <c r="E1379" s="6"/>
      <c r="F1379" s="6"/>
      <c r="G1379" s="6"/>
      <c r="H1379" s="6"/>
      <c r="I1379" s="6"/>
      <c r="J1379" s="6"/>
      <c r="K1379" s="6"/>
      <c r="L1379" s="6"/>
      <c r="M1379" s="6"/>
      <c r="N1379" s="6"/>
      <c r="O1379" s="6"/>
      <c r="P1379" s="6"/>
      <c r="Q1379" s="6"/>
      <c r="R1379" s="6"/>
      <c r="S1379" s="6"/>
      <c r="T1379" s="6"/>
      <c r="U1379" s="6"/>
      <c r="V1379" s="6"/>
      <c r="W1379" s="6"/>
      <c r="X1379" s="6"/>
      <c r="Y1379" s="6"/>
      <c r="Z1379" s="6"/>
      <c r="AA1379" s="6"/>
      <c r="AB1379" s="6"/>
    </row>
    <row r="1380" spans="1:28" ht="12.75" x14ac:dyDescent="0.2">
      <c r="A1380" s="13"/>
      <c r="B1380" s="6"/>
      <c r="C1380" s="6"/>
      <c r="D1380" s="6"/>
      <c r="E1380" s="6"/>
      <c r="F1380" s="6"/>
      <c r="G1380" s="6"/>
      <c r="H1380" s="6"/>
      <c r="I1380" s="6"/>
      <c r="J1380" s="6"/>
      <c r="K1380" s="6"/>
      <c r="L1380" s="6"/>
      <c r="M1380" s="6"/>
      <c r="N1380" s="6"/>
      <c r="O1380" s="6"/>
      <c r="P1380" s="6"/>
      <c r="Q1380" s="6"/>
      <c r="R1380" s="6"/>
      <c r="S1380" s="6"/>
      <c r="T1380" s="6"/>
      <c r="U1380" s="6"/>
      <c r="V1380" s="6"/>
      <c r="W1380" s="6"/>
      <c r="X1380" s="6"/>
      <c r="Y1380" s="6"/>
      <c r="Z1380" s="6"/>
      <c r="AA1380" s="6"/>
      <c r="AB1380" s="6"/>
    </row>
    <row r="1381" spans="1:28" ht="12.75" x14ac:dyDescent="0.2">
      <c r="A1381" s="13"/>
      <c r="B1381" s="6"/>
      <c r="C1381" s="6"/>
      <c r="D1381" s="6"/>
      <c r="E1381" s="6"/>
      <c r="F1381" s="6"/>
      <c r="G1381" s="6"/>
      <c r="H1381" s="6"/>
      <c r="I1381" s="6"/>
      <c r="J1381" s="6"/>
      <c r="K1381" s="6"/>
      <c r="L1381" s="6"/>
      <c r="M1381" s="6"/>
      <c r="N1381" s="6"/>
      <c r="O1381" s="6"/>
      <c r="P1381" s="6"/>
      <c r="Q1381" s="6"/>
      <c r="R1381" s="6"/>
      <c r="S1381" s="6"/>
      <c r="T1381" s="6"/>
      <c r="U1381" s="6"/>
      <c r="V1381" s="6"/>
      <c r="W1381" s="6"/>
      <c r="X1381" s="6"/>
      <c r="Y1381" s="6"/>
      <c r="Z1381" s="6"/>
      <c r="AA1381" s="6"/>
      <c r="AB1381" s="6"/>
    </row>
    <row r="1382" spans="1:28" ht="12.75" x14ac:dyDescent="0.2">
      <c r="A1382" s="13"/>
      <c r="B1382" s="6"/>
      <c r="C1382" s="6"/>
      <c r="D1382" s="6"/>
      <c r="E1382" s="6"/>
      <c r="F1382" s="6"/>
      <c r="G1382" s="6"/>
      <c r="H1382" s="6"/>
      <c r="I1382" s="6"/>
      <c r="J1382" s="6"/>
      <c r="K1382" s="6"/>
      <c r="L1382" s="6"/>
      <c r="M1382" s="6"/>
      <c r="N1382" s="6"/>
      <c r="O1382" s="6"/>
      <c r="P1382" s="6"/>
      <c r="Q1382" s="6"/>
      <c r="R1382" s="6"/>
      <c r="S1382" s="6"/>
      <c r="T1382" s="6"/>
      <c r="U1382" s="6"/>
      <c r="V1382" s="6"/>
      <c r="W1382" s="6"/>
      <c r="X1382" s="6"/>
      <c r="Y1382" s="6"/>
      <c r="Z1382" s="6"/>
      <c r="AA1382" s="6"/>
      <c r="AB1382" s="6"/>
    </row>
    <row r="1383" spans="1:28" ht="12.75" x14ac:dyDescent="0.2">
      <c r="A1383" s="13"/>
      <c r="B1383" s="6"/>
      <c r="C1383" s="6"/>
      <c r="D1383" s="6"/>
      <c r="E1383" s="6"/>
      <c r="F1383" s="6"/>
      <c r="G1383" s="6"/>
      <c r="H1383" s="6"/>
      <c r="I1383" s="6"/>
      <c r="J1383" s="6"/>
      <c r="K1383" s="6"/>
      <c r="L1383" s="6"/>
      <c r="M1383" s="6"/>
      <c r="N1383" s="6"/>
      <c r="O1383" s="6"/>
      <c r="P1383" s="6"/>
      <c r="Q1383" s="6"/>
      <c r="R1383" s="6"/>
      <c r="S1383" s="6"/>
      <c r="T1383" s="6"/>
      <c r="U1383" s="6"/>
      <c r="V1383" s="6"/>
      <c r="W1383" s="6"/>
      <c r="X1383" s="6"/>
      <c r="Y1383" s="6"/>
      <c r="Z1383" s="6"/>
      <c r="AA1383" s="6"/>
      <c r="AB1383" s="6"/>
    </row>
    <row r="1384" spans="1:28" ht="12.75" x14ac:dyDescent="0.2">
      <c r="A1384" s="13"/>
      <c r="B1384" s="6"/>
      <c r="C1384" s="6"/>
      <c r="D1384" s="6"/>
      <c r="E1384" s="6"/>
      <c r="F1384" s="6"/>
      <c r="G1384" s="6"/>
      <c r="H1384" s="6"/>
      <c r="I1384" s="6"/>
      <c r="J1384" s="6"/>
      <c r="K1384" s="6"/>
      <c r="L1384" s="6"/>
      <c r="M1384" s="6"/>
      <c r="N1384" s="6"/>
      <c r="O1384" s="6"/>
      <c r="P1384" s="6"/>
      <c r="Q1384" s="6"/>
      <c r="R1384" s="6"/>
      <c r="S1384" s="6"/>
      <c r="T1384" s="6"/>
      <c r="U1384" s="6"/>
      <c r="V1384" s="6"/>
      <c r="W1384" s="6"/>
      <c r="X1384" s="6"/>
      <c r="Y1384" s="6"/>
      <c r="Z1384" s="6"/>
      <c r="AA1384" s="6"/>
      <c r="AB1384" s="6"/>
    </row>
    <row r="1385" spans="1:28" ht="12.75" x14ac:dyDescent="0.2">
      <c r="A1385" s="13"/>
      <c r="B1385" s="6"/>
      <c r="C1385" s="6"/>
      <c r="D1385" s="6"/>
      <c r="E1385" s="6"/>
      <c r="F1385" s="6"/>
      <c r="G1385" s="6"/>
      <c r="H1385" s="6"/>
      <c r="I1385" s="6"/>
      <c r="J1385" s="6"/>
      <c r="K1385" s="6"/>
      <c r="L1385" s="6"/>
      <c r="M1385" s="6"/>
      <c r="N1385" s="6"/>
      <c r="O1385" s="6"/>
      <c r="P1385" s="6"/>
      <c r="Q1385" s="6"/>
      <c r="R1385" s="6"/>
      <c r="S1385" s="6"/>
      <c r="T1385" s="6"/>
      <c r="U1385" s="6"/>
      <c r="V1385" s="6"/>
      <c r="W1385" s="6"/>
      <c r="X1385" s="6"/>
      <c r="Y1385" s="6"/>
      <c r="Z1385" s="6"/>
      <c r="AA1385" s="6"/>
      <c r="AB1385" s="6"/>
    </row>
    <row r="1386" spans="1:28" ht="12.75" x14ac:dyDescent="0.2">
      <c r="A1386" s="13"/>
      <c r="B1386" s="6"/>
      <c r="C1386" s="6"/>
      <c r="D1386" s="6"/>
      <c r="E1386" s="6"/>
      <c r="F1386" s="6"/>
      <c r="G1386" s="6"/>
      <c r="H1386" s="6"/>
      <c r="I1386" s="6"/>
      <c r="J1386" s="6"/>
      <c r="K1386" s="6"/>
      <c r="L1386" s="6"/>
      <c r="M1386" s="6"/>
      <c r="N1386" s="6"/>
      <c r="O1386" s="6"/>
      <c r="P1386" s="6"/>
      <c r="Q1386" s="6"/>
      <c r="R1386" s="6"/>
      <c r="S1386" s="6"/>
      <c r="T1386" s="6"/>
      <c r="U1386" s="6"/>
      <c r="V1386" s="6"/>
      <c r="W1386" s="6"/>
      <c r="X1386" s="6"/>
      <c r="Y1386" s="6"/>
      <c r="Z1386" s="6"/>
      <c r="AA1386" s="6"/>
      <c r="AB1386" s="6"/>
    </row>
    <row r="1387" spans="1:28" ht="12.75" x14ac:dyDescent="0.2">
      <c r="A1387" s="13"/>
      <c r="B1387" s="6"/>
      <c r="C1387" s="6"/>
      <c r="D1387" s="6"/>
      <c r="E1387" s="6"/>
      <c r="F1387" s="6"/>
      <c r="G1387" s="6"/>
      <c r="H1387" s="6"/>
      <c r="I1387" s="6"/>
      <c r="J1387" s="6"/>
      <c r="K1387" s="6"/>
      <c r="L1387" s="6"/>
      <c r="M1387" s="6"/>
      <c r="N1387" s="6"/>
      <c r="O1387" s="6"/>
      <c r="P1387" s="6"/>
      <c r="Q1387" s="6"/>
      <c r="R1387" s="6"/>
      <c r="S1387" s="6"/>
      <c r="T1387" s="6"/>
      <c r="U1387" s="6"/>
      <c r="V1387" s="6"/>
      <c r="W1387" s="6"/>
      <c r="X1387" s="6"/>
      <c r="Y1387" s="6"/>
      <c r="Z1387" s="6"/>
      <c r="AA1387" s="6"/>
      <c r="AB1387" s="6"/>
    </row>
    <row r="1388" spans="1:28" ht="12.75" x14ac:dyDescent="0.2">
      <c r="A1388" s="13"/>
      <c r="B1388" s="6"/>
      <c r="C1388" s="6"/>
      <c r="D1388" s="6"/>
      <c r="E1388" s="6"/>
      <c r="F1388" s="6"/>
      <c r="G1388" s="6"/>
      <c r="H1388" s="6"/>
      <c r="I1388" s="6"/>
      <c r="J1388" s="6"/>
      <c r="K1388" s="6"/>
      <c r="L1388" s="6"/>
      <c r="M1388" s="6"/>
      <c r="N1388" s="6"/>
      <c r="O1388" s="6"/>
      <c r="P1388" s="6"/>
      <c r="Q1388" s="6"/>
      <c r="R1388" s="6"/>
      <c r="S1388" s="6"/>
      <c r="T1388" s="6"/>
      <c r="U1388" s="6"/>
      <c r="V1388" s="6"/>
      <c r="W1388" s="6"/>
      <c r="X1388" s="6"/>
      <c r="Y1388" s="6"/>
      <c r="Z1388" s="6"/>
      <c r="AA1388" s="6"/>
      <c r="AB1388" s="6"/>
    </row>
    <row r="1389" spans="1:28" ht="12.75" x14ac:dyDescent="0.2">
      <c r="A1389" s="13"/>
      <c r="B1389" s="6"/>
      <c r="C1389" s="6"/>
      <c r="D1389" s="6"/>
      <c r="E1389" s="6"/>
      <c r="F1389" s="6"/>
      <c r="G1389" s="6"/>
      <c r="H1389" s="6"/>
      <c r="I1389" s="6"/>
      <c r="J1389" s="6"/>
      <c r="K1389" s="6"/>
      <c r="L1389" s="6"/>
      <c r="M1389" s="6"/>
      <c r="N1389" s="6"/>
      <c r="O1389" s="6"/>
      <c r="P1389" s="6"/>
      <c r="Q1389" s="6"/>
      <c r="R1389" s="6"/>
      <c r="S1389" s="6"/>
      <c r="T1389" s="6"/>
      <c r="U1389" s="6"/>
      <c r="V1389" s="6"/>
      <c r="W1389" s="6"/>
      <c r="X1389" s="6"/>
      <c r="Y1389" s="6"/>
      <c r="Z1389" s="6"/>
      <c r="AA1389" s="6"/>
      <c r="AB1389" s="6"/>
    </row>
    <row r="1390" spans="1:28" ht="12.75" x14ac:dyDescent="0.2">
      <c r="A1390" s="13"/>
      <c r="B1390" s="6"/>
      <c r="C1390" s="6"/>
      <c r="D1390" s="6"/>
      <c r="E1390" s="6"/>
      <c r="F1390" s="6"/>
      <c r="G1390" s="6"/>
      <c r="H1390" s="6"/>
      <c r="I1390" s="6"/>
      <c r="J1390" s="6"/>
      <c r="K1390" s="6"/>
      <c r="L1390" s="6"/>
      <c r="M1390" s="6"/>
      <c r="N1390" s="6"/>
      <c r="O1390" s="6"/>
      <c r="P1390" s="6"/>
      <c r="Q1390" s="6"/>
      <c r="R1390" s="6"/>
      <c r="S1390" s="6"/>
      <c r="T1390" s="6"/>
      <c r="U1390" s="6"/>
      <c r="V1390" s="6"/>
      <c r="W1390" s="6"/>
      <c r="X1390" s="6"/>
      <c r="Y1390" s="6"/>
      <c r="Z1390" s="6"/>
      <c r="AA1390" s="6"/>
      <c r="AB1390" s="6"/>
    </row>
    <row r="1391" spans="1:28" ht="12.75" x14ac:dyDescent="0.2">
      <c r="A1391" s="13"/>
      <c r="B1391" s="6"/>
      <c r="C1391" s="6"/>
      <c r="D1391" s="6"/>
      <c r="E1391" s="6"/>
      <c r="F1391" s="6"/>
      <c r="G1391" s="6"/>
      <c r="H1391" s="6"/>
      <c r="I1391" s="6"/>
      <c r="J1391" s="6"/>
      <c r="K1391" s="6"/>
      <c r="L1391" s="6"/>
      <c r="M1391" s="6"/>
      <c r="N1391" s="6"/>
      <c r="O1391" s="6"/>
      <c r="P1391" s="6"/>
      <c r="Q1391" s="6"/>
      <c r="R1391" s="6"/>
      <c r="S1391" s="6"/>
      <c r="T1391" s="6"/>
      <c r="U1391" s="6"/>
      <c r="V1391" s="6"/>
      <c r="W1391" s="6"/>
      <c r="X1391" s="6"/>
      <c r="Y1391" s="6"/>
      <c r="Z1391" s="6"/>
      <c r="AA1391" s="6"/>
      <c r="AB1391" s="6"/>
    </row>
    <row r="1392" spans="1:28" ht="12.75" x14ac:dyDescent="0.2">
      <c r="A1392" s="13"/>
      <c r="B1392" s="6"/>
      <c r="C1392" s="6"/>
      <c r="D1392" s="6"/>
      <c r="E1392" s="6"/>
      <c r="F1392" s="6"/>
      <c r="G1392" s="6"/>
      <c r="H1392" s="6"/>
      <c r="I1392" s="6"/>
      <c r="J1392" s="6"/>
      <c r="K1392" s="6"/>
      <c r="L1392" s="6"/>
      <c r="M1392" s="6"/>
      <c r="N1392" s="6"/>
      <c r="O1392" s="6"/>
      <c r="P1392" s="6"/>
      <c r="Q1392" s="6"/>
      <c r="R1392" s="6"/>
      <c r="S1392" s="6"/>
      <c r="T1392" s="6"/>
      <c r="U1392" s="6"/>
      <c r="V1392" s="6"/>
      <c r="W1392" s="6"/>
      <c r="X1392" s="6"/>
      <c r="Y1392" s="6"/>
      <c r="Z1392" s="6"/>
      <c r="AA1392" s="6"/>
      <c r="AB1392" s="6"/>
    </row>
    <row r="1393" spans="1:28" ht="12.75" x14ac:dyDescent="0.2">
      <c r="A1393" s="13"/>
      <c r="B1393" s="6"/>
      <c r="C1393" s="6"/>
      <c r="D1393" s="6"/>
      <c r="E1393" s="6"/>
      <c r="F1393" s="6"/>
      <c r="G1393" s="6"/>
      <c r="H1393" s="6"/>
      <c r="I1393" s="6"/>
      <c r="J1393" s="6"/>
      <c r="K1393" s="6"/>
      <c r="L1393" s="6"/>
      <c r="M1393" s="6"/>
      <c r="N1393" s="6"/>
      <c r="O1393" s="6"/>
      <c r="P1393" s="6"/>
      <c r="Q1393" s="6"/>
      <c r="R1393" s="6"/>
      <c r="S1393" s="6"/>
      <c r="T1393" s="6"/>
      <c r="U1393" s="6"/>
      <c r="V1393" s="6"/>
      <c r="W1393" s="6"/>
      <c r="X1393" s="6"/>
      <c r="Y1393" s="6"/>
      <c r="Z1393" s="6"/>
      <c r="AA1393" s="6"/>
      <c r="AB1393" s="6"/>
    </row>
    <row r="1394" spans="1:28" ht="12.75" x14ac:dyDescent="0.2">
      <c r="A1394" s="13"/>
      <c r="B1394" s="6"/>
      <c r="C1394" s="6"/>
      <c r="D1394" s="6"/>
      <c r="E1394" s="6"/>
      <c r="F1394" s="6"/>
      <c r="G1394" s="6"/>
      <c r="H1394" s="6"/>
      <c r="I1394" s="6"/>
      <c r="J1394" s="6"/>
      <c r="K1394" s="6"/>
      <c r="L1394" s="6"/>
      <c r="M1394" s="6"/>
      <c r="N1394" s="6"/>
      <c r="O1394" s="6"/>
      <c r="P1394" s="6"/>
      <c r="Q1394" s="6"/>
      <c r="R1394" s="6"/>
      <c r="S1394" s="6"/>
      <c r="T1394" s="6"/>
      <c r="U1394" s="6"/>
      <c r="V1394" s="6"/>
      <c r="W1394" s="6"/>
      <c r="X1394" s="6"/>
      <c r="Y1394" s="6"/>
      <c r="Z1394" s="6"/>
      <c r="AA1394" s="6"/>
      <c r="AB1394" s="6"/>
    </row>
    <row r="1395" spans="1:28" ht="12.75" x14ac:dyDescent="0.2">
      <c r="A1395" s="13"/>
      <c r="B1395" s="6"/>
      <c r="C1395" s="6"/>
      <c r="D1395" s="6"/>
      <c r="E1395" s="6"/>
      <c r="F1395" s="6"/>
      <c r="G1395" s="6"/>
      <c r="H1395" s="6"/>
      <c r="I1395" s="6"/>
      <c r="J1395" s="6"/>
      <c r="K1395" s="6"/>
      <c r="L1395" s="6"/>
      <c r="M1395" s="6"/>
      <c r="N1395" s="6"/>
      <c r="O1395" s="6"/>
      <c r="P1395" s="6"/>
      <c r="Q1395" s="6"/>
      <c r="R1395" s="6"/>
      <c r="S1395" s="6"/>
      <c r="T1395" s="6"/>
      <c r="U1395" s="6"/>
      <c r="V1395" s="6"/>
      <c r="W1395" s="6"/>
      <c r="X1395" s="6"/>
      <c r="Y1395" s="6"/>
      <c r="Z1395" s="6"/>
      <c r="AA1395" s="6"/>
      <c r="AB1395" s="6"/>
    </row>
    <row r="1396" spans="1:28" ht="12.75" x14ac:dyDescent="0.2">
      <c r="A1396" s="13"/>
      <c r="B1396" s="6"/>
      <c r="C1396" s="6"/>
      <c r="D1396" s="6"/>
      <c r="E1396" s="6"/>
      <c r="F1396" s="6"/>
      <c r="G1396" s="6"/>
      <c r="H1396" s="6"/>
      <c r="I1396" s="6"/>
      <c r="J1396" s="6"/>
      <c r="K1396" s="6"/>
      <c r="L1396" s="6"/>
      <c r="M1396" s="6"/>
      <c r="N1396" s="6"/>
      <c r="O1396" s="6"/>
      <c r="P1396" s="6"/>
      <c r="Q1396" s="6"/>
      <c r="R1396" s="6"/>
      <c r="S1396" s="6"/>
      <c r="T1396" s="6"/>
      <c r="U1396" s="6"/>
      <c r="V1396" s="6"/>
      <c r="W1396" s="6"/>
      <c r="X1396" s="6"/>
      <c r="Y1396" s="6"/>
      <c r="Z1396" s="6"/>
      <c r="AA1396" s="6"/>
      <c r="AB1396" s="6"/>
    </row>
    <row r="1397" spans="1:28" ht="12.75" x14ac:dyDescent="0.2">
      <c r="A1397" s="13"/>
      <c r="B1397" s="6"/>
      <c r="C1397" s="6"/>
      <c r="D1397" s="6"/>
      <c r="E1397" s="6"/>
      <c r="F1397" s="6"/>
      <c r="G1397" s="6"/>
      <c r="H1397" s="6"/>
      <c r="I1397" s="6"/>
      <c r="J1397" s="6"/>
      <c r="K1397" s="6"/>
      <c r="L1397" s="6"/>
      <c r="M1397" s="6"/>
      <c r="N1397" s="6"/>
      <c r="O1397" s="6"/>
      <c r="P1397" s="6"/>
      <c r="Q1397" s="6"/>
      <c r="R1397" s="6"/>
      <c r="S1397" s="6"/>
      <c r="T1397" s="6"/>
      <c r="U1397" s="6"/>
      <c r="V1397" s="6"/>
      <c r="W1397" s="6"/>
      <c r="X1397" s="6"/>
      <c r="Y1397" s="6"/>
      <c r="Z1397" s="6"/>
      <c r="AA1397" s="6"/>
      <c r="AB1397" s="6"/>
    </row>
    <row r="1398" spans="1:28" ht="12.75" x14ac:dyDescent="0.2">
      <c r="A1398" s="13"/>
      <c r="B1398" s="6"/>
      <c r="C1398" s="6"/>
      <c r="D1398" s="6"/>
      <c r="E1398" s="6"/>
      <c r="F1398" s="6"/>
      <c r="G1398" s="6"/>
      <c r="H1398" s="6"/>
      <c r="I1398" s="6"/>
      <c r="J1398" s="6"/>
      <c r="K1398" s="6"/>
      <c r="L1398" s="6"/>
      <c r="M1398" s="6"/>
      <c r="N1398" s="6"/>
      <c r="O1398" s="6"/>
      <c r="P1398" s="6"/>
      <c r="Q1398" s="6"/>
      <c r="R1398" s="6"/>
      <c r="S1398" s="6"/>
      <c r="T1398" s="6"/>
      <c r="U1398" s="6"/>
      <c r="V1398" s="6"/>
      <c r="W1398" s="6"/>
      <c r="X1398" s="6"/>
      <c r="Y1398" s="6"/>
      <c r="Z1398" s="6"/>
      <c r="AA1398" s="6"/>
      <c r="AB1398" s="6"/>
    </row>
    <row r="1399" spans="1:28" ht="12.75" x14ac:dyDescent="0.2">
      <c r="A1399" s="13"/>
      <c r="B1399" s="6"/>
      <c r="C1399" s="6"/>
      <c r="D1399" s="6"/>
      <c r="E1399" s="6"/>
      <c r="F1399" s="6"/>
      <c r="G1399" s="6"/>
      <c r="H1399" s="6"/>
      <c r="I1399" s="6"/>
      <c r="J1399" s="6"/>
      <c r="K1399" s="6"/>
      <c r="L1399" s="6"/>
      <c r="M1399" s="6"/>
      <c r="N1399" s="6"/>
      <c r="O1399" s="6"/>
      <c r="P1399" s="6"/>
      <c r="Q1399" s="6"/>
      <c r="R1399" s="6"/>
      <c r="S1399" s="6"/>
      <c r="T1399" s="6"/>
      <c r="U1399" s="6"/>
      <c r="V1399" s="6"/>
      <c r="W1399" s="6"/>
      <c r="X1399" s="6"/>
      <c r="Y1399" s="6"/>
      <c r="Z1399" s="6"/>
      <c r="AA1399" s="6"/>
      <c r="AB1399" s="6"/>
    </row>
    <row r="1400" spans="1:28" ht="12.75" x14ac:dyDescent="0.2">
      <c r="A1400" s="13"/>
      <c r="B1400" s="6"/>
      <c r="C1400" s="6"/>
      <c r="D1400" s="6"/>
      <c r="E1400" s="6"/>
      <c r="F1400" s="6"/>
      <c r="G1400" s="6"/>
      <c r="H1400" s="6"/>
      <c r="I1400" s="6"/>
      <c r="J1400" s="6"/>
      <c r="K1400" s="6"/>
      <c r="L1400" s="6"/>
      <c r="M1400" s="6"/>
      <c r="N1400" s="6"/>
      <c r="O1400" s="6"/>
      <c r="P1400" s="6"/>
      <c r="Q1400" s="6"/>
      <c r="R1400" s="6"/>
      <c r="S1400" s="6"/>
      <c r="T1400" s="6"/>
      <c r="U1400" s="6"/>
      <c r="V1400" s="6"/>
      <c r="W1400" s="6"/>
      <c r="X1400" s="6"/>
      <c r="Y1400" s="6"/>
      <c r="Z1400" s="6"/>
      <c r="AA1400" s="6"/>
      <c r="AB1400" s="6"/>
    </row>
    <row r="1401" spans="1:28" ht="12.75" x14ac:dyDescent="0.2">
      <c r="A1401" s="13"/>
      <c r="B1401" s="6"/>
      <c r="C1401" s="6"/>
      <c r="D1401" s="6"/>
      <c r="E1401" s="6"/>
      <c r="F1401" s="6"/>
      <c r="G1401" s="6"/>
      <c r="H1401" s="6"/>
      <c r="I1401" s="6"/>
      <c r="J1401" s="6"/>
      <c r="K1401" s="6"/>
      <c r="L1401" s="6"/>
      <c r="M1401" s="6"/>
      <c r="N1401" s="6"/>
      <c r="O1401" s="6"/>
      <c r="P1401" s="6"/>
      <c r="Q1401" s="6"/>
      <c r="R1401" s="6"/>
      <c r="S1401" s="6"/>
      <c r="T1401" s="6"/>
      <c r="U1401" s="6"/>
      <c r="V1401" s="6"/>
      <c r="W1401" s="6"/>
      <c r="X1401" s="6"/>
      <c r="Y1401" s="6"/>
      <c r="Z1401" s="6"/>
      <c r="AA1401" s="6"/>
      <c r="AB1401" s="6"/>
    </row>
    <row r="1402" spans="1:28" ht="12.75" x14ac:dyDescent="0.2">
      <c r="A1402" s="13"/>
      <c r="B1402" s="6"/>
      <c r="C1402" s="6"/>
      <c r="D1402" s="6"/>
      <c r="E1402" s="6"/>
      <c r="F1402" s="6"/>
      <c r="G1402" s="6"/>
      <c r="H1402" s="6"/>
      <c r="I1402" s="6"/>
      <c r="J1402" s="6"/>
      <c r="K1402" s="6"/>
      <c r="L1402" s="6"/>
      <c r="M1402" s="6"/>
      <c r="N1402" s="6"/>
      <c r="O1402" s="6"/>
      <c r="P1402" s="6"/>
      <c r="Q1402" s="6"/>
      <c r="R1402" s="6"/>
      <c r="S1402" s="6"/>
      <c r="T1402" s="6"/>
      <c r="U1402" s="6"/>
      <c r="V1402" s="6"/>
      <c r="W1402" s="6"/>
      <c r="X1402" s="6"/>
      <c r="Y1402" s="6"/>
      <c r="Z1402" s="6"/>
      <c r="AA1402" s="6"/>
      <c r="AB1402" s="6"/>
    </row>
    <row r="1403" spans="1:28" ht="12.75" x14ac:dyDescent="0.2">
      <c r="A1403" s="13"/>
      <c r="B1403" s="6"/>
      <c r="C1403" s="6"/>
      <c r="D1403" s="6"/>
      <c r="E1403" s="6"/>
      <c r="F1403" s="6"/>
      <c r="G1403" s="6"/>
      <c r="H1403" s="6"/>
      <c r="I1403" s="6"/>
      <c r="J1403" s="6"/>
      <c r="K1403" s="6"/>
      <c r="L1403" s="6"/>
      <c r="M1403" s="6"/>
      <c r="N1403" s="6"/>
      <c r="O1403" s="6"/>
      <c r="P1403" s="6"/>
      <c r="Q1403" s="6"/>
      <c r="R1403" s="6"/>
      <c r="S1403" s="6"/>
      <c r="T1403" s="6"/>
      <c r="U1403" s="6"/>
      <c r="V1403" s="6"/>
      <c r="W1403" s="6"/>
      <c r="X1403" s="6"/>
      <c r="Y1403" s="6"/>
      <c r="Z1403" s="6"/>
      <c r="AA1403" s="6"/>
      <c r="AB1403" s="6"/>
    </row>
    <row r="1404" spans="1:28" ht="12.75" x14ac:dyDescent="0.2">
      <c r="A1404" s="13"/>
      <c r="B1404" s="6"/>
      <c r="C1404" s="6"/>
      <c r="D1404" s="6"/>
      <c r="E1404" s="6"/>
      <c r="F1404" s="6"/>
      <c r="G1404" s="6"/>
      <c r="H1404" s="6"/>
      <c r="I1404" s="6"/>
      <c r="J1404" s="6"/>
      <c r="K1404" s="6"/>
      <c r="L1404" s="6"/>
      <c r="M1404" s="6"/>
      <c r="N1404" s="6"/>
      <c r="O1404" s="6"/>
      <c r="P1404" s="6"/>
      <c r="Q1404" s="6"/>
      <c r="R1404" s="6"/>
      <c r="S1404" s="6"/>
      <c r="T1404" s="6"/>
      <c r="U1404" s="6"/>
      <c r="V1404" s="6"/>
      <c r="W1404" s="6"/>
      <c r="X1404" s="6"/>
      <c r="Y1404" s="6"/>
      <c r="Z1404" s="6"/>
      <c r="AA1404" s="6"/>
      <c r="AB1404" s="6"/>
    </row>
    <row r="1405" spans="1:28" ht="12.75" x14ac:dyDescent="0.2">
      <c r="A1405" s="13"/>
      <c r="B1405" s="6"/>
      <c r="C1405" s="6"/>
      <c r="D1405" s="6"/>
      <c r="E1405" s="6"/>
      <c r="F1405" s="6"/>
      <c r="G1405" s="6"/>
      <c r="H1405" s="6"/>
      <c r="I1405" s="6"/>
      <c r="J1405" s="6"/>
      <c r="K1405" s="6"/>
      <c r="L1405" s="6"/>
      <c r="M1405" s="6"/>
      <c r="N1405" s="6"/>
      <c r="O1405" s="6"/>
      <c r="P1405" s="6"/>
      <c r="Q1405" s="6"/>
      <c r="R1405" s="6"/>
      <c r="S1405" s="6"/>
      <c r="T1405" s="6"/>
      <c r="U1405" s="6"/>
      <c r="V1405" s="6"/>
      <c r="W1405" s="6"/>
      <c r="X1405" s="6"/>
      <c r="Y1405" s="6"/>
      <c r="Z1405" s="6"/>
      <c r="AA1405" s="6"/>
      <c r="AB1405" s="6"/>
    </row>
    <row r="1406" spans="1:28" ht="12.75" x14ac:dyDescent="0.2">
      <c r="A1406" s="13"/>
      <c r="B1406" s="6"/>
      <c r="C1406" s="6"/>
      <c r="D1406" s="6"/>
      <c r="E1406" s="6"/>
      <c r="F1406" s="6"/>
      <c r="G1406" s="6"/>
      <c r="H1406" s="6"/>
      <c r="I1406" s="6"/>
      <c r="J1406" s="6"/>
      <c r="K1406" s="6"/>
      <c r="L1406" s="6"/>
      <c r="M1406" s="6"/>
      <c r="N1406" s="6"/>
      <c r="O1406" s="6"/>
      <c r="P1406" s="6"/>
      <c r="Q1406" s="6"/>
      <c r="R1406" s="6"/>
      <c r="S1406" s="6"/>
      <c r="T1406" s="6"/>
      <c r="U1406" s="6"/>
      <c r="V1406" s="6"/>
      <c r="W1406" s="6"/>
      <c r="X1406" s="6"/>
      <c r="Y1406" s="6"/>
      <c r="Z1406" s="6"/>
      <c r="AA1406" s="6"/>
      <c r="AB1406" s="6"/>
    </row>
    <row r="1407" spans="1:28" ht="12.75" x14ac:dyDescent="0.2">
      <c r="A1407" s="13"/>
      <c r="B1407" s="6"/>
      <c r="C1407" s="6"/>
      <c r="D1407" s="6"/>
      <c r="E1407" s="6"/>
      <c r="F1407" s="6"/>
      <c r="G1407" s="6"/>
      <c r="H1407" s="6"/>
      <c r="I1407" s="6"/>
      <c r="J1407" s="6"/>
      <c r="K1407" s="6"/>
      <c r="L1407" s="6"/>
      <c r="M1407" s="6"/>
      <c r="N1407" s="6"/>
      <c r="O1407" s="6"/>
      <c r="P1407" s="6"/>
      <c r="Q1407" s="6"/>
      <c r="R1407" s="6"/>
      <c r="S1407" s="6"/>
      <c r="T1407" s="6"/>
      <c r="U1407" s="6"/>
      <c r="V1407" s="6"/>
      <c r="W1407" s="6"/>
      <c r="X1407" s="6"/>
      <c r="Y1407" s="6"/>
      <c r="Z1407" s="6"/>
      <c r="AA1407" s="6"/>
      <c r="AB1407" s="6"/>
    </row>
    <row r="1408" spans="1:28" ht="12.75" x14ac:dyDescent="0.2">
      <c r="A1408" s="13"/>
      <c r="B1408" s="6"/>
      <c r="C1408" s="6"/>
      <c r="D1408" s="6"/>
      <c r="E1408" s="6"/>
      <c r="F1408" s="6"/>
      <c r="G1408" s="6"/>
      <c r="H1408" s="6"/>
      <c r="I1408" s="6"/>
      <c r="J1408" s="6"/>
      <c r="K1408" s="6"/>
      <c r="L1408" s="6"/>
      <c r="M1408" s="6"/>
      <c r="N1408" s="6"/>
      <c r="O1408" s="6"/>
      <c r="P1408" s="6"/>
      <c r="Q1408" s="6"/>
      <c r="R1408" s="6"/>
      <c r="S1408" s="6"/>
      <c r="T1408" s="6"/>
      <c r="U1408" s="6"/>
      <c r="V1408" s="6"/>
      <c r="W1408" s="6"/>
      <c r="X1408" s="6"/>
      <c r="Y1408" s="6"/>
      <c r="Z1408" s="6"/>
      <c r="AA1408" s="6"/>
      <c r="AB1408" s="6"/>
    </row>
    <row r="1409" spans="1:28" ht="12.75" x14ac:dyDescent="0.2">
      <c r="A1409" s="13"/>
      <c r="B1409" s="6"/>
      <c r="C1409" s="6"/>
      <c r="D1409" s="6"/>
      <c r="E1409" s="6"/>
      <c r="F1409" s="6"/>
      <c r="G1409" s="6"/>
      <c r="H1409" s="6"/>
      <c r="I1409" s="6"/>
      <c r="J1409" s="6"/>
      <c r="K1409" s="6"/>
      <c r="L1409" s="6"/>
      <c r="M1409" s="6"/>
      <c r="N1409" s="6"/>
      <c r="O1409" s="6"/>
      <c r="P1409" s="6"/>
      <c r="Q1409" s="6"/>
      <c r="R1409" s="6"/>
      <c r="S1409" s="6"/>
      <c r="T1409" s="6"/>
      <c r="U1409" s="6"/>
      <c r="V1409" s="6"/>
      <c r="W1409" s="6"/>
      <c r="X1409" s="6"/>
      <c r="Y1409" s="6"/>
      <c r="Z1409" s="6"/>
      <c r="AA1409" s="6"/>
      <c r="AB1409" s="6"/>
    </row>
    <row r="1410" spans="1:28" ht="12.75" x14ac:dyDescent="0.2">
      <c r="A1410" s="13"/>
      <c r="B1410" s="6"/>
      <c r="C1410" s="6"/>
      <c r="D1410" s="6"/>
      <c r="E1410" s="6"/>
      <c r="F1410" s="6"/>
      <c r="G1410" s="6"/>
      <c r="H1410" s="6"/>
      <c r="I1410" s="6"/>
      <c r="J1410" s="6"/>
      <c r="K1410" s="6"/>
      <c r="L1410" s="6"/>
      <c r="M1410" s="6"/>
      <c r="N1410" s="6"/>
      <c r="O1410" s="6"/>
      <c r="P1410" s="6"/>
      <c r="Q1410" s="6"/>
      <c r="R1410" s="6"/>
      <c r="S1410" s="6"/>
      <c r="T1410" s="6"/>
      <c r="U1410" s="6"/>
      <c r="V1410" s="6"/>
      <c r="W1410" s="6"/>
      <c r="X1410" s="6"/>
      <c r="Y1410" s="6"/>
      <c r="Z1410" s="6"/>
      <c r="AA1410" s="6"/>
      <c r="AB1410" s="6"/>
    </row>
    <row r="1411" spans="1:28" ht="12.75" x14ac:dyDescent="0.2">
      <c r="A1411" s="13"/>
      <c r="B1411" s="6"/>
      <c r="C1411" s="6"/>
      <c r="D1411" s="6"/>
      <c r="E1411" s="6"/>
      <c r="F1411" s="6"/>
      <c r="G1411" s="6"/>
      <c r="H1411" s="6"/>
      <c r="I1411" s="6"/>
      <c r="J1411" s="6"/>
      <c r="K1411" s="6"/>
      <c r="L1411" s="6"/>
      <c r="M1411" s="6"/>
      <c r="N1411" s="6"/>
      <c r="O1411" s="6"/>
      <c r="P1411" s="6"/>
      <c r="Q1411" s="6"/>
      <c r="R1411" s="6"/>
      <c r="S1411" s="6"/>
      <c r="T1411" s="6"/>
      <c r="U1411" s="6"/>
      <c r="V1411" s="6"/>
      <c r="W1411" s="6"/>
      <c r="X1411" s="6"/>
      <c r="Y1411" s="6"/>
      <c r="Z1411" s="6"/>
      <c r="AA1411" s="6"/>
      <c r="AB1411" s="6"/>
    </row>
    <row r="1412" spans="1:28" ht="12.75" x14ac:dyDescent="0.2">
      <c r="A1412" s="13"/>
      <c r="B1412" s="6"/>
      <c r="C1412" s="6"/>
      <c r="D1412" s="6"/>
      <c r="E1412" s="6"/>
      <c r="F1412" s="6"/>
      <c r="G1412" s="6"/>
      <c r="H1412" s="6"/>
      <c r="I1412" s="6"/>
      <c r="J1412" s="6"/>
      <c r="K1412" s="6"/>
      <c r="L1412" s="6"/>
      <c r="M1412" s="6"/>
      <c r="N1412" s="6"/>
      <c r="O1412" s="6"/>
      <c r="P1412" s="6"/>
      <c r="Q1412" s="6"/>
      <c r="R1412" s="6"/>
      <c r="S1412" s="6"/>
      <c r="T1412" s="6"/>
      <c r="U1412" s="6"/>
      <c r="V1412" s="6"/>
      <c r="W1412" s="6"/>
      <c r="X1412" s="6"/>
      <c r="Y1412" s="6"/>
      <c r="Z1412" s="6"/>
      <c r="AA1412" s="6"/>
      <c r="AB1412" s="6"/>
    </row>
    <row r="1413" spans="1:28" ht="12.75" x14ac:dyDescent="0.2">
      <c r="A1413" s="13"/>
      <c r="B1413" s="6"/>
      <c r="C1413" s="6"/>
      <c r="D1413" s="6"/>
      <c r="E1413" s="6"/>
      <c r="F1413" s="6"/>
      <c r="G1413" s="6"/>
      <c r="H1413" s="6"/>
      <c r="I1413" s="6"/>
      <c r="J1413" s="6"/>
      <c r="K1413" s="6"/>
      <c r="L1413" s="6"/>
      <c r="M1413" s="6"/>
      <c r="N1413" s="6"/>
      <c r="O1413" s="6"/>
      <c r="P1413" s="6"/>
      <c r="Q1413" s="6"/>
      <c r="R1413" s="6"/>
      <c r="S1413" s="6"/>
      <c r="T1413" s="6"/>
      <c r="U1413" s="6"/>
      <c r="V1413" s="6"/>
      <c r="W1413" s="6"/>
      <c r="X1413" s="6"/>
      <c r="Y1413" s="6"/>
      <c r="Z1413" s="6"/>
      <c r="AA1413" s="6"/>
      <c r="AB1413" s="6"/>
    </row>
    <row r="1414" spans="1:28" ht="12.75" x14ac:dyDescent="0.2">
      <c r="A1414" s="13"/>
      <c r="B1414" s="6"/>
      <c r="C1414" s="6"/>
      <c r="D1414" s="6"/>
      <c r="E1414" s="6"/>
      <c r="F1414" s="6"/>
      <c r="G1414" s="6"/>
      <c r="H1414" s="6"/>
      <c r="I1414" s="6"/>
      <c r="J1414" s="6"/>
      <c r="K1414" s="6"/>
      <c r="L1414" s="6"/>
      <c r="M1414" s="6"/>
      <c r="N1414" s="6"/>
      <c r="O1414" s="6"/>
      <c r="P1414" s="6"/>
      <c r="Q1414" s="6"/>
      <c r="R1414" s="6"/>
      <c r="S1414" s="6"/>
      <c r="T1414" s="6"/>
      <c r="U1414" s="6"/>
      <c r="V1414" s="6"/>
      <c r="W1414" s="6"/>
      <c r="X1414" s="6"/>
      <c r="Y1414" s="6"/>
      <c r="Z1414" s="6"/>
      <c r="AA1414" s="6"/>
      <c r="AB1414" s="6"/>
    </row>
    <row r="1415" spans="1:28" ht="12.75" x14ac:dyDescent="0.2">
      <c r="A1415" s="13"/>
      <c r="B1415" s="6"/>
      <c r="C1415" s="6"/>
      <c r="D1415" s="6"/>
      <c r="E1415" s="6"/>
      <c r="F1415" s="6"/>
      <c r="G1415" s="6"/>
      <c r="H1415" s="6"/>
      <c r="I1415" s="6"/>
      <c r="J1415" s="6"/>
      <c r="K1415" s="6"/>
      <c r="L1415" s="6"/>
      <c r="M1415" s="6"/>
      <c r="N1415" s="6"/>
      <c r="O1415" s="6"/>
      <c r="P1415" s="6"/>
      <c r="Q1415" s="6"/>
      <c r="R1415" s="6"/>
      <c r="S1415" s="6"/>
      <c r="T1415" s="6"/>
      <c r="U1415" s="6"/>
      <c r="V1415" s="6"/>
      <c r="W1415" s="6"/>
      <c r="X1415" s="6"/>
      <c r="Y1415" s="6"/>
      <c r="Z1415" s="6"/>
      <c r="AA1415" s="6"/>
      <c r="AB1415" s="6"/>
    </row>
    <row r="1416" spans="1:28" ht="12.75" x14ac:dyDescent="0.2">
      <c r="A1416" s="13"/>
      <c r="B1416" s="6"/>
      <c r="C1416" s="6"/>
      <c r="D1416" s="6"/>
      <c r="E1416" s="6"/>
      <c r="F1416" s="6"/>
      <c r="G1416" s="6"/>
      <c r="H1416" s="6"/>
      <c r="I1416" s="6"/>
      <c r="J1416" s="6"/>
      <c r="K1416" s="6"/>
      <c r="L1416" s="6"/>
      <c r="M1416" s="6"/>
      <c r="N1416" s="6"/>
      <c r="O1416" s="6"/>
      <c r="P1416" s="6"/>
      <c r="Q1416" s="6"/>
      <c r="R1416" s="6"/>
      <c r="S1416" s="6"/>
      <c r="T1416" s="6"/>
      <c r="U1416" s="6"/>
      <c r="V1416" s="6"/>
      <c r="W1416" s="6"/>
      <c r="X1416" s="6"/>
      <c r="Y1416" s="6"/>
      <c r="Z1416" s="6"/>
      <c r="AA1416" s="6"/>
      <c r="AB1416" s="6"/>
    </row>
    <row r="1417" spans="1:28" ht="12.75" x14ac:dyDescent="0.2">
      <c r="A1417" s="13"/>
      <c r="B1417" s="6"/>
      <c r="C1417" s="6"/>
      <c r="D1417" s="6"/>
      <c r="E1417" s="6"/>
      <c r="F1417" s="6"/>
      <c r="G1417" s="6"/>
      <c r="H1417" s="6"/>
      <c r="I1417" s="6"/>
      <c r="J1417" s="6"/>
      <c r="K1417" s="6"/>
      <c r="L1417" s="6"/>
      <c r="M1417" s="6"/>
      <c r="N1417" s="6"/>
      <c r="O1417" s="6"/>
      <c r="P1417" s="6"/>
      <c r="Q1417" s="6"/>
      <c r="R1417" s="6"/>
      <c r="S1417" s="6"/>
      <c r="T1417" s="6"/>
      <c r="U1417" s="6"/>
      <c r="V1417" s="6"/>
      <c r="W1417" s="6"/>
      <c r="X1417" s="6"/>
      <c r="Y1417" s="6"/>
      <c r="Z1417" s="6"/>
      <c r="AA1417" s="6"/>
      <c r="AB1417" s="6"/>
    </row>
    <row r="1418" spans="1:28" ht="12.75" x14ac:dyDescent="0.2">
      <c r="A1418" s="13"/>
      <c r="B1418" s="6"/>
      <c r="C1418" s="6"/>
      <c r="D1418" s="6"/>
      <c r="E1418" s="6"/>
      <c r="F1418" s="6"/>
      <c r="G1418" s="6"/>
      <c r="H1418" s="6"/>
      <c r="I1418" s="6"/>
      <c r="J1418" s="6"/>
      <c r="K1418" s="6"/>
      <c r="L1418" s="6"/>
      <c r="M1418" s="6"/>
      <c r="N1418" s="6"/>
      <c r="O1418" s="6"/>
      <c r="P1418" s="6"/>
      <c r="Q1418" s="6"/>
      <c r="R1418" s="6"/>
      <c r="S1418" s="6"/>
      <c r="T1418" s="6"/>
      <c r="U1418" s="6"/>
      <c r="V1418" s="6"/>
      <c r="W1418" s="6"/>
      <c r="X1418" s="6"/>
      <c r="Y1418" s="6"/>
      <c r="Z1418" s="6"/>
      <c r="AA1418" s="6"/>
      <c r="AB1418" s="6"/>
    </row>
    <row r="1419" spans="1:28" ht="12.75" x14ac:dyDescent="0.2">
      <c r="A1419" s="13"/>
      <c r="B1419" s="6"/>
      <c r="C1419" s="6"/>
      <c r="D1419" s="6"/>
      <c r="E1419" s="6"/>
      <c r="F1419" s="6"/>
      <c r="G1419" s="6"/>
      <c r="H1419" s="6"/>
      <c r="I1419" s="6"/>
      <c r="J1419" s="6"/>
      <c r="K1419" s="6"/>
      <c r="L1419" s="6"/>
      <c r="M1419" s="6"/>
      <c r="N1419" s="6"/>
      <c r="O1419" s="6"/>
      <c r="P1419" s="6"/>
      <c r="Q1419" s="6"/>
      <c r="R1419" s="6"/>
      <c r="S1419" s="6"/>
      <c r="T1419" s="6"/>
      <c r="U1419" s="6"/>
      <c r="V1419" s="6"/>
      <c r="W1419" s="6"/>
      <c r="X1419" s="6"/>
      <c r="Y1419" s="6"/>
      <c r="Z1419" s="6"/>
      <c r="AA1419" s="6"/>
      <c r="AB1419" s="6"/>
    </row>
    <row r="1420" spans="1:28" ht="12.75" x14ac:dyDescent="0.2">
      <c r="A1420" s="13"/>
      <c r="B1420" s="6"/>
      <c r="C1420" s="6"/>
      <c r="D1420" s="6"/>
      <c r="E1420" s="6"/>
      <c r="F1420" s="6"/>
      <c r="G1420" s="6"/>
      <c r="H1420" s="6"/>
      <c r="I1420" s="6"/>
      <c r="J1420" s="6"/>
      <c r="K1420" s="6"/>
      <c r="L1420" s="6"/>
      <c r="M1420" s="6"/>
      <c r="N1420" s="6"/>
      <c r="O1420" s="6"/>
      <c r="P1420" s="6"/>
      <c r="Q1420" s="6"/>
      <c r="R1420" s="6"/>
      <c r="S1420" s="6"/>
      <c r="T1420" s="6"/>
      <c r="U1420" s="6"/>
      <c r="V1420" s="6"/>
      <c r="W1420" s="6"/>
      <c r="X1420" s="6"/>
      <c r="Y1420" s="6"/>
      <c r="Z1420" s="6"/>
      <c r="AA1420" s="6"/>
      <c r="AB1420" s="6"/>
    </row>
    <row r="1421" spans="1:28" ht="12.75" x14ac:dyDescent="0.2">
      <c r="A1421" s="13"/>
      <c r="B1421" s="6"/>
      <c r="C1421" s="6"/>
      <c r="D1421" s="6"/>
      <c r="E1421" s="6"/>
      <c r="F1421" s="6"/>
      <c r="G1421" s="6"/>
      <c r="H1421" s="6"/>
      <c r="I1421" s="6"/>
      <c r="J1421" s="6"/>
      <c r="K1421" s="6"/>
      <c r="L1421" s="6"/>
      <c r="M1421" s="6"/>
      <c r="N1421" s="6"/>
      <c r="O1421" s="6"/>
      <c r="P1421" s="6"/>
      <c r="Q1421" s="6"/>
      <c r="R1421" s="6"/>
      <c r="S1421" s="6"/>
      <c r="T1421" s="6"/>
      <c r="U1421" s="6"/>
      <c r="V1421" s="6"/>
      <c r="W1421" s="6"/>
      <c r="X1421" s="6"/>
      <c r="Y1421" s="6"/>
      <c r="Z1421" s="6"/>
      <c r="AA1421" s="6"/>
      <c r="AB1421" s="6"/>
    </row>
    <row r="1422" spans="1:28" ht="12.75" x14ac:dyDescent="0.2">
      <c r="A1422" s="13"/>
      <c r="B1422" s="6"/>
      <c r="C1422" s="6"/>
      <c r="D1422" s="6"/>
      <c r="E1422" s="6"/>
      <c r="F1422" s="6"/>
      <c r="G1422" s="6"/>
      <c r="H1422" s="6"/>
      <c r="I1422" s="6"/>
      <c r="J1422" s="6"/>
      <c r="K1422" s="6"/>
      <c r="L1422" s="6"/>
      <c r="M1422" s="6"/>
      <c r="N1422" s="6"/>
      <c r="O1422" s="6"/>
      <c r="P1422" s="6"/>
      <c r="Q1422" s="6"/>
      <c r="R1422" s="6"/>
      <c r="S1422" s="6"/>
      <c r="T1422" s="6"/>
      <c r="U1422" s="6"/>
      <c r="V1422" s="6"/>
      <c r="W1422" s="6"/>
      <c r="X1422" s="6"/>
      <c r="Y1422" s="6"/>
      <c r="Z1422" s="6"/>
      <c r="AA1422" s="6"/>
      <c r="AB1422" s="6"/>
    </row>
    <row r="1423" spans="1:28" ht="12.75" x14ac:dyDescent="0.2">
      <c r="A1423" s="13"/>
      <c r="B1423" s="6"/>
      <c r="C1423" s="6"/>
      <c r="D1423" s="6"/>
      <c r="E1423" s="6"/>
      <c r="F1423" s="6"/>
      <c r="G1423" s="6"/>
      <c r="H1423" s="6"/>
      <c r="I1423" s="6"/>
      <c r="J1423" s="6"/>
      <c r="K1423" s="6"/>
      <c r="L1423" s="6"/>
      <c r="M1423" s="6"/>
      <c r="N1423" s="6"/>
      <c r="O1423" s="6"/>
      <c r="P1423" s="6"/>
      <c r="Q1423" s="6"/>
      <c r="R1423" s="6"/>
      <c r="S1423" s="6"/>
      <c r="T1423" s="6"/>
      <c r="U1423" s="6"/>
      <c r="V1423" s="6"/>
      <c r="W1423" s="6"/>
      <c r="X1423" s="6"/>
      <c r="Y1423" s="6"/>
      <c r="Z1423" s="6"/>
      <c r="AA1423" s="6"/>
      <c r="AB1423" s="6"/>
    </row>
    <row r="1424" spans="1:28" ht="12.75" x14ac:dyDescent="0.2">
      <c r="A1424" s="13"/>
      <c r="B1424" s="6"/>
      <c r="C1424" s="6"/>
      <c r="D1424" s="6"/>
      <c r="E1424" s="6"/>
      <c r="F1424" s="6"/>
      <c r="G1424" s="6"/>
      <c r="H1424" s="6"/>
      <c r="I1424" s="6"/>
      <c r="J1424" s="6"/>
      <c r="K1424" s="6"/>
      <c r="L1424" s="6"/>
      <c r="M1424" s="6"/>
      <c r="N1424" s="6"/>
      <c r="O1424" s="6"/>
      <c r="P1424" s="6"/>
      <c r="Q1424" s="6"/>
      <c r="R1424" s="6"/>
      <c r="S1424" s="6"/>
      <c r="T1424" s="6"/>
      <c r="U1424" s="6"/>
      <c r="V1424" s="6"/>
      <c r="W1424" s="6"/>
      <c r="X1424" s="6"/>
      <c r="Y1424" s="6"/>
      <c r="Z1424" s="6"/>
      <c r="AA1424" s="6"/>
      <c r="AB1424" s="6"/>
    </row>
    <row r="1425" spans="1:28" ht="12.75" x14ac:dyDescent="0.2">
      <c r="A1425" s="13"/>
      <c r="B1425" s="6"/>
      <c r="C1425" s="6"/>
      <c r="D1425" s="6"/>
      <c r="E1425" s="6"/>
      <c r="F1425" s="6"/>
      <c r="G1425" s="6"/>
      <c r="H1425" s="6"/>
      <c r="I1425" s="6"/>
      <c r="J1425" s="6"/>
      <c r="K1425" s="6"/>
      <c r="L1425" s="6"/>
      <c r="M1425" s="6"/>
      <c r="N1425" s="6"/>
      <c r="O1425" s="6"/>
      <c r="P1425" s="6"/>
      <c r="Q1425" s="6"/>
      <c r="R1425" s="6"/>
      <c r="S1425" s="6"/>
      <c r="T1425" s="6"/>
      <c r="U1425" s="6"/>
      <c r="V1425" s="6"/>
      <c r="W1425" s="6"/>
      <c r="X1425" s="6"/>
      <c r="Y1425" s="6"/>
      <c r="Z1425" s="6"/>
      <c r="AA1425" s="6"/>
      <c r="AB1425" s="6"/>
    </row>
    <row r="1426" spans="1:28" ht="12.75" x14ac:dyDescent="0.2">
      <c r="A1426" s="13"/>
      <c r="B1426" s="6"/>
      <c r="C1426" s="6"/>
      <c r="D1426" s="6"/>
      <c r="E1426" s="6"/>
      <c r="F1426" s="6"/>
      <c r="G1426" s="6"/>
      <c r="H1426" s="6"/>
      <c r="I1426" s="6"/>
      <c r="J1426" s="6"/>
      <c r="K1426" s="6"/>
      <c r="L1426" s="6"/>
      <c r="M1426" s="6"/>
      <c r="N1426" s="6"/>
      <c r="O1426" s="6"/>
      <c r="P1426" s="6"/>
      <c r="Q1426" s="6"/>
      <c r="R1426" s="6"/>
      <c r="S1426" s="6"/>
      <c r="T1426" s="6"/>
      <c r="U1426" s="6"/>
      <c r="V1426" s="6"/>
      <c r="W1426" s="6"/>
      <c r="X1426" s="6"/>
      <c r="Y1426" s="6"/>
      <c r="Z1426" s="6"/>
      <c r="AA1426" s="6"/>
      <c r="AB1426" s="6"/>
    </row>
    <row r="1427" spans="1:28" ht="12.75" x14ac:dyDescent="0.2">
      <c r="A1427" s="13"/>
      <c r="B1427" s="6"/>
      <c r="C1427" s="6"/>
      <c r="D1427" s="6"/>
      <c r="E1427" s="6"/>
      <c r="F1427" s="6"/>
      <c r="G1427" s="6"/>
      <c r="H1427" s="6"/>
      <c r="I1427" s="6"/>
      <c r="J1427" s="6"/>
      <c r="K1427" s="6"/>
      <c r="L1427" s="6"/>
      <c r="M1427" s="6"/>
      <c r="N1427" s="6"/>
      <c r="O1427" s="6"/>
      <c r="P1427" s="6"/>
      <c r="Q1427" s="6"/>
      <c r="R1427" s="6"/>
      <c r="S1427" s="6"/>
      <c r="T1427" s="6"/>
      <c r="U1427" s="6"/>
      <c r="V1427" s="6"/>
      <c r="W1427" s="6"/>
      <c r="X1427" s="6"/>
      <c r="Y1427" s="6"/>
      <c r="Z1427" s="6"/>
      <c r="AA1427" s="6"/>
      <c r="AB1427" s="6"/>
    </row>
    <row r="1428" spans="1:28" ht="12.75" x14ac:dyDescent="0.2">
      <c r="A1428" s="13"/>
      <c r="B1428" s="6"/>
      <c r="C1428" s="6"/>
      <c r="D1428" s="6"/>
      <c r="E1428" s="6"/>
      <c r="F1428" s="6"/>
      <c r="G1428" s="6"/>
      <c r="H1428" s="6"/>
      <c r="I1428" s="6"/>
      <c r="J1428" s="6"/>
      <c r="K1428" s="6"/>
      <c r="L1428" s="6"/>
      <c r="M1428" s="6"/>
      <c r="N1428" s="6"/>
      <c r="O1428" s="6"/>
      <c r="P1428" s="6"/>
      <c r="Q1428" s="6"/>
      <c r="R1428" s="6"/>
      <c r="S1428" s="6"/>
      <c r="T1428" s="6"/>
      <c r="U1428" s="6"/>
      <c r="V1428" s="6"/>
      <c r="W1428" s="6"/>
      <c r="X1428" s="6"/>
      <c r="Y1428" s="6"/>
      <c r="Z1428" s="6"/>
      <c r="AA1428" s="6"/>
      <c r="AB1428" s="6"/>
    </row>
    <row r="1429" spans="1:28" ht="12.75" x14ac:dyDescent="0.2">
      <c r="A1429" s="13"/>
      <c r="B1429" s="6"/>
      <c r="C1429" s="6"/>
      <c r="D1429" s="6"/>
      <c r="E1429" s="6"/>
      <c r="F1429" s="6"/>
      <c r="G1429" s="6"/>
      <c r="H1429" s="6"/>
      <c r="I1429" s="6"/>
      <c r="J1429" s="6"/>
      <c r="K1429" s="6"/>
      <c r="L1429" s="6"/>
      <c r="M1429" s="6"/>
      <c r="N1429" s="6"/>
      <c r="O1429" s="6"/>
      <c r="P1429" s="6"/>
      <c r="Q1429" s="6"/>
      <c r="R1429" s="6"/>
      <c r="S1429" s="6"/>
      <c r="T1429" s="6"/>
      <c r="U1429" s="6"/>
      <c r="V1429" s="6"/>
      <c r="W1429" s="6"/>
      <c r="X1429" s="6"/>
      <c r="Y1429" s="6"/>
      <c r="Z1429" s="6"/>
      <c r="AA1429" s="6"/>
      <c r="AB1429" s="6"/>
    </row>
    <row r="1430" spans="1:28" ht="12.75" x14ac:dyDescent="0.2">
      <c r="A1430" s="13"/>
      <c r="B1430" s="6"/>
      <c r="C1430" s="6"/>
      <c r="D1430" s="6"/>
      <c r="E1430" s="6"/>
      <c r="F1430" s="6"/>
      <c r="G1430" s="6"/>
      <c r="H1430" s="6"/>
      <c r="I1430" s="6"/>
      <c r="J1430" s="6"/>
      <c r="K1430" s="6"/>
      <c r="L1430" s="6"/>
      <c r="M1430" s="6"/>
      <c r="N1430" s="6"/>
      <c r="O1430" s="6"/>
      <c r="P1430" s="6"/>
      <c r="Q1430" s="6"/>
      <c r="R1430" s="6"/>
      <c r="S1430" s="6"/>
      <c r="T1430" s="6"/>
      <c r="U1430" s="6"/>
      <c r="V1430" s="6"/>
      <c r="W1430" s="6"/>
      <c r="X1430" s="6"/>
      <c r="Y1430" s="6"/>
      <c r="Z1430" s="6"/>
      <c r="AA1430" s="6"/>
      <c r="AB1430" s="6"/>
    </row>
    <row r="1431" spans="1:28" ht="12.75" x14ac:dyDescent="0.2">
      <c r="A1431" s="13"/>
      <c r="B1431" s="6"/>
      <c r="C1431" s="6"/>
      <c r="D1431" s="6"/>
      <c r="E1431" s="6"/>
      <c r="F1431" s="6"/>
      <c r="G1431" s="6"/>
      <c r="H1431" s="6"/>
      <c r="I1431" s="6"/>
      <c r="J1431" s="6"/>
      <c r="K1431" s="6"/>
      <c r="L1431" s="6"/>
      <c r="M1431" s="6"/>
      <c r="N1431" s="6"/>
      <c r="O1431" s="6"/>
      <c r="P1431" s="6"/>
      <c r="Q1431" s="6"/>
      <c r="R1431" s="6"/>
      <c r="S1431" s="6"/>
      <c r="T1431" s="6"/>
      <c r="U1431" s="6"/>
      <c r="V1431" s="6"/>
      <c r="W1431" s="6"/>
      <c r="X1431" s="6"/>
      <c r="Y1431" s="6"/>
      <c r="Z1431" s="6"/>
      <c r="AA1431" s="6"/>
      <c r="AB1431" s="6"/>
    </row>
    <row r="1432" spans="1:28" ht="12.75" x14ac:dyDescent="0.2">
      <c r="A1432" s="13"/>
      <c r="B1432" s="6"/>
      <c r="C1432" s="6"/>
      <c r="D1432" s="6"/>
      <c r="E1432" s="6"/>
      <c r="F1432" s="6"/>
      <c r="G1432" s="6"/>
      <c r="H1432" s="6"/>
      <c r="I1432" s="6"/>
      <c r="J1432" s="6"/>
      <c r="K1432" s="6"/>
      <c r="L1432" s="6"/>
      <c r="M1432" s="6"/>
      <c r="N1432" s="6"/>
      <c r="O1432" s="6"/>
      <c r="P1432" s="6"/>
      <c r="Q1432" s="6"/>
      <c r="R1432" s="6"/>
      <c r="S1432" s="6"/>
      <c r="T1432" s="6"/>
      <c r="U1432" s="6"/>
      <c r="V1432" s="6"/>
      <c r="W1432" s="6"/>
      <c r="X1432" s="6"/>
      <c r="Y1432" s="6"/>
      <c r="Z1432" s="6"/>
      <c r="AA1432" s="6"/>
      <c r="AB1432" s="6"/>
    </row>
    <row r="1433" spans="1:28" ht="12.75" x14ac:dyDescent="0.2">
      <c r="A1433" s="13"/>
      <c r="B1433" s="6"/>
      <c r="C1433" s="6"/>
      <c r="D1433" s="6"/>
      <c r="E1433" s="6"/>
      <c r="F1433" s="6"/>
      <c r="G1433" s="6"/>
      <c r="H1433" s="6"/>
      <c r="I1433" s="6"/>
      <c r="J1433" s="6"/>
      <c r="K1433" s="6"/>
      <c r="L1433" s="6"/>
      <c r="M1433" s="6"/>
      <c r="N1433" s="6"/>
      <c r="O1433" s="6"/>
      <c r="P1433" s="6"/>
      <c r="Q1433" s="6"/>
      <c r="R1433" s="6"/>
      <c r="S1433" s="6"/>
      <c r="T1433" s="6"/>
      <c r="U1433" s="6"/>
      <c r="V1433" s="6"/>
      <c r="W1433" s="6"/>
      <c r="X1433" s="6"/>
      <c r="Y1433" s="6"/>
      <c r="Z1433" s="6"/>
      <c r="AA1433" s="6"/>
      <c r="AB1433" s="6"/>
    </row>
    <row r="1434" spans="1:28" ht="12.75" x14ac:dyDescent="0.2">
      <c r="A1434" s="13"/>
      <c r="B1434" s="6"/>
      <c r="C1434" s="6"/>
      <c r="D1434" s="6"/>
      <c r="E1434" s="6"/>
      <c r="F1434" s="6"/>
      <c r="G1434" s="6"/>
      <c r="H1434" s="6"/>
      <c r="I1434" s="6"/>
      <c r="J1434" s="6"/>
      <c r="K1434" s="6"/>
      <c r="L1434" s="6"/>
      <c r="M1434" s="6"/>
      <c r="N1434" s="6"/>
      <c r="O1434" s="6"/>
      <c r="P1434" s="6"/>
      <c r="Q1434" s="6"/>
      <c r="R1434" s="6"/>
      <c r="S1434" s="6"/>
      <c r="T1434" s="6"/>
      <c r="U1434" s="6"/>
      <c r="V1434" s="6"/>
      <c r="W1434" s="6"/>
      <c r="X1434" s="6"/>
      <c r="Y1434" s="6"/>
      <c r="Z1434" s="6"/>
      <c r="AA1434" s="6"/>
      <c r="AB1434" s="6"/>
    </row>
    <row r="1435" spans="1:28" ht="12.75" x14ac:dyDescent="0.2">
      <c r="A1435" s="13"/>
      <c r="B1435" s="6"/>
      <c r="C1435" s="6"/>
      <c r="D1435" s="6"/>
      <c r="E1435" s="6"/>
      <c r="F1435" s="6"/>
      <c r="G1435" s="6"/>
      <c r="H1435" s="6"/>
      <c r="I1435" s="6"/>
      <c r="J1435" s="6"/>
      <c r="K1435" s="6"/>
      <c r="L1435" s="6"/>
      <c r="M1435" s="6"/>
      <c r="N1435" s="6"/>
      <c r="O1435" s="6"/>
      <c r="P1435" s="6"/>
      <c r="Q1435" s="6"/>
      <c r="R1435" s="6"/>
      <c r="S1435" s="6"/>
      <c r="T1435" s="6"/>
      <c r="U1435" s="6"/>
      <c r="V1435" s="6"/>
      <c r="W1435" s="6"/>
      <c r="X1435" s="6"/>
      <c r="Y1435" s="6"/>
      <c r="Z1435" s="6"/>
      <c r="AA1435" s="6"/>
      <c r="AB1435" s="6"/>
    </row>
    <row r="1436" spans="1:28" ht="12.75" x14ac:dyDescent="0.2">
      <c r="A1436" s="13"/>
      <c r="B1436" s="6"/>
      <c r="C1436" s="6"/>
      <c r="D1436" s="6"/>
      <c r="E1436" s="6"/>
      <c r="F1436" s="6"/>
      <c r="G1436" s="6"/>
      <c r="H1436" s="6"/>
      <c r="I1436" s="6"/>
      <c r="J1436" s="6"/>
      <c r="K1436" s="6"/>
      <c r="L1436" s="6"/>
      <c r="M1436" s="6"/>
      <c r="N1436" s="6"/>
      <c r="O1436" s="6"/>
      <c r="P1436" s="6"/>
      <c r="Q1436" s="6"/>
      <c r="R1436" s="6"/>
      <c r="S1436" s="6"/>
      <c r="T1436" s="6"/>
      <c r="U1436" s="6"/>
      <c r="V1436" s="6"/>
      <c r="W1436" s="6"/>
      <c r="X1436" s="6"/>
      <c r="Y1436" s="6"/>
      <c r="Z1436" s="6"/>
      <c r="AA1436" s="6"/>
      <c r="AB1436" s="6"/>
    </row>
    <row r="1437" spans="1:28" ht="12.75" x14ac:dyDescent="0.2">
      <c r="A1437" s="13"/>
      <c r="B1437" s="6"/>
      <c r="C1437" s="6"/>
      <c r="D1437" s="6"/>
      <c r="E1437" s="6"/>
      <c r="F1437" s="6"/>
      <c r="G1437" s="6"/>
      <c r="H1437" s="6"/>
      <c r="I1437" s="6"/>
      <c r="J1437" s="6"/>
      <c r="K1437" s="6"/>
      <c r="L1437" s="6"/>
      <c r="M1437" s="6"/>
      <c r="N1437" s="6"/>
      <c r="O1437" s="6"/>
      <c r="P1437" s="6"/>
      <c r="Q1437" s="6"/>
      <c r="R1437" s="6"/>
      <c r="S1437" s="6"/>
      <c r="T1437" s="6"/>
      <c r="U1437" s="6"/>
      <c r="V1437" s="6"/>
      <c r="W1437" s="6"/>
      <c r="X1437" s="6"/>
      <c r="Y1437" s="6"/>
      <c r="Z1437" s="6"/>
      <c r="AA1437" s="6"/>
      <c r="AB1437" s="6"/>
    </row>
    <row r="1438" spans="1:28" ht="12.75" x14ac:dyDescent="0.2">
      <c r="A1438" s="13"/>
      <c r="B1438" s="6"/>
      <c r="C1438" s="6"/>
      <c r="D1438" s="6"/>
      <c r="E1438" s="6"/>
      <c r="F1438" s="6"/>
      <c r="G1438" s="6"/>
      <c r="H1438" s="6"/>
      <c r="I1438" s="6"/>
      <c r="J1438" s="6"/>
      <c r="K1438" s="6"/>
      <c r="L1438" s="6"/>
      <c r="M1438" s="6"/>
      <c r="N1438" s="6"/>
      <c r="O1438" s="6"/>
      <c r="P1438" s="6"/>
      <c r="Q1438" s="6"/>
      <c r="R1438" s="6"/>
      <c r="S1438" s="6"/>
      <c r="T1438" s="6"/>
      <c r="U1438" s="6"/>
      <c r="V1438" s="6"/>
      <c r="W1438" s="6"/>
      <c r="X1438" s="6"/>
      <c r="Y1438" s="6"/>
      <c r="Z1438" s="6"/>
      <c r="AA1438" s="6"/>
      <c r="AB1438" s="6"/>
    </row>
    <row r="1439" spans="1:28" ht="12.75" x14ac:dyDescent="0.2">
      <c r="A1439" s="13"/>
      <c r="B1439" s="6"/>
      <c r="C1439" s="6"/>
      <c r="D1439" s="6"/>
      <c r="E1439" s="6"/>
      <c r="F1439" s="6"/>
      <c r="G1439" s="6"/>
      <c r="H1439" s="6"/>
      <c r="I1439" s="6"/>
      <c r="J1439" s="6"/>
      <c r="K1439" s="6"/>
      <c r="L1439" s="6"/>
      <c r="M1439" s="6"/>
      <c r="N1439" s="6"/>
      <c r="O1439" s="6"/>
      <c r="P1439" s="6"/>
      <c r="Q1439" s="6"/>
      <c r="R1439" s="6"/>
      <c r="S1439" s="6"/>
      <c r="T1439" s="6"/>
      <c r="U1439" s="6"/>
      <c r="V1439" s="6"/>
      <c r="W1439" s="6"/>
      <c r="X1439" s="6"/>
      <c r="Y1439" s="6"/>
      <c r="Z1439" s="6"/>
      <c r="AA1439" s="6"/>
      <c r="AB1439" s="6"/>
    </row>
    <row r="1440" spans="1:28" ht="12.75" x14ac:dyDescent="0.2">
      <c r="A1440" s="13"/>
      <c r="B1440" s="6"/>
      <c r="C1440" s="6"/>
      <c r="D1440" s="6"/>
      <c r="E1440" s="6"/>
      <c r="F1440" s="6"/>
      <c r="G1440" s="6"/>
      <c r="H1440" s="6"/>
      <c r="I1440" s="6"/>
      <c r="J1440" s="6"/>
      <c r="K1440" s="6"/>
      <c r="L1440" s="6"/>
      <c r="M1440" s="6"/>
      <c r="N1440" s="6"/>
      <c r="O1440" s="6"/>
      <c r="P1440" s="6"/>
      <c r="Q1440" s="6"/>
      <c r="R1440" s="6"/>
      <c r="S1440" s="6"/>
      <c r="T1440" s="6"/>
      <c r="U1440" s="6"/>
      <c r="V1440" s="6"/>
      <c r="W1440" s="6"/>
      <c r="X1440" s="6"/>
      <c r="Y1440" s="6"/>
      <c r="Z1440" s="6"/>
      <c r="AA1440" s="6"/>
      <c r="AB1440" s="6"/>
    </row>
    <row r="1441" spans="1:28" ht="12.75" x14ac:dyDescent="0.2">
      <c r="A1441" s="13"/>
      <c r="B1441" s="6"/>
      <c r="C1441" s="6"/>
      <c r="D1441" s="6"/>
      <c r="E1441" s="6"/>
      <c r="F1441" s="6"/>
      <c r="G1441" s="6"/>
      <c r="H1441" s="6"/>
      <c r="I1441" s="6"/>
      <c r="J1441" s="6"/>
      <c r="K1441" s="6"/>
      <c r="L1441" s="6"/>
      <c r="M1441" s="6"/>
      <c r="N1441" s="6"/>
      <c r="O1441" s="6"/>
      <c r="P1441" s="6"/>
      <c r="Q1441" s="6"/>
      <c r="R1441" s="6"/>
      <c r="S1441" s="6"/>
      <c r="T1441" s="6"/>
      <c r="U1441" s="6"/>
      <c r="V1441" s="6"/>
      <c r="W1441" s="6"/>
      <c r="X1441" s="6"/>
      <c r="Y1441" s="6"/>
      <c r="Z1441" s="6"/>
      <c r="AA1441" s="6"/>
      <c r="AB1441" s="6"/>
    </row>
    <row r="1442" spans="1:28" ht="12.75" x14ac:dyDescent="0.2">
      <c r="A1442" s="13"/>
      <c r="B1442" s="6"/>
      <c r="C1442" s="6"/>
      <c r="D1442" s="6"/>
      <c r="E1442" s="6"/>
      <c r="F1442" s="6"/>
      <c r="G1442" s="6"/>
      <c r="H1442" s="6"/>
      <c r="I1442" s="6"/>
      <c r="J1442" s="6"/>
      <c r="K1442" s="6"/>
      <c r="L1442" s="6"/>
      <c r="M1442" s="6"/>
      <c r="N1442" s="6"/>
      <c r="O1442" s="6"/>
      <c r="P1442" s="6"/>
      <c r="Q1442" s="6"/>
      <c r="R1442" s="6"/>
      <c r="S1442" s="6"/>
      <c r="T1442" s="6"/>
      <c r="U1442" s="6"/>
      <c r="V1442" s="6"/>
      <c r="W1442" s="6"/>
      <c r="X1442" s="6"/>
      <c r="Y1442" s="6"/>
      <c r="Z1442" s="6"/>
      <c r="AA1442" s="6"/>
      <c r="AB1442" s="6"/>
    </row>
    <row r="1443" spans="1:28" ht="12.75" x14ac:dyDescent="0.2">
      <c r="A1443" s="13"/>
      <c r="B1443" s="6"/>
      <c r="C1443" s="6"/>
      <c r="D1443" s="6"/>
      <c r="E1443" s="6"/>
      <c r="F1443" s="6"/>
      <c r="G1443" s="6"/>
      <c r="H1443" s="6"/>
      <c r="I1443" s="6"/>
      <c r="J1443" s="6"/>
      <c r="K1443" s="6"/>
      <c r="L1443" s="6"/>
      <c r="M1443" s="6"/>
      <c r="N1443" s="6"/>
      <c r="O1443" s="6"/>
      <c r="P1443" s="6"/>
      <c r="Q1443" s="6"/>
      <c r="R1443" s="6"/>
      <c r="S1443" s="6"/>
      <c r="T1443" s="6"/>
      <c r="U1443" s="6"/>
      <c r="V1443" s="6"/>
      <c r="W1443" s="6"/>
      <c r="X1443" s="6"/>
      <c r="Y1443" s="6"/>
      <c r="Z1443" s="6"/>
      <c r="AA1443" s="6"/>
      <c r="AB1443" s="6"/>
    </row>
    <row r="1444" spans="1:28" ht="12.75" x14ac:dyDescent="0.2">
      <c r="A1444" s="13"/>
      <c r="B1444" s="6"/>
      <c r="C1444" s="6"/>
      <c r="D1444" s="6"/>
      <c r="E1444" s="6"/>
      <c r="F1444" s="6"/>
      <c r="G1444" s="6"/>
      <c r="H1444" s="6"/>
      <c r="I1444" s="6"/>
      <c r="J1444" s="6"/>
      <c r="K1444" s="6"/>
      <c r="L1444" s="6"/>
      <c r="M1444" s="6"/>
      <c r="N1444" s="6"/>
      <c r="O1444" s="6"/>
      <c r="P1444" s="6"/>
      <c r="Q1444" s="6"/>
      <c r="R1444" s="6"/>
      <c r="S1444" s="6"/>
      <c r="T1444" s="6"/>
      <c r="U1444" s="6"/>
      <c r="V1444" s="6"/>
      <c r="W1444" s="6"/>
      <c r="X1444" s="6"/>
      <c r="Y1444" s="6"/>
      <c r="Z1444" s="6"/>
      <c r="AA1444" s="6"/>
      <c r="AB1444" s="6"/>
    </row>
    <row r="1445" spans="1:28" ht="12.75" x14ac:dyDescent="0.2">
      <c r="A1445" s="13"/>
      <c r="B1445" s="6"/>
      <c r="C1445" s="6"/>
      <c r="D1445" s="6"/>
      <c r="E1445" s="6"/>
      <c r="F1445" s="6"/>
      <c r="G1445" s="6"/>
      <c r="H1445" s="6"/>
      <c r="I1445" s="6"/>
      <c r="J1445" s="6"/>
      <c r="K1445" s="6"/>
      <c r="L1445" s="6"/>
      <c r="M1445" s="6"/>
      <c r="N1445" s="6"/>
      <c r="O1445" s="6"/>
      <c r="P1445" s="6"/>
      <c r="Q1445" s="6"/>
      <c r="R1445" s="6"/>
      <c r="S1445" s="6"/>
      <c r="T1445" s="6"/>
      <c r="U1445" s="6"/>
      <c r="V1445" s="6"/>
      <c r="W1445" s="6"/>
      <c r="X1445" s="6"/>
      <c r="Y1445" s="6"/>
      <c r="Z1445" s="6"/>
      <c r="AA1445" s="6"/>
      <c r="AB1445" s="6"/>
    </row>
    <row r="1446" spans="1:28" ht="12.75" x14ac:dyDescent="0.2">
      <c r="A1446" s="13"/>
      <c r="B1446" s="6"/>
      <c r="C1446" s="6"/>
      <c r="D1446" s="6"/>
      <c r="E1446" s="6"/>
      <c r="F1446" s="6"/>
      <c r="G1446" s="6"/>
      <c r="H1446" s="6"/>
      <c r="I1446" s="6"/>
      <c r="J1446" s="6"/>
      <c r="K1446" s="6"/>
      <c r="L1446" s="6"/>
      <c r="M1446" s="6"/>
      <c r="N1446" s="6"/>
      <c r="O1446" s="6"/>
      <c r="P1446" s="6"/>
      <c r="Q1446" s="6"/>
      <c r="R1446" s="6"/>
      <c r="S1446" s="6"/>
      <c r="T1446" s="6"/>
      <c r="U1446" s="6"/>
      <c r="V1446" s="6"/>
      <c r="W1446" s="6"/>
      <c r="X1446" s="6"/>
      <c r="Y1446" s="6"/>
      <c r="Z1446" s="6"/>
      <c r="AA1446" s="6"/>
      <c r="AB1446" s="6"/>
    </row>
    <row r="1447" spans="1:28" ht="12.75" x14ac:dyDescent="0.2">
      <c r="A1447" s="13"/>
      <c r="B1447" s="6"/>
      <c r="C1447" s="6"/>
      <c r="D1447" s="6"/>
      <c r="E1447" s="6"/>
      <c r="F1447" s="6"/>
      <c r="G1447" s="6"/>
      <c r="H1447" s="6"/>
      <c r="I1447" s="6"/>
      <c r="J1447" s="6"/>
      <c r="K1447" s="6"/>
      <c r="L1447" s="6"/>
      <c r="M1447" s="6"/>
      <c r="N1447" s="6"/>
      <c r="O1447" s="6"/>
      <c r="P1447" s="6"/>
      <c r="Q1447" s="6"/>
      <c r="R1447" s="6"/>
      <c r="S1447" s="6"/>
      <c r="T1447" s="6"/>
      <c r="U1447" s="6"/>
      <c r="V1447" s="6"/>
      <c r="W1447" s="6"/>
      <c r="X1447" s="6"/>
      <c r="Y1447" s="6"/>
      <c r="Z1447" s="6"/>
      <c r="AA1447" s="6"/>
      <c r="AB1447" s="6"/>
    </row>
    <row r="1448" spans="1:28" ht="12.75" x14ac:dyDescent="0.2">
      <c r="A1448" s="13"/>
      <c r="B1448" s="6"/>
      <c r="C1448" s="6"/>
      <c r="D1448" s="6"/>
      <c r="E1448" s="6"/>
      <c r="F1448" s="6"/>
      <c r="G1448" s="6"/>
      <c r="H1448" s="6"/>
      <c r="I1448" s="6"/>
      <c r="J1448" s="6"/>
      <c r="K1448" s="6"/>
      <c r="L1448" s="6"/>
      <c r="M1448" s="6"/>
      <c r="N1448" s="6"/>
      <c r="O1448" s="6"/>
      <c r="P1448" s="6"/>
      <c r="Q1448" s="6"/>
      <c r="R1448" s="6"/>
      <c r="S1448" s="6"/>
      <c r="T1448" s="6"/>
      <c r="U1448" s="6"/>
      <c r="V1448" s="6"/>
      <c r="W1448" s="6"/>
      <c r="X1448" s="6"/>
      <c r="Y1448" s="6"/>
      <c r="Z1448" s="6"/>
      <c r="AA1448" s="6"/>
      <c r="AB1448" s="6"/>
    </row>
    <row r="1449" spans="1:28" ht="12.75" x14ac:dyDescent="0.2">
      <c r="A1449" s="13"/>
      <c r="B1449" s="6"/>
      <c r="C1449" s="6"/>
      <c r="D1449" s="6"/>
      <c r="E1449" s="6"/>
      <c r="F1449" s="6"/>
      <c r="G1449" s="6"/>
      <c r="H1449" s="6"/>
      <c r="I1449" s="6"/>
      <c r="J1449" s="6"/>
      <c r="K1449" s="6"/>
      <c r="L1449" s="6"/>
      <c r="M1449" s="6"/>
      <c r="N1449" s="6"/>
      <c r="O1449" s="6"/>
      <c r="P1449" s="6"/>
      <c r="Q1449" s="6"/>
      <c r="R1449" s="6"/>
      <c r="S1449" s="6"/>
      <c r="T1449" s="6"/>
      <c r="U1449" s="6"/>
      <c r="V1449" s="6"/>
      <c r="W1449" s="6"/>
      <c r="X1449" s="6"/>
      <c r="Y1449" s="6"/>
      <c r="Z1449" s="6"/>
      <c r="AA1449" s="6"/>
      <c r="AB1449" s="6"/>
    </row>
    <row r="1450" spans="1:28" ht="12.75" x14ac:dyDescent="0.2">
      <c r="A1450" s="13"/>
      <c r="B1450" s="6"/>
      <c r="C1450" s="6"/>
      <c r="D1450" s="6"/>
      <c r="E1450" s="6"/>
      <c r="F1450" s="6"/>
      <c r="G1450" s="6"/>
      <c r="H1450" s="6"/>
      <c r="I1450" s="6"/>
      <c r="J1450" s="6"/>
      <c r="K1450" s="6"/>
      <c r="L1450" s="6"/>
      <c r="M1450" s="6"/>
      <c r="N1450" s="6"/>
      <c r="O1450" s="6"/>
      <c r="P1450" s="6"/>
      <c r="Q1450" s="6"/>
      <c r="R1450" s="6"/>
      <c r="S1450" s="6"/>
      <c r="T1450" s="6"/>
      <c r="U1450" s="6"/>
      <c r="V1450" s="6"/>
      <c r="W1450" s="6"/>
      <c r="X1450" s="6"/>
      <c r="Y1450" s="6"/>
      <c r="Z1450" s="6"/>
      <c r="AA1450" s="6"/>
      <c r="AB1450" s="6"/>
    </row>
    <row r="1451" spans="1:28" ht="12.75" x14ac:dyDescent="0.2">
      <c r="A1451" s="13"/>
      <c r="B1451" s="6"/>
      <c r="C1451" s="6"/>
      <c r="D1451" s="6"/>
      <c r="E1451" s="6"/>
      <c r="F1451" s="6"/>
      <c r="G1451" s="6"/>
      <c r="H1451" s="6"/>
      <c r="I1451" s="6"/>
      <c r="J1451" s="6"/>
      <c r="K1451" s="6"/>
      <c r="L1451" s="6"/>
      <c r="M1451" s="6"/>
      <c r="N1451" s="6"/>
      <c r="O1451" s="6"/>
      <c r="P1451" s="6"/>
      <c r="Q1451" s="6"/>
      <c r="R1451" s="6"/>
      <c r="S1451" s="6"/>
      <c r="T1451" s="6"/>
      <c r="U1451" s="6"/>
      <c r="V1451" s="6"/>
      <c r="W1451" s="6"/>
      <c r="X1451" s="6"/>
      <c r="Y1451" s="6"/>
      <c r="Z1451" s="6"/>
      <c r="AA1451" s="6"/>
      <c r="AB1451" s="6"/>
    </row>
    <row r="1452" spans="1:28" ht="12.75" x14ac:dyDescent="0.2">
      <c r="A1452" s="13"/>
      <c r="B1452" s="6"/>
      <c r="C1452" s="6"/>
      <c r="D1452" s="6"/>
      <c r="E1452" s="6"/>
      <c r="F1452" s="6"/>
      <c r="G1452" s="6"/>
      <c r="H1452" s="6"/>
      <c r="I1452" s="6"/>
      <c r="J1452" s="6"/>
      <c r="K1452" s="6"/>
      <c r="L1452" s="6"/>
      <c r="M1452" s="6"/>
      <c r="N1452" s="6"/>
      <c r="O1452" s="6"/>
      <c r="P1452" s="6"/>
      <c r="Q1452" s="6"/>
      <c r="R1452" s="6"/>
      <c r="S1452" s="6"/>
      <c r="T1452" s="6"/>
      <c r="U1452" s="6"/>
      <c r="V1452" s="6"/>
      <c r="W1452" s="6"/>
      <c r="X1452" s="6"/>
      <c r="Y1452" s="6"/>
      <c r="Z1452" s="6"/>
      <c r="AA1452" s="6"/>
      <c r="AB1452" s="6"/>
    </row>
    <row r="1453" spans="1:28" ht="12.75" x14ac:dyDescent="0.2">
      <c r="A1453" s="13"/>
      <c r="B1453" s="6"/>
      <c r="C1453" s="6"/>
      <c r="D1453" s="6"/>
      <c r="E1453" s="6"/>
      <c r="F1453" s="6"/>
      <c r="G1453" s="6"/>
      <c r="H1453" s="6"/>
      <c r="I1453" s="6"/>
      <c r="J1453" s="6"/>
      <c r="K1453" s="6"/>
      <c r="L1453" s="6"/>
      <c r="M1453" s="6"/>
      <c r="N1453" s="6"/>
      <c r="O1453" s="6"/>
      <c r="P1453" s="6"/>
      <c r="Q1453" s="6"/>
      <c r="R1453" s="6"/>
      <c r="S1453" s="6"/>
      <c r="T1453" s="6"/>
      <c r="U1453" s="6"/>
      <c r="V1453" s="6"/>
      <c r="W1453" s="6"/>
      <c r="X1453" s="6"/>
      <c r="Y1453" s="6"/>
      <c r="Z1453" s="6"/>
      <c r="AA1453" s="6"/>
      <c r="AB1453" s="6"/>
    </row>
    <row r="1454" spans="1:28" ht="12.75" x14ac:dyDescent="0.2">
      <c r="A1454" s="13"/>
      <c r="B1454" s="6"/>
      <c r="C1454" s="6"/>
      <c r="D1454" s="6"/>
      <c r="E1454" s="6"/>
      <c r="F1454" s="6"/>
      <c r="G1454" s="6"/>
      <c r="H1454" s="6"/>
      <c r="I1454" s="6"/>
      <c r="J1454" s="6"/>
      <c r="K1454" s="6"/>
      <c r="L1454" s="6"/>
      <c r="M1454" s="6"/>
      <c r="N1454" s="6"/>
      <c r="O1454" s="6"/>
      <c r="P1454" s="6"/>
      <c r="Q1454" s="6"/>
      <c r="R1454" s="6"/>
      <c r="S1454" s="6"/>
      <c r="T1454" s="6"/>
      <c r="U1454" s="6"/>
      <c r="V1454" s="6"/>
      <c r="W1454" s="6"/>
      <c r="X1454" s="6"/>
      <c r="Y1454" s="6"/>
      <c r="Z1454" s="6"/>
      <c r="AA1454" s="6"/>
      <c r="AB1454" s="6"/>
    </row>
    <row r="1455" spans="1:28" ht="12.75" x14ac:dyDescent="0.2">
      <c r="A1455" s="13"/>
      <c r="B1455" s="6"/>
      <c r="C1455" s="6"/>
      <c r="D1455" s="6"/>
      <c r="E1455" s="6"/>
      <c r="F1455" s="6"/>
      <c r="G1455" s="6"/>
      <c r="H1455" s="6"/>
      <c r="I1455" s="6"/>
      <c r="J1455" s="6"/>
      <c r="K1455" s="6"/>
      <c r="L1455" s="6"/>
      <c r="M1455" s="6"/>
      <c r="N1455" s="6"/>
      <c r="O1455" s="6"/>
      <c r="P1455" s="6"/>
      <c r="Q1455" s="6"/>
      <c r="R1455" s="6"/>
      <c r="S1455" s="6"/>
      <c r="T1455" s="6"/>
      <c r="U1455" s="6"/>
      <c r="V1455" s="6"/>
      <c r="W1455" s="6"/>
      <c r="X1455" s="6"/>
      <c r="Y1455" s="6"/>
      <c r="Z1455" s="6"/>
      <c r="AA1455" s="6"/>
      <c r="AB1455" s="6"/>
    </row>
    <row r="1456" spans="1:28" ht="12.75" x14ac:dyDescent="0.2">
      <c r="A1456" s="13"/>
      <c r="B1456" s="6"/>
      <c r="C1456" s="6"/>
      <c r="D1456" s="6"/>
      <c r="E1456" s="6"/>
      <c r="F1456" s="6"/>
      <c r="G1456" s="6"/>
      <c r="H1456" s="6"/>
      <c r="I1456" s="6"/>
      <c r="J1456" s="6"/>
      <c r="K1456" s="6"/>
      <c r="L1456" s="6"/>
      <c r="M1456" s="6"/>
      <c r="N1456" s="6"/>
      <c r="O1456" s="6"/>
      <c r="P1456" s="6"/>
      <c r="Q1456" s="6"/>
      <c r="R1456" s="6"/>
      <c r="S1456" s="6"/>
      <c r="T1456" s="6"/>
      <c r="U1456" s="6"/>
      <c r="V1456" s="6"/>
      <c r="W1456" s="6"/>
      <c r="X1456" s="6"/>
      <c r="Y1456" s="6"/>
      <c r="Z1456" s="6"/>
      <c r="AA1456" s="6"/>
      <c r="AB1456" s="6"/>
    </row>
    <row r="1457" spans="1:28" ht="12.75" x14ac:dyDescent="0.2">
      <c r="A1457" s="13"/>
      <c r="B1457" s="6"/>
      <c r="C1457" s="6"/>
      <c r="D1457" s="6"/>
      <c r="E1457" s="6"/>
      <c r="F1457" s="6"/>
      <c r="G1457" s="6"/>
      <c r="H1457" s="6"/>
      <c r="I1457" s="6"/>
      <c r="J1457" s="6"/>
      <c r="K1457" s="6"/>
      <c r="L1457" s="6"/>
      <c r="M1457" s="6"/>
      <c r="N1457" s="6"/>
      <c r="O1457" s="6"/>
      <c r="P1457" s="6"/>
      <c r="Q1457" s="6"/>
      <c r="R1457" s="6"/>
      <c r="S1457" s="6"/>
      <c r="T1457" s="6"/>
      <c r="U1457" s="6"/>
      <c r="V1457" s="6"/>
      <c r="W1457" s="6"/>
      <c r="X1457" s="6"/>
      <c r="Y1457" s="6"/>
      <c r="Z1457" s="6"/>
      <c r="AA1457" s="6"/>
      <c r="AB1457" s="6"/>
    </row>
    <row r="1458" spans="1:28" ht="12.75" x14ac:dyDescent="0.2">
      <c r="A1458" s="13"/>
      <c r="B1458" s="6"/>
      <c r="C1458" s="6"/>
      <c r="D1458" s="6"/>
      <c r="E1458" s="6"/>
      <c r="F1458" s="6"/>
      <c r="G1458" s="6"/>
      <c r="H1458" s="6"/>
      <c r="I1458" s="6"/>
      <c r="J1458" s="6"/>
      <c r="K1458" s="6"/>
      <c r="L1458" s="6"/>
      <c r="M1458" s="6"/>
      <c r="N1458" s="6"/>
      <c r="O1458" s="6"/>
      <c r="P1458" s="6"/>
      <c r="Q1458" s="6"/>
      <c r="R1458" s="6"/>
      <c r="S1458" s="6"/>
      <c r="T1458" s="6"/>
      <c r="U1458" s="6"/>
      <c r="V1458" s="6"/>
      <c r="W1458" s="6"/>
      <c r="X1458" s="6"/>
      <c r="Y1458" s="6"/>
      <c r="Z1458" s="6"/>
      <c r="AA1458" s="6"/>
      <c r="AB1458" s="6"/>
    </row>
    <row r="1459" spans="1:28" ht="12.75" x14ac:dyDescent="0.2">
      <c r="A1459" s="13"/>
      <c r="B1459" s="6"/>
      <c r="C1459" s="6"/>
      <c r="D1459" s="6"/>
      <c r="E1459" s="6"/>
      <c r="F1459" s="6"/>
      <c r="G1459" s="6"/>
      <c r="H1459" s="6"/>
      <c r="I1459" s="6"/>
      <c r="J1459" s="6"/>
      <c r="K1459" s="6"/>
      <c r="L1459" s="6"/>
      <c r="M1459" s="6"/>
      <c r="N1459" s="6"/>
      <c r="O1459" s="6"/>
      <c r="P1459" s="6"/>
      <c r="Q1459" s="6"/>
      <c r="R1459" s="6"/>
      <c r="S1459" s="6"/>
      <c r="T1459" s="6"/>
      <c r="U1459" s="6"/>
      <c r="V1459" s="6"/>
      <c r="W1459" s="6"/>
      <c r="X1459" s="6"/>
      <c r="Y1459" s="6"/>
      <c r="Z1459" s="6"/>
      <c r="AA1459" s="6"/>
      <c r="AB1459" s="6"/>
    </row>
    <row r="1460" spans="1:28" ht="12.75" x14ac:dyDescent="0.2">
      <c r="A1460" s="13"/>
      <c r="B1460" s="6"/>
      <c r="C1460" s="6"/>
      <c r="D1460" s="6"/>
      <c r="E1460" s="6"/>
      <c r="F1460" s="6"/>
      <c r="G1460" s="6"/>
      <c r="H1460" s="6"/>
      <c r="I1460" s="6"/>
      <c r="J1460" s="6"/>
      <c r="K1460" s="6"/>
      <c r="L1460" s="6"/>
      <c r="M1460" s="6"/>
      <c r="N1460" s="6"/>
      <c r="O1460" s="6"/>
      <c r="P1460" s="6"/>
      <c r="Q1460" s="6"/>
      <c r="R1460" s="6"/>
      <c r="S1460" s="6"/>
      <c r="T1460" s="6"/>
      <c r="U1460" s="6"/>
      <c r="V1460" s="6"/>
      <c r="W1460" s="6"/>
      <c r="X1460" s="6"/>
      <c r="Y1460" s="6"/>
      <c r="Z1460" s="6"/>
      <c r="AA1460" s="6"/>
      <c r="AB1460" s="6"/>
    </row>
    <row r="1461" spans="1:28" ht="12.75" x14ac:dyDescent="0.2">
      <c r="A1461" s="13"/>
      <c r="B1461" s="6"/>
      <c r="C1461" s="6"/>
      <c r="D1461" s="6"/>
      <c r="E1461" s="6"/>
      <c r="F1461" s="6"/>
      <c r="G1461" s="6"/>
      <c r="H1461" s="6"/>
      <c r="I1461" s="6"/>
      <c r="J1461" s="6"/>
      <c r="K1461" s="6"/>
      <c r="L1461" s="6"/>
      <c r="M1461" s="6"/>
      <c r="N1461" s="6"/>
      <c r="O1461" s="6"/>
      <c r="P1461" s="6"/>
      <c r="Q1461" s="6"/>
      <c r="R1461" s="6"/>
      <c r="S1461" s="6"/>
      <c r="T1461" s="6"/>
      <c r="U1461" s="6"/>
      <c r="V1461" s="6"/>
      <c r="W1461" s="6"/>
      <c r="X1461" s="6"/>
      <c r="Y1461" s="6"/>
      <c r="Z1461" s="6"/>
      <c r="AA1461" s="6"/>
      <c r="AB1461" s="6"/>
    </row>
    <row r="1462" spans="1:28" ht="12.75" x14ac:dyDescent="0.2">
      <c r="A1462" s="13"/>
      <c r="B1462" s="6"/>
      <c r="C1462" s="6"/>
      <c r="D1462" s="6"/>
      <c r="E1462" s="6"/>
      <c r="F1462" s="6"/>
      <c r="G1462" s="6"/>
      <c r="H1462" s="6"/>
      <c r="I1462" s="6"/>
      <c r="J1462" s="6"/>
      <c r="K1462" s="6"/>
      <c r="L1462" s="6"/>
      <c r="M1462" s="6"/>
      <c r="N1462" s="6"/>
      <c r="O1462" s="6"/>
      <c r="P1462" s="6"/>
      <c r="Q1462" s="6"/>
      <c r="R1462" s="6"/>
      <c r="S1462" s="6"/>
      <c r="T1462" s="6"/>
      <c r="U1462" s="6"/>
      <c r="V1462" s="6"/>
      <c r="W1462" s="6"/>
      <c r="X1462" s="6"/>
      <c r="Y1462" s="6"/>
      <c r="Z1462" s="6"/>
      <c r="AA1462" s="6"/>
      <c r="AB1462" s="6"/>
    </row>
    <row r="1463" spans="1:28" ht="12.75" x14ac:dyDescent="0.2">
      <c r="A1463" s="13"/>
      <c r="B1463" s="6"/>
      <c r="C1463" s="6"/>
      <c r="D1463" s="6"/>
      <c r="E1463" s="6"/>
      <c r="F1463" s="6"/>
      <c r="G1463" s="6"/>
      <c r="H1463" s="6"/>
      <c r="I1463" s="6"/>
      <c r="J1463" s="6"/>
      <c r="K1463" s="6"/>
      <c r="L1463" s="6"/>
      <c r="M1463" s="6"/>
      <c r="N1463" s="6"/>
      <c r="O1463" s="6"/>
      <c r="P1463" s="6"/>
      <c r="Q1463" s="6"/>
      <c r="R1463" s="6"/>
      <c r="S1463" s="6"/>
      <c r="T1463" s="6"/>
      <c r="U1463" s="6"/>
      <c r="V1463" s="6"/>
      <c r="W1463" s="6"/>
      <c r="X1463" s="6"/>
      <c r="Y1463" s="6"/>
      <c r="Z1463" s="6"/>
      <c r="AA1463" s="6"/>
      <c r="AB1463" s="6"/>
    </row>
    <row r="1464" spans="1:28" ht="12.75" x14ac:dyDescent="0.2">
      <c r="A1464" s="13"/>
      <c r="B1464" s="6"/>
      <c r="C1464" s="6"/>
      <c r="D1464" s="6"/>
      <c r="E1464" s="6"/>
      <c r="F1464" s="6"/>
      <c r="G1464" s="6"/>
      <c r="H1464" s="6"/>
      <c r="I1464" s="6"/>
      <c r="J1464" s="6"/>
      <c r="K1464" s="6"/>
      <c r="L1464" s="6"/>
      <c r="M1464" s="6"/>
      <c r="N1464" s="6"/>
      <c r="O1464" s="6"/>
      <c r="P1464" s="6"/>
      <c r="Q1464" s="6"/>
      <c r="R1464" s="6"/>
      <c r="S1464" s="6"/>
      <c r="T1464" s="6"/>
      <c r="U1464" s="6"/>
      <c r="V1464" s="6"/>
      <c r="W1464" s="6"/>
      <c r="X1464" s="6"/>
      <c r="Y1464" s="6"/>
      <c r="Z1464" s="6"/>
      <c r="AA1464" s="6"/>
      <c r="AB1464" s="6"/>
    </row>
    <row r="1465" spans="1:28" ht="12.75" x14ac:dyDescent="0.2">
      <c r="A1465" s="13"/>
      <c r="B1465" s="6"/>
      <c r="C1465" s="6"/>
      <c r="D1465" s="6"/>
      <c r="E1465" s="6"/>
      <c r="F1465" s="6"/>
      <c r="G1465" s="6"/>
      <c r="H1465" s="6"/>
      <c r="I1465" s="6"/>
      <c r="J1465" s="6"/>
      <c r="K1465" s="6"/>
      <c r="L1465" s="6"/>
      <c r="M1465" s="6"/>
      <c r="N1465" s="6"/>
      <c r="O1465" s="6"/>
      <c r="P1465" s="6"/>
      <c r="Q1465" s="6"/>
      <c r="R1465" s="6"/>
      <c r="S1465" s="6"/>
      <c r="T1465" s="6"/>
      <c r="U1465" s="6"/>
      <c r="V1465" s="6"/>
      <c r="W1465" s="6"/>
      <c r="X1465" s="6"/>
      <c r="Y1465" s="6"/>
      <c r="Z1465" s="6"/>
      <c r="AA1465" s="6"/>
      <c r="AB1465" s="6"/>
    </row>
    <row r="1466" spans="1:28" ht="12.75" x14ac:dyDescent="0.2">
      <c r="A1466" s="13"/>
      <c r="B1466" s="6"/>
      <c r="C1466" s="6"/>
      <c r="D1466" s="6"/>
      <c r="E1466" s="6"/>
      <c r="F1466" s="6"/>
      <c r="G1466" s="6"/>
      <c r="H1466" s="6"/>
      <c r="I1466" s="6"/>
      <c r="J1466" s="6"/>
      <c r="K1466" s="6"/>
      <c r="L1466" s="6"/>
      <c r="M1466" s="6"/>
      <c r="N1466" s="6"/>
      <c r="O1466" s="6"/>
      <c r="P1466" s="6"/>
      <c r="Q1466" s="6"/>
      <c r="R1466" s="6"/>
      <c r="S1466" s="6"/>
      <c r="T1466" s="6"/>
      <c r="U1466" s="6"/>
      <c r="V1466" s="6"/>
      <c r="W1466" s="6"/>
      <c r="X1466" s="6"/>
      <c r="Y1466" s="6"/>
      <c r="Z1466" s="6"/>
      <c r="AA1466" s="6"/>
      <c r="AB1466" s="6"/>
    </row>
    <row r="1467" spans="1:28" ht="12.75" x14ac:dyDescent="0.2">
      <c r="A1467" s="13"/>
      <c r="B1467" s="6"/>
      <c r="C1467" s="6"/>
      <c r="D1467" s="6"/>
      <c r="E1467" s="6"/>
      <c r="F1467" s="6"/>
      <c r="G1467" s="6"/>
      <c r="H1467" s="6"/>
      <c r="I1467" s="6"/>
      <c r="J1467" s="6"/>
      <c r="K1467" s="6"/>
      <c r="L1467" s="6"/>
      <c r="M1467" s="6"/>
      <c r="N1467" s="6"/>
      <c r="O1467" s="6"/>
      <c r="P1467" s="6"/>
      <c r="Q1467" s="6"/>
      <c r="R1467" s="6"/>
      <c r="S1467" s="6"/>
      <c r="T1467" s="6"/>
      <c r="U1467" s="6"/>
      <c r="V1467" s="6"/>
      <c r="W1467" s="6"/>
      <c r="X1467" s="6"/>
      <c r="Y1467" s="6"/>
      <c r="Z1467" s="6"/>
      <c r="AA1467" s="6"/>
      <c r="AB1467" s="6"/>
    </row>
    <row r="1468" spans="1:28" ht="12.75" x14ac:dyDescent="0.2">
      <c r="A1468" s="13"/>
      <c r="B1468" s="6"/>
      <c r="C1468" s="6"/>
      <c r="D1468" s="6"/>
      <c r="E1468" s="6"/>
      <c r="F1468" s="6"/>
      <c r="G1468" s="6"/>
      <c r="H1468" s="6"/>
      <c r="I1468" s="6"/>
      <c r="J1468" s="6"/>
      <c r="K1468" s="6"/>
      <c r="L1468" s="6"/>
      <c r="M1468" s="6"/>
      <c r="N1468" s="6"/>
      <c r="O1468" s="6"/>
      <c r="P1468" s="6"/>
      <c r="Q1468" s="6"/>
      <c r="R1468" s="6"/>
      <c r="S1468" s="6"/>
      <c r="T1468" s="6"/>
      <c r="U1468" s="6"/>
      <c r="V1468" s="6"/>
      <c r="W1468" s="6"/>
      <c r="X1468" s="6"/>
      <c r="Y1468" s="6"/>
      <c r="Z1468" s="6"/>
      <c r="AA1468" s="6"/>
      <c r="AB1468" s="6"/>
    </row>
    <row r="1469" spans="1:28" ht="12.75" x14ac:dyDescent="0.2">
      <c r="A1469" s="13"/>
      <c r="B1469" s="6"/>
      <c r="C1469" s="6"/>
      <c r="D1469" s="6"/>
      <c r="E1469" s="6"/>
      <c r="F1469" s="6"/>
      <c r="G1469" s="6"/>
      <c r="H1469" s="6"/>
      <c r="I1469" s="6"/>
      <c r="J1469" s="6"/>
      <c r="K1469" s="6"/>
      <c r="L1469" s="6"/>
      <c r="M1469" s="6"/>
      <c r="N1469" s="6"/>
      <c r="O1469" s="6"/>
      <c r="P1469" s="6"/>
      <c r="Q1469" s="6"/>
      <c r="R1469" s="6"/>
      <c r="S1469" s="6"/>
      <c r="T1469" s="6"/>
      <c r="U1469" s="6"/>
      <c r="V1469" s="6"/>
      <c r="W1469" s="6"/>
      <c r="X1469" s="6"/>
      <c r="Y1469" s="6"/>
      <c r="Z1469" s="6"/>
      <c r="AA1469" s="6"/>
      <c r="AB1469" s="6"/>
    </row>
    <row r="1470" spans="1:28" ht="12.75" x14ac:dyDescent="0.2">
      <c r="A1470" s="13"/>
      <c r="B1470" s="6"/>
      <c r="C1470" s="6"/>
      <c r="D1470" s="6"/>
      <c r="E1470" s="6"/>
      <c r="F1470" s="6"/>
      <c r="G1470" s="6"/>
      <c r="H1470" s="6"/>
      <c r="I1470" s="6"/>
      <c r="J1470" s="6"/>
      <c r="K1470" s="6"/>
      <c r="L1470" s="6"/>
      <c r="M1470" s="6"/>
      <c r="N1470" s="6"/>
      <c r="O1470" s="6"/>
      <c r="P1470" s="6"/>
      <c r="Q1470" s="6"/>
      <c r="R1470" s="6"/>
      <c r="S1470" s="6"/>
      <c r="T1470" s="6"/>
      <c r="U1470" s="6"/>
      <c r="V1470" s="6"/>
      <c r="W1470" s="6"/>
      <c r="X1470" s="6"/>
      <c r="Y1470" s="6"/>
      <c r="Z1470" s="6"/>
      <c r="AA1470" s="6"/>
      <c r="AB1470" s="6"/>
    </row>
    <row r="1471" spans="1:28" ht="12.75" x14ac:dyDescent="0.2">
      <c r="A1471" s="13"/>
      <c r="B1471" s="6"/>
      <c r="C1471" s="6"/>
      <c r="D1471" s="6"/>
      <c r="E1471" s="6"/>
      <c r="F1471" s="6"/>
      <c r="G1471" s="6"/>
      <c r="H1471" s="6"/>
      <c r="I1471" s="6"/>
      <c r="J1471" s="6"/>
      <c r="K1471" s="6"/>
      <c r="L1471" s="6"/>
      <c r="M1471" s="6"/>
      <c r="N1471" s="6"/>
      <c r="O1471" s="6"/>
      <c r="P1471" s="6"/>
      <c r="Q1471" s="6"/>
      <c r="R1471" s="6"/>
      <c r="S1471" s="6"/>
      <c r="T1471" s="6"/>
      <c r="U1471" s="6"/>
      <c r="V1471" s="6"/>
      <c r="W1471" s="6"/>
      <c r="X1471" s="6"/>
      <c r="Y1471" s="6"/>
      <c r="Z1471" s="6"/>
      <c r="AA1471" s="6"/>
      <c r="AB1471" s="6"/>
    </row>
    <row r="1472" spans="1:28" ht="12.75" x14ac:dyDescent="0.2">
      <c r="A1472" s="13"/>
      <c r="B1472" s="6"/>
      <c r="C1472" s="6"/>
      <c r="D1472" s="6"/>
      <c r="E1472" s="6"/>
      <c r="F1472" s="6"/>
      <c r="G1472" s="6"/>
      <c r="H1472" s="6"/>
      <c r="I1472" s="6"/>
      <c r="J1472" s="6"/>
      <c r="K1472" s="6"/>
      <c r="L1472" s="6"/>
      <c r="M1472" s="6"/>
      <c r="N1472" s="6"/>
      <c r="O1472" s="6"/>
      <c r="P1472" s="6"/>
      <c r="Q1472" s="6"/>
      <c r="R1472" s="6"/>
      <c r="S1472" s="6"/>
      <c r="T1472" s="6"/>
      <c r="U1472" s="6"/>
      <c r="V1472" s="6"/>
      <c r="W1472" s="6"/>
      <c r="X1472" s="6"/>
      <c r="Y1472" s="6"/>
      <c r="Z1472" s="6"/>
      <c r="AA1472" s="6"/>
      <c r="AB1472" s="6"/>
    </row>
    <row r="1473" spans="1:28" ht="12.75" x14ac:dyDescent="0.2">
      <c r="A1473" s="13"/>
      <c r="B1473" s="6"/>
      <c r="C1473" s="6"/>
      <c r="D1473" s="6"/>
      <c r="E1473" s="6"/>
      <c r="F1473" s="6"/>
      <c r="G1473" s="6"/>
      <c r="H1473" s="6"/>
      <c r="I1473" s="6"/>
      <c r="J1473" s="6"/>
      <c r="K1473" s="6"/>
      <c r="L1473" s="6"/>
      <c r="M1473" s="6"/>
      <c r="N1473" s="6"/>
      <c r="O1473" s="6"/>
      <c r="P1473" s="6"/>
      <c r="Q1473" s="6"/>
      <c r="R1473" s="6"/>
      <c r="S1473" s="6"/>
      <c r="T1473" s="6"/>
      <c r="U1473" s="6"/>
      <c r="V1473" s="6"/>
      <c r="W1473" s="6"/>
      <c r="X1473" s="6"/>
      <c r="Y1473" s="6"/>
      <c r="Z1473" s="6"/>
      <c r="AA1473" s="6"/>
      <c r="AB1473" s="6"/>
    </row>
    <row r="1474" spans="1:28" ht="12.75" x14ac:dyDescent="0.2">
      <c r="A1474" s="13"/>
      <c r="B1474" s="6"/>
      <c r="C1474" s="6"/>
      <c r="D1474" s="6"/>
      <c r="E1474" s="6"/>
      <c r="F1474" s="6"/>
      <c r="G1474" s="6"/>
      <c r="H1474" s="6"/>
      <c r="I1474" s="6"/>
      <c r="J1474" s="6"/>
      <c r="K1474" s="6"/>
      <c r="L1474" s="6"/>
      <c r="M1474" s="6"/>
      <c r="N1474" s="6"/>
      <c r="O1474" s="6"/>
      <c r="P1474" s="6"/>
      <c r="Q1474" s="6"/>
      <c r="R1474" s="6"/>
      <c r="S1474" s="6"/>
      <c r="T1474" s="6"/>
      <c r="U1474" s="6"/>
      <c r="V1474" s="6"/>
      <c r="W1474" s="6"/>
      <c r="X1474" s="6"/>
      <c r="Y1474" s="6"/>
      <c r="Z1474" s="6"/>
      <c r="AA1474" s="6"/>
      <c r="AB1474" s="6"/>
    </row>
    <row r="1475" spans="1:28" ht="12.75" x14ac:dyDescent="0.2">
      <c r="A1475" s="13"/>
      <c r="B1475" s="6"/>
      <c r="C1475" s="6"/>
      <c r="D1475" s="6"/>
      <c r="E1475" s="6"/>
      <c r="F1475" s="6"/>
      <c r="G1475" s="6"/>
      <c r="H1475" s="6"/>
      <c r="I1475" s="6"/>
      <c r="J1475" s="6"/>
      <c r="K1475" s="6"/>
      <c r="L1475" s="6"/>
      <c r="M1475" s="6"/>
      <c r="N1475" s="6"/>
      <c r="O1475" s="6"/>
      <c r="P1475" s="6"/>
      <c r="Q1475" s="6"/>
      <c r="R1475" s="6"/>
      <c r="S1475" s="6"/>
      <c r="T1475" s="6"/>
      <c r="U1475" s="6"/>
      <c r="V1475" s="6"/>
      <c r="W1475" s="6"/>
      <c r="X1475" s="6"/>
      <c r="Y1475" s="6"/>
      <c r="Z1475" s="6"/>
      <c r="AA1475" s="6"/>
      <c r="AB1475" s="6"/>
    </row>
    <row r="1476" spans="1:28" ht="12.75" x14ac:dyDescent="0.2">
      <c r="A1476" s="13"/>
      <c r="B1476" s="6"/>
      <c r="C1476" s="6"/>
      <c r="D1476" s="6"/>
      <c r="E1476" s="6"/>
      <c r="F1476" s="6"/>
      <c r="G1476" s="6"/>
      <c r="H1476" s="6"/>
      <c r="I1476" s="6"/>
      <c r="J1476" s="6"/>
      <c r="K1476" s="6"/>
      <c r="L1476" s="6"/>
      <c r="M1476" s="6"/>
      <c r="N1476" s="6"/>
      <c r="O1476" s="6"/>
      <c r="P1476" s="6"/>
      <c r="Q1476" s="6"/>
      <c r="R1476" s="6"/>
      <c r="S1476" s="6"/>
      <c r="T1476" s="6"/>
      <c r="U1476" s="6"/>
      <c r="V1476" s="6"/>
      <c r="W1476" s="6"/>
      <c r="X1476" s="6"/>
      <c r="Y1476" s="6"/>
      <c r="Z1476" s="6"/>
      <c r="AA1476" s="6"/>
      <c r="AB1476" s="6"/>
    </row>
    <row r="1477" spans="1:28" ht="12.75" x14ac:dyDescent="0.2">
      <c r="A1477" s="13"/>
      <c r="B1477" s="6"/>
      <c r="C1477" s="6"/>
      <c r="D1477" s="6"/>
      <c r="E1477" s="6"/>
      <c r="F1477" s="6"/>
      <c r="G1477" s="6"/>
      <c r="H1477" s="6"/>
      <c r="I1477" s="6"/>
      <c r="J1477" s="6"/>
      <c r="K1477" s="6"/>
      <c r="L1477" s="6"/>
      <c r="M1477" s="6"/>
      <c r="N1477" s="6"/>
      <c r="O1477" s="6"/>
      <c r="P1477" s="6"/>
      <c r="Q1477" s="6"/>
      <c r="R1477" s="6"/>
      <c r="S1477" s="6"/>
      <c r="T1477" s="6"/>
      <c r="U1477" s="6"/>
      <c r="V1477" s="6"/>
      <c r="W1477" s="6"/>
      <c r="X1477" s="6"/>
      <c r="Y1477" s="6"/>
      <c r="Z1477" s="6"/>
      <c r="AA1477" s="6"/>
      <c r="AB1477" s="6"/>
    </row>
    <row r="1478" spans="1:28" ht="12.75" x14ac:dyDescent="0.2">
      <c r="A1478" s="13"/>
      <c r="B1478" s="6"/>
      <c r="C1478" s="6"/>
      <c r="D1478" s="6"/>
      <c r="E1478" s="6"/>
      <c r="F1478" s="6"/>
      <c r="G1478" s="6"/>
      <c r="H1478" s="6"/>
      <c r="I1478" s="6"/>
      <c r="J1478" s="6"/>
      <c r="K1478" s="6"/>
      <c r="L1478" s="6"/>
      <c r="M1478" s="6"/>
      <c r="N1478" s="6"/>
      <c r="O1478" s="6"/>
      <c r="P1478" s="6"/>
      <c r="Q1478" s="6"/>
      <c r="R1478" s="6"/>
      <c r="S1478" s="6"/>
      <c r="T1478" s="6"/>
      <c r="U1478" s="6"/>
      <c r="V1478" s="6"/>
      <c r="W1478" s="6"/>
      <c r="X1478" s="6"/>
      <c r="Y1478" s="6"/>
      <c r="Z1478" s="6"/>
      <c r="AA1478" s="6"/>
      <c r="AB1478" s="6"/>
    </row>
    <row r="1479" spans="1:28" ht="12.75" x14ac:dyDescent="0.2">
      <c r="A1479" s="13"/>
      <c r="B1479" s="6"/>
      <c r="C1479" s="6"/>
      <c r="D1479" s="6"/>
      <c r="E1479" s="6"/>
      <c r="F1479" s="6"/>
      <c r="G1479" s="6"/>
      <c r="H1479" s="6"/>
      <c r="I1479" s="6"/>
      <c r="J1479" s="6"/>
      <c r="K1479" s="6"/>
      <c r="L1479" s="6"/>
      <c r="M1479" s="6"/>
      <c r="N1479" s="6"/>
      <c r="O1479" s="6"/>
      <c r="P1479" s="6"/>
      <c r="Q1479" s="6"/>
      <c r="R1479" s="6"/>
      <c r="S1479" s="6"/>
      <c r="T1479" s="6"/>
      <c r="U1479" s="6"/>
      <c r="V1479" s="6"/>
      <c r="W1479" s="6"/>
      <c r="X1479" s="6"/>
      <c r="Y1479" s="6"/>
      <c r="Z1479" s="6"/>
      <c r="AA1479" s="6"/>
      <c r="AB1479" s="6"/>
    </row>
    <row r="1480" spans="1:28" ht="12.75" x14ac:dyDescent="0.2">
      <c r="A1480" s="13"/>
      <c r="B1480" s="6"/>
      <c r="C1480" s="6"/>
      <c r="D1480" s="6"/>
      <c r="E1480" s="6"/>
      <c r="F1480" s="6"/>
      <c r="G1480" s="6"/>
      <c r="H1480" s="6"/>
      <c r="I1480" s="6"/>
      <c r="J1480" s="6"/>
      <c r="K1480" s="6"/>
      <c r="L1480" s="6"/>
      <c r="M1480" s="6"/>
      <c r="N1480" s="6"/>
      <c r="O1480" s="6"/>
      <c r="P1480" s="6"/>
      <c r="Q1480" s="6"/>
      <c r="R1480" s="6"/>
      <c r="S1480" s="6"/>
      <c r="T1480" s="6"/>
      <c r="U1480" s="6"/>
      <c r="V1480" s="6"/>
      <c r="W1480" s="6"/>
      <c r="X1480" s="6"/>
      <c r="Y1480" s="6"/>
      <c r="Z1480" s="6"/>
      <c r="AA1480" s="6"/>
      <c r="AB1480" s="6"/>
    </row>
    <row r="1481" spans="1:28" ht="12.75" x14ac:dyDescent="0.2">
      <c r="A1481" s="13"/>
      <c r="B1481" s="6"/>
      <c r="C1481" s="6"/>
      <c r="D1481" s="6"/>
      <c r="E1481" s="6"/>
      <c r="F1481" s="6"/>
      <c r="G1481" s="6"/>
      <c r="H1481" s="6"/>
      <c r="I1481" s="6"/>
      <c r="J1481" s="6"/>
      <c r="K1481" s="6"/>
      <c r="L1481" s="6"/>
      <c r="M1481" s="6"/>
      <c r="N1481" s="6"/>
      <c r="O1481" s="6"/>
      <c r="P1481" s="6"/>
      <c r="Q1481" s="6"/>
      <c r="R1481" s="6"/>
      <c r="S1481" s="6"/>
      <c r="T1481" s="6"/>
      <c r="U1481" s="6"/>
      <c r="V1481" s="6"/>
      <c r="W1481" s="6"/>
      <c r="X1481" s="6"/>
      <c r="Y1481" s="6"/>
      <c r="Z1481" s="6"/>
      <c r="AA1481" s="6"/>
      <c r="AB1481" s="6"/>
    </row>
    <row r="1482" spans="1:28" ht="12.75" x14ac:dyDescent="0.2">
      <c r="A1482" s="13"/>
      <c r="B1482" s="6"/>
      <c r="C1482" s="6"/>
      <c r="D1482" s="6"/>
      <c r="E1482" s="6"/>
      <c r="F1482" s="6"/>
      <c r="G1482" s="6"/>
      <c r="H1482" s="6"/>
      <c r="I1482" s="6"/>
      <c r="J1482" s="6"/>
      <c r="K1482" s="6"/>
      <c r="L1482" s="6"/>
      <c r="M1482" s="6"/>
      <c r="N1482" s="6"/>
      <c r="O1482" s="6"/>
      <c r="P1482" s="6"/>
      <c r="Q1482" s="6"/>
      <c r="R1482" s="6"/>
      <c r="S1482" s="6"/>
      <c r="T1482" s="6"/>
      <c r="U1482" s="6"/>
      <c r="V1482" s="6"/>
      <c r="W1482" s="6"/>
      <c r="X1482" s="6"/>
      <c r="Y1482" s="6"/>
      <c r="Z1482" s="6"/>
      <c r="AA1482" s="6"/>
      <c r="AB1482" s="6"/>
    </row>
    <row r="1483" spans="1:28" ht="12.75" x14ac:dyDescent="0.2">
      <c r="A1483" s="13"/>
      <c r="B1483" s="6"/>
      <c r="C1483" s="6"/>
      <c r="D1483" s="6"/>
      <c r="E1483" s="6"/>
      <c r="F1483" s="6"/>
      <c r="G1483" s="6"/>
      <c r="H1483" s="6"/>
      <c r="I1483" s="6"/>
      <c r="J1483" s="6"/>
      <c r="K1483" s="6"/>
      <c r="L1483" s="6"/>
      <c r="M1483" s="6"/>
      <c r="N1483" s="6"/>
      <c r="O1483" s="6"/>
      <c r="P1483" s="6"/>
      <c r="Q1483" s="6"/>
      <c r="R1483" s="6"/>
      <c r="S1483" s="6"/>
      <c r="T1483" s="6"/>
      <c r="U1483" s="6"/>
      <c r="V1483" s="6"/>
      <c r="W1483" s="6"/>
      <c r="X1483" s="6"/>
      <c r="Y1483" s="6"/>
      <c r="Z1483" s="6"/>
      <c r="AA1483" s="6"/>
      <c r="AB1483" s="6"/>
    </row>
    <row r="1484" spans="1:28" ht="12.75" x14ac:dyDescent="0.2">
      <c r="A1484" s="13"/>
      <c r="B1484" s="6"/>
      <c r="C1484" s="6"/>
      <c r="D1484" s="6"/>
      <c r="E1484" s="6"/>
      <c r="F1484" s="6"/>
      <c r="G1484" s="6"/>
      <c r="H1484" s="6"/>
      <c r="I1484" s="6"/>
      <c r="J1484" s="6"/>
      <c r="K1484" s="6"/>
      <c r="L1484" s="6"/>
      <c r="M1484" s="6"/>
      <c r="N1484" s="6"/>
      <c r="O1484" s="6"/>
      <c r="P1484" s="6"/>
      <c r="Q1484" s="6"/>
      <c r="R1484" s="6"/>
      <c r="S1484" s="6"/>
      <c r="T1484" s="6"/>
      <c r="U1484" s="6"/>
      <c r="V1484" s="6"/>
      <c r="W1484" s="6"/>
      <c r="X1484" s="6"/>
      <c r="Y1484" s="6"/>
      <c r="Z1484" s="6"/>
      <c r="AA1484" s="6"/>
      <c r="AB1484" s="6"/>
    </row>
    <row r="1485" spans="1:28" ht="12.75" x14ac:dyDescent="0.2">
      <c r="A1485" s="13"/>
      <c r="B1485" s="6"/>
      <c r="C1485" s="6"/>
      <c r="D1485" s="6"/>
      <c r="E1485" s="6"/>
      <c r="F1485" s="6"/>
      <c r="G1485" s="6"/>
      <c r="H1485" s="6"/>
      <c r="I1485" s="6"/>
      <c r="J1485" s="6"/>
      <c r="K1485" s="6"/>
      <c r="L1485" s="6"/>
      <c r="M1485" s="6"/>
      <c r="N1485" s="6"/>
      <c r="O1485" s="6"/>
      <c r="P1485" s="6"/>
      <c r="Q1485" s="6"/>
      <c r="R1485" s="6"/>
      <c r="S1485" s="6"/>
      <c r="T1485" s="6"/>
      <c r="U1485" s="6"/>
      <c r="V1485" s="6"/>
      <c r="W1485" s="6"/>
      <c r="X1485" s="6"/>
      <c r="Y1485" s="6"/>
      <c r="Z1485" s="6"/>
      <c r="AA1485" s="6"/>
      <c r="AB1485" s="6"/>
    </row>
    <row r="1486" spans="1:28" ht="12.75" x14ac:dyDescent="0.2">
      <c r="A1486" s="13"/>
      <c r="B1486" s="6"/>
      <c r="C1486" s="6"/>
      <c r="D1486" s="6"/>
      <c r="E1486" s="6"/>
      <c r="F1486" s="6"/>
      <c r="G1486" s="6"/>
      <c r="H1486" s="6"/>
      <c r="I1486" s="6"/>
      <c r="J1486" s="6"/>
      <c r="K1486" s="6"/>
      <c r="L1486" s="6"/>
      <c r="M1486" s="6"/>
      <c r="N1486" s="6"/>
      <c r="O1486" s="6"/>
      <c r="P1486" s="6"/>
      <c r="Q1486" s="6"/>
      <c r="R1486" s="6"/>
      <c r="S1486" s="6"/>
      <c r="T1486" s="6"/>
      <c r="U1486" s="6"/>
      <c r="V1486" s="6"/>
      <c r="W1486" s="6"/>
      <c r="X1486" s="6"/>
      <c r="Y1486" s="6"/>
      <c r="Z1486" s="6"/>
      <c r="AA1486" s="6"/>
      <c r="AB1486" s="6"/>
    </row>
    <row r="1487" spans="1:28" ht="12.75" x14ac:dyDescent="0.2">
      <c r="A1487" s="13"/>
      <c r="B1487" s="6"/>
      <c r="C1487" s="6"/>
      <c r="D1487" s="6"/>
      <c r="E1487" s="6"/>
      <c r="F1487" s="6"/>
      <c r="G1487" s="6"/>
      <c r="H1487" s="6"/>
      <c r="I1487" s="6"/>
      <c r="J1487" s="6"/>
      <c r="K1487" s="6"/>
      <c r="L1487" s="6"/>
      <c r="M1487" s="6"/>
      <c r="N1487" s="6"/>
      <c r="O1487" s="6"/>
      <c r="P1487" s="6"/>
      <c r="Q1487" s="6"/>
      <c r="R1487" s="6"/>
      <c r="S1487" s="6"/>
      <c r="T1487" s="6"/>
      <c r="U1487" s="6"/>
      <c r="V1487" s="6"/>
      <c r="W1487" s="6"/>
      <c r="X1487" s="6"/>
      <c r="Y1487" s="6"/>
      <c r="Z1487" s="6"/>
      <c r="AA1487" s="6"/>
      <c r="AB1487" s="6"/>
    </row>
    <row r="1488" spans="1:28" ht="12.75" x14ac:dyDescent="0.2">
      <c r="A1488" s="13"/>
      <c r="B1488" s="6"/>
      <c r="C1488" s="6"/>
      <c r="D1488" s="6"/>
      <c r="E1488" s="6"/>
      <c r="F1488" s="6"/>
      <c r="G1488" s="6"/>
      <c r="H1488" s="6"/>
      <c r="I1488" s="6"/>
      <c r="J1488" s="6"/>
      <c r="K1488" s="6"/>
      <c r="L1488" s="6"/>
      <c r="M1488" s="6"/>
      <c r="N1488" s="6"/>
      <c r="O1488" s="6"/>
      <c r="P1488" s="6"/>
      <c r="Q1488" s="6"/>
      <c r="R1488" s="6"/>
      <c r="S1488" s="6"/>
      <c r="T1488" s="6"/>
      <c r="U1488" s="6"/>
      <c r="V1488" s="6"/>
      <c r="W1488" s="6"/>
      <c r="X1488" s="6"/>
      <c r="Y1488" s="6"/>
      <c r="Z1488" s="6"/>
      <c r="AA1488" s="6"/>
      <c r="AB1488" s="6"/>
    </row>
    <row r="1489" spans="1:28" ht="12.75" x14ac:dyDescent="0.2">
      <c r="A1489" s="13"/>
      <c r="B1489" s="6"/>
      <c r="C1489" s="6"/>
      <c r="D1489" s="6"/>
      <c r="E1489" s="6"/>
      <c r="F1489" s="6"/>
      <c r="G1489" s="6"/>
      <c r="H1489" s="6"/>
      <c r="I1489" s="6"/>
      <c r="J1489" s="6"/>
      <c r="K1489" s="6"/>
      <c r="L1489" s="6"/>
      <c r="M1489" s="6"/>
      <c r="N1489" s="6"/>
      <c r="O1489" s="6"/>
      <c r="P1489" s="6"/>
      <c r="Q1489" s="6"/>
      <c r="R1489" s="6"/>
      <c r="S1489" s="6"/>
      <c r="T1489" s="6"/>
      <c r="U1489" s="6"/>
      <c r="V1489" s="6"/>
      <c r="W1489" s="6"/>
      <c r="X1489" s="6"/>
      <c r="Y1489" s="6"/>
      <c r="Z1489" s="6"/>
      <c r="AA1489" s="6"/>
      <c r="AB1489" s="6"/>
    </row>
    <row r="1490" spans="1:28" ht="12.75" x14ac:dyDescent="0.2">
      <c r="A1490" s="13"/>
      <c r="B1490" s="6"/>
      <c r="C1490" s="6"/>
      <c r="D1490" s="6"/>
      <c r="E1490" s="6"/>
      <c r="F1490" s="6"/>
      <c r="G1490" s="6"/>
      <c r="H1490" s="6"/>
      <c r="I1490" s="6"/>
      <c r="J1490" s="6"/>
      <c r="K1490" s="6"/>
      <c r="L1490" s="6"/>
      <c r="M1490" s="6"/>
      <c r="N1490" s="6"/>
      <c r="O1490" s="6"/>
      <c r="P1490" s="6"/>
      <c r="Q1490" s="6"/>
      <c r="R1490" s="6"/>
      <c r="S1490" s="6"/>
      <c r="T1490" s="6"/>
      <c r="U1490" s="6"/>
      <c r="V1490" s="6"/>
      <c r="W1490" s="6"/>
      <c r="X1490" s="6"/>
      <c r="Y1490" s="6"/>
      <c r="Z1490" s="6"/>
      <c r="AA1490" s="6"/>
      <c r="AB1490" s="6"/>
    </row>
    <row r="1491" spans="1:28" ht="12.75" x14ac:dyDescent="0.2">
      <c r="A1491" s="13"/>
      <c r="B1491" s="6"/>
      <c r="C1491" s="6"/>
      <c r="D1491" s="6"/>
      <c r="E1491" s="6"/>
      <c r="F1491" s="6"/>
      <c r="G1491" s="6"/>
      <c r="H1491" s="6"/>
      <c r="I1491" s="6"/>
      <c r="J1491" s="6"/>
      <c r="K1491" s="6"/>
      <c r="L1491" s="6"/>
      <c r="M1491" s="6"/>
      <c r="N1491" s="6"/>
      <c r="O1491" s="6"/>
      <c r="P1491" s="6"/>
      <c r="Q1491" s="6"/>
      <c r="R1491" s="6"/>
      <c r="S1491" s="6"/>
      <c r="T1491" s="6"/>
      <c r="U1491" s="6"/>
      <c r="V1491" s="6"/>
      <c r="W1491" s="6"/>
      <c r="X1491" s="6"/>
      <c r="Y1491" s="6"/>
      <c r="Z1491" s="6"/>
      <c r="AA1491" s="6"/>
      <c r="AB1491" s="6"/>
    </row>
    <row r="1492" spans="1:28" ht="12.75" x14ac:dyDescent="0.2">
      <c r="A1492" s="13"/>
      <c r="B1492" s="6"/>
      <c r="C1492" s="6"/>
      <c r="D1492" s="6"/>
      <c r="E1492" s="6"/>
      <c r="F1492" s="6"/>
      <c r="G1492" s="6"/>
      <c r="H1492" s="6"/>
      <c r="I1492" s="6"/>
      <c r="J1492" s="6"/>
      <c r="K1492" s="6"/>
      <c r="L1492" s="6"/>
      <c r="M1492" s="6"/>
      <c r="N1492" s="6"/>
      <c r="O1492" s="6"/>
      <c r="P1492" s="6"/>
      <c r="Q1492" s="6"/>
      <c r="R1492" s="6"/>
      <c r="S1492" s="6"/>
      <c r="T1492" s="6"/>
      <c r="U1492" s="6"/>
      <c r="V1492" s="6"/>
      <c r="W1492" s="6"/>
      <c r="X1492" s="6"/>
      <c r="Y1492" s="6"/>
      <c r="Z1492" s="6"/>
      <c r="AA1492" s="6"/>
      <c r="AB1492" s="6"/>
    </row>
    <row r="1493" spans="1:28" ht="12.75" x14ac:dyDescent="0.2">
      <c r="A1493" s="13"/>
      <c r="B1493" s="6"/>
      <c r="C1493" s="6"/>
      <c r="D1493" s="6"/>
      <c r="E1493" s="6"/>
      <c r="F1493" s="6"/>
      <c r="G1493" s="6"/>
      <c r="H1493" s="6"/>
      <c r="I1493" s="6"/>
      <c r="J1493" s="6"/>
      <c r="K1493" s="6"/>
      <c r="L1493" s="6"/>
      <c r="M1493" s="6"/>
      <c r="N1493" s="6"/>
      <c r="O1493" s="6"/>
      <c r="P1493" s="6"/>
      <c r="Q1493" s="6"/>
      <c r="R1493" s="6"/>
      <c r="S1493" s="6"/>
      <c r="T1493" s="6"/>
      <c r="U1493" s="6"/>
      <c r="V1493" s="6"/>
      <c r="W1493" s="6"/>
      <c r="X1493" s="6"/>
      <c r="Y1493" s="6"/>
      <c r="Z1493" s="6"/>
      <c r="AA1493" s="6"/>
      <c r="AB1493" s="6"/>
    </row>
    <row r="1494" spans="1:28" ht="12.75" x14ac:dyDescent="0.2">
      <c r="A1494" s="13"/>
      <c r="B1494" s="6"/>
      <c r="C1494" s="6"/>
      <c r="D1494" s="6"/>
      <c r="E1494" s="6"/>
      <c r="F1494" s="6"/>
      <c r="G1494" s="6"/>
      <c r="H1494" s="6"/>
      <c r="I1494" s="6"/>
      <c r="J1494" s="6"/>
      <c r="K1494" s="6"/>
      <c r="L1494" s="6"/>
      <c r="M1494" s="6"/>
      <c r="N1494" s="6"/>
      <c r="O1494" s="6"/>
      <c r="P1494" s="6"/>
      <c r="Q1494" s="6"/>
      <c r="R1494" s="6"/>
      <c r="S1494" s="6"/>
      <c r="T1494" s="6"/>
      <c r="U1494" s="6"/>
      <c r="V1494" s="6"/>
      <c r="W1494" s="6"/>
      <c r="X1494" s="6"/>
      <c r="Y1494" s="6"/>
      <c r="Z1494" s="6"/>
      <c r="AA1494" s="6"/>
      <c r="AB1494" s="6"/>
    </row>
    <row r="1495" spans="1:28" ht="12.75" x14ac:dyDescent="0.2">
      <c r="A1495" s="13"/>
      <c r="B1495" s="6"/>
      <c r="C1495" s="6"/>
      <c r="D1495" s="6"/>
      <c r="E1495" s="6"/>
      <c r="F1495" s="6"/>
      <c r="G1495" s="6"/>
      <c r="H1495" s="6"/>
      <c r="I1495" s="6"/>
      <c r="J1495" s="6"/>
      <c r="K1495" s="6"/>
      <c r="L1495" s="6"/>
      <c r="M1495" s="6"/>
      <c r="N1495" s="6"/>
      <c r="O1495" s="6"/>
      <c r="P1495" s="6"/>
      <c r="Q1495" s="6"/>
      <c r="R1495" s="6"/>
      <c r="S1495" s="6"/>
      <c r="T1495" s="6"/>
      <c r="U1495" s="6"/>
      <c r="V1495" s="6"/>
      <c r="W1495" s="6"/>
      <c r="X1495" s="6"/>
      <c r="Y1495" s="6"/>
      <c r="Z1495" s="6"/>
      <c r="AA1495" s="6"/>
      <c r="AB1495" s="6"/>
    </row>
    <row r="1496" spans="1:28" ht="12.75" x14ac:dyDescent="0.2">
      <c r="A1496" s="13"/>
      <c r="B1496" s="6"/>
      <c r="C1496" s="6"/>
      <c r="D1496" s="6"/>
      <c r="E1496" s="6"/>
      <c r="F1496" s="6"/>
      <c r="G1496" s="6"/>
      <c r="H1496" s="6"/>
      <c r="I1496" s="6"/>
      <c r="J1496" s="6"/>
      <c r="K1496" s="6"/>
      <c r="L1496" s="6"/>
      <c r="M1496" s="6"/>
      <c r="N1496" s="6"/>
      <c r="O1496" s="6"/>
      <c r="P1496" s="6"/>
      <c r="Q1496" s="6"/>
      <c r="R1496" s="6"/>
      <c r="S1496" s="6"/>
      <c r="T1496" s="6"/>
      <c r="U1496" s="6"/>
      <c r="V1496" s="6"/>
      <c r="W1496" s="6"/>
      <c r="X1496" s="6"/>
      <c r="Y1496" s="6"/>
      <c r="Z1496" s="6"/>
      <c r="AA1496" s="6"/>
      <c r="AB1496" s="6"/>
    </row>
    <row r="1497" spans="1:28" ht="12.75" x14ac:dyDescent="0.2">
      <c r="A1497" s="13"/>
      <c r="B1497" s="6"/>
      <c r="C1497" s="6"/>
      <c r="D1497" s="6"/>
      <c r="E1497" s="6"/>
      <c r="F1497" s="6"/>
      <c r="G1497" s="6"/>
      <c r="H1497" s="6"/>
      <c r="I1497" s="6"/>
      <c r="J1497" s="6"/>
      <c r="K1497" s="6"/>
      <c r="L1497" s="6"/>
      <c r="M1497" s="6"/>
      <c r="N1497" s="6"/>
      <c r="O1497" s="6"/>
      <c r="P1497" s="6"/>
      <c r="Q1497" s="6"/>
      <c r="R1497" s="6"/>
      <c r="S1497" s="6"/>
      <c r="T1497" s="6"/>
      <c r="U1497" s="6"/>
      <c r="V1497" s="6"/>
      <c r="W1497" s="6"/>
      <c r="X1497" s="6"/>
      <c r="Y1497" s="6"/>
      <c r="Z1497" s="6"/>
      <c r="AA1497" s="6"/>
      <c r="AB1497" s="6"/>
    </row>
    <row r="1498" spans="1:28" ht="12.75" x14ac:dyDescent="0.2">
      <c r="A1498" s="13"/>
      <c r="B1498" s="6"/>
      <c r="C1498" s="6"/>
      <c r="D1498" s="6"/>
      <c r="E1498" s="6"/>
      <c r="F1498" s="6"/>
      <c r="G1498" s="6"/>
      <c r="H1498" s="6"/>
      <c r="I1498" s="6"/>
      <c r="J1498" s="6"/>
      <c r="K1498" s="6"/>
      <c r="L1498" s="6"/>
      <c r="M1498" s="6"/>
      <c r="N1498" s="6"/>
      <c r="O1498" s="6"/>
      <c r="P1498" s="6"/>
      <c r="Q1498" s="6"/>
      <c r="R1498" s="6"/>
      <c r="S1498" s="6"/>
      <c r="T1498" s="6"/>
      <c r="U1498" s="6"/>
      <c r="V1498" s="6"/>
      <c r="W1498" s="6"/>
      <c r="X1498" s="6"/>
      <c r="Y1498" s="6"/>
      <c r="Z1498" s="6"/>
      <c r="AA1498" s="6"/>
      <c r="AB1498" s="6"/>
    </row>
    <row r="1499" spans="1:28" ht="12.75" x14ac:dyDescent="0.2">
      <c r="A1499" s="13"/>
      <c r="B1499" s="6"/>
      <c r="C1499" s="6"/>
      <c r="D1499" s="6"/>
      <c r="E1499" s="6"/>
      <c r="F1499" s="6"/>
      <c r="G1499" s="6"/>
      <c r="H1499" s="6"/>
      <c r="I1499" s="6"/>
      <c r="J1499" s="6"/>
      <c r="K1499" s="6"/>
      <c r="L1499" s="6"/>
      <c r="M1499" s="6"/>
      <c r="N1499" s="6"/>
      <c r="O1499" s="6"/>
      <c r="P1499" s="6"/>
      <c r="Q1499" s="6"/>
      <c r="R1499" s="6"/>
      <c r="S1499" s="6"/>
      <c r="T1499" s="6"/>
      <c r="U1499" s="6"/>
      <c r="V1499" s="6"/>
      <c r="W1499" s="6"/>
      <c r="X1499" s="6"/>
      <c r="Y1499" s="6"/>
      <c r="Z1499" s="6"/>
      <c r="AA1499" s="6"/>
      <c r="AB1499" s="6"/>
    </row>
    <row r="1500" spans="1:28" ht="12.75" x14ac:dyDescent="0.2">
      <c r="A1500" s="13"/>
      <c r="B1500" s="6"/>
      <c r="C1500" s="6"/>
      <c r="D1500" s="6"/>
      <c r="E1500" s="6"/>
      <c r="F1500" s="6"/>
      <c r="G1500" s="6"/>
      <c r="H1500" s="6"/>
      <c r="I1500" s="6"/>
      <c r="J1500" s="6"/>
      <c r="K1500" s="6"/>
      <c r="L1500" s="6"/>
      <c r="M1500" s="6"/>
      <c r="N1500" s="6"/>
      <c r="O1500" s="6"/>
      <c r="P1500" s="6"/>
      <c r="Q1500" s="6"/>
      <c r="R1500" s="6"/>
      <c r="S1500" s="6"/>
      <c r="T1500" s="6"/>
      <c r="U1500" s="6"/>
      <c r="V1500" s="6"/>
      <c r="W1500" s="6"/>
      <c r="X1500" s="6"/>
      <c r="Y1500" s="6"/>
      <c r="Z1500" s="6"/>
      <c r="AA1500" s="6"/>
      <c r="AB1500" s="6"/>
    </row>
    <row r="1501" spans="1:28" ht="12.75" x14ac:dyDescent="0.2">
      <c r="A1501" s="13"/>
      <c r="B1501" s="6"/>
      <c r="C1501" s="6"/>
      <c r="D1501" s="6"/>
      <c r="E1501" s="6"/>
      <c r="F1501" s="6"/>
      <c r="G1501" s="6"/>
      <c r="H1501" s="6"/>
      <c r="I1501" s="6"/>
      <c r="J1501" s="6"/>
      <c r="K1501" s="6"/>
      <c r="L1501" s="6"/>
      <c r="M1501" s="6"/>
      <c r="N1501" s="6"/>
      <c r="O1501" s="6"/>
      <c r="P1501" s="6"/>
      <c r="Q1501" s="6"/>
      <c r="R1501" s="6"/>
      <c r="S1501" s="6"/>
      <c r="T1501" s="6"/>
      <c r="U1501" s="6"/>
      <c r="V1501" s="6"/>
      <c r="W1501" s="6"/>
      <c r="X1501" s="6"/>
      <c r="Y1501" s="6"/>
      <c r="Z1501" s="6"/>
      <c r="AA1501" s="6"/>
      <c r="AB1501" s="6"/>
    </row>
    <row r="1502" spans="1:28" ht="12.75" x14ac:dyDescent="0.2">
      <c r="A1502" s="13"/>
      <c r="B1502" s="6"/>
      <c r="C1502" s="6"/>
      <c r="D1502" s="6"/>
      <c r="E1502" s="6"/>
      <c r="F1502" s="6"/>
      <c r="G1502" s="6"/>
      <c r="H1502" s="6"/>
      <c r="I1502" s="6"/>
      <c r="J1502" s="6"/>
      <c r="K1502" s="6"/>
      <c r="L1502" s="6"/>
      <c r="M1502" s="6"/>
      <c r="N1502" s="6"/>
      <c r="O1502" s="6"/>
      <c r="P1502" s="6"/>
      <c r="Q1502" s="6"/>
      <c r="R1502" s="6"/>
      <c r="S1502" s="6"/>
      <c r="T1502" s="6"/>
      <c r="U1502" s="6"/>
      <c r="V1502" s="6"/>
      <c r="W1502" s="6"/>
      <c r="X1502" s="6"/>
      <c r="Y1502" s="6"/>
      <c r="Z1502" s="6"/>
      <c r="AA1502" s="6"/>
      <c r="AB1502" s="6"/>
    </row>
    <row r="1503" spans="1:28" ht="12.75" x14ac:dyDescent="0.2">
      <c r="A1503" s="13"/>
      <c r="B1503" s="6"/>
      <c r="C1503" s="6"/>
      <c r="D1503" s="6"/>
      <c r="E1503" s="6"/>
      <c r="F1503" s="6"/>
      <c r="G1503" s="6"/>
      <c r="H1503" s="6"/>
      <c r="I1503" s="6"/>
      <c r="J1503" s="6"/>
      <c r="K1503" s="6"/>
      <c r="L1503" s="6"/>
      <c r="M1503" s="6"/>
      <c r="N1503" s="6"/>
      <c r="O1503" s="6"/>
      <c r="P1503" s="6"/>
      <c r="Q1503" s="6"/>
      <c r="R1503" s="6"/>
      <c r="S1503" s="6"/>
      <c r="T1503" s="6"/>
      <c r="U1503" s="6"/>
      <c r="V1503" s="6"/>
      <c r="W1503" s="6"/>
      <c r="X1503" s="6"/>
      <c r="Y1503" s="6"/>
      <c r="Z1503" s="6"/>
      <c r="AA1503" s="6"/>
      <c r="AB1503" s="6"/>
    </row>
    <row r="1504" spans="1:28" ht="12.75" x14ac:dyDescent="0.2">
      <c r="A1504" s="13"/>
      <c r="B1504" s="6"/>
      <c r="C1504" s="6"/>
      <c r="D1504" s="6"/>
      <c r="E1504" s="6"/>
      <c r="F1504" s="6"/>
      <c r="G1504" s="6"/>
      <c r="H1504" s="6"/>
      <c r="I1504" s="6"/>
      <c r="J1504" s="6"/>
      <c r="K1504" s="6"/>
      <c r="L1504" s="6"/>
      <c r="M1504" s="6"/>
      <c r="N1504" s="6"/>
      <c r="O1504" s="6"/>
      <c r="P1504" s="6"/>
      <c r="Q1504" s="6"/>
      <c r="R1504" s="6"/>
      <c r="S1504" s="6"/>
      <c r="T1504" s="6"/>
      <c r="U1504" s="6"/>
      <c r="V1504" s="6"/>
      <c r="W1504" s="6"/>
      <c r="X1504" s="6"/>
      <c r="Y1504" s="6"/>
      <c r="Z1504" s="6"/>
      <c r="AA1504" s="6"/>
      <c r="AB1504" s="6"/>
    </row>
    <row r="1505" spans="1:28" ht="12.75" x14ac:dyDescent="0.2">
      <c r="A1505" s="13"/>
      <c r="B1505" s="6"/>
      <c r="C1505" s="6"/>
      <c r="D1505" s="6"/>
      <c r="E1505" s="6"/>
      <c r="F1505" s="6"/>
      <c r="G1505" s="6"/>
      <c r="H1505" s="6"/>
      <c r="I1505" s="6"/>
      <c r="J1505" s="6"/>
      <c r="K1505" s="6"/>
      <c r="L1505" s="6"/>
      <c r="M1505" s="6"/>
      <c r="N1505" s="6"/>
      <c r="O1505" s="6"/>
      <c r="P1505" s="6"/>
      <c r="Q1505" s="6"/>
      <c r="R1505" s="6"/>
      <c r="S1505" s="6"/>
      <c r="T1505" s="6"/>
      <c r="U1505" s="6"/>
      <c r="V1505" s="6"/>
      <c r="W1505" s="6"/>
      <c r="X1505" s="6"/>
      <c r="Y1505" s="6"/>
      <c r="Z1505" s="6"/>
      <c r="AA1505" s="6"/>
      <c r="AB1505" s="6"/>
    </row>
    <row r="1506" spans="1:28" ht="12.75" x14ac:dyDescent="0.2">
      <c r="A1506" s="13"/>
      <c r="B1506" s="6"/>
      <c r="C1506" s="6"/>
      <c r="D1506" s="6"/>
      <c r="E1506" s="6"/>
      <c r="F1506" s="6"/>
      <c r="G1506" s="6"/>
      <c r="H1506" s="6"/>
      <c r="I1506" s="6"/>
      <c r="J1506" s="6"/>
      <c r="K1506" s="6"/>
      <c r="L1506" s="6"/>
      <c r="M1506" s="6"/>
      <c r="N1506" s="6"/>
      <c r="O1506" s="6"/>
      <c r="P1506" s="6"/>
      <c r="Q1506" s="6"/>
      <c r="R1506" s="6"/>
      <c r="S1506" s="6"/>
      <c r="T1506" s="6"/>
      <c r="U1506" s="6"/>
      <c r="V1506" s="6"/>
      <c r="W1506" s="6"/>
      <c r="X1506" s="6"/>
      <c r="Y1506" s="6"/>
      <c r="Z1506" s="6"/>
      <c r="AA1506" s="6"/>
      <c r="AB1506" s="6"/>
    </row>
    <row r="1507" spans="1:28" ht="12.75" x14ac:dyDescent="0.2">
      <c r="A1507" s="13"/>
      <c r="B1507" s="6"/>
      <c r="C1507" s="6"/>
      <c r="D1507" s="6"/>
      <c r="E1507" s="6"/>
      <c r="F1507" s="6"/>
      <c r="G1507" s="6"/>
      <c r="H1507" s="6"/>
      <c r="I1507" s="6"/>
      <c r="J1507" s="6"/>
      <c r="K1507" s="6"/>
      <c r="L1507" s="6"/>
      <c r="M1507" s="6"/>
      <c r="N1507" s="6"/>
      <c r="O1507" s="6"/>
      <c r="P1507" s="6"/>
      <c r="Q1507" s="6"/>
      <c r="R1507" s="6"/>
      <c r="S1507" s="6"/>
      <c r="T1507" s="6"/>
      <c r="U1507" s="6"/>
      <c r="V1507" s="6"/>
      <c r="W1507" s="6"/>
      <c r="X1507" s="6"/>
      <c r="Y1507" s="6"/>
      <c r="Z1507" s="6"/>
      <c r="AA1507" s="6"/>
      <c r="AB1507" s="6"/>
    </row>
    <row r="1508" spans="1:28" ht="12.75" x14ac:dyDescent="0.2">
      <c r="A1508" s="13"/>
      <c r="B1508" s="6"/>
      <c r="C1508" s="6"/>
      <c r="D1508" s="6"/>
      <c r="E1508" s="6"/>
      <c r="F1508" s="6"/>
      <c r="G1508" s="6"/>
      <c r="H1508" s="6"/>
      <c r="I1508" s="6"/>
      <c r="J1508" s="6"/>
      <c r="K1508" s="6"/>
      <c r="L1508" s="6"/>
      <c r="M1508" s="6"/>
      <c r="N1508" s="6"/>
      <c r="O1508" s="6"/>
      <c r="P1508" s="6"/>
      <c r="Q1508" s="6"/>
      <c r="R1508" s="6"/>
      <c r="S1508" s="6"/>
      <c r="T1508" s="6"/>
      <c r="U1508" s="6"/>
      <c r="V1508" s="6"/>
      <c r="W1508" s="6"/>
      <c r="X1508" s="6"/>
      <c r="Y1508" s="6"/>
      <c r="Z1508" s="6"/>
      <c r="AA1508" s="6"/>
      <c r="AB1508" s="6"/>
    </row>
    <row r="1509" spans="1:28" ht="12.75" x14ac:dyDescent="0.2">
      <c r="A1509" s="13"/>
      <c r="B1509" s="6"/>
      <c r="C1509" s="6"/>
      <c r="D1509" s="6"/>
      <c r="E1509" s="6"/>
      <c r="F1509" s="6"/>
      <c r="G1509" s="6"/>
      <c r="H1509" s="6"/>
      <c r="I1509" s="6"/>
      <c r="J1509" s="6"/>
      <c r="K1509" s="6"/>
      <c r="L1509" s="6"/>
      <c r="M1509" s="6"/>
      <c r="N1509" s="6"/>
      <c r="O1509" s="6"/>
      <c r="P1509" s="6"/>
      <c r="Q1509" s="6"/>
      <c r="R1509" s="6"/>
      <c r="S1509" s="6"/>
      <c r="T1509" s="6"/>
      <c r="U1509" s="6"/>
      <c r="V1509" s="6"/>
      <c r="W1509" s="6"/>
      <c r="X1509" s="6"/>
      <c r="Y1509" s="6"/>
      <c r="Z1509" s="6"/>
      <c r="AA1509" s="6"/>
      <c r="AB1509" s="6"/>
    </row>
    <row r="1510" spans="1:28" ht="12.75" x14ac:dyDescent="0.2">
      <c r="A1510" s="13"/>
      <c r="B1510" s="6"/>
      <c r="C1510" s="6"/>
      <c r="D1510" s="6"/>
      <c r="E1510" s="6"/>
      <c r="F1510" s="6"/>
      <c r="G1510" s="6"/>
      <c r="H1510" s="6"/>
      <c r="I1510" s="6"/>
      <c r="J1510" s="6"/>
      <c r="K1510" s="6"/>
      <c r="L1510" s="6"/>
      <c r="M1510" s="6"/>
      <c r="N1510" s="6"/>
      <c r="O1510" s="6"/>
      <c r="P1510" s="6"/>
      <c r="Q1510" s="6"/>
      <c r="R1510" s="6"/>
      <c r="S1510" s="6"/>
      <c r="T1510" s="6"/>
      <c r="U1510" s="6"/>
      <c r="V1510" s="6"/>
      <c r="W1510" s="6"/>
      <c r="X1510" s="6"/>
      <c r="Y1510" s="6"/>
      <c r="Z1510" s="6"/>
      <c r="AA1510" s="6"/>
      <c r="AB1510" s="6"/>
    </row>
    <row r="1511" spans="1:28" ht="12.75" x14ac:dyDescent="0.2">
      <c r="A1511" s="13"/>
      <c r="B1511" s="6"/>
      <c r="C1511" s="6"/>
      <c r="D1511" s="6"/>
      <c r="E1511" s="6"/>
      <c r="F1511" s="6"/>
      <c r="G1511" s="6"/>
      <c r="H1511" s="6"/>
      <c r="I1511" s="6"/>
      <c r="J1511" s="6"/>
      <c r="K1511" s="6"/>
      <c r="L1511" s="6"/>
      <c r="M1511" s="6"/>
      <c r="N1511" s="6"/>
      <c r="O1511" s="6"/>
      <c r="P1511" s="6"/>
      <c r="Q1511" s="6"/>
      <c r="R1511" s="6"/>
      <c r="S1511" s="6"/>
      <c r="T1511" s="6"/>
      <c r="U1511" s="6"/>
      <c r="V1511" s="6"/>
      <c r="W1511" s="6"/>
      <c r="X1511" s="6"/>
      <c r="Y1511" s="6"/>
      <c r="Z1511" s="6"/>
      <c r="AA1511" s="6"/>
      <c r="AB1511" s="6"/>
    </row>
    <row r="1512" spans="1:28" ht="12.75" x14ac:dyDescent="0.2">
      <c r="A1512" s="13"/>
      <c r="B1512" s="6"/>
      <c r="C1512" s="6"/>
      <c r="D1512" s="6"/>
      <c r="E1512" s="6"/>
      <c r="F1512" s="6"/>
      <c r="G1512" s="6"/>
      <c r="H1512" s="6"/>
      <c r="I1512" s="6"/>
      <c r="J1512" s="6"/>
      <c r="K1512" s="6"/>
      <c r="L1512" s="6"/>
      <c r="M1512" s="6"/>
      <c r="N1512" s="6"/>
      <c r="O1512" s="6"/>
      <c r="P1512" s="6"/>
      <c r="Q1512" s="6"/>
      <c r="R1512" s="6"/>
      <c r="S1512" s="6"/>
      <c r="T1512" s="6"/>
      <c r="U1512" s="6"/>
      <c r="V1512" s="6"/>
      <c r="W1512" s="6"/>
      <c r="X1512" s="6"/>
      <c r="Y1512" s="6"/>
      <c r="Z1512" s="6"/>
      <c r="AA1512" s="6"/>
      <c r="AB1512" s="6"/>
    </row>
    <row r="1513" spans="1:28" ht="12.75" x14ac:dyDescent="0.2">
      <c r="A1513" s="13"/>
      <c r="B1513" s="6"/>
      <c r="C1513" s="6"/>
      <c r="D1513" s="6"/>
      <c r="E1513" s="6"/>
      <c r="F1513" s="6"/>
      <c r="G1513" s="6"/>
      <c r="H1513" s="6"/>
      <c r="I1513" s="6"/>
      <c r="J1513" s="6"/>
      <c r="K1513" s="6"/>
      <c r="L1513" s="6"/>
      <c r="M1513" s="6"/>
      <c r="N1513" s="6"/>
      <c r="O1513" s="6"/>
      <c r="P1513" s="6"/>
      <c r="Q1513" s="6"/>
      <c r="R1513" s="6"/>
      <c r="S1513" s="6"/>
      <c r="T1513" s="6"/>
      <c r="U1513" s="6"/>
      <c r="V1513" s="6"/>
      <c r="W1513" s="6"/>
      <c r="X1513" s="6"/>
      <c r="Y1513" s="6"/>
      <c r="Z1513" s="6"/>
      <c r="AA1513" s="6"/>
      <c r="AB1513" s="6"/>
    </row>
    <row r="1514" spans="1:28" ht="12.75" x14ac:dyDescent="0.2">
      <c r="A1514" s="13"/>
      <c r="B1514" s="6"/>
      <c r="C1514" s="6"/>
      <c r="D1514" s="6"/>
      <c r="E1514" s="6"/>
      <c r="F1514" s="6"/>
      <c r="G1514" s="6"/>
      <c r="H1514" s="6"/>
      <c r="I1514" s="6"/>
      <c r="J1514" s="6"/>
      <c r="K1514" s="6"/>
      <c r="L1514" s="6"/>
      <c r="M1514" s="6"/>
      <c r="N1514" s="6"/>
      <c r="O1514" s="6"/>
      <c r="P1514" s="6"/>
      <c r="Q1514" s="6"/>
      <c r="R1514" s="6"/>
      <c r="S1514" s="6"/>
      <c r="T1514" s="6"/>
      <c r="U1514" s="6"/>
      <c r="V1514" s="6"/>
      <c r="W1514" s="6"/>
      <c r="X1514" s="6"/>
      <c r="Y1514" s="6"/>
      <c r="Z1514" s="6"/>
      <c r="AA1514" s="6"/>
      <c r="AB1514" s="6"/>
    </row>
    <row r="1515" spans="1:28" ht="12.75" x14ac:dyDescent="0.2">
      <c r="A1515" s="13"/>
      <c r="B1515" s="6"/>
      <c r="C1515" s="6"/>
      <c r="D1515" s="6"/>
      <c r="E1515" s="6"/>
      <c r="F1515" s="6"/>
      <c r="G1515" s="6"/>
      <c r="H1515" s="6"/>
      <c r="I1515" s="6"/>
      <c r="J1515" s="6"/>
      <c r="K1515" s="6"/>
      <c r="L1515" s="6"/>
      <c r="M1515" s="6"/>
      <c r="N1515" s="6"/>
      <c r="O1515" s="6"/>
      <c r="P1515" s="6"/>
      <c r="Q1515" s="6"/>
      <c r="R1515" s="6"/>
      <c r="S1515" s="6"/>
      <c r="T1515" s="6"/>
      <c r="U1515" s="6"/>
      <c r="V1515" s="6"/>
      <c r="W1515" s="6"/>
      <c r="X1515" s="6"/>
      <c r="Y1515" s="6"/>
      <c r="Z1515" s="6"/>
      <c r="AA1515" s="6"/>
      <c r="AB1515" s="6"/>
    </row>
    <row r="1516" spans="1:28" ht="12.75" x14ac:dyDescent="0.2">
      <c r="A1516" s="13"/>
      <c r="B1516" s="6"/>
      <c r="C1516" s="6"/>
      <c r="D1516" s="6"/>
      <c r="E1516" s="6"/>
      <c r="F1516" s="6"/>
      <c r="G1516" s="6"/>
      <c r="H1516" s="6"/>
      <c r="I1516" s="6"/>
      <c r="J1516" s="6"/>
      <c r="K1516" s="6"/>
      <c r="L1516" s="6"/>
      <c r="M1516" s="6"/>
      <c r="N1516" s="6"/>
      <c r="O1516" s="6"/>
      <c r="P1516" s="6"/>
      <c r="Q1516" s="6"/>
      <c r="R1516" s="6"/>
      <c r="S1516" s="6"/>
      <c r="T1516" s="6"/>
      <c r="U1516" s="6"/>
      <c r="V1516" s="6"/>
      <c r="W1516" s="6"/>
      <c r="X1516" s="6"/>
      <c r="Y1516" s="6"/>
      <c r="Z1516" s="6"/>
      <c r="AA1516" s="6"/>
      <c r="AB1516" s="6"/>
    </row>
    <row r="1517" spans="1:28" ht="12.75" x14ac:dyDescent="0.2">
      <c r="A1517" s="13"/>
      <c r="B1517" s="6"/>
      <c r="C1517" s="6"/>
      <c r="D1517" s="6"/>
      <c r="E1517" s="6"/>
      <c r="F1517" s="6"/>
      <c r="G1517" s="6"/>
      <c r="H1517" s="6"/>
      <c r="I1517" s="6"/>
      <c r="J1517" s="6"/>
      <c r="K1517" s="6"/>
      <c r="L1517" s="6"/>
      <c r="M1517" s="6"/>
      <c r="N1517" s="6"/>
      <c r="O1517" s="6"/>
      <c r="P1517" s="6"/>
      <c r="Q1517" s="6"/>
      <c r="R1517" s="6"/>
      <c r="S1517" s="6"/>
      <c r="T1517" s="6"/>
      <c r="U1517" s="6"/>
      <c r="V1517" s="6"/>
      <c r="W1517" s="6"/>
      <c r="X1517" s="6"/>
      <c r="Y1517" s="6"/>
      <c r="Z1517" s="6"/>
      <c r="AA1517" s="6"/>
      <c r="AB1517" s="6"/>
    </row>
    <row r="1518" spans="1:28" ht="12.75" x14ac:dyDescent="0.2">
      <c r="A1518" s="13"/>
      <c r="B1518" s="6"/>
      <c r="C1518" s="6"/>
      <c r="D1518" s="6"/>
      <c r="E1518" s="6"/>
      <c r="F1518" s="6"/>
      <c r="G1518" s="6"/>
      <c r="H1518" s="6"/>
      <c r="I1518" s="6"/>
      <c r="J1518" s="6"/>
      <c r="K1518" s="6"/>
      <c r="L1518" s="6"/>
      <c r="M1518" s="6"/>
      <c r="N1518" s="6"/>
      <c r="O1518" s="6"/>
      <c r="P1518" s="6"/>
      <c r="Q1518" s="6"/>
      <c r="R1518" s="6"/>
      <c r="S1518" s="6"/>
      <c r="T1518" s="6"/>
      <c r="U1518" s="6"/>
      <c r="V1518" s="6"/>
      <c r="W1518" s="6"/>
      <c r="X1518" s="6"/>
      <c r="Y1518" s="6"/>
      <c r="Z1518" s="6"/>
      <c r="AA1518" s="6"/>
      <c r="AB1518" s="6"/>
    </row>
    <row r="1519" spans="1:28" ht="12.75" x14ac:dyDescent="0.2">
      <c r="A1519" s="13"/>
      <c r="B1519" s="6"/>
      <c r="C1519" s="6"/>
      <c r="D1519" s="6"/>
      <c r="E1519" s="6"/>
      <c r="F1519" s="6"/>
      <c r="G1519" s="6"/>
      <c r="H1519" s="6"/>
      <c r="I1519" s="6"/>
      <c r="J1519" s="6"/>
      <c r="K1519" s="6"/>
      <c r="L1519" s="6"/>
      <c r="M1519" s="6"/>
      <c r="N1519" s="6"/>
      <c r="O1519" s="6"/>
      <c r="P1519" s="6"/>
      <c r="Q1519" s="6"/>
      <c r="R1519" s="6"/>
      <c r="S1519" s="6"/>
      <c r="T1519" s="6"/>
      <c r="U1519" s="6"/>
      <c r="V1519" s="6"/>
      <c r="W1519" s="6"/>
      <c r="X1519" s="6"/>
      <c r="Y1519" s="6"/>
      <c r="Z1519" s="6"/>
      <c r="AA1519" s="6"/>
      <c r="AB1519" s="6"/>
    </row>
    <row r="1520" spans="1:28" ht="12.75" x14ac:dyDescent="0.2">
      <c r="A1520" s="13"/>
      <c r="B1520" s="6"/>
      <c r="C1520" s="6"/>
      <c r="D1520" s="6"/>
      <c r="E1520" s="6"/>
      <c r="F1520" s="6"/>
      <c r="G1520" s="6"/>
      <c r="H1520" s="6"/>
      <c r="I1520" s="6"/>
      <c r="J1520" s="6"/>
      <c r="K1520" s="6"/>
      <c r="L1520" s="6"/>
      <c r="M1520" s="6"/>
      <c r="N1520" s="6"/>
      <c r="O1520" s="6"/>
      <c r="P1520" s="6"/>
      <c r="Q1520" s="6"/>
      <c r="R1520" s="6"/>
      <c r="S1520" s="6"/>
      <c r="T1520" s="6"/>
      <c r="U1520" s="6"/>
      <c r="V1520" s="6"/>
      <c r="W1520" s="6"/>
      <c r="X1520" s="6"/>
      <c r="Y1520" s="6"/>
      <c r="Z1520" s="6"/>
      <c r="AA1520" s="6"/>
      <c r="AB1520" s="6"/>
    </row>
    <row r="1521" spans="1:28" ht="12.75" x14ac:dyDescent="0.2">
      <c r="A1521" s="13"/>
      <c r="B1521" s="6"/>
      <c r="C1521" s="6"/>
      <c r="D1521" s="6"/>
      <c r="E1521" s="6"/>
      <c r="F1521" s="6"/>
      <c r="G1521" s="6"/>
      <c r="H1521" s="6"/>
      <c r="I1521" s="6"/>
      <c r="J1521" s="6"/>
      <c r="K1521" s="6"/>
      <c r="L1521" s="6"/>
      <c r="M1521" s="6"/>
      <c r="N1521" s="6"/>
      <c r="O1521" s="6"/>
      <c r="P1521" s="6"/>
      <c r="Q1521" s="6"/>
      <c r="R1521" s="6"/>
      <c r="S1521" s="6"/>
      <c r="T1521" s="6"/>
      <c r="U1521" s="6"/>
      <c r="V1521" s="6"/>
      <c r="W1521" s="6"/>
      <c r="X1521" s="6"/>
      <c r="Y1521" s="6"/>
      <c r="Z1521" s="6"/>
      <c r="AA1521" s="6"/>
      <c r="AB1521" s="6"/>
    </row>
    <row r="1522" spans="1:28" ht="12.75" x14ac:dyDescent="0.2">
      <c r="A1522" s="13"/>
      <c r="B1522" s="6"/>
      <c r="C1522" s="6"/>
      <c r="D1522" s="6"/>
      <c r="E1522" s="6"/>
      <c r="F1522" s="6"/>
      <c r="G1522" s="6"/>
      <c r="H1522" s="6"/>
      <c r="I1522" s="6"/>
      <c r="J1522" s="6"/>
      <c r="K1522" s="6"/>
      <c r="L1522" s="6"/>
      <c r="M1522" s="6"/>
      <c r="N1522" s="6"/>
      <c r="O1522" s="6"/>
      <c r="P1522" s="6"/>
      <c r="Q1522" s="6"/>
      <c r="R1522" s="6"/>
      <c r="S1522" s="6"/>
      <c r="T1522" s="6"/>
      <c r="U1522" s="6"/>
      <c r="V1522" s="6"/>
      <c r="W1522" s="6"/>
      <c r="X1522" s="6"/>
      <c r="Y1522" s="6"/>
      <c r="Z1522" s="6"/>
      <c r="AA1522" s="6"/>
      <c r="AB1522" s="6"/>
    </row>
    <row r="1523" spans="1:28" ht="12.75" x14ac:dyDescent="0.2">
      <c r="A1523" s="13"/>
      <c r="B1523" s="6"/>
      <c r="C1523" s="6"/>
      <c r="D1523" s="6"/>
      <c r="E1523" s="6"/>
      <c r="F1523" s="6"/>
      <c r="G1523" s="6"/>
      <c r="H1523" s="6"/>
      <c r="I1523" s="6"/>
      <c r="J1523" s="6"/>
      <c r="K1523" s="6"/>
      <c r="L1523" s="6"/>
      <c r="M1523" s="6"/>
      <c r="N1523" s="6"/>
      <c r="O1523" s="6"/>
      <c r="P1523" s="6"/>
      <c r="Q1523" s="6"/>
      <c r="R1523" s="6"/>
      <c r="S1523" s="6"/>
      <c r="T1523" s="6"/>
      <c r="U1523" s="6"/>
      <c r="V1523" s="6"/>
      <c r="W1523" s="6"/>
      <c r="X1523" s="6"/>
      <c r="Y1523" s="6"/>
      <c r="Z1523" s="6"/>
      <c r="AA1523" s="6"/>
      <c r="AB1523" s="6"/>
    </row>
    <row r="1524" spans="1:28" ht="12.75" x14ac:dyDescent="0.2">
      <c r="A1524" s="13"/>
      <c r="B1524" s="6"/>
      <c r="C1524" s="6"/>
      <c r="D1524" s="6"/>
      <c r="E1524" s="6"/>
      <c r="F1524" s="6"/>
      <c r="G1524" s="6"/>
      <c r="H1524" s="6"/>
      <c r="I1524" s="6"/>
      <c r="J1524" s="6"/>
      <c r="K1524" s="6"/>
      <c r="L1524" s="6"/>
      <c r="M1524" s="6"/>
      <c r="N1524" s="6"/>
      <c r="O1524" s="6"/>
      <c r="P1524" s="6"/>
      <c r="Q1524" s="6"/>
      <c r="R1524" s="6"/>
      <c r="S1524" s="6"/>
      <c r="T1524" s="6"/>
      <c r="U1524" s="6"/>
      <c r="V1524" s="6"/>
      <c r="W1524" s="6"/>
      <c r="X1524" s="6"/>
      <c r="Y1524" s="6"/>
      <c r="Z1524" s="6"/>
      <c r="AA1524" s="6"/>
      <c r="AB1524" s="6"/>
    </row>
    <row r="1525" spans="1:28" ht="12.75" x14ac:dyDescent="0.2">
      <c r="A1525" s="13"/>
      <c r="B1525" s="6"/>
      <c r="C1525" s="6"/>
      <c r="D1525" s="6"/>
      <c r="E1525" s="6"/>
      <c r="F1525" s="6"/>
      <c r="G1525" s="6"/>
      <c r="H1525" s="6"/>
      <c r="I1525" s="6"/>
      <c r="J1525" s="6"/>
      <c r="K1525" s="6"/>
      <c r="L1525" s="6"/>
      <c r="M1525" s="6"/>
      <c r="N1525" s="6"/>
      <c r="O1525" s="6"/>
      <c r="P1525" s="6"/>
      <c r="Q1525" s="6"/>
      <c r="R1525" s="6"/>
      <c r="S1525" s="6"/>
      <c r="T1525" s="6"/>
      <c r="U1525" s="6"/>
      <c r="V1525" s="6"/>
      <c r="W1525" s="6"/>
      <c r="X1525" s="6"/>
      <c r="Y1525" s="6"/>
      <c r="Z1525" s="6"/>
      <c r="AA1525" s="6"/>
      <c r="AB1525" s="6"/>
    </row>
    <row r="1526" spans="1:28" ht="12.75" x14ac:dyDescent="0.2">
      <c r="A1526" s="13"/>
      <c r="B1526" s="6"/>
      <c r="C1526" s="6"/>
      <c r="D1526" s="6"/>
      <c r="E1526" s="6"/>
      <c r="F1526" s="6"/>
      <c r="G1526" s="6"/>
      <c r="H1526" s="6"/>
      <c r="I1526" s="6"/>
      <c r="J1526" s="6"/>
      <c r="K1526" s="6"/>
      <c r="L1526" s="6"/>
      <c r="M1526" s="6"/>
      <c r="N1526" s="6"/>
      <c r="O1526" s="6"/>
      <c r="P1526" s="6"/>
      <c r="Q1526" s="6"/>
      <c r="R1526" s="6"/>
      <c r="S1526" s="6"/>
      <c r="T1526" s="6"/>
      <c r="U1526" s="6"/>
      <c r="V1526" s="6"/>
      <c r="W1526" s="6"/>
      <c r="X1526" s="6"/>
      <c r="Y1526" s="6"/>
      <c r="Z1526" s="6"/>
      <c r="AA1526" s="6"/>
      <c r="AB1526" s="6"/>
    </row>
    <row r="1527" spans="1:28" ht="12.75" x14ac:dyDescent="0.2">
      <c r="A1527" s="13"/>
      <c r="B1527" s="6"/>
      <c r="C1527" s="6"/>
      <c r="D1527" s="6"/>
      <c r="E1527" s="6"/>
      <c r="F1527" s="6"/>
      <c r="G1527" s="6"/>
      <c r="H1527" s="6"/>
      <c r="I1527" s="6"/>
      <c r="J1527" s="6"/>
      <c r="K1527" s="6"/>
      <c r="L1527" s="6"/>
      <c r="M1527" s="6"/>
      <c r="N1527" s="6"/>
      <c r="O1527" s="6"/>
      <c r="P1527" s="6"/>
      <c r="Q1527" s="6"/>
      <c r="R1527" s="6"/>
      <c r="S1527" s="6"/>
      <c r="T1527" s="6"/>
      <c r="U1527" s="6"/>
      <c r="V1527" s="6"/>
      <c r="W1527" s="6"/>
      <c r="X1527" s="6"/>
      <c r="Y1527" s="6"/>
      <c r="Z1527" s="6"/>
      <c r="AA1527" s="6"/>
      <c r="AB1527" s="6"/>
    </row>
    <row r="1528" spans="1:28" ht="12.75" x14ac:dyDescent="0.2">
      <c r="A1528" s="13"/>
      <c r="B1528" s="6"/>
      <c r="C1528" s="6"/>
      <c r="D1528" s="6"/>
      <c r="E1528" s="6"/>
      <c r="F1528" s="6"/>
      <c r="G1528" s="6"/>
      <c r="H1528" s="6"/>
      <c r="I1528" s="6"/>
      <c r="J1528" s="6"/>
      <c r="K1528" s="6"/>
      <c r="L1528" s="6"/>
      <c r="M1528" s="6"/>
      <c r="N1528" s="6"/>
      <c r="O1528" s="6"/>
      <c r="P1528" s="6"/>
      <c r="Q1528" s="6"/>
      <c r="R1528" s="6"/>
      <c r="S1528" s="6"/>
      <c r="T1528" s="6"/>
      <c r="U1528" s="6"/>
      <c r="V1528" s="6"/>
      <c r="W1528" s="6"/>
      <c r="X1528" s="6"/>
      <c r="Y1528" s="6"/>
      <c r="Z1528" s="6"/>
      <c r="AA1528" s="6"/>
      <c r="AB1528" s="6"/>
    </row>
    <row r="1529" spans="1:28" ht="12.75" x14ac:dyDescent="0.2">
      <c r="A1529" s="13"/>
      <c r="B1529" s="6"/>
      <c r="C1529" s="6"/>
      <c r="D1529" s="6"/>
      <c r="E1529" s="6"/>
      <c r="F1529" s="6"/>
      <c r="G1529" s="6"/>
      <c r="H1529" s="6"/>
      <c r="I1529" s="6"/>
      <c r="J1529" s="6"/>
      <c r="K1529" s="6"/>
      <c r="L1529" s="6"/>
      <c r="M1529" s="6"/>
      <c r="N1529" s="6"/>
      <c r="O1529" s="6"/>
      <c r="P1529" s="6"/>
      <c r="Q1529" s="6"/>
      <c r="R1529" s="6"/>
      <c r="S1529" s="6"/>
      <c r="T1529" s="6"/>
      <c r="U1529" s="6"/>
      <c r="V1529" s="6"/>
      <c r="W1529" s="6"/>
      <c r="X1529" s="6"/>
      <c r="Y1529" s="6"/>
      <c r="Z1529" s="6"/>
      <c r="AA1529" s="6"/>
      <c r="AB1529" s="6"/>
    </row>
    <row r="1530" spans="1:28" ht="12.75" x14ac:dyDescent="0.2">
      <c r="A1530" s="13"/>
      <c r="B1530" s="6"/>
      <c r="C1530" s="6"/>
      <c r="D1530" s="6"/>
      <c r="E1530" s="6"/>
      <c r="F1530" s="6"/>
      <c r="G1530" s="6"/>
      <c r="H1530" s="6"/>
      <c r="I1530" s="6"/>
      <c r="J1530" s="6"/>
      <c r="K1530" s="6"/>
      <c r="L1530" s="6"/>
      <c r="M1530" s="6"/>
      <c r="N1530" s="6"/>
      <c r="O1530" s="6"/>
      <c r="P1530" s="6"/>
      <c r="Q1530" s="6"/>
      <c r="R1530" s="6"/>
      <c r="S1530" s="6"/>
      <c r="T1530" s="6"/>
      <c r="U1530" s="6"/>
      <c r="V1530" s="6"/>
      <c r="W1530" s="6"/>
      <c r="X1530" s="6"/>
      <c r="Y1530" s="6"/>
      <c r="Z1530" s="6"/>
      <c r="AA1530" s="6"/>
      <c r="AB1530" s="6"/>
    </row>
    <row r="1531" spans="1:28" ht="12.75" x14ac:dyDescent="0.2">
      <c r="A1531" s="13"/>
      <c r="B1531" s="6"/>
      <c r="C1531" s="6"/>
      <c r="D1531" s="6"/>
      <c r="E1531" s="6"/>
      <c r="F1531" s="6"/>
      <c r="G1531" s="6"/>
      <c r="H1531" s="6"/>
      <c r="I1531" s="6"/>
      <c r="J1531" s="6"/>
      <c r="K1531" s="6"/>
      <c r="L1531" s="6"/>
      <c r="M1531" s="6"/>
      <c r="N1531" s="6"/>
      <c r="O1531" s="6"/>
      <c r="P1531" s="6"/>
      <c r="Q1531" s="6"/>
      <c r="R1531" s="6"/>
      <c r="S1531" s="6"/>
      <c r="T1531" s="6"/>
      <c r="U1531" s="6"/>
      <c r="V1531" s="6"/>
      <c r="W1531" s="6"/>
      <c r="X1531" s="6"/>
      <c r="Y1531" s="6"/>
      <c r="Z1531" s="6"/>
      <c r="AA1531" s="6"/>
      <c r="AB1531" s="6"/>
    </row>
    <row r="1532" spans="1:28" ht="12.75" x14ac:dyDescent="0.2">
      <c r="A1532" s="13"/>
      <c r="B1532" s="6"/>
      <c r="C1532" s="6"/>
      <c r="D1532" s="6"/>
      <c r="E1532" s="6"/>
      <c r="F1532" s="6"/>
      <c r="G1532" s="6"/>
      <c r="H1532" s="6"/>
      <c r="I1532" s="6"/>
      <c r="J1532" s="6"/>
      <c r="K1532" s="6"/>
      <c r="L1532" s="6"/>
      <c r="M1532" s="6"/>
      <c r="N1532" s="6"/>
      <c r="O1532" s="6"/>
      <c r="P1532" s="6"/>
      <c r="Q1532" s="6"/>
      <c r="R1532" s="6"/>
      <c r="S1532" s="6"/>
      <c r="T1532" s="6"/>
      <c r="U1532" s="6"/>
      <c r="V1532" s="6"/>
      <c r="W1532" s="6"/>
      <c r="X1532" s="6"/>
      <c r="Y1532" s="6"/>
      <c r="Z1532" s="6"/>
      <c r="AA1532" s="6"/>
      <c r="AB1532" s="6"/>
    </row>
    <row r="1533" spans="1:28" ht="12.75" x14ac:dyDescent="0.2">
      <c r="A1533" s="13"/>
      <c r="B1533" s="6"/>
      <c r="C1533" s="6"/>
      <c r="D1533" s="6"/>
      <c r="E1533" s="6"/>
      <c r="F1533" s="6"/>
      <c r="G1533" s="6"/>
      <c r="H1533" s="6"/>
      <c r="I1533" s="6"/>
      <c r="J1533" s="6"/>
      <c r="K1533" s="6"/>
      <c r="L1533" s="6"/>
      <c r="M1533" s="6"/>
      <c r="N1533" s="6"/>
      <c r="O1533" s="6"/>
      <c r="P1533" s="6"/>
      <c r="Q1533" s="6"/>
      <c r="R1533" s="6"/>
      <c r="S1533" s="6"/>
      <c r="T1533" s="6"/>
      <c r="U1533" s="6"/>
      <c r="V1533" s="6"/>
      <c r="W1533" s="6"/>
      <c r="X1533" s="6"/>
      <c r="Y1533" s="6"/>
      <c r="Z1533" s="6"/>
      <c r="AA1533" s="6"/>
      <c r="AB1533" s="6"/>
    </row>
    <row r="1534" spans="1:28" ht="12.75" x14ac:dyDescent="0.2">
      <c r="A1534" s="13"/>
      <c r="B1534" s="6"/>
      <c r="C1534" s="6"/>
      <c r="D1534" s="6"/>
      <c r="E1534" s="6"/>
      <c r="F1534" s="6"/>
      <c r="G1534" s="6"/>
      <c r="H1534" s="6"/>
      <c r="I1534" s="6"/>
      <c r="J1534" s="6"/>
      <c r="K1534" s="6"/>
      <c r="L1534" s="6"/>
      <c r="M1534" s="6"/>
      <c r="N1534" s="6"/>
      <c r="O1534" s="6"/>
      <c r="P1534" s="6"/>
      <c r="Q1534" s="6"/>
      <c r="R1534" s="6"/>
      <c r="S1534" s="6"/>
      <c r="T1534" s="6"/>
      <c r="U1534" s="6"/>
      <c r="V1534" s="6"/>
      <c r="W1534" s="6"/>
      <c r="X1534" s="6"/>
      <c r="Y1534" s="6"/>
      <c r="Z1534" s="6"/>
      <c r="AA1534" s="6"/>
      <c r="AB1534" s="6"/>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E2030"/>
  <sheetViews>
    <sheetView workbookViewId="0">
      <selection activeCell="I3" sqref="I3"/>
    </sheetView>
  </sheetViews>
  <sheetFormatPr defaultColWidth="12.6640625" defaultRowHeight="15.75" customHeight="1" x14ac:dyDescent="0.2"/>
  <cols>
    <col min="1" max="4" width="19.44140625" customWidth="1"/>
    <col min="5" max="5" width="19.44140625" hidden="1" customWidth="1"/>
    <col min="6" max="6" width="21.21875" customWidth="1"/>
    <col min="7" max="8" width="19.44140625" customWidth="1"/>
    <col min="9" max="9" width="29.33203125" customWidth="1"/>
    <col min="10" max="10" width="19.44140625" customWidth="1"/>
    <col min="11" max="11" width="19.44140625" hidden="1" customWidth="1"/>
    <col min="12" max="31" width="19.44140625" customWidth="1"/>
  </cols>
  <sheetData>
    <row r="1" spans="1:31" ht="30" x14ac:dyDescent="0.2">
      <c r="A1" s="1" t="s">
        <v>1</v>
      </c>
      <c r="B1" s="2" t="s">
        <v>2</v>
      </c>
      <c r="C1" s="4" t="s">
        <v>4</v>
      </c>
      <c r="D1" s="2" t="s">
        <v>6</v>
      </c>
      <c r="E1" s="2" t="s">
        <v>8</v>
      </c>
      <c r="F1" s="1" t="s">
        <v>10</v>
      </c>
      <c r="G1" s="1" t="s">
        <v>8</v>
      </c>
      <c r="H1" s="1" t="s">
        <v>14</v>
      </c>
      <c r="I1" s="8" t="s">
        <v>18</v>
      </c>
      <c r="J1" s="2" t="s">
        <v>19</v>
      </c>
      <c r="K1" s="2" t="s">
        <v>22</v>
      </c>
      <c r="L1" s="2" t="s">
        <v>23</v>
      </c>
      <c r="M1" s="1" t="s">
        <v>24</v>
      </c>
      <c r="N1" s="2" t="s">
        <v>25</v>
      </c>
      <c r="O1" s="11" t="s">
        <v>26</v>
      </c>
      <c r="P1" s="11" t="s">
        <v>27</v>
      </c>
      <c r="Q1" s="12"/>
      <c r="R1" s="12"/>
      <c r="S1" s="12"/>
      <c r="T1" s="12"/>
      <c r="U1" s="12"/>
      <c r="V1" s="12"/>
      <c r="W1" s="12"/>
      <c r="X1" s="12"/>
      <c r="Y1" s="12"/>
      <c r="Z1" s="12"/>
      <c r="AA1" s="12"/>
      <c r="AB1" s="12"/>
      <c r="AC1" s="12"/>
      <c r="AD1" s="12"/>
      <c r="AE1" s="12"/>
    </row>
    <row r="2" spans="1:31" ht="51" x14ac:dyDescent="0.2">
      <c r="A2" s="18" t="s">
        <v>39</v>
      </c>
      <c r="B2" s="18" t="s">
        <v>41</v>
      </c>
      <c r="C2" s="19" t="s">
        <v>42</v>
      </c>
      <c r="D2" s="18" t="s">
        <v>44</v>
      </c>
      <c r="E2" s="18" t="s">
        <v>46</v>
      </c>
      <c r="F2" s="18" t="s">
        <v>48</v>
      </c>
      <c r="G2" s="18" t="s">
        <v>50</v>
      </c>
      <c r="H2" s="18" t="str">
        <f t="shared" ref="H2:H18" si="0">CONCATENATE(F2," (",G2,")")</f>
        <v>THE OVERSEER (P43)</v>
      </c>
      <c r="I2" s="18" t="s">
        <v>60</v>
      </c>
      <c r="J2" s="18" t="s">
        <v>61</v>
      </c>
      <c r="K2" s="18" t="s">
        <v>62</v>
      </c>
      <c r="L2" s="18" t="s">
        <v>63</v>
      </c>
      <c r="M2" s="18" t="str">
        <f>VLOOKUP(L2, GLOSSARY!$A:$C, 2, FALSE)</f>
        <v>PORT ROYAL</v>
      </c>
      <c r="N2" s="18" t="s">
        <v>68</v>
      </c>
      <c r="O2" s="18"/>
      <c r="P2" s="18"/>
      <c r="Q2" s="18"/>
      <c r="R2" s="18"/>
      <c r="S2" s="18"/>
      <c r="T2" s="18"/>
      <c r="U2" s="18"/>
      <c r="V2" s="18"/>
      <c r="W2" s="18"/>
      <c r="X2" s="18"/>
      <c r="Y2" s="18"/>
      <c r="Z2" s="18"/>
      <c r="AA2" s="18"/>
      <c r="AB2" s="18"/>
      <c r="AC2" s="18"/>
      <c r="AD2" s="18"/>
      <c r="AE2" s="18"/>
    </row>
    <row r="3" spans="1:31" ht="153" x14ac:dyDescent="0.2">
      <c r="A3" s="6" t="s">
        <v>78</v>
      </c>
      <c r="B3" s="6" t="s">
        <v>81</v>
      </c>
      <c r="C3" s="20" t="s">
        <v>83</v>
      </c>
      <c r="D3" s="6" t="s">
        <v>85</v>
      </c>
      <c r="E3" s="6" t="s">
        <v>46</v>
      </c>
      <c r="F3" s="6" t="s">
        <v>48</v>
      </c>
      <c r="G3" s="6" t="s">
        <v>50</v>
      </c>
      <c r="H3" s="18" t="str">
        <f t="shared" si="0"/>
        <v>THE OVERSEER (P43)</v>
      </c>
      <c r="I3" s="6" t="s">
        <v>60</v>
      </c>
      <c r="J3" s="6" t="s">
        <v>61</v>
      </c>
      <c r="K3" s="6" t="s">
        <v>92</v>
      </c>
      <c r="L3" s="6" t="s">
        <v>93</v>
      </c>
      <c r="M3" s="18" t="str">
        <f>VLOOKUP(L3, GLOSSARY!$A:$C, 2, FALSE)</f>
        <v>SALT RIVER ESTATE</v>
      </c>
      <c r="N3" s="6" t="s">
        <v>68</v>
      </c>
      <c r="O3" s="6"/>
      <c r="P3" s="6"/>
      <c r="Q3" s="6"/>
      <c r="R3" s="6"/>
      <c r="S3" s="6"/>
      <c r="T3" s="6"/>
      <c r="U3" s="6"/>
      <c r="V3" s="6"/>
      <c r="W3" s="6"/>
      <c r="X3" s="6"/>
      <c r="Y3" s="6"/>
      <c r="Z3" s="6"/>
      <c r="AA3" s="6"/>
      <c r="AB3" s="6"/>
      <c r="AC3" s="6"/>
      <c r="AD3" s="6"/>
      <c r="AE3" s="6"/>
    </row>
    <row r="4" spans="1:31" ht="63.75" x14ac:dyDescent="0.2">
      <c r="A4" s="6" t="s">
        <v>105</v>
      </c>
      <c r="B4" s="6" t="s">
        <v>81</v>
      </c>
      <c r="C4" s="20" t="s">
        <v>106</v>
      </c>
      <c r="D4" s="6" t="s">
        <v>108</v>
      </c>
      <c r="E4" s="6" t="s">
        <v>109</v>
      </c>
      <c r="F4" s="6" t="s">
        <v>110</v>
      </c>
      <c r="G4" s="6" t="s">
        <v>111</v>
      </c>
      <c r="H4" s="18" t="str">
        <f t="shared" si="0"/>
        <v>WILLIAM DORRILL (P75)</v>
      </c>
      <c r="I4" s="6" t="s">
        <v>112</v>
      </c>
      <c r="J4" s="6"/>
      <c r="K4" s="6" t="s">
        <v>92</v>
      </c>
      <c r="L4" s="6" t="s">
        <v>93</v>
      </c>
      <c r="M4" s="18" t="str">
        <f>VLOOKUP(L4, GLOSSARY!$A:$C, 2, FALSE)</f>
        <v>SALT RIVER ESTATE</v>
      </c>
      <c r="N4" s="6"/>
      <c r="O4" s="6"/>
      <c r="P4" s="6"/>
      <c r="Q4" s="6"/>
      <c r="R4" s="6"/>
      <c r="S4" s="6"/>
      <c r="T4" s="6"/>
      <c r="U4" s="6"/>
      <c r="V4" s="6"/>
      <c r="W4" s="6"/>
      <c r="X4" s="6"/>
      <c r="Y4" s="6"/>
      <c r="Z4" s="6"/>
      <c r="AA4" s="6"/>
      <c r="AB4" s="6"/>
      <c r="AC4" s="6"/>
      <c r="AD4" s="6"/>
      <c r="AE4" s="6"/>
    </row>
    <row r="5" spans="1:31" ht="63.75" x14ac:dyDescent="0.2">
      <c r="A5" s="6" t="s">
        <v>128</v>
      </c>
      <c r="B5" s="6" t="s">
        <v>81</v>
      </c>
      <c r="C5" s="20" t="s">
        <v>106</v>
      </c>
      <c r="D5" s="6" t="s">
        <v>133</v>
      </c>
      <c r="E5" s="6"/>
      <c r="F5" s="6"/>
      <c r="G5" s="6"/>
      <c r="H5" s="18" t="str">
        <f t="shared" si="0"/>
        <v xml:space="preserve"> ()</v>
      </c>
      <c r="I5" s="6" t="s">
        <v>139</v>
      </c>
      <c r="J5" s="6"/>
      <c r="K5" s="6" t="s">
        <v>92</v>
      </c>
      <c r="L5" s="6" t="s">
        <v>93</v>
      </c>
      <c r="M5" s="18" t="str">
        <f>VLOOKUP(L5, GLOSSARY!$A:$C, 2, FALSE)</f>
        <v>SALT RIVER ESTATE</v>
      </c>
      <c r="N5" s="6"/>
      <c r="O5" s="6"/>
      <c r="P5" s="6"/>
      <c r="Q5" s="6"/>
      <c r="R5" s="6"/>
      <c r="S5" s="6"/>
      <c r="T5" s="6"/>
      <c r="U5" s="6"/>
      <c r="V5" s="6"/>
      <c r="W5" s="6"/>
      <c r="X5" s="6"/>
      <c r="Y5" s="6"/>
      <c r="Z5" s="6"/>
      <c r="AA5" s="6"/>
      <c r="AB5" s="6"/>
      <c r="AC5" s="6"/>
      <c r="AD5" s="6"/>
      <c r="AE5" s="6"/>
    </row>
    <row r="6" spans="1:31" ht="89.25" x14ac:dyDescent="0.2">
      <c r="A6" s="6" t="s">
        <v>147</v>
      </c>
      <c r="B6" s="6" t="s">
        <v>149</v>
      </c>
      <c r="C6" s="20" t="s">
        <v>153</v>
      </c>
      <c r="D6" s="6" t="s">
        <v>155</v>
      </c>
      <c r="E6" s="6" t="s">
        <v>109</v>
      </c>
      <c r="F6" s="6" t="s">
        <v>110</v>
      </c>
      <c r="G6" s="6" t="s">
        <v>111</v>
      </c>
      <c r="H6" s="18" t="str">
        <f t="shared" si="0"/>
        <v>WILLIAM DORRILL (P75)</v>
      </c>
      <c r="I6" s="6" t="s">
        <v>112</v>
      </c>
      <c r="J6" s="6"/>
      <c r="K6" s="6" t="s">
        <v>92</v>
      </c>
      <c r="L6" s="6" t="s">
        <v>93</v>
      </c>
      <c r="M6" s="18" t="str">
        <f>VLOOKUP(L6, GLOSSARY!$A:$C, 2, FALSE)</f>
        <v>SALT RIVER ESTATE</v>
      </c>
      <c r="N6" s="6" t="s">
        <v>68</v>
      </c>
      <c r="O6" s="6"/>
      <c r="P6" s="6"/>
      <c r="Q6" s="6"/>
      <c r="R6" s="6"/>
      <c r="S6" s="6"/>
      <c r="T6" s="6"/>
      <c r="U6" s="6"/>
      <c r="V6" s="6"/>
      <c r="W6" s="6"/>
      <c r="X6" s="6"/>
      <c r="Y6" s="6"/>
      <c r="Z6" s="6"/>
      <c r="AA6" s="6"/>
      <c r="AB6" s="6"/>
      <c r="AC6" s="6"/>
      <c r="AD6" s="6"/>
      <c r="AE6" s="6"/>
    </row>
    <row r="7" spans="1:31" ht="89.25" x14ac:dyDescent="0.2">
      <c r="A7" s="6" t="s">
        <v>173</v>
      </c>
      <c r="B7" s="6" t="s">
        <v>149</v>
      </c>
      <c r="C7" s="20" t="s">
        <v>153</v>
      </c>
      <c r="D7" s="6" t="s">
        <v>176</v>
      </c>
      <c r="E7" s="6" t="s">
        <v>46</v>
      </c>
      <c r="F7" s="6" t="s">
        <v>48</v>
      </c>
      <c r="G7" s="6" t="s">
        <v>50</v>
      </c>
      <c r="H7" s="18" t="str">
        <f t="shared" si="0"/>
        <v>THE OVERSEER (P43)</v>
      </c>
      <c r="I7" s="6" t="s">
        <v>60</v>
      </c>
      <c r="J7" s="6"/>
      <c r="K7" s="6" t="s">
        <v>184</v>
      </c>
      <c r="L7" s="6" t="s">
        <v>186</v>
      </c>
      <c r="M7" s="18" t="str">
        <f>VLOOKUP(L7, GLOSSARY!$A:$C, 2, FALSE)</f>
        <v xml:space="preserve">WILDERNESS </v>
      </c>
      <c r="N7" s="6" t="s">
        <v>68</v>
      </c>
      <c r="O7" s="6"/>
      <c r="P7" s="6"/>
      <c r="Q7" s="6"/>
      <c r="R7" s="6"/>
      <c r="S7" s="6"/>
      <c r="T7" s="6"/>
      <c r="U7" s="6"/>
      <c r="V7" s="6"/>
      <c r="W7" s="6"/>
      <c r="X7" s="6"/>
      <c r="Y7" s="6"/>
      <c r="Z7" s="6"/>
      <c r="AA7" s="6"/>
      <c r="AB7" s="6"/>
      <c r="AC7" s="6"/>
      <c r="AD7" s="6"/>
      <c r="AE7" s="6"/>
    </row>
    <row r="8" spans="1:31" ht="140.25" x14ac:dyDescent="0.2">
      <c r="A8" s="6" t="s">
        <v>193</v>
      </c>
      <c r="B8" s="6" t="s">
        <v>194</v>
      </c>
      <c r="C8" s="20" t="s">
        <v>195</v>
      </c>
      <c r="D8" s="6" t="s">
        <v>196</v>
      </c>
      <c r="E8" s="6" t="s">
        <v>46</v>
      </c>
      <c r="F8" s="6" t="s">
        <v>48</v>
      </c>
      <c r="G8" s="6" t="s">
        <v>50</v>
      </c>
      <c r="H8" s="18" t="str">
        <f t="shared" si="0"/>
        <v>THE OVERSEER (P43)</v>
      </c>
      <c r="I8" s="6" t="s">
        <v>198</v>
      </c>
      <c r="J8" s="6" t="s">
        <v>61</v>
      </c>
      <c r="K8" s="6" t="s">
        <v>92</v>
      </c>
      <c r="L8" s="6" t="s">
        <v>93</v>
      </c>
      <c r="M8" s="18" t="str">
        <f>VLOOKUP(L8, GLOSSARY!$A:$C, 2, FALSE)</f>
        <v>SALT RIVER ESTATE</v>
      </c>
      <c r="N8" s="6" t="s">
        <v>68</v>
      </c>
      <c r="O8" s="6"/>
      <c r="P8" s="6"/>
      <c r="Q8" s="6"/>
      <c r="R8" s="6"/>
      <c r="S8" s="6"/>
      <c r="T8" s="6"/>
      <c r="U8" s="6"/>
      <c r="V8" s="6"/>
      <c r="W8" s="6"/>
      <c r="X8" s="6"/>
      <c r="Y8" s="6"/>
      <c r="Z8" s="6"/>
      <c r="AA8" s="6"/>
      <c r="AB8" s="6"/>
      <c r="AC8" s="6"/>
      <c r="AD8" s="6"/>
      <c r="AE8" s="6"/>
    </row>
    <row r="9" spans="1:31" ht="25.5" x14ac:dyDescent="0.2">
      <c r="A9" s="6" t="s">
        <v>216</v>
      </c>
      <c r="B9" s="6" t="s">
        <v>217</v>
      </c>
      <c r="C9" s="20" t="s">
        <v>218</v>
      </c>
      <c r="D9" s="6" t="s">
        <v>219</v>
      </c>
      <c r="E9" s="6" t="s">
        <v>46</v>
      </c>
      <c r="F9" s="6" t="s">
        <v>48</v>
      </c>
      <c r="G9" s="6" t="s">
        <v>50</v>
      </c>
      <c r="H9" s="18" t="str">
        <f t="shared" si="0"/>
        <v>THE OVERSEER (P43)</v>
      </c>
      <c r="I9" s="6" t="s">
        <v>198</v>
      </c>
      <c r="J9" s="6" t="s">
        <v>61</v>
      </c>
      <c r="K9" s="6" t="s">
        <v>221</v>
      </c>
      <c r="L9" s="6" t="s">
        <v>222</v>
      </c>
      <c r="M9" s="18" t="str">
        <f>VLOOKUP(L9, GLOSSARY!$A:$C, 2, FALSE)</f>
        <v>VINEYARD PEN</v>
      </c>
      <c r="N9" s="6"/>
      <c r="O9" s="6"/>
      <c r="P9" s="6"/>
      <c r="Q9" s="6"/>
      <c r="R9" s="6"/>
      <c r="S9" s="6"/>
      <c r="T9" s="6"/>
      <c r="U9" s="6"/>
      <c r="V9" s="6"/>
      <c r="W9" s="6"/>
      <c r="X9" s="6"/>
      <c r="Y9" s="6"/>
      <c r="Z9" s="6"/>
      <c r="AA9" s="6"/>
      <c r="AB9" s="6"/>
      <c r="AC9" s="6"/>
      <c r="AD9" s="6"/>
      <c r="AE9" s="6"/>
    </row>
    <row r="10" spans="1:31" ht="25.5" x14ac:dyDescent="0.2">
      <c r="A10" s="6" t="s">
        <v>228</v>
      </c>
      <c r="B10" s="6" t="s">
        <v>217</v>
      </c>
      <c r="C10" s="20" t="s">
        <v>229</v>
      </c>
      <c r="D10" s="6" t="s">
        <v>231</v>
      </c>
      <c r="E10" s="6" t="s">
        <v>46</v>
      </c>
      <c r="F10" s="6" t="s">
        <v>48</v>
      </c>
      <c r="G10" s="6" t="s">
        <v>50</v>
      </c>
      <c r="H10" s="18" t="str">
        <f t="shared" si="0"/>
        <v>THE OVERSEER (P43)</v>
      </c>
      <c r="I10" s="6" t="s">
        <v>198</v>
      </c>
      <c r="J10" s="6" t="s">
        <v>61</v>
      </c>
      <c r="K10" s="6" t="s">
        <v>221</v>
      </c>
      <c r="L10" s="6" t="s">
        <v>222</v>
      </c>
      <c r="M10" s="18" t="str">
        <f>VLOOKUP(L10, GLOSSARY!$A:$C, 2, FALSE)</f>
        <v>VINEYARD PEN</v>
      </c>
      <c r="N10" s="6"/>
      <c r="O10" s="6"/>
      <c r="P10" s="6"/>
      <c r="Q10" s="6"/>
      <c r="R10" s="6"/>
      <c r="S10" s="6"/>
      <c r="T10" s="6"/>
      <c r="U10" s="6"/>
      <c r="V10" s="6"/>
      <c r="W10" s="6"/>
      <c r="X10" s="6"/>
      <c r="Y10" s="6"/>
      <c r="Z10" s="6"/>
      <c r="AA10" s="6"/>
      <c r="AB10" s="6"/>
      <c r="AC10" s="6"/>
      <c r="AD10" s="6"/>
      <c r="AE10" s="6"/>
    </row>
    <row r="11" spans="1:31" ht="89.25" x14ac:dyDescent="0.2">
      <c r="A11" s="6" t="s">
        <v>228</v>
      </c>
      <c r="B11" s="6" t="s">
        <v>217</v>
      </c>
      <c r="C11" s="20" t="s">
        <v>229</v>
      </c>
      <c r="D11" s="6" t="s">
        <v>245</v>
      </c>
      <c r="E11" s="6" t="s">
        <v>46</v>
      </c>
      <c r="F11" s="6" t="s">
        <v>246</v>
      </c>
      <c r="G11" s="6" t="s">
        <v>50</v>
      </c>
      <c r="H11" s="18" t="str">
        <f t="shared" si="0"/>
        <v>THE OVERSEER
OLD SHARPER (P43)</v>
      </c>
      <c r="I11" s="6" t="s">
        <v>248</v>
      </c>
      <c r="J11" s="6" t="s">
        <v>61</v>
      </c>
      <c r="K11" s="6" t="s">
        <v>92</v>
      </c>
      <c r="L11" s="6" t="s">
        <v>93</v>
      </c>
      <c r="M11" s="18" t="str">
        <f>VLOOKUP(L11, GLOSSARY!$A:$C, 2, FALSE)</f>
        <v>SALT RIVER ESTATE</v>
      </c>
      <c r="N11" s="6" t="s">
        <v>167</v>
      </c>
      <c r="O11" s="6"/>
      <c r="P11" s="6"/>
      <c r="Q11" s="6"/>
      <c r="R11" s="6"/>
      <c r="S11" s="6"/>
      <c r="T11" s="6"/>
      <c r="U11" s="6"/>
      <c r="V11" s="6"/>
      <c r="W11" s="6"/>
      <c r="X11" s="6"/>
      <c r="Y11" s="6"/>
      <c r="Z11" s="6"/>
      <c r="AA11" s="6"/>
      <c r="AB11" s="6"/>
      <c r="AC11" s="6"/>
      <c r="AD11" s="6"/>
      <c r="AE11" s="6"/>
    </row>
    <row r="12" spans="1:31" ht="216.75" x14ac:dyDescent="0.2">
      <c r="A12" s="6" t="s">
        <v>256</v>
      </c>
      <c r="B12" s="6" t="s">
        <v>217</v>
      </c>
      <c r="C12" s="20" t="s">
        <v>259</v>
      </c>
      <c r="D12" s="6" t="s">
        <v>260</v>
      </c>
      <c r="E12" s="6" t="s">
        <v>262</v>
      </c>
      <c r="F12" s="6" t="s">
        <v>264</v>
      </c>
      <c r="G12" s="6" t="s">
        <v>265</v>
      </c>
      <c r="H12" s="18" t="str">
        <f t="shared" si="0"/>
        <v>COLONEL CUDJOE
THE OVERSEER (P78
P43)</v>
      </c>
      <c r="I12" s="6" t="s">
        <v>267</v>
      </c>
      <c r="J12" s="6"/>
      <c r="K12" s="6" t="s">
        <v>184</v>
      </c>
      <c r="L12" s="6" t="s">
        <v>186</v>
      </c>
      <c r="M12" s="18" t="str">
        <f>VLOOKUP(L12, GLOSSARY!$A:$C, 2, FALSE)</f>
        <v xml:space="preserve">WILDERNESS </v>
      </c>
      <c r="N12" s="6" t="s">
        <v>68</v>
      </c>
      <c r="O12" s="6"/>
      <c r="P12" s="6"/>
      <c r="Q12" s="6"/>
      <c r="R12" s="6"/>
      <c r="S12" s="6"/>
      <c r="T12" s="6"/>
      <c r="U12" s="6"/>
      <c r="V12" s="6"/>
      <c r="W12" s="6"/>
      <c r="X12" s="6"/>
      <c r="Y12" s="6"/>
      <c r="Z12" s="6"/>
      <c r="AA12" s="6"/>
      <c r="AB12" s="6"/>
      <c r="AC12" s="6"/>
      <c r="AD12" s="6"/>
      <c r="AE12" s="6"/>
    </row>
    <row r="13" spans="1:31" ht="140.25" x14ac:dyDescent="0.2">
      <c r="A13" s="6" t="s">
        <v>271</v>
      </c>
      <c r="B13" s="6" t="s">
        <v>217</v>
      </c>
      <c r="C13" s="20" t="s">
        <v>259</v>
      </c>
      <c r="D13" s="6" t="s">
        <v>274</v>
      </c>
      <c r="E13" s="6" t="s">
        <v>46</v>
      </c>
      <c r="F13" s="6" t="s">
        <v>48</v>
      </c>
      <c r="G13" s="6" t="s">
        <v>50</v>
      </c>
      <c r="H13" s="18" t="str">
        <f t="shared" si="0"/>
        <v>THE OVERSEER (P43)</v>
      </c>
      <c r="I13" s="6" t="s">
        <v>139</v>
      </c>
      <c r="J13" s="6"/>
      <c r="K13" s="6" t="s">
        <v>184</v>
      </c>
      <c r="L13" s="6" t="s">
        <v>186</v>
      </c>
      <c r="M13" s="18" t="str">
        <f>VLOOKUP(L13, GLOSSARY!$A:$C, 2, FALSE)</f>
        <v xml:space="preserve">WILDERNESS </v>
      </c>
      <c r="N13" s="6" t="s">
        <v>68</v>
      </c>
      <c r="O13" s="6"/>
      <c r="P13" s="6"/>
      <c r="Q13" s="6"/>
      <c r="R13" s="6"/>
      <c r="S13" s="6"/>
      <c r="T13" s="6"/>
      <c r="U13" s="6"/>
      <c r="V13" s="6"/>
      <c r="W13" s="6"/>
      <c r="X13" s="6"/>
      <c r="Y13" s="6"/>
      <c r="Z13" s="6"/>
      <c r="AA13" s="6"/>
      <c r="AB13" s="6"/>
      <c r="AC13" s="6"/>
      <c r="AD13" s="6"/>
      <c r="AE13" s="6"/>
    </row>
    <row r="14" spans="1:31" ht="165.75" x14ac:dyDescent="0.2">
      <c r="A14" s="6" t="s">
        <v>271</v>
      </c>
      <c r="B14" s="6" t="s">
        <v>217</v>
      </c>
      <c r="C14" s="20" t="s">
        <v>259</v>
      </c>
      <c r="D14" s="6" t="s">
        <v>282</v>
      </c>
      <c r="E14" s="6" t="s">
        <v>283</v>
      </c>
      <c r="F14" s="6" t="s">
        <v>246</v>
      </c>
      <c r="G14" s="6" t="s">
        <v>285</v>
      </c>
      <c r="H14" s="18" t="str">
        <f t="shared" si="0"/>
        <v>THE OVERSEER
OLD SHARPER (P43 P74)</v>
      </c>
      <c r="I14" s="6" t="s">
        <v>139</v>
      </c>
      <c r="J14" s="6"/>
      <c r="K14" s="6" t="s">
        <v>184</v>
      </c>
      <c r="L14" s="6" t="s">
        <v>186</v>
      </c>
      <c r="M14" s="18" t="str">
        <f>VLOOKUP(L14, GLOSSARY!$A:$C, 2, FALSE)</f>
        <v xml:space="preserve">WILDERNESS </v>
      </c>
      <c r="N14" s="6" t="s">
        <v>287</v>
      </c>
      <c r="O14" s="6"/>
      <c r="P14" s="6"/>
      <c r="Q14" s="6"/>
      <c r="R14" s="6"/>
      <c r="S14" s="6"/>
      <c r="T14" s="6"/>
      <c r="U14" s="6"/>
      <c r="V14" s="6"/>
      <c r="W14" s="6"/>
      <c r="X14" s="6"/>
      <c r="Y14" s="6"/>
      <c r="Z14" s="6"/>
      <c r="AA14" s="6"/>
      <c r="AB14" s="6"/>
      <c r="AC14" s="6"/>
      <c r="AD14" s="6"/>
      <c r="AE14" s="6"/>
    </row>
    <row r="15" spans="1:31" ht="76.5" x14ac:dyDescent="0.2">
      <c r="A15" s="6" t="s">
        <v>292</v>
      </c>
      <c r="B15" s="6" t="s">
        <v>293</v>
      </c>
      <c r="C15" s="20" t="s">
        <v>294</v>
      </c>
      <c r="D15" s="6" t="s">
        <v>295</v>
      </c>
      <c r="E15" s="6" t="s">
        <v>46</v>
      </c>
      <c r="F15" s="6" t="s">
        <v>48</v>
      </c>
      <c r="G15" s="6" t="s">
        <v>50</v>
      </c>
      <c r="H15" s="18" t="str">
        <f t="shared" si="0"/>
        <v>THE OVERSEER (P43)</v>
      </c>
      <c r="I15" s="6" t="s">
        <v>26</v>
      </c>
      <c r="J15" s="6" t="s">
        <v>61</v>
      </c>
      <c r="K15" s="6" t="s">
        <v>92</v>
      </c>
      <c r="L15" s="6" t="s">
        <v>222</v>
      </c>
      <c r="M15" s="18" t="str">
        <f>VLOOKUP(L15, GLOSSARY!$A:$C, 2, FALSE)</f>
        <v>VINEYARD PEN</v>
      </c>
      <c r="N15" s="6" t="s">
        <v>167</v>
      </c>
      <c r="O15" s="6"/>
      <c r="P15" s="6"/>
      <c r="Q15" s="6"/>
      <c r="R15" s="6"/>
      <c r="S15" s="6"/>
      <c r="T15" s="6"/>
      <c r="U15" s="6"/>
      <c r="V15" s="6"/>
      <c r="W15" s="6"/>
      <c r="X15" s="6"/>
      <c r="Y15" s="6"/>
      <c r="Z15" s="6"/>
      <c r="AA15" s="6"/>
      <c r="AB15" s="6"/>
      <c r="AC15" s="6"/>
      <c r="AD15" s="6"/>
      <c r="AE15" s="6"/>
    </row>
    <row r="16" spans="1:31" ht="102" x14ac:dyDescent="0.2">
      <c r="A16" s="6" t="s">
        <v>302</v>
      </c>
      <c r="B16" s="6" t="s">
        <v>303</v>
      </c>
      <c r="C16" s="20" t="s">
        <v>304</v>
      </c>
      <c r="D16" s="6" t="s">
        <v>305</v>
      </c>
      <c r="E16" s="6"/>
      <c r="F16" s="6"/>
      <c r="G16" s="6"/>
      <c r="H16" s="18" t="str">
        <f t="shared" si="0"/>
        <v xml:space="preserve"> ()</v>
      </c>
      <c r="I16" s="6" t="s">
        <v>112</v>
      </c>
      <c r="J16" s="6"/>
      <c r="K16" s="6" t="s">
        <v>221</v>
      </c>
      <c r="L16" s="6" t="s">
        <v>222</v>
      </c>
      <c r="M16" s="18" t="str">
        <f>VLOOKUP(L16, GLOSSARY!$A:$C, 2, FALSE)</f>
        <v>VINEYARD PEN</v>
      </c>
      <c r="N16" s="6" t="s">
        <v>68</v>
      </c>
      <c r="O16" s="6"/>
      <c r="P16" s="6"/>
      <c r="Q16" s="6"/>
      <c r="R16" s="6"/>
      <c r="S16" s="6"/>
      <c r="T16" s="6"/>
      <c r="U16" s="6"/>
      <c r="V16" s="6"/>
      <c r="W16" s="6"/>
      <c r="X16" s="6"/>
      <c r="Y16" s="6"/>
      <c r="Z16" s="6"/>
      <c r="AA16" s="6"/>
      <c r="AB16" s="6"/>
      <c r="AC16" s="6"/>
      <c r="AD16" s="6"/>
      <c r="AE16" s="6"/>
    </row>
    <row r="17" spans="1:31" ht="102" x14ac:dyDescent="0.2">
      <c r="A17" s="18" t="s">
        <v>316</v>
      </c>
      <c r="B17" s="18" t="s">
        <v>317</v>
      </c>
      <c r="C17" s="19" t="s">
        <v>318</v>
      </c>
      <c r="D17" s="18" t="s">
        <v>320</v>
      </c>
      <c r="E17" s="18" t="s">
        <v>321</v>
      </c>
      <c r="F17" s="18" t="s">
        <v>323</v>
      </c>
      <c r="G17" s="18" t="s">
        <v>325</v>
      </c>
      <c r="H17" s="18" t="str">
        <f t="shared" si="0"/>
        <v>WANICKER (P73)</v>
      </c>
      <c r="I17" s="18" t="s">
        <v>326</v>
      </c>
      <c r="J17" s="18"/>
      <c r="K17" s="18" t="s">
        <v>221</v>
      </c>
      <c r="L17" s="18" t="s">
        <v>222</v>
      </c>
      <c r="M17" s="18" t="str">
        <f>VLOOKUP(L17, GLOSSARY!$A:$C, 2, FALSE)</f>
        <v>VINEYARD PEN</v>
      </c>
      <c r="N17" s="18"/>
      <c r="O17" s="18"/>
      <c r="P17" s="18"/>
      <c r="Q17" s="18"/>
      <c r="R17" s="18"/>
      <c r="S17" s="18"/>
      <c r="T17" s="18"/>
      <c r="U17" s="18"/>
      <c r="V17" s="18"/>
      <c r="W17" s="18"/>
      <c r="X17" s="18"/>
      <c r="Y17" s="18"/>
      <c r="Z17" s="18"/>
      <c r="AA17" s="18"/>
      <c r="AB17" s="18"/>
      <c r="AC17" s="18"/>
      <c r="AD17" s="18"/>
      <c r="AE17" s="18"/>
    </row>
    <row r="18" spans="1:31" ht="63.75" x14ac:dyDescent="0.2">
      <c r="A18" s="6" t="s">
        <v>334</v>
      </c>
      <c r="B18" s="6" t="s">
        <v>335</v>
      </c>
      <c r="C18" s="20" t="s">
        <v>336</v>
      </c>
      <c r="D18" s="6" t="s">
        <v>337</v>
      </c>
      <c r="E18" s="6" t="s">
        <v>46</v>
      </c>
      <c r="F18" s="6" t="s">
        <v>48</v>
      </c>
      <c r="G18" s="6" t="s">
        <v>325</v>
      </c>
      <c r="H18" s="18" t="str">
        <f t="shared" si="0"/>
        <v>THE OVERSEER (P73)</v>
      </c>
      <c r="I18" s="6" t="s">
        <v>342</v>
      </c>
      <c r="J18" s="6"/>
      <c r="K18" s="6" t="s">
        <v>92</v>
      </c>
      <c r="L18" s="6" t="s">
        <v>93</v>
      </c>
      <c r="M18" s="18" t="str">
        <f>VLOOKUP(L18, GLOSSARY!$A:$C, 2, FALSE)</f>
        <v>SALT RIVER ESTATE</v>
      </c>
      <c r="N18" s="6" t="s">
        <v>167</v>
      </c>
      <c r="O18" s="6"/>
      <c r="P18" s="6"/>
      <c r="Q18" s="6"/>
      <c r="R18" s="6"/>
      <c r="S18" s="6"/>
      <c r="T18" s="6"/>
      <c r="U18" s="6"/>
      <c r="V18" s="6"/>
      <c r="W18" s="6"/>
      <c r="X18" s="6"/>
      <c r="Y18" s="6"/>
      <c r="Z18" s="6"/>
      <c r="AA18" s="6"/>
      <c r="AB18" s="6"/>
      <c r="AC18" s="6"/>
      <c r="AD18" s="6"/>
      <c r="AE18" s="6"/>
    </row>
    <row r="19" spans="1:31" ht="114.75" x14ac:dyDescent="0.2">
      <c r="A19" s="6" t="s">
        <v>346</v>
      </c>
      <c r="B19" s="6" t="s">
        <v>347</v>
      </c>
      <c r="C19" s="20" t="s">
        <v>348</v>
      </c>
      <c r="D19" s="6" t="s">
        <v>349</v>
      </c>
      <c r="E19" s="6"/>
      <c r="F19" s="6" t="s">
        <v>350</v>
      </c>
      <c r="G19" s="6" t="s">
        <v>351</v>
      </c>
      <c r="H19" s="6" t="str">
        <f t="shared" ref="H19:H22" si="1">CONCATENATE(F19,"(",G19,")")</f>
        <v>MR. BARTON
BARBADOS WOMAN(P305
P306)</v>
      </c>
      <c r="I19" s="6" t="s">
        <v>112</v>
      </c>
      <c r="J19" s="6"/>
      <c r="K19" s="6"/>
      <c r="L19" s="6" t="s">
        <v>222</v>
      </c>
      <c r="M19" s="6" t="str">
        <f>VLOOKUP(L19, GLOSSARY!$A:$C, 2, FALSE)</f>
        <v>VINEYARD PEN</v>
      </c>
      <c r="N19" s="6" t="s">
        <v>68</v>
      </c>
      <c r="O19" s="6"/>
      <c r="P19" s="6"/>
      <c r="Q19" s="6"/>
      <c r="R19" s="6"/>
      <c r="S19" s="6"/>
      <c r="T19" s="6"/>
      <c r="U19" s="6"/>
      <c r="V19" s="6"/>
      <c r="W19" s="6"/>
      <c r="X19" s="6"/>
      <c r="Y19" s="6"/>
      <c r="Z19" s="6"/>
      <c r="AA19" s="6"/>
      <c r="AB19" s="6"/>
      <c r="AC19" s="6"/>
      <c r="AD19" s="6"/>
      <c r="AE19" s="6"/>
    </row>
    <row r="20" spans="1:31" ht="63.75" x14ac:dyDescent="0.2">
      <c r="A20" s="6" t="s">
        <v>362</v>
      </c>
      <c r="B20" s="6" t="s">
        <v>363</v>
      </c>
      <c r="C20" s="20" t="s">
        <v>364</v>
      </c>
      <c r="D20" s="6" t="s">
        <v>365</v>
      </c>
      <c r="E20" s="6"/>
      <c r="F20" s="6"/>
      <c r="G20" s="6"/>
      <c r="H20" s="6" t="str">
        <f t="shared" si="1"/>
        <v>()</v>
      </c>
      <c r="I20" s="6" t="s">
        <v>248</v>
      </c>
      <c r="J20" s="6"/>
      <c r="K20" s="6"/>
      <c r="L20" s="6" t="s">
        <v>222</v>
      </c>
      <c r="M20" s="6" t="str">
        <f>VLOOKUP(L20, GLOSSARY!$A:$C, 2, FALSE)</f>
        <v>VINEYARD PEN</v>
      </c>
      <c r="N20" s="6" t="s">
        <v>167</v>
      </c>
      <c r="O20" s="6"/>
      <c r="P20" s="6"/>
      <c r="Q20" s="6"/>
      <c r="R20" s="6"/>
      <c r="S20" s="6"/>
      <c r="T20" s="6"/>
      <c r="U20" s="6"/>
      <c r="V20" s="6"/>
      <c r="W20" s="6"/>
      <c r="X20" s="6"/>
      <c r="Y20" s="6"/>
      <c r="Z20" s="6"/>
      <c r="AA20" s="6"/>
      <c r="AB20" s="6"/>
      <c r="AC20" s="6"/>
      <c r="AD20" s="6"/>
      <c r="AE20" s="6"/>
    </row>
    <row r="21" spans="1:31" ht="382.5" x14ac:dyDescent="0.2">
      <c r="A21" s="6" t="s">
        <v>375</v>
      </c>
      <c r="B21" s="6" t="s">
        <v>376</v>
      </c>
      <c r="C21" s="20" t="s">
        <v>377</v>
      </c>
      <c r="D21" s="6" t="s">
        <v>378</v>
      </c>
      <c r="E21" s="6"/>
      <c r="F21" s="6" t="s">
        <v>379</v>
      </c>
      <c r="G21" s="6" t="s">
        <v>380</v>
      </c>
      <c r="H21" s="6" t="str">
        <f t="shared" si="1"/>
        <v>BARTON'S DICK(P308)</v>
      </c>
      <c r="I21" s="6" t="s">
        <v>383</v>
      </c>
      <c r="J21" s="6"/>
      <c r="K21" s="6"/>
      <c r="L21" s="6" t="s">
        <v>222</v>
      </c>
      <c r="M21" s="6" t="str">
        <f>VLOOKUP(L21, GLOSSARY!$A:$C, 2, FALSE)</f>
        <v>VINEYARD PEN</v>
      </c>
      <c r="N21" s="6" t="s">
        <v>68</v>
      </c>
      <c r="O21" s="6"/>
      <c r="P21" s="6"/>
      <c r="Q21" s="6"/>
      <c r="R21" s="6"/>
      <c r="S21" s="6"/>
      <c r="T21" s="6"/>
      <c r="U21" s="6"/>
      <c r="V21" s="6"/>
      <c r="W21" s="6"/>
      <c r="X21" s="6"/>
      <c r="Y21" s="6"/>
      <c r="Z21" s="6"/>
      <c r="AA21" s="6"/>
      <c r="AB21" s="6"/>
      <c r="AC21" s="6"/>
      <c r="AD21" s="6"/>
      <c r="AE21" s="6"/>
    </row>
    <row r="22" spans="1:31" ht="25.5" x14ac:dyDescent="0.2">
      <c r="A22" s="6" t="s">
        <v>384</v>
      </c>
      <c r="B22" s="6" t="s">
        <v>386</v>
      </c>
      <c r="C22" s="20" t="s">
        <v>387</v>
      </c>
      <c r="D22" s="6" t="s">
        <v>388</v>
      </c>
      <c r="E22" s="6"/>
      <c r="F22" s="6" t="s">
        <v>389</v>
      </c>
      <c r="G22" s="6" t="s">
        <v>390</v>
      </c>
      <c r="H22" s="6" t="str">
        <f t="shared" si="1"/>
        <v>BENEBA(P307)</v>
      </c>
      <c r="I22" s="6" t="s">
        <v>342</v>
      </c>
      <c r="J22" s="6"/>
      <c r="K22" s="6"/>
      <c r="L22" s="6" t="s">
        <v>392</v>
      </c>
      <c r="M22" s="6" t="str">
        <f>VLOOKUP(L22, GLOSSARY!$A:$C, 2, FALSE)</f>
        <v>THE SEA</v>
      </c>
      <c r="N22" s="6" t="s">
        <v>68</v>
      </c>
      <c r="O22" s="6"/>
      <c r="P22" s="6"/>
      <c r="Q22" s="6"/>
      <c r="R22" s="6"/>
      <c r="S22" s="6"/>
      <c r="T22" s="6"/>
      <c r="U22" s="6"/>
      <c r="V22" s="6"/>
      <c r="W22" s="6"/>
      <c r="X22" s="6"/>
      <c r="Y22" s="6"/>
      <c r="Z22" s="6"/>
      <c r="AA22" s="6"/>
      <c r="AB22" s="6"/>
      <c r="AC22" s="6"/>
      <c r="AD22" s="6"/>
      <c r="AE22" s="6"/>
    </row>
    <row r="23" spans="1:31" ht="102" x14ac:dyDescent="0.2">
      <c r="A23" s="6" t="s">
        <v>400</v>
      </c>
      <c r="B23" s="6" t="s">
        <v>401</v>
      </c>
      <c r="C23" s="20" t="s">
        <v>404</v>
      </c>
      <c r="D23" s="6" t="s">
        <v>405</v>
      </c>
      <c r="E23" s="6" t="s">
        <v>406</v>
      </c>
      <c r="F23" s="6" t="s">
        <v>407</v>
      </c>
      <c r="G23" s="6" t="s">
        <v>408</v>
      </c>
      <c r="H23" s="18" t="str">
        <f>CONCATENATE(F23," (",G23,")")</f>
        <v>NACOMMA
THE OVERSEER (P77 
P43)</v>
      </c>
      <c r="I23" s="6" t="s">
        <v>409</v>
      </c>
      <c r="J23" s="6" t="s">
        <v>411</v>
      </c>
      <c r="K23" s="6" t="s">
        <v>92</v>
      </c>
      <c r="L23" s="6" t="s">
        <v>222</v>
      </c>
      <c r="M23" s="18" t="str">
        <f>VLOOKUP(L23, GLOSSARY!$A:$C, 2, FALSE)</f>
        <v>VINEYARD PEN</v>
      </c>
      <c r="N23" s="6" t="s">
        <v>167</v>
      </c>
      <c r="O23" s="6"/>
      <c r="P23" s="6"/>
      <c r="Q23" s="6"/>
      <c r="R23" s="6"/>
      <c r="S23" s="6"/>
      <c r="T23" s="6"/>
      <c r="U23" s="6"/>
      <c r="V23" s="6"/>
      <c r="W23" s="6"/>
      <c r="X23" s="6"/>
      <c r="Y23" s="6"/>
      <c r="Z23" s="6"/>
      <c r="AA23" s="6"/>
      <c r="AB23" s="6"/>
      <c r="AC23" s="6"/>
      <c r="AD23" s="6"/>
      <c r="AE23" s="6"/>
    </row>
    <row r="24" spans="1:31" ht="63.75" x14ac:dyDescent="0.2">
      <c r="A24" s="6" t="s">
        <v>419</v>
      </c>
      <c r="B24" s="6" t="s">
        <v>420</v>
      </c>
      <c r="C24" s="20" t="s">
        <v>421</v>
      </c>
      <c r="D24" s="6" t="s">
        <v>422</v>
      </c>
      <c r="E24" s="6"/>
      <c r="F24" s="6"/>
      <c r="G24" s="6"/>
      <c r="H24" s="6" t="str">
        <f t="shared" ref="H24:H54" si="2">CONCATENATE(F24,"(",G24,")")</f>
        <v>()</v>
      </c>
      <c r="I24" s="6" t="s">
        <v>383</v>
      </c>
      <c r="J24" s="6"/>
      <c r="K24" s="6"/>
      <c r="L24" s="6" t="s">
        <v>222</v>
      </c>
      <c r="M24" s="6" t="str">
        <f>VLOOKUP(L24, GLOSSARY!$A:$C, 2, FALSE)</f>
        <v>VINEYARD PEN</v>
      </c>
      <c r="N24" s="6" t="s">
        <v>167</v>
      </c>
      <c r="O24" s="6"/>
      <c r="P24" s="6"/>
      <c r="Q24" s="6"/>
      <c r="R24" s="6"/>
      <c r="S24" s="6"/>
      <c r="T24" s="6"/>
      <c r="U24" s="6"/>
      <c r="V24" s="6"/>
      <c r="W24" s="6"/>
      <c r="X24" s="6"/>
      <c r="Y24" s="6"/>
      <c r="Z24" s="6"/>
      <c r="AA24" s="6"/>
      <c r="AB24" s="6"/>
      <c r="AC24" s="6"/>
      <c r="AD24" s="6"/>
      <c r="AE24" s="6"/>
    </row>
    <row r="25" spans="1:31" ht="242.25" x14ac:dyDescent="0.2">
      <c r="A25" s="6" t="s">
        <v>431</v>
      </c>
      <c r="B25" s="6" t="s">
        <v>432</v>
      </c>
      <c r="C25" s="20" t="s">
        <v>433</v>
      </c>
      <c r="D25" s="6" t="s">
        <v>434</v>
      </c>
      <c r="E25" s="6"/>
      <c r="F25" s="6" t="s">
        <v>435</v>
      </c>
      <c r="G25" s="6" t="s">
        <v>436</v>
      </c>
      <c r="H25" s="6" t="str">
        <f t="shared" si="2"/>
        <v>VINEYARD PHIBBAH
SCIPIO(P309
P310)</v>
      </c>
      <c r="I25" s="6" t="s">
        <v>439</v>
      </c>
      <c r="J25" s="6"/>
      <c r="K25" s="6"/>
      <c r="L25" s="6" t="s">
        <v>440</v>
      </c>
      <c r="M25" s="6" t="str">
        <f>VLOOKUP(L25, GLOSSARY!$A:$C, 2, FALSE)</f>
        <v>THE ROAD(S)</v>
      </c>
      <c r="N25" s="6" t="s">
        <v>68</v>
      </c>
      <c r="O25" s="6"/>
      <c r="P25" s="6"/>
      <c r="Q25" s="6"/>
      <c r="R25" s="6"/>
      <c r="S25" s="6"/>
      <c r="T25" s="6"/>
      <c r="U25" s="6"/>
      <c r="V25" s="6"/>
      <c r="W25" s="6"/>
      <c r="X25" s="6"/>
      <c r="Y25" s="6"/>
      <c r="Z25" s="6"/>
      <c r="AA25" s="6"/>
      <c r="AB25" s="6"/>
      <c r="AC25" s="6"/>
      <c r="AD25" s="6"/>
      <c r="AE25" s="6"/>
    </row>
    <row r="26" spans="1:31" ht="114.75" x14ac:dyDescent="0.2">
      <c r="A26" s="6" t="s">
        <v>431</v>
      </c>
      <c r="B26" s="6" t="s">
        <v>446</v>
      </c>
      <c r="C26" s="20" t="s">
        <v>447</v>
      </c>
      <c r="D26" s="6" t="s">
        <v>448</v>
      </c>
      <c r="E26" s="6"/>
      <c r="F26" s="6" t="s">
        <v>449</v>
      </c>
      <c r="G26" s="6" t="s">
        <v>450</v>
      </c>
      <c r="H26" s="6" t="str">
        <f t="shared" si="2"/>
        <v>HUGO
VINEYARD PHIBBAH
SCIPIO(P309
P310
P311)</v>
      </c>
      <c r="I26" s="6" t="s">
        <v>439</v>
      </c>
      <c r="J26" s="6"/>
      <c r="K26" s="6"/>
      <c r="L26" s="6" t="s">
        <v>440</v>
      </c>
      <c r="M26" s="6" t="str">
        <f>VLOOKUP(L26, GLOSSARY!$A:$C, 2, FALSE)</f>
        <v>THE ROAD(S)</v>
      </c>
      <c r="N26" s="6"/>
      <c r="O26" s="6"/>
      <c r="P26" s="6"/>
      <c r="Q26" s="6"/>
      <c r="R26" s="6"/>
      <c r="S26" s="6"/>
      <c r="T26" s="6"/>
      <c r="U26" s="6"/>
      <c r="V26" s="6"/>
      <c r="W26" s="6"/>
      <c r="X26" s="6"/>
      <c r="Y26" s="6"/>
      <c r="Z26" s="6"/>
      <c r="AA26" s="6"/>
      <c r="AB26" s="6"/>
      <c r="AC26" s="6"/>
      <c r="AD26" s="6"/>
      <c r="AE26" s="6"/>
    </row>
    <row r="27" spans="1:31" ht="127.5" x14ac:dyDescent="0.2">
      <c r="A27" s="6" t="s">
        <v>431</v>
      </c>
      <c r="B27" s="6" t="s">
        <v>446</v>
      </c>
      <c r="C27" s="20" t="s">
        <v>457</v>
      </c>
      <c r="D27" s="6" t="s">
        <v>458</v>
      </c>
      <c r="E27" s="6"/>
      <c r="F27" s="6" t="s">
        <v>459</v>
      </c>
      <c r="G27" s="6" t="s">
        <v>460</v>
      </c>
      <c r="H27" s="6" t="str">
        <f t="shared" si="2"/>
        <v>DAGO
BETTY
VINEYARD PHIBBAH
SCIPIO(P121
P134
P309
P310)</v>
      </c>
      <c r="I27" s="6" t="s">
        <v>439</v>
      </c>
      <c r="J27" s="6"/>
      <c r="K27" s="6"/>
      <c r="L27" s="6" t="s">
        <v>440</v>
      </c>
      <c r="M27" s="6" t="str">
        <f>VLOOKUP(L27, GLOSSARY!$A:$C, 2, FALSE)</f>
        <v>THE ROAD(S)</v>
      </c>
      <c r="N27" s="6" t="s">
        <v>68</v>
      </c>
      <c r="O27" s="6"/>
      <c r="P27" s="6"/>
      <c r="Q27" s="6"/>
      <c r="R27" s="6"/>
      <c r="S27" s="6"/>
      <c r="T27" s="6"/>
      <c r="U27" s="6"/>
      <c r="V27" s="6"/>
      <c r="W27" s="6"/>
      <c r="X27" s="6"/>
      <c r="Y27" s="6"/>
      <c r="Z27" s="6"/>
      <c r="AA27" s="6"/>
      <c r="AB27" s="6"/>
      <c r="AC27" s="6"/>
      <c r="AD27" s="6"/>
      <c r="AE27" s="6"/>
    </row>
    <row r="28" spans="1:31" ht="165.75" x14ac:dyDescent="0.2">
      <c r="A28" s="6" t="s">
        <v>467</v>
      </c>
      <c r="B28" s="6" t="s">
        <v>446</v>
      </c>
      <c r="C28" s="20" t="s">
        <v>468</v>
      </c>
      <c r="D28" s="6" t="s">
        <v>469</v>
      </c>
      <c r="E28" s="6"/>
      <c r="F28" s="6"/>
      <c r="G28" s="6"/>
      <c r="H28" s="6" t="str">
        <f t="shared" si="2"/>
        <v>()</v>
      </c>
      <c r="I28" s="6" t="s">
        <v>248</v>
      </c>
      <c r="J28" s="6"/>
      <c r="K28" s="6"/>
      <c r="L28" s="6" t="s">
        <v>471</v>
      </c>
      <c r="M28" s="6" t="str">
        <f>VLOOKUP(L28, GLOSSARY!$A:$C, 2, FALSE)</f>
        <v>VINEYARD PEN</v>
      </c>
      <c r="N28" s="6" t="s">
        <v>476</v>
      </c>
      <c r="O28" s="6"/>
      <c r="P28" s="6"/>
      <c r="Q28" s="6"/>
      <c r="R28" s="6"/>
      <c r="S28" s="6"/>
      <c r="T28" s="6"/>
      <c r="U28" s="6"/>
      <c r="V28" s="6"/>
      <c r="W28" s="6"/>
      <c r="X28" s="6"/>
      <c r="Y28" s="6"/>
      <c r="Z28" s="6"/>
      <c r="AA28" s="6"/>
      <c r="AB28" s="6"/>
      <c r="AC28" s="6"/>
      <c r="AD28" s="6"/>
      <c r="AE28" s="6"/>
    </row>
    <row r="29" spans="1:31" ht="51" x14ac:dyDescent="0.2">
      <c r="A29" s="6" t="s">
        <v>431</v>
      </c>
      <c r="B29" s="6" t="s">
        <v>479</v>
      </c>
      <c r="C29" s="20" t="s">
        <v>480</v>
      </c>
      <c r="D29" s="6" t="s">
        <v>482</v>
      </c>
      <c r="E29" s="6"/>
      <c r="F29" s="6" t="s">
        <v>435</v>
      </c>
      <c r="G29" s="6" t="s">
        <v>483</v>
      </c>
      <c r="H29" s="6" t="str">
        <f t="shared" si="2"/>
        <v>VINEYARD PHIBBAH
SCIPIO(P309
P310)</v>
      </c>
      <c r="I29" s="6" t="s">
        <v>439</v>
      </c>
      <c r="J29" s="6"/>
      <c r="K29" s="6"/>
      <c r="L29" s="6" t="s">
        <v>440</v>
      </c>
      <c r="M29" s="6" t="str">
        <f>VLOOKUP(L29, GLOSSARY!$A:$C, 2, FALSE)</f>
        <v>THE ROAD(S)</v>
      </c>
      <c r="N29" s="6" t="s">
        <v>68</v>
      </c>
      <c r="O29" s="6"/>
      <c r="P29" s="6"/>
      <c r="Q29" s="6"/>
      <c r="R29" s="6"/>
      <c r="S29" s="6"/>
      <c r="T29" s="6"/>
      <c r="U29" s="6"/>
      <c r="V29" s="6"/>
      <c r="W29" s="6"/>
      <c r="X29" s="6"/>
      <c r="Y29" s="6"/>
      <c r="Z29" s="6"/>
      <c r="AA29" s="6"/>
      <c r="AB29" s="6"/>
      <c r="AC29" s="6"/>
      <c r="AD29" s="6"/>
      <c r="AE29" s="6"/>
    </row>
    <row r="30" spans="1:31" ht="51" x14ac:dyDescent="0.2">
      <c r="A30" s="6" t="s">
        <v>431</v>
      </c>
      <c r="B30" s="6" t="s">
        <v>490</v>
      </c>
      <c r="C30" s="20" t="s">
        <v>491</v>
      </c>
      <c r="D30" s="6" t="s">
        <v>493</v>
      </c>
      <c r="E30" s="6"/>
      <c r="F30" s="6" t="s">
        <v>435</v>
      </c>
      <c r="G30" s="6" t="s">
        <v>483</v>
      </c>
      <c r="H30" s="6" t="str">
        <f t="shared" si="2"/>
        <v>VINEYARD PHIBBAH
SCIPIO(P309
P310)</v>
      </c>
      <c r="I30" s="6" t="s">
        <v>439</v>
      </c>
      <c r="J30" s="6"/>
      <c r="K30" s="6"/>
      <c r="L30" s="6" t="s">
        <v>222</v>
      </c>
      <c r="M30" s="6" t="str">
        <f>VLOOKUP(L30, GLOSSARY!$A:$C, 2, FALSE)</f>
        <v>VINEYARD PEN</v>
      </c>
      <c r="N30" s="6" t="s">
        <v>68</v>
      </c>
      <c r="O30" s="6"/>
      <c r="P30" s="6"/>
      <c r="Q30" s="6"/>
      <c r="R30" s="6"/>
      <c r="S30" s="6"/>
      <c r="T30" s="6"/>
      <c r="U30" s="6"/>
      <c r="V30" s="6"/>
      <c r="W30" s="6"/>
      <c r="X30" s="6"/>
      <c r="Y30" s="6"/>
      <c r="Z30" s="6"/>
      <c r="AA30" s="6"/>
      <c r="AB30" s="6"/>
      <c r="AC30" s="6"/>
      <c r="AD30" s="6"/>
      <c r="AE30" s="6"/>
    </row>
    <row r="31" spans="1:31" ht="51" x14ac:dyDescent="0.2">
      <c r="A31" s="6" t="s">
        <v>498</v>
      </c>
      <c r="B31" s="6" t="s">
        <v>499</v>
      </c>
      <c r="C31" s="20" t="s">
        <v>501</v>
      </c>
      <c r="D31" s="6" t="s">
        <v>502</v>
      </c>
      <c r="E31" s="6"/>
      <c r="F31" s="6" t="s">
        <v>503</v>
      </c>
      <c r="G31" s="6" t="s">
        <v>505</v>
      </c>
      <c r="H31" s="6" t="str">
        <f t="shared" si="2"/>
        <v>HANS SLOANE(P312)</v>
      </c>
      <c r="I31" s="6" t="s">
        <v>248</v>
      </c>
      <c r="J31" s="6"/>
      <c r="K31" s="6"/>
      <c r="L31" s="6" t="s">
        <v>222</v>
      </c>
      <c r="M31" s="6" t="str">
        <f>VLOOKUP(L31, GLOSSARY!$A:$C, 2, FALSE)</f>
        <v>VINEYARD PEN</v>
      </c>
      <c r="N31" s="6" t="s">
        <v>68</v>
      </c>
      <c r="O31" s="6"/>
      <c r="P31" s="6"/>
      <c r="Q31" s="6"/>
      <c r="R31" s="6"/>
      <c r="S31" s="6"/>
      <c r="T31" s="6"/>
      <c r="U31" s="6"/>
      <c r="V31" s="6"/>
      <c r="W31" s="6"/>
      <c r="X31" s="6"/>
      <c r="Y31" s="6"/>
      <c r="Z31" s="6"/>
      <c r="AA31" s="6"/>
      <c r="AB31" s="6"/>
      <c r="AC31" s="6"/>
      <c r="AD31" s="6"/>
      <c r="AE31" s="6"/>
    </row>
    <row r="32" spans="1:31" ht="76.5" x14ac:dyDescent="0.2">
      <c r="A32" s="6" t="s">
        <v>512</v>
      </c>
      <c r="B32" s="6" t="s">
        <v>513</v>
      </c>
      <c r="C32" s="20" t="s">
        <v>515</v>
      </c>
      <c r="D32" s="6" t="s">
        <v>517</v>
      </c>
      <c r="E32" s="6"/>
      <c r="F32" s="6" t="s">
        <v>519</v>
      </c>
      <c r="G32" s="6" t="s">
        <v>521</v>
      </c>
      <c r="H32" s="6" t="str">
        <f t="shared" si="2"/>
        <v>VINEYARD DICK(P314)</v>
      </c>
      <c r="I32" s="6" t="s">
        <v>248</v>
      </c>
      <c r="J32" s="6"/>
      <c r="K32" s="6"/>
      <c r="L32" s="6" t="s">
        <v>222</v>
      </c>
      <c r="M32" s="6" t="str">
        <f>VLOOKUP(L32, GLOSSARY!$A:$C, 2, FALSE)</f>
        <v>VINEYARD PEN</v>
      </c>
      <c r="N32" s="6" t="s">
        <v>68</v>
      </c>
      <c r="O32" s="6"/>
      <c r="P32" s="6"/>
      <c r="Q32" s="6"/>
      <c r="R32" s="6"/>
      <c r="S32" s="6"/>
      <c r="T32" s="6"/>
      <c r="U32" s="6"/>
      <c r="V32" s="6"/>
      <c r="W32" s="6"/>
      <c r="X32" s="6"/>
      <c r="Y32" s="6"/>
      <c r="Z32" s="6"/>
      <c r="AA32" s="6"/>
      <c r="AB32" s="6"/>
      <c r="AC32" s="6"/>
      <c r="AD32" s="6"/>
      <c r="AE32" s="6"/>
    </row>
    <row r="33" spans="1:31" ht="382.5" x14ac:dyDescent="0.2">
      <c r="A33" s="6" t="s">
        <v>526</v>
      </c>
      <c r="B33" s="6" t="s">
        <v>527</v>
      </c>
      <c r="C33" s="20" t="s">
        <v>528</v>
      </c>
      <c r="D33" s="6" t="s">
        <v>529</v>
      </c>
      <c r="E33" s="6"/>
      <c r="F33" s="6" t="s">
        <v>530</v>
      </c>
      <c r="G33" s="6" t="s">
        <v>531</v>
      </c>
      <c r="H33" s="6" t="str">
        <f t="shared" si="2"/>
        <v>VINEYARD PHIBBAH
FULLERWOOD QUASHEBA(P309
P314)</v>
      </c>
      <c r="I33" s="6" t="s">
        <v>533</v>
      </c>
      <c r="J33" s="6"/>
      <c r="K33" s="6"/>
      <c r="L33" s="6" t="s">
        <v>222</v>
      </c>
      <c r="M33" s="6" t="str">
        <f>VLOOKUP(L33, GLOSSARY!$A:$C, 2, FALSE)</f>
        <v>VINEYARD PEN</v>
      </c>
      <c r="N33" s="6" t="s">
        <v>68</v>
      </c>
      <c r="O33" s="6"/>
      <c r="P33" s="6"/>
      <c r="Q33" s="6"/>
      <c r="R33" s="6"/>
      <c r="S33" s="6"/>
      <c r="T33" s="6"/>
      <c r="U33" s="6"/>
      <c r="V33" s="6"/>
      <c r="W33" s="6"/>
      <c r="X33" s="6"/>
      <c r="Y33" s="6"/>
      <c r="Z33" s="6"/>
      <c r="AA33" s="6"/>
      <c r="AB33" s="6"/>
      <c r="AC33" s="6"/>
      <c r="AD33" s="6"/>
      <c r="AE33" s="6"/>
    </row>
    <row r="34" spans="1:31" ht="408" x14ac:dyDescent="0.2">
      <c r="A34" s="6" t="s">
        <v>541</v>
      </c>
      <c r="B34" s="6" t="s">
        <v>542</v>
      </c>
      <c r="C34" s="20" t="s">
        <v>543</v>
      </c>
      <c r="D34" s="6" t="s">
        <v>544</v>
      </c>
      <c r="E34" s="6"/>
      <c r="F34" s="6" t="s">
        <v>323</v>
      </c>
      <c r="G34" s="6" t="s">
        <v>325</v>
      </c>
      <c r="H34" s="6" t="str">
        <f t="shared" si="2"/>
        <v>WANICKER(P73)</v>
      </c>
      <c r="I34" s="6" t="s">
        <v>248</v>
      </c>
      <c r="J34" s="6"/>
      <c r="K34" s="6"/>
      <c r="L34" s="6" t="s">
        <v>222</v>
      </c>
      <c r="M34" s="6" t="str">
        <f>VLOOKUP(L34, GLOSSARY!$A:$C, 2, FALSE)</f>
        <v>VINEYARD PEN</v>
      </c>
      <c r="N34" s="6" t="s">
        <v>68</v>
      </c>
      <c r="O34" s="6"/>
      <c r="P34" s="6"/>
      <c r="Q34" s="6"/>
      <c r="R34" s="6"/>
      <c r="S34" s="6"/>
      <c r="T34" s="6"/>
      <c r="U34" s="6"/>
      <c r="V34" s="6"/>
      <c r="W34" s="6"/>
      <c r="X34" s="6"/>
      <c r="Y34" s="6"/>
      <c r="Z34" s="6"/>
      <c r="AA34" s="6"/>
      <c r="AB34" s="6"/>
      <c r="AC34" s="6"/>
      <c r="AD34" s="6"/>
      <c r="AE34" s="6"/>
    </row>
    <row r="35" spans="1:31" ht="293.25" x14ac:dyDescent="0.2">
      <c r="A35" s="6" t="s">
        <v>550</v>
      </c>
      <c r="B35" s="6" t="s">
        <v>551</v>
      </c>
      <c r="C35" s="20" t="s">
        <v>552</v>
      </c>
      <c r="D35" s="6" t="s">
        <v>553</v>
      </c>
      <c r="E35" s="6"/>
      <c r="F35" s="6" t="s">
        <v>555</v>
      </c>
      <c r="G35" s="6" t="s">
        <v>556</v>
      </c>
      <c r="H35" s="6" t="str">
        <f t="shared" si="2"/>
        <v>MARINA
CAESAR
GUY
CHARLES
PHIBBAH
WANICKER(P73
P7
P300
P301
P302
P303)</v>
      </c>
      <c r="I35" s="6" t="s">
        <v>342</v>
      </c>
      <c r="J35" s="6"/>
      <c r="K35" s="6"/>
      <c r="L35" s="6" t="s">
        <v>222</v>
      </c>
      <c r="M35" s="6" t="str">
        <f>VLOOKUP(L35, GLOSSARY!$A:$C, 2, FALSE)</f>
        <v>VINEYARD PEN</v>
      </c>
      <c r="N35" s="6" t="s">
        <v>167</v>
      </c>
      <c r="O35" s="6"/>
      <c r="P35" s="6"/>
      <c r="Q35" s="6"/>
      <c r="R35" s="6"/>
      <c r="S35" s="6"/>
      <c r="T35" s="6"/>
      <c r="U35" s="6"/>
      <c r="V35" s="6"/>
      <c r="W35" s="6"/>
      <c r="X35" s="6"/>
      <c r="Y35" s="6"/>
      <c r="Z35" s="6"/>
      <c r="AA35" s="6"/>
      <c r="AB35" s="6"/>
      <c r="AC35" s="6"/>
      <c r="AD35" s="6"/>
      <c r="AE35" s="6"/>
    </row>
    <row r="36" spans="1:31" ht="63.75" x14ac:dyDescent="0.2">
      <c r="A36" s="6" t="s">
        <v>560</v>
      </c>
      <c r="B36" s="6" t="s">
        <v>561</v>
      </c>
      <c r="C36" s="20" t="s">
        <v>563</v>
      </c>
      <c r="D36" s="6" t="s">
        <v>565</v>
      </c>
      <c r="E36" s="6"/>
      <c r="F36" s="6"/>
      <c r="G36" s="6"/>
      <c r="H36" s="6" t="str">
        <f t="shared" si="2"/>
        <v>()</v>
      </c>
      <c r="I36" s="6" t="s">
        <v>326</v>
      </c>
      <c r="J36" s="6"/>
      <c r="K36" s="6"/>
      <c r="L36" s="6" t="s">
        <v>222</v>
      </c>
      <c r="M36" s="6" t="str">
        <f>VLOOKUP(L36, GLOSSARY!$A:$C, 2, FALSE)</f>
        <v>VINEYARD PEN</v>
      </c>
      <c r="N36" s="6"/>
      <c r="O36" s="6"/>
      <c r="P36" s="6"/>
      <c r="Q36" s="6"/>
      <c r="R36" s="6"/>
      <c r="S36" s="6"/>
      <c r="T36" s="6"/>
      <c r="U36" s="6"/>
      <c r="V36" s="6"/>
      <c r="W36" s="6"/>
      <c r="X36" s="6"/>
      <c r="Y36" s="6"/>
      <c r="Z36" s="6"/>
      <c r="AA36" s="6"/>
      <c r="AB36" s="6"/>
      <c r="AC36" s="6"/>
      <c r="AD36" s="6"/>
      <c r="AE36" s="6"/>
    </row>
    <row r="37" spans="1:31" ht="409.5" x14ac:dyDescent="0.2">
      <c r="A37" s="6" t="s">
        <v>571</v>
      </c>
      <c r="B37" s="6" t="s">
        <v>572</v>
      </c>
      <c r="C37" s="20" t="s">
        <v>573</v>
      </c>
      <c r="D37" s="6" t="s">
        <v>574</v>
      </c>
      <c r="E37" s="6"/>
      <c r="F37" s="6" t="s">
        <v>575</v>
      </c>
      <c r="G37" s="29" t="s">
        <v>576</v>
      </c>
      <c r="H37" s="6" t="str">
        <f t="shared" si="2"/>
        <v>THE OVERSEER
WILLIAM DORRILL
ELIZABETH ANDERSON
THE PLANTER'S WIFE
CAPTAIN RIVERA DE LA BRUCE
PETER FOOKES
SAMUEL MORDENDER(P43
P45
P75
P76
P401
P402
P403
)</v>
      </c>
      <c r="I37" s="6" t="s">
        <v>578</v>
      </c>
      <c r="J37" s="6"/>
      <c r="K37" s="6"/>
      <c r="L37" s="6" t="s">
        <v>93</v>
      </c>
      <c r="M37" s="6" t="str">
        <f>VLOOKUP(L37, GLOSSARY!$A:$C, 2, FALSE)</f>
        <v>SALT RIVER ESTATE</v>
      </c>
      <c r="N37" s="6" t="s">
        <v>287</v>
      </c>
      <c r="O37" s="6"/>
      <c r="P37" s="6"/>
      <c r="Q37" s="6"/>
      <c r="R37" s="6"/>
      <c r="S37" s="6"/>
      <c r="T37" s="6"/>
      <c r="U37" s="6"/>
      <c r="V37" s="6"/>
      <c r="W37" s="6"/>
      <c r="X37" s="6"/>
      <c r="Y37" s="6"/>
      <c r="Z37" s="6"/>
      <c r="AA37" s="6"/>
      <c r="AB37" s="6"/>
      <c r="AC37" s="6"/>
      <c r="AD37" s="6"/>
      <c r="AE37" s="6"/>
    </row>
    <row r="38" spans="1:31" ht="409.5" x14ac:dyDescent="0.2">
      <c r="A38" s="6" t="s">
        <v>571</v>
      </c>
      <c r="B38" s="6" t="s">
        <v>581</v>
      </c>
      <c r="C38" s="20" t="s">
        <v>582</v>
      </c>
      <c r="D38" s="6" t="s">
        <v>583</v>
      </c>
      <c r="E38" s="6"/>
      <c r="F38" s="6" t="s">
        <v>586</v>
      </c>
      <c r="G38" s="6" t="s">
        <v>589</v>
      </c>
      <c r="H38" s="6" t="str">
        <f t="shared" si="2"/>
        <v>THE OVERSEER
WILLIAM DORRILL(P43
75
)</v>
      </c>
      <c r="I38" s="6" t="s">
        <v>578</v>
      </c>
      <c r="J38" s="6"/>
      <c r="K38" s="6"/>
      <c r="L38" s="6" t="s">
        <v>592</v>
      </c>
      <c r="M38" s="6" t="str">
        <f>VLOOKUP(L38, GLOSSARY!$A:$C, 2, FALSE)</f>
        <v>THE BARCADIER</v>
      </c>
      <c r="N38" s="6" t="s">
        <v>287</v>
      </c>
      <c r="O38" s="6"/>
      <c r="P38" s="6"/>
      <c r="Q38" s="6"/>
      <c r="R38" s="6"/>
      <c r="S38" s="6"/>
      <c r="T38" s="6"/>
      <c r="U38" s="6"/>
      <c r="V38" s="6"/>
      <c r="W38" s="6"/>
      <c r="X38" s="6"/>
      <c r="Y38" s="6"/>
      <c r="Z38" s="6"/>
      <c r="AA38" s="6"/>
      <c r="AB38" s="6"/>
      <c r="AC38" s="6"/>
      <c r="AD38" s="6"/>
      <c r="AE38" s="6"/>
    </row>
    <row r="39" spans="1:31" ht="331.5" x14ac:dyDescent="0.2">
      <c r="A39" s="6" t="s">
        <v>571</v>
      </c>
      <c r="B39" s="6" t="s">
        <v>581</v>
      </c>
      <c r="C39" s="20" t="s">
        <v>599</v>
      </c>
      <c r="D39" s="6" t="s">
        <v>600</v>
      </c>
      <c r="E39" s="6"/>
      <c r="F39" s="6" t="s">
        <v>601</v>
      </c>
      <c r="G39" s="6" t="s">
        <v>602</v>
      </c>
      <c r="H39" s="6" t="str">
        <f t="shared" si="2"/>
        <v>THE OVERSEER
SAMUEL MORDENNER(P43
P402
)</v>
      </c>
      <c r="I39" s="6" t="s">
        <v>578</v>
      </c>
      <c r="J39" s="6"/>
      <c r="K39" s="6"/>
      <c r="L39" s="6" t="s">
        <v>592</v>
      </c>
      <c r="M39" s="6" t="str">
        <f>VLOOKUP(L39, GLOSSARY!$A:$C, 2, FALSE)</f>
        <v>THE BARCADIER</v>
      </c>
      <c r="N39" s="6" t="s">
        <v>287</v>
      </c>
      <c r="O39" s="6"/>
      <c r="P39" s="6"/>
      <c r="Q39" s="6"/>
      <c r="R39" s="6"/>
      <c r="S39" s="6"/>
      <c r="T39" s="6"/>
      <c r="U39" s="6"/>
      <c r="V39" s="6"/>
      <c r="W39" s="6"/>
      <c r="X39" s="6"/>
      <c r="Y39" s="6"/>
      <c r="Z39" s="6"/>
      <c r="AA39" s="6"/>
      <c r="AB39" s="6"/>
      <c r="AC39" s="6"/>
      <c r="AD39" s="6"/>
      <c r="AE39" s="6"/>
    </row>
    <row r="40" spans="1:31" ht="255" x14ac:dyDescent="0.2">
      <c r="A40" s="6" t="s">
        <v>608</v>
      </c>
      <c r="B40" s="6" t="s">
        <v>609</v>
      </c>
      <c r="C40" s="20" t="s">
        <v>610</v>
      </c>
      <c r="D40" s="6" t="s">
        <v>611</v>
      </c>
      <c r="E40" s="6"/>
      <c r="F40" s="6" t="s">
        <v>613</v>
      </c>
      <c r="G40" s="6" t="s">
        <v>615</v>
      </c>
      <c r="H40" s="6" t="str">
        <f t="shared" si="2"/>
        <v>THE OVERSEER
WILLIAM DORRILL
QUACOO
MORRIS(P43
P75
P298
P226)</v>
      </c>
      <c r="I40" s="6" t="s">
        <v>248</v>
      </c>
      <c r="J40" s="6"/>
      <c r="K40" s="6"/>
      <c r="L40" s="6" t="s">
        <v>93</v>
      </c>
      <c r="M40" s="6" t="str">
        <f>VLOOKUP(L40, GLOSSARY!$A:$C, 2, FALSE)</f>
        <v>SALT RIVER ESTATE</v>
      </c>
      <c r="N40" s="6" t="s">
        <v>167</v>
      </c>
      <c r="O40" s="6"/>
      <c r="P40" s="6"/>
      <c r="Q40" s="6"/>
      <c r="R40" s="6"/>
      <c r="S40" s="6"/>
      <c r="T40" s="6"/>
      <c r="U40" s="6"/>
      <c r="V40" s="6"/>
      <c r="W40" s="6"/>
      <c r="X40" s="6"/>
      <c r="Y40" s="6"/>
      <c r="Z40" s="6"/>
      <c r="AA40" s="6"/>
      <c r="AB40" s="6"/>
      <c r="AC40" s="6"/>
      <c r="AD40" s="6"/>
      <c r="AE40" s="6"/>
    </row>
    <row r="41" spans="1:31" ht="395.25" x14ac:dyDescent="0.2">
      <c r="A41" s="6" t="s">
        <v>608</v>
      </c>
      <c r="B41" s="6" t="s">
        <v>620</v>
      </c>
      <c r="C41" s="20" t="s">
        <v>610</v>
      </c>
      <c r="D41" s="6" t="s">
        <v>621</v>
      </c>
      <c r="E41" s="6"/>
      <c r="F41" s="6" t="s">
        <v>622</v>
      </c>
      <c r="G41" s="6" t="s">
        <v>623</v>
      </c>
      <c r="H41" s="6" t="str">
        <f t="shared" si="2"/>
        <v>THE OVERSEER
JOHN FILTON(P43
P430)</v>
      </c>
      <c r="I41" s="6" t="s">
        <v>248</v>
      </c>
      <c r="J41" s="6"/>
      <c r="K41" s="6"/>
      <c r="L41" s="6" t="s">
        <v>55</v>
      </c>
      <c r="M41" s="6" t="str">
        <f>VLOOKUP(L41, GLOSSARY!$A:$C, 2, FALSE)</f>
        <v>EGYPT ESTATE</v>
      </c>
      <c r="N41" s="6"/>
      <c r="O41" s="6"/>
      <c r="P41" s="6"/>
      <c r="Q41" s="6"/>
      <c r="R41" s="6"/>
      <c r="S41" s="6"/>
      <c r="T41" s="6"/>
      <c r="U41" s="6"/>
      <c r="V41" s="6"/>
      <c r="W41" s="6"/>
      <c r="X41" s="6"/>
      <c r="Y41" s="6"/>
      <c r="Z41" s="6"/>
      <c r="AA41" s="6"/>
      <c r="AB41" s="6"/>
      <c r="AC41" s="6"/>
      <c r="AD41" s="6"/>
      <c r="AE41" s="6"/>
    </row>
    <row r="42" spans="1:31" ht="38.25" x14ac:dyDescent="0.2">
      <c r="A42" s="6" t="s">
        <v>629</v>
      </c>
      <c r="B42" s="6" t="s">
        <v>630</v>
      </c>
      <c r="C42" s="20" t="s">
        <v>631</v>
      </c>
      <c r="D42" s="6" t="s">
        <v>632</v>
      </c>
      <c r="E42" s="6"/>
      <c r="F42" s="6" t="s">
        <v>633</v>
      </c>
      <c r="G42" s="6" t="s">
        <v>634</v>
      </c>
      <c r="H42" s="6" t="str">
        <f t="shared" si="2"/>
        <v>BELINDA(P429)</v>
      </c>
      <c r="I42" s="6" t="s">
        <v>198</v>
      </c>
      <c r="J42" s="6"/>
      <c r="K42" s="6"/>
      <c r="L42" s="6" t="s">
        <v>55</v>
      </c>
      <c r="M42" s="6" t="str">
        <f>VLOOKUP(L42, GLOSSARY!$A:$C, 2, FALSE)</f>
        <v>EGYPT ESTATE</v>
      </c>
      <c r="N42" s="6" t="s">
        <v>68</v>
      </c>
      <c r="O42" s="6"/>
      <c r="P42" s="6"/>
      <c r="Q42" s="6"/>
      <c r="R42" s="6"/>
      <c r="S42" s="6"/>
      <c r="T42" s="6"/>
      <c r="U42" s="6"/>
      <c r="V42" s="6"/>
      <c r="W42" s="6"/>
      <c r="X42" s="6"/>
      <c r="Y42" s="6"/>
      <c r="Z42" s="6"/>
      <c r="AA42" s="6"/>
      <c r="AB42" s="6"/>
      <c r="AC42" s="6"/>
      <c r="AD42" s="6"/>
      <c r="AE42" s="6"/>
    </row>
    <row r="43" spans="1:31" ht="63.75" x14ac:dyDescent="0.2">
      <c r="A43" s="6" t="s">
        <v>639</v>
      </c>
      <c r="B43" s="6" t="s">
        <v>640</v>
      </c>
      <c r="C43" s="20" t="s">
        <v>641</v>
      </c>
      <c r="D43" s="6" t="s">
        <v>642</v>
      </c>
      <c r="E43" s="6"/>
      <c r="F43" s="6" t="s">
        <v>643</v>
      </c>
      <c r="G43" s="6" t="s">
        <v>644</v>
      </c>
      <c r="H43" s="6" t="str">
        <f t="shared" si="2"/>
        <v>THE OVERSEER
DIDO(P43
P105)</v>
      </c>
      <c r="I43" s="6" t="s">
        <v>409</v>
      </c>
      <c r="J43" s="6"/>
      <c r="K43" s="6"/>
      <c r="L43" s="6" t="s">
        <v>55</v>
      </c>
      <c r="M43" s="6" t="str">
        <f>VLOOKUP(L43, GLOSSARY!$A:$C, 2, FALSE)</f>
        <v>EGYPT ESTATE</v>
      </c>
      <c r="N43" s="6" t="s">
        <v>68</v>
      </c>
      <c r="O43" s="6"/>
      <c r="P43" s="6"/>
      <c r="Q43" s="6"/>
      <c r="R43" s="6"/>
      <c r="S43" s="6"/>
      <c r="T43" s="6"/>
      <c r="U43" s="6"/>
      <c r="V43" s="6"/>
      <c r="W43" s="6"/>
      <c r="X43" s="6"/>
      <c r="Y43" s="6"/>
      <c r="Z43" s="6"/>
      <c r="AA43" s="6"/>
      <c r="AB43" s="6"/>
      <c r="AC43" s="6"/>
      <c r="AD43" s="6"/>
      <c r="AE43" s="6"/>
    </row>
    <row r="44" spans="1:31" ht="12.75" x14ac:dyDescent="0.2">
      <c r="A44" s="6" t="s">
        <v>648</v>
      </c>
      <c r="B44" s="6" t="s">
        <v>640</v>
      </c>
      <c r="C44" s="20" t="s">
        <v>649</v>
      </c>
      <c r="D44" s="6" t="s">
        <v>650</v>
      </c>
      <c r="E44" s="6"/>
      <c r="F44" s="6" t="s">
        <v>652</v>
      </c>
      <c r="G44" s="6" t="s">
        <v>654</v>
      </c>
      <c r="H44" s="6" t="str">
        <f t="shared" si="2"/>
        <v>BELLA(P176)</v>
      </c>
      <c r="I44" s="6" t="s">
        <v>656</v>
      </c>
      <c r="J44" s="6"/>
      <c r="K44" s="6"/>
      <c r="L44" s="6" t="s">
        <v>657</v>
      </c>
      <c r="M44" s="6" t="str">
        <f>VLOOKUP(L44, GLOSSARY!$A:$C, 2, FALSE)</f>
        <v>UNKNOWN</v>
      </c>
      <c r="N44" s="6" t="s">
        <v>287</v>
      </c>
      <c r="O44" s="6"/>
      <c r="P44" s="6"/>
      <c r="Q44" s="6"/>
      <c r="R44" s="6"/>
      <c r="S44" s="6"/>
      <c r="T44" s="6"/>
      <c r="U44" s="6"/>
      <c r="V44" s="6"/>
      <c r="W44" s="6"/>
      <c r="X44" s="6"/>
      <c r="Y44" s="6"/>
      <c r="Z44" s="6"/>
      <c r="AA44" s="6"/>
      <c r="AB44" s="6"/>
      <c r="AC44" s="6"/>
      <c r="AD44" s="6"/>
      <c r="AE44" s="6"/>
    </row>
    <row r="45" spans="1:31" ht="89.25" x14ac:dyDescent="0.2">
      <c r="A45" s="6" t="s">
        <v>663</v>
      </c>
      <c r="B45" s="6" t="s">
        <v>640</v>
      </c>
      <c r="C45" s="20" t="s">
        <v>664</v>
      </c>
      <c r="D45" s="6" t="s">
        <v>665</v>
      </c>
      <c r="E45" s="6"/>
      <c r="F45" s="6" t="s">
        <v>48</v>
      </c>
      <c r="G45" s="6"/>
      <c r="H45" s="6" t="str">
        <f t="shared" si="2"/>
        <v>THE OVERSEER()</v>
      </c>
      <c r="I45" s="6" t="s">
        <v>112</v>
      </c>
      <c r="J45" s="6"/>
      <c r="K45" s="6"/>
      <c r="L45" s="6" t="s">
        <v>55</v>
      </c>
      <c r="M45" s="6" t="str">
        <f>VLOOKUP(L45, GLOSSARY!$A:$C, 2, FALSE)</f>
        <v>EGYPT ESTATE</v>
      </c>
      <c r="N45" s="6" t="s">
        <v>68</v>
      </c>
      <c r="O45" s="6"/>
      <c r="P45" s="6"/>
      <c r="Q45" s="6"/>
      <c r="R45" s="6"/>
      <c r="S45" s="6"/>
      <c r="T45" s="6"/>
      <c r="U45" s="6"/>
      <c r="V45" s="6"/>
      <c r="W45" s="6"/>
      <c r="X45" s="6"/>
      <c r="Y45" s="6"/>
      <c r="Z45" s="6"/>
      <c r="AA45" s="6"/>
      <c r="AB45" s="6"/>
      <c r="AC45" s="6"/>
      <c r="AD45" s="6"/>
      <c r="AE45" s="6"/>
    </row>
    <row r="46" spans="1:31" ht="51" x14ac:dyDescent="0.2">
      <c r="A46" s="6" t="s">
        <v>648</v>
      </c>
      <c r="B46" s="6" t="s">
        <v>640</v>
      </c>
      <c r="C46" s="20" t="s">
        <v>664</v>
      </c>
      <c r="D46" s="6" t="s">
        <v>671</v>
      </c>
      <c r="E46" s="6"/>
      <c r="F46" s="6" t="s">
        <v>672</v>
      </c>
      <c r="G46" s="6" t="s">
        <v>673</v>
      </c>
      <c r="H46" s="6" t="str">
        <f t="shared" si="2"/>
        <v>BELLA
BELLA'S HUSBAND SAM(P176
P431)</v>
      </c>
      <c r="I46" s="6" t="s">
        <v>656</v>
      </c>
      <c r="J46" s="6"/>
      <c r="K46" s="6"/>
      <c r="L46" s="6" t="s">
        <v>55</v>
      </c>
      <c r="M46" s="6" t="str">
        <f>VLOOKUP(L46, GLOSSARY!$A:$C, 2, FALSE)</f>
        <v>EGYPT ESTATE</v>
      </c>
      <c r="N46" s="6" t="s">
        <v>68</v>
      </c>
      <c r="O46" s="6"/>
      <c r="P46" s="6"/>
      <c r="Q46" s="6"/>
      <c r="R46" s="6"/>
      <c r="S46" s="6"/>
      <c r="T46" s="6"/>
      <c r="U46" s="6"/>
      <c r="V46" s="6"/>
      <c r="W46" s="6"/>
      <c r="X46" s="6"/>
      <c r="Y46" s="6"/>
      <c r="Z46" s="6"/>
      <c r="AA46" s="6"/>
      <c r="AB46" s="6"/>
      <c r="AC46" s="6"/>
      <c r="AD46" s="6"/>
      <c r="AE46" s="6"/>
    </row>
    <row r="47" spans="1:31" ht="89.25" x14ac:dyDescent="0.2">
      <c r="A47" s="6" t="s">
        <v>679</v>
      </c>
      <c r="B47" s="6" t="s">
        <v>680</v>
      </c>
      <c r="C47" s="20" t="s">
        <v>664</v>
      </c>
      <c r="D47" s="6" t="s">
        <v>681</v>
      </c>
      <c r="E47" s="6"/>
      <c r="F47" s="6" t="s">
        <v>48</v>
      </c>
      <c r="G47" s="6" t="s">
        <v>50</v>
      </c>
      <c r="H47" s="6" t="str">
        <f t="shared" si="2"/>
        <v>THE OVERSEER(P43)</v>
      </c>
      <c r="I47" s="6" t="s">
        <v>112</v>
      </c>
      <c r="J47" s="6"/>
      <c r="K47" s="6"/>
      <c r="L47" s="6" t="s">
        <v>55</v>
      </c>
      <c r="M47" s="6" t="str">
        <f>VLOOKUP(L47, GLOSSARY!$A:$C, 2, FALSE)</f>
        <v>EGYPT ESTATE</v>
      </c>
      <c r="N47" s="6" t="s">
        <v>68</v>
      </c>
      <c r="O47" s="6"/>
      <c r="P47" s="6"/>
      <c r="Q47" s="6"/>
      <c r="R47" s="6"/>
      <c r="S47" s="6"/>
      <c r="T47" s="6"/>
      <c r="U47" s="6"/>
      <c r="V47" s="6"/>
      <c r="W47" s="6"/>
      <c r="X47" s="6"/>
      <c r="Y47" s="6"/>
      <c r="Z47" s="6"/>
      <c r="AA47" s="6"/>
      <c r="AB47" s="6"/>
      <c r="AC47" s="6"/>
      <c r="AD47" s="6"/>
      <c r="AE47" s="6"/>
    </row>
    <row r="48" spans="1:31" ht="63.75" x14ac:dyDescent="0.2">
      <c r="A48" s="6" t="s">
        <v>639</v>
      </c>
      <c r="B48" s="6" t="s">
        <v>687</v>
      </c>
      <c r="C48" s="20" t="s">
        <v>689</v>
      </c>
      <c r="D48" s="6" t="s">
        <v>691</v>
      </c>
      <c r="E48" s="6"/>
      <c r="F48" s="6" t="s">
        <v>643</v>
      </c>
      <c r="G48" s="6" t="s">
        <v>644</v>
      </c>
      <c r="H48" s="6" t="str">
        <f t="shared" si="2"/>
        <v>THE OVERSEER
DIDO(P43
P105)</v>
      </c>
      <c r="I48" s="6" t="s">
        <v>409</v>
      </c>
      <c r="J48" s="6"/>
      <c r="K48" s="6"/>
      <c r="L48" s="6" t="s">
        <v>55</v>
      </c>
      <c r="M48" s="6" t="str">
        <f>VLOOKUP(L48, GLOSSARY!$A:$C, 2, FALSE)</f>
        <v>EGYPT ESTATE</v>
      </c>
      <c r="N48" s="6" t="s">
        <v>167</v>
      </c>
      <c r="O48" s="6"/>
      <c r="P48" s="6"/>
      <c r="Q48" s="6"/>
      <c r="R48" s="6"/>
      <c r="S48" s="6"/>
      <c r="T48" s="6"/>
      <c r="U48" s="6"/>
      <c r="V48" s="6"/>
      <c r="W48" s="6"/>
      <c r="X48" s="6"/>
      <c r="Y48" s="6"/>
      <c r="Z48" s="6"/>
      <c r="AA48" s="6"/>
      <c r="AB48" s="6"/>
      <c r="AC48" s="6"/>
      <c r="AD48" s="6"/>
      <c r="AE48" s="6"/>
    </row>
    <row r="49" spans="1:31" ht="63.75" x14ac:dyDescent="0.2">
      <c r="A49" s="6" t="s">
        <v>639</v>
      </c>
      <c r="B49" s="6" t="s">
        <v>687</v>
      </c>
      <c r="C49" s="20" t="s">
        <v>695</v>
      </c>
      <c r="D49" s="6" t="s">
        <v>696</v>
      </c>
      <c r="E49" s="6"/>
      <c r="F49" s="6" t="s">
        <v>643</v>
      </c>
      <c r="G49" s="6" t="s">
        <v>644</v>
      </c>
      <c r="H49" s="6" t="str">
        <f t="shared" si="2"/>
        <v>THE OVERSEER
DIDO(P43
P105)</v>
      </c>
      <c r="I49" s="6" t="s">
        <v>409</v>
      </c>
      <c r="J49" s="6"/>
      <c r="K49" s="6"/>
      <c r="L49" s="6" t="s">
        <v>55</v>
      </c>
      <c r="M49" s="6" t="str">
        <f>VLOOKUP(L49, GLOSSARY!$A:$C, 2, FALSE)</f>
        <v>EGYPT ESTATE</v>
      </c>
      <c r="N49" s="6" t="s">
        <v>167</v>
      </c>
      <c r="O49" s="6"/>
      <c r="P49" s="6"/>
      <c r="Q49" s="6"/>
      <c r="R49" s="6"/>
      <c r="S49" s="6"/>
      <c r="T49" s="6"/>
      <c r="U49" s="6"/>
      <c r="V49" s="6"/>
      <c r="W49" s="6"/>
      <c r="X49" s="6"/>
      <c r="Y49" s="6"/>
      <c r="Z49" s="6"/>
      <c r="AA49" s="6"/>
      <c r="AB49" s="6"/>
      <c r="AC49" s="6"/>
      <c r="AD49" s="6"/>
      <c r="AE49" s="6"/>
    </row>
    <row r="50" spans="1:31" ht="89.25" x14ac:dyDescent="0.2">
      <c r="A50" s="6" t="s">
        <v>702</v>
      </c>
      <c r="B50" s="6" t="s">
        <v>687</v>
      </c>
      <c r="C50" s="20" t="s">
        <v>695</v>
      </c>
      <c r="D50" s="6" t="s">
        <v>705</v>
      </c>
      <c r="E50" s="6"/>
      <c r="F50" s="6" t="s">
        <v>706</v>
      </c>
      <c r="G50" s="6" t="s">
        <v>707</v>
      </c>
      <c r="H50" s="6" t="str">
        <f t="shared" si="2"/>
        <v>CAPTAIN LEISTER
THE OVERSEER
"THE NEGROES" ON CAPTAIN LEISTER'S ESTATE(P472
P473
P43)</v>
      </c>
      <c r="I50" s="6" t="s">
        <v>326</v>
      </c>
      <c r="J50" s="6"/>
      <c r="K50" s="6"/>
      <c r="L50" s="6" t="s">
        <v>709</v>
      </c>
      <c r="M50" s="6" t="str">
        <f>VLOOKUP(L50, GLOSSARY!$A:$C, 2, FALSE)</f>
        <v>CAPTAIN LESITER'S ESTATE</v>
      </c>
      <c r="N50" s="6" t="s">
        <v>68</v>
      </c>
      <c r="O50" s="6"/>
      <c r="P50" s="6"/>
      <c r="Q50" s="6"/>
      <c r="R50" s="6"/>
      <c r="S50" s="6"/>
      <c r="T50" s="6"/>
      <c r="U50" s="6"/>
      <c r="V50" s="6"/>
      <c r="W50" s="6"/>
      <c r="X50" s="6"/>
      <c r="Y50" s="6"/>
      <c r="Z50" s="6"/>
      <c r="AA50" s="6"/>
      <c r="AB50" s="6"/>
      <c r="AC50" s="6"/>
      <c r="AD50" s="6"/>
      <c r="AE50" s="6"/>
    </row>
    <row r="51" spans="1:31" ht="63.75" x14ac:dyDescent="0.2">
      <c r="A51" s="6" t="s">
        <v>639</v>
      </c>
      <c r="B51" s="6" t="s">
        <v>716</v>
      </c>
      <c r="C51" s="20" t="s">
        <v>717</v>
      </c>
      <c r="D51" s="6" t="s">
        <v>718</v>
      </c>
      <c r="E51" s="6"/>
      <c r="F51" s="6" t="s">
        <v>643</v>
      </c>
      <c r="G51" s="6" t="s">
        <v>644</v>
      </c>
      <c r="H51" s="6" t="str">
        <f t="shared" si="2"/>
        <v>THE OVERSEER
DIDO(P43
P105)</v>
      </c>
      <c r="I51" s="6" t="s">
        <v>409</v>
      </c>
      <c r="J51" s="6"/>
      <c r="K51" s="6"/>
      <c r="L51" s="6" t="s">
        <v>55</v>
      </c>
      <c r="M51" s="6" t="str">
        <f>VLOOKUP(L51, GLOSSARY!$A:$C, 2, FALSE)</f>
        <v>EGYPT ESTATE</v>
      </c>
      <c r="N51" s="6" t="s">
        <v>167</v>
      </c>
      <c r="O51" s="6"/>
      <c r="P51" s="6"/>
      <c r="Q51" s="6"/>
      <c r="R51" s="6"/>
      <c r="S51" s="6"/>
      <c r="T51" s="6"/>
      <c r="U51" s="6"/>
      <c r="V51" s="6"/>
      <c r="W51" s="6"/>
      <c r="X51" s="6"/>
      <c r="Y51" s="6"/>
      <c r="Z51" s="6"/>
      <c r="AA51" s="6"/>
      <c r="AB51" s="6"/>
      <c r="AC51" s="6"/>
      <c r="AD51" s="6"/>
      <c r="AE51" s="6"/>
    </row>
    <row r="52" spans="1:31" ht="63.75" x14ac:dyDescent="0.2">
      <c r="A52" s="6" t="s">
        <v>639</v>
      </c>
      <c r="B52" s="6" t="s">
        <v>719</v>
      </c>
      <c r="C52" s="20" t="s">
        <v>720</v>
      </c>
      <c r="D52" s="6" t="s">
        <v>721</v>
      </c>
      <c r="E52" s="6"/>
      <c r="F52" s="6" t="s">
        <v>643</v>
      </c>
      <c r="G52" s="6" t="s">
        <v>644</v>
      </c>
      <c r="H52" s="6" t="str">
        <f t="shared" si="2"/>
        <v>THE OVERSEER
DIDO(P43
P105)</v>
      </c>
      <c r="I52" s="6" t="s">
        <v>409</v>
      </c>
      <c r="J52" s="6"/>
      <c r="K52" s="6"/>
      <c r="L52" s="6" t="s">
        <v>55</v>
      </c>
      <c r="M52" s="6" t="str">
        <f>VLOOKUP(L52, GLOSSARY!$A:$C, 2, FALSE)</f>
        <v>EGYPT ESTATE</v>
      </c>
      <c r="N52" s="6" t="s">
        <v>167</v>
      </c>
      <c r="O52" s="6"/>
      <c r="P52" s="6"/>
      <c r="Q52" s="6"/>
      <c r="R52" s="6"/>
      <c r="S52" s="6"/>
      <c r="T52" s="6"/>
      <c r="U52" s="6"/>
      <c r="V52" s="6"/>
      <c r="W52" s="6"/>
      <c r="X52" s="6"/>
      <c r="Y52" s="6"/>
      <c r="Z52" s="6"/>
      <c r="AA52" s="6"/>
      <c r="AB52" s="6"/>
      <c r="AC52" s="6"/>
      <c r="AD52" s="6"/>
      <c r="AE52" s="6"/>
    </row>
    <row r="53" spans="1:31" ht="51" x14ac:dyDescent="0.2">
      <c r="A53" s="6" t="s">
        <v>728</v>
      </c>
      <c r="B53" s="6" t="s">
        <v>729</v>
      </c>
      <c r="C53" s="20" t="s">
        <v>730</v>
      </c>
      <c r="D53" s="6" t="s">
        <v>731</v>
      </c>
      <c r="E53" s="6"/>
      <c r="F53" s="6" t="s">
        <v>732</v>
      </c>
      <c r="G53" s="6" t="s">
        <v>733</v>
      </c>
      <c r="H53" s="6" t="str">
        <f t="shared" si="2"/>
        <v>JOHN STONE
THE OVERSEER(P64
P43)</v>
      </c>
      <c r="I53" s="6" t="s">
        <v>248</v>
      </c>
      <c r="J53" s="6"/>
      <c r="K53" s="6"/>
      <c r="L53" s="6" t="s">
        <v>55</v>
      </c>
      <c r="M53" s="6" t="str">
        <f>VLOOKUP(L53, GLOSSARY!$A:$C, 2, FALSE)</f>
        <v>EGYPT ESTATE</v>
      </c>
      <c r="N53" s="6" t="s">
        <v>68</v>
      </c>
      <c r="O53" s="6"/>
      <c r="P53" s="6"/>
      <c r="Q53" s="6"/>
      <c r="R53" s="6"/>
      <c r="S53" s="6"/>
      <c r="T53" s="6"/>
      <c r="U53" s="6"/>
      <c r="V53" s="6"/>
      <c r="W53" s="6"/>
      <c r="X53" s="6"/>
      <c r="Y53" s="6"/>
      <c r="Z53" s="6"/>
      <c r="AA53" s="6"/>
      <c r="AB53" s="6"/>
      <c r="AC53" s="6"/>
      <c r="AD53" s="6"/>
      <c r="AE53" s="6"/>
    </row>
    <row r="54" spans="1:31" ht="38.25" x14ac:dyDescent="0.2">
      <c r="A54" s="6" t="s">
        <v>571</v>
      </c>
      <c r="B54" s="6" t="s">
        <v>739</v>
      </c>
      <c r="C54" s="20" t="s">
        <v>740</v>
      </c>
      <c r="D54" s="6" t="s">
        <v>741</v>
      </c>
      <c r="E54" s="6"/>
      <c r="F54" s="6" t="s">
        <v>110</v>
      </c>
      <c r="G54" s="6" t="s">
        <v>111</v>
      </c>
      <c r="H54" s="6" t="str">
        <f t="shared" si="2"/>
        <v>WILLIAM DORRILL(P75)</v>
      </c>
      <c r="I54" s="6" t="s">
        <v>578</v>
      </c>
      <c r="J54" s="6"/>
      <c r="K54" s="6"/>
      <c r="L54" s="6"/>
      <c r="M54" s="6" t="e">
        <f>VLOOKUP(L54, GLOSSARY!$A:$C, 2, FALSE)</f>
        <v>#N/A</v>
      </c>
      <c r="N54" s="6" t="s">
        <v>68</v>
      </c>
      <c r="O54" s="6"/>
      <c r="P54" s="6"/>
      <c r="Q54" s="6"/>
      <c r="R54" s="6"/>
      <c r="S54" s="6"/>
      <c r="T54" s="6"/>
      <c r="U54" s="6"/>
      <c r="V54" s="6"/>
      <c r="W54" s="6"/>
      <c r="X54" s="6"/>
      <c r="Y54" s="6"/>
      <c r="Z54" s="6"/>
      <c r="AA54" s="6"/>
      <c r="AB54" s="6"/>
      <c r="AC54" s="6"/>
      <c r="AD54" s="6"/>
      <c r="AE54" s="6"/>
    </row>
    <row r="55" spans="1:31" ht="357" x14ac:dyDescent="0.2">
      <c r="A55" s="6" t="s">
        <v>748</v>
      </c>
      <c r="B55" s="6" t="s">
        <v>749</v>
      </c>
      <c r="C55" s="20" t="s">
        <v>750</v>
      </c>
      <c r="D55" s="6" t="s">
        <v>751</v>
      </c>
      <c r="E55" s="6"/>
      <c r="F55" s="6" t="s">
        <v>755</v>
      </c>
      <c r="G55" s="6" t="s">
        <v>756</v>
      </c>
      <c r="H55" s="6" t="str">
        <f t="shared" ref="H55:H56" si="3">CONCATENATE(F55," (",G55,")")</f>
        <v>LUCY
PHIBBAH
JENNY
MYRTILLA
AGNES
CHRISHEA
VIOLET
NAGUA
ACCUBAH
DIDO
FRANKE
DIDO
ELLIN
BETTY (P3
P7
P104
P97
P124
P126
P117
P207
P16
P105
P194
P105
P33
P134
)</v>
      </c>
      <c r="I55" s="6" t="s">
        <v>759</v>
      </c>
      <c r="J55" s="6"/>
      <c r="K55" s="6"/>
      <c r="L55" s="6" t="s">
        <v>55</v>
      </c>
      <c r="M55" s="6" t="str">
        <f>VLOOKUP(L55, GLOSSARY!$A:$C, 2, FALSE)</f>
        <v>EGYPT ESTATE</v>
      </c>
      <c r="N55" s="6" t="s">
        <v>68</v>
      </c>
      <c r="O55" s="6"/>
      <c r="P55" s="6"/>
      <c r="Q55" s="6"/>
      <c r="R55" s="6"/>
      <c r="S55" s="6"/>
      <c r="T55" s="6"/>
      <c r="U55" s="6"/>
      <c r="V55" s="6"/>
      <c r="W55" s="6"/>
      <c r="X55" s="6"/>
      <c r="Y55" s="6"/>
      <c r="Z55" s="6"/>
      <c r="AA55" s="6"/>
      <c r="AB55" s="6"/>
      <c r="AC55" s="6"/>
      <c r="AD55" s="6"/>
      <c r="AE55" s="6"/>
    </row>
    <row r="56" spans="1:31" ht="63.75" x14ac:dyDescent="0.2">
      <c r="A56" s="6" t="s">
        <v>766</v>
      </c>
      <c r="B56" s="6" t="s">
        <v>768</v>
      </c>
      <c r="C56" s="20" t="s">
        <v>769</v>
      </c>
      <c r="D56" s="6" t="s">
        <v>770</v>
      </c>
      <c r="E56" s="6"/>
      <c r="F56" s="6" t="s">
        <v>771</v>
      </c>
      <c r="G56" s="6" t="s">
        <v>772</v>
      </c>
      <c r="H56" s="6" t="str">
        <f t="shared" si="3"/>
        <v>OLD SYBIL (P177)</v>
      </c>
      <c r="I56" s="6" t="s">
        <v>533</v>
      </c>
      <c r="J56" s="6"/>
      <c r="K56" s="6"/>
      <c r="L56" s="6" t="s">
        <v>55</v>
      </c>
      <c r="M56" s="6" t="str">
        <f>VLOOKUP(L56, GLOSSARY!$A:$C, 2, FALSE)</f>
        <v>EGYPT ESTATE</v>
      </c>
      <c r="N56" s="6" t="s">
        <v>68</v>
      </c>
      <c r="O56" s="6"/>
      <c r="P56" s="6"/>
      <c r="Q56" s="6"/>
      <c r="R56" s="6"/>
      <c r="S56" s="6"/>
      <c r="T56" s="6"/>
      <c r="U56" s="6"/>
      <c r="V56" s="6"/>
      <c r="W56" s="6"/>
      <c r="X56" s="6"/>
      <c r="Y56" s="6"/>
      <c r="Z56" s="6"/>
      <c r="AA56" s="6"/>
      <c r="AB56" s="6"/>
      <c r="AC56" s="6"/>
      <c r="AD56" s="6"/>
      <c r="AE56" s="6"/>
    </row>
    <row r="57" spans="1:31" ht="51" x14ac:dyDescent="0.2">
      <c r="A57" s="6" t="s">
        <v>776</v>
      </c>
      <c r="B57" s="6" t="s">
        <v>768</v>
      </c>
      <c r="C57" s="20" t="s">
        <v>769</v>
      </c>
      <c r="D57" s="6" t="s">
        <v>778</v>
      </c>
      <c r="E57" s="6"/>
      <c r="F57" s="6" t="s">
        <v>779</v>
      </c>
      <c r="G57" s="6" t="s">
        <v>780</v>
      </c>
      <c r="H57" s="6" t="str">
        <f>CONCATENATE(F57,"(",G57,")")</f>
        <v>EGYPT FIELDHANDS(P315)</v>
      </c>
      <c r="I57" s="6" t="s">
        <v>784</v>
      </c>
      <c r="J57" s="6"/>
      <c r="K57" s="6"/>
      <c r="L57" s="6" t="s">
        <v>785</v>
      </c>
      <c r="M57" s="6" t="str">
        <f>VLOOKUP(L57, GLOSSARY!$A:$C, 2, FALSE)</f>
        <v>EGYPT ESTATE</v>
      </c>
      <c r="N57" s="6" t="s">
        <v>287</v>
      </c>
      <c r="O57" s="6"/>
      <c r="P57" s="6"/>
      <c r="Q57" s="6"/>
      <c r="R57" s="6"/>
      <c r="S57" s="6"/>
      <c r="T57" s="6"/>
      <c r="U57" s="6"/>
      <c r="V57" s="6"/>
      <c r="W57" s="6"/>
      <c r="X57" s="6"/>
      <c r="Y57" s="6"/>
      <c r="Z57" s="6"/>
      <c r="AA57" s="6"/>
      <c r="AB57" s="6"/>
      <c r="AC57" s="6"/>
      <c r="AD57" s="6"/>
      <c r="AE57" s="6"/>
    </row>
    <row r="58" spans="1:31" ht="409.5" x14ac:dyDescent="0.2">
      <c r="A58" s="6" t="s">
        <v>790</v>
      </c>
      <c r="B58" s="6" t="s">
        <v>791</v>
      </c>
      <c r="C58" s="20" t="s">
        <v>792</v>
      </c>
      <c r="D58" s="6" t="s">
        <v>793</v>
      </c>
      <c r="E58" s="6"/>
      <c r="F58" s="6" t="s">
        <v>794</v>
      </c>
      <c r="G58" s="6" t="s">
        <v>795</v>
      </c>
      <c r="H58" s="6" t="str">
        <f t="shared" ref="H58:H59" si="4">CONCATENATE(F58," (",G58,")")</f>
        <v>AMBO
PLATO
ADAM
CYRUS
EGYPT JIMMY
PORT ROYAL
HUMPHREY
SAMPSON
FRANK
GEORGE
DAVIE
BASHEBA
YABBA
OLD MOLL
CHRISHEA
HANNAH
[EGYPT] LUCY
MIRTILLA
MARGE
BELLA
JENNY
YARA
CHRISHEA (P170
P207
P208
P209
P210
P211
P212
P213
P214
P215
P216
P217
P218
P219
P220
P221
P222
P223
P224
P3
P126
P104
P97)</v>
      </c>
      <c r="I58" s="6" t="s">
        <v>759</v>
      </c>
      <c r="J58" s="6"/>
      <c r="K58" s="6"/>
      <c r="L58" s="6" t="s">
        <v>55</v>
      </c>
      <c r="M58" s="6" t="str">
        <f>VLOOKUP(L58, GLOSSARY!$A:$C, 2, FALSE)</f>
        <v>EGYPT ESTATE</v>
      </c>
      <c r="N58" s="6" t="s">
        <v>68</v>
      </c>
      <c r="O58" s="6"/>
      <c r="P58" s="6"/>
      <c r="Q58" s="6"/>
      <c r="R58" s="6"/>
      <c r="S58" s="6"/>
      <c r="T58" s="6"/>
      <c r="U58" s="6"/>
      <c r="V58" s="6"/>
      <c r="W58" s="6"/>
      <c r="X58" s="6"/>
      <c r="Y58" s="6"/>
      <c r="Z58" s="6"/>
      <c r="AA58" s="6"/>
      <c r="AB58" s="6"/>
      <c r="AC58" s="6"/>
      <c r="AD58" s="6"/>
      <c r="AE58" s="6"/>
    </row>
    <row r="59" spans="1:31" ht="63.75" x14ac:dyDescent="0.2">
      <c r="A59" s="6" t="s">
        <v>800</v>
      </c>
      <c r="B59" s="6" t="s">
        <v>802</v>
      </c>
      <c r="C59" s="20" t="s">
        <v>803</v>
      </c>
      <c r="D59" s="6" t="s">
        <v>804</v>
      </c>
      <c r="E59" s="6"/>
      <c r="F59" s="6"/>
      <c r="G59" s="6"/>
      <c r="H59" s="6" t="str">
        <f t="shared" si="4"/>
        <v xml:space="preserve"> ()</v>
      </c>
      <c r="I59" s="6" t="s">
        <v>326</v>
      </c>
      <c r="J59" s="6"/>
      <c r="K59" s="6"/>
      <c r="L59" s="6" t="s">
        <v>805</v>
      </c>
      <c r="M59" s="6" t="s">
        <v>806</v>
      </c>
      <c r="N59" s="6" t="s">
        <v>68</v>
      </c>
      <c r="O59" s="6"/>
      <c r="P59" s="6"/>
      <c r="Q59" s="6"/>
      <c r="R59" s="6"/>
      <c r="S59" s="6"/>
      <c r="T59" s="6"/>
      <c r="U59" s="6"/>
      <c r="V59" s="6"/>
      <c r="W59" s="6"/>
      <c r="X59" s="6"/>
      <c r="Y59" s="6"/>
      <c r="Z59" s="6"/>
      <c r="AA59" s="6"/>
      <c r="AB59" s="6"/>
      <c r="AC59" s="6"/>
      <c r="AD59" s="6"/>
      <c r="AE59" s="6"/>
    </row>
    <row r="60" spans="1:31" ht="76.5" x14ac:dyDescent="0.2">
      <c r="A60" s="6" t="s">
        <v>639</v>
      </c>
      <c r="B60" s="6" t="s">
        <v>809</v>
      </c>
      <c r="C60" s="20" t="s">
        <v>810</v>
      </c>
      <c r="D60" s="6" t="s">
        <v>811</v>
      </c>
      <c r="E60" s="6"/>
      <c r="F60" s="6" t="s">
        <v>643</v>
      </c>
      <c r="G60" s="6" t="s">
        <v>644</v>
      </c>
      <c r="H60" s="6" t="str">
        <f t="shared" ref="H60:H77" si="5">CONCATENATE(F60,"(",G60,")")</f>
        <v>THE OVERSEER
DIDO(P43
P105)</v>
      </c>
      <c r="I60" s="6" t="s">
        <v>409</v>
      </c>
      <c r="J60" s="6"/>
      <c r="K60" s="6"/>
      <c r="L60" s="6" t="s">
        <v>55</v>
      </c>
      <c r="M60" s="6" t="str">
        <f>VLOOKUP(L60, GLOSSARY!$A:$C, 2, FALSE)</f>
        <v>EGYPT ESTATE</v>
      </c>
      <c r="N60" s="6" t="s">
        <v>167</v>
      </c>
      <c r="O60" s="6"/>
      <c r="P60" s="6"/>
      <c r="Q60" s="6"/>
      <c r="R60" s="6"/>
      <c r="S60" s="6"/>
      <c r="T60" s="6"/>
      <c r="U60" s="6"/>
      <c r="V60" s="6"/>
      <c r="W60" s="6"/>
      <c r="X60" s="6"/>
      <c r="Y60" s="6"/>
      <c r="Z60" s="6"/>
      <c r="AA60" s="6"/>
      <c r="AB60" s="6"/>
      <c r="AC60" s="6"/>
      <c r="AD60" s="6"/>
      <c r="AE60" s="6"/>
    </row>
    <row r="61" spans="1:31" ht="38.25" x14ac:dyDescent="0.2">
      <c r="A61" s="6" t="s">
        <v>818</v>
      </c>
      <c r="B61" s="6" t="s">
        <v>819</v>
      </c>
      <c r="C61" s="20" t="s">
        <v>810</v>
      </c>
      <c r="D61" s="6" t="s">
        <v>820</v>
      </c>
      <c r="E61" s="6"/>
      <c r="F61" s="6" t="s">
        <v>821</v>
      </c>
      <c r="G61" s="6" t="s">
        <v>822</v>
      </c>
      <c r="H61" s="6" t="str">
        <f t="shared" si="5"/>
        <v>BETTY
HAGAR(P134
P82)</v>
      </c>
      <c r="I61" s="6" t="s">
        <v>656</v>
      </c>
      <c r="J61" s="6"/>
      <c r="K61" s="6"/>
      <c r="L61" s="6" t="s">
        <v>657</v>
      </c>
      <c r="M61" s="6" t="str">
        <f>VLOOKUP(L61, GLOSSARY!$A:$C, 2, FALSE)</f>
        <v>UNKNOWN</v>
      </c>
      <c r="N61" s="6" t="s">
        <v>68</v>
      </c>
      <c r="O61" s="6"/>
      <c r="P61" s="6"/>
      <c r="Q61" s="6"/>
      <c r="R61" s="6"/>
      <c r="S61" s="6"/>
      <c r="T61" s="6"/>
      <c r="U61" s="6"/>
      <c r="V61" s="6"/>
      <c r="W61" s="6"/>
      <c r="X61" s="6"/>
      <c r="Y61" s="6"/>
      <c r="Z61" s="6"/>
      <c r="AA61" s="6"/>
      <c r="AB61" s="6"/>
      <c r="AC61" s="6"/>
      <c r="AD61" s="6"/>
      <c r="AE61" s="6"/>
    </row>
    <row r="62" spans="1:31" ht="114.75" x14ac:dyDescent="0.2">
      <c r="A62" s="6" t="s">
        <v>818</v>
      </c>
      <c r="B62" s="6" t="s">
        <v>827</v>
      </c>
      <c r="C62" s="20" t="s">
        <v>828</v>
      </c>
      <c r="D62" s="6" t="s">
        <v>829</v>
      </c>
      <c r="E62" s="6"/>
      <c r="F62" s="6" t="s">
        <v>830</v>
      </c>
      <c r="G62" s="6" t="s">
        <v>831</v>
      </c>
      <c r="H62" s="6" t="str">
        <f t="shared" si="5"/>
        <v>THE OVERSEER
OLD TOM
QUACOO
BETTY
HAGAR(P43
P277
P298
P134
P82)</v>
      </c>
      <c r="I62" s="6" t="s">
        <v>656</v>
      </c>
      <c r="J62" s="6"/>
      <c r="K62" s="6"/>
      <c r="L62" s="6" t="s">
        <v>55</v>
      </c>
      <c r="M62" s="6" t="str">
        <f>VLOOKUP(L62, GLOSSARY!$A:$C, 2, FALSE)</f>
        <v>EGYPT ESTATE</v>
      </c>
      <c r="N62" s="6" t="s">
        <v>167</v>
      </c>
      <c r="O62" s="6"/>
      <c r="P62" s="6"/>
      <c r="Q62" s="6"/>
      <c r="R62" s="6"/>
      <c r="S62" s="6"/>
      <c r="T62" s="6"/>
      <c r="U62" s="6"/>
      <c r="V62" s="6"/>
      <c r="W62" s="6"/>
      <c r="X62" s="6"/>
      <c r="Y62" s="6"/>
      <c r="Z62" s="6"/>
      <c r="AA62" s="6"/>
      <c r="AB62" s="6"/>
      <c r="AC62" s="6"/>
      <c r="AD62" s="6"/>
      <c r="AE62" s="6"/>
    </row>
    <row r="63" spans="1:31" ht="63.75" x14ac:dyDescent="0.2">
      <c r="A63" s="6" t="s">
        <v>639</v>
      </c>
      <c r="B63" s="6" t="s">
        <v>834</v>
      </c>
      <c r="C63" s="20" t="s">
        <v>835</v>
      </c>
      <c r="D63" s="6" t="s">
        <v>836</v>
      </c>
      <c r="E63" s="6"/>
      <c r="F63" s="6" t="s">
        <v>838</v>
      </c>
      <c r="G63" s="6" t="s">
        <v>644</v>
      </c>
      <c r="H63" s="6" t="str">
        <f t="shared" si="5"/>
        <v>The OVERSEER
DIDO(P43
P105)</v>
      </c>
      <c r="I63" s="6" t="s">
        <v>409</v>
      </c>
      <c r="J63" s="6"/>
      <c r="K63" s="6"/>
      <c r="L63" s="6" t="s">
        <v>55</v>
      </c>
      <c r="M63" s="6" t="str">
        <f>VLOOKUP(L63, GLOSSARY!$A:$C, 2, FALSE)</f>
        <v>EGYPT ESTATE</v>
      </c>
      <c r="N63" s="6" t="s">
        <v>167</v>
      </c>
      <c r="O63" s="6"/>
      <c r="P63" s="6"/>
      <c r="Q63" s="6"/>
      <c r="R63" s="6"/>
      <c r="S63" s="6"/>
      <c r="T63" s="6"/>
      <c r="U63" s="6"/>
      <c r="V63" s="6"/>
      <c r="W63" s="6"/>
      <c r="X63" s="6"/>
      <c r="Y63" s="6"/>
      <c r="Z63" s="6"/>
      <c r="AA63" s="6"/>
      <c r="AB63" s="6"/>
      <c r="AC63" s="6"/>
      <c r="AD63" s="6"/>
      <c r="AE63" s="6"/>
    </row>
    <row r="64" spans="1:31" ht="63.75" x14ac:dyDescent="0.2">
      <c r="A64" s="6" t="s">
        <v>639</v>
      </c>
      <c r="B64" s="6" t="s">
        <v>842</v>
      </c>
      <c r="C64" s="20" t="s">
        <v>843</v>
      </c>
      <c r="D64" s="6" t="s">
        <v>844</v>
      </c>
      <c r="E64" s="6"/>
      <c r="F64" s="6" t="s">
        <v>838</v>
      </c>
      <c r="G64" s="6" t="s">
        <v>644</v>
      </c>
      <c r="H64" s="6" t="str">
        <f t="shared" si="5"/>
        <v>The OVERSEER
DIDO(P43
P105)</v>
      </c>
      <c r="I64" s="6" t="s">
        <v>409</v>
      </c>
      <c r="J64" s="6"/>
      <c r="K64" s="6"/>
      <c r="L64" s="6" t="s">
        <v>55</v>
      </c>
      <c r="M64" s="6" t="str">
        <f>VLOOKUP(L64, GLOSSARY!$A:$C, 2, FALSE)</f>
        <v>EGYPT ESTATE</v>
      </c>
      <c r="N64" s="6" t="s">
        <v>167</v>
      </c>
      <c r="O64" s="6"/>
      <c r="P64" s="6"/>
      <c r="Q64" s="6"/>
      <c r="R64" s="6"/>
      <c r="S64" s="6"/>
      <c r="T64" s="6"/>
      <c r="U64" s="6"/>
      <c r="V64" s="6"/>
      <c r="W64" s="6"/>
      <c r="X64" s="6"/>
      <c r="Y64" s="6"/>
      <c r="Z64" s="6"/>
      <c r="AA64" s="6"/>
      <c r="AB64" s="6"/>
      <c r="AC64" s="6"/>
      <c r="AD64" s="6"/>
      <c r="AE64" s="6"/>
    </row>
    <row r="65" spans="1:31" ht="63.75" x14ac:dyDescent="0.2">
      <c r="A65" s="6" t="s">
        <v>639</v>
      </c>
      <c r="B65" s="6" t="s">
        <v>842</v>
      </c>
      <c r="C65" s="20" t="s">
        <v>849</v>
      </c>
      <c r="D65" s="6" t="s">
        <v>850</v>
      </c>
      <c r="E65" s="6"/>
      <c r="F65" s="6" t="s">
        <v>838</v>
      </c>
      <c r="G65" s="6" t="s">
        <v>644</v>
      </c>
      <c r="H65" s="6" t="str">
        <f t="shared" si="5"/>
        <v>The OVERSEER
DIDO(P43
P105)</v>
      </c>
      <c r="I65" s="6" t="s">
        <v>409</v>
      </c>
      <c r="J65" s="6"/>
      <c r="K65" s="6"/>
      <c r="L65" s="6" t="s">
        <v>55</v>
      </c>
      <c r="M65" s="6" t="str">
        <f>VLOOKUP(L65, GLOSSARY!$A:$C, 2, FALSE)</f>
        <v>EGYPT ESTATE</v>
      </c>
      <c r="N65" s="6" t="s">
        <v>167</v>
      </c>
      <c r="O65" s="6"/>
      <c r="P65" s="6"/>
      <c r="Q65" s="6"/>
      <c r="R65" s="6"/>
      <c r="S65" s="6"/>
      <c r="T65" s="6"/>
      <c r="U65" s="6"/>
      <c r="V65" s="6"/>
      <c r="W65" s="6"/>
      <c r="X65" s="6"/>
      <c r="Y65" s="6"/>
      <c r="Z65" s="6"/>
      <c r="AA65" s="6"/>
      <c r="AB65" s="6"/>
      <c r="AC65" s="6"/>
      <c r="AD65" s="6"/>
      <c r="AE65" s="6"/>
    </row>
    <row r="66" spans="1:31" ht="114.75" x14ac:dyDescent="0.2">
      <c r="A66" s="6" t="s">
        <v>639</v>
      </c>
      <c r="B66" s="6" t="s">
        <v>853</v>
      </c>
      <c r="C66" s="20" t="s">
        <v>854</v>
      </c>
      <c r="D66" s="6" t="s">
        <v>855</v>
      </c>
      <c r="E66" s="6"/>
      <c r="F66" s="6" t="s">
        <v>856</v>
      </c>
      <c r="G66" s="6" t="s">
        <v>857</v>
      </c>
      <c r="H66" s="6" t="str">
        <f t="shared" si="5"/>
        <v>DIDO
PHIBBAH
THE OVERSEER(P105
P7
P43)</v>
      </c>
      <c r="I66" s="6" t="s">
        <v>859</v>
      </c>
      <c r="J66" s="6"/>
      <c r="K66" s="6"/>
      <c r="L66" s="6" t="s">
        <v>861</v>
      </c>
      <c r="M66" s="6" t="str">
        <f>VLOOKUP(L66, GLOSSARY!$A:$C, 2, FALSE)</f>
        <v>PHIBBAH'S HOUSE</v>
      </c>
      <c r="N66" s="6" t="s">
        <v>167</v>
      </c>
      <c r="O66" s="6"/>
      <c r="P66" s="6"/>
      <c r="Q66" s="6"/>
      <c r="R66" s="6"/>
      <c r="S66" s="6"/>
      <c r="T66" s="6"/>
      <c r="U66" s="6"/>
      <c r="V66" s="6"/>
      <c r="W66" s="6"/>
      <c r="X66" s="6"/>
      <c r="Y66" s="6"/>
      <c r="Z66" s="6"/>
      <c r="AA66" s="6"/>
      <c r="AB66" s="6"/>
      <c r="AC66" s="6"/>
      <c r="AD66" s="6"/>
      <c r="AE66" s="6"/>
    </row>
    <row r="67" spans="1:31" ht="51" x14ac:dyDescent="0.2">
      <c r="A67" s="6" t="s">
        <v>865</v>
      </c>
      <c r="B67" s="6" t="s">
        <v>866</v>
      </c>
      <c r="C67" s="20" t="s">
        <v>867</v>
      </c>
      <c r="D67" s="6" t="s">
        <v>868</v>
      </c>
      <c r="E67" s="6"/>
      <c r="F67" s="6"/>
      <c r="G67" s="6"/>
      <c r="H67" s="6" t="str">
        <f t="shared" si="5"/>
        <v>()</v>
      </c>
      <c r="I67" s="6" t="s">
        <v>869</v>
      </c>
      <c r="J67" s="6"/>
      <c r="K67" s="6"/>
      <c r="L67" s="6" t="s">
        <v>55</v>
      </c>
      <c r="M67" s="6" t="str">
        <f>VLOOKUP(L67, GLOSSARY!$A:$C, 2, FALSE)</f>
        <v>EGYPT ESTATE</v>
      </c>
      <c r="N67" s="6" t="s">
        <v>68</v>
      </c>
      <c r="O67" s="6"/>
      <c r="P67" s="6"/>
      <c r="Q67" s="6"/>
      <c r="R67" s="6"/>
      <c r="S67" s="6"/>
      <c r="T67" s="6"/>
      <c r="U67" s="6"/>
      <c r="V67" s="6"/>
      <c r="W67" s="6"/>
      <c r="X67" s="6"/>
      <c r="Y67" s="6"/>
      <c r="Z67" s="6"/>
      <c r="AA67" s="6"/>
      <c r="AB67" s="6"/>
      <c r="AC67" s="6"/>
      <c r="AD67" s="6"/>
      <c r="AE67" s="6"/>
    </row>
    <row r="68" spans="1:31" ht="51" x14ac:dyDescent="0.2">
      <c r="A68" s="6" t="s">
        <v>870</v>
      </c>
      <c r="B68" s="6" t="s">
        <v>866</v>
      </c>
      <c r="C68" s="20" t="s">
        <v>867</v>
      </c>
      <c r="D68" s="6" t="s">
        <v>871</v>
      </c>
      <c r="E68" s="6"/>
      <c r="F68" s="6"/>
      <c r="G68" s="6"/>
      <c r="H68" s="6" t="str">
        <f t="shared" si="5"/>
        <v>()</v>
      </c>
      <c r="I68" s="6" t="s">
        <v>869</v>
      </c>
      <c r="J68" s="6"/>
      <c r="K68" s="6"/>
      <c r="L68" s="6" t="s">
        <v>785</v>
      </c>
      <c r="M68" s="6" t="str">
        <f>VLOOKUP(L68, GLOSSARY!$A:$C, 2, FALSE)</f>
        <v>EGYPT ESTATE</v>
      </c>
      <c r="N68" s="6" t="s">
        <v>167</v>
      </c>
      <c r="O68" s="6"/>
      <c r="P68" s="6"/>
      <c r="Q68" s="6"/>
      <c r="R68" s="6"/>
      <c r="S68" s="6"/>
      <c r="T68" s="6"/>
      <c r="U68" s="6"/>
      <c r="V68" s="6"/>
      <c r="W68" s="6"/>
      <c r="X68" s="6"/>
      <c r="Y68" s="6"/>
      <c r="Z68" s="6"/>
      <c r="AA68" s="6"/>
      <c r="AB68" s="6"/>
      <c r="AC68" s="6"/>
      <c r="AD68" s="6"/>
      <c r="AE68" s="6"/>
    </row>
    <row r="69" spans="1:31" ht="38.25" x14ac:dyDescent="0.2">
      <c r="A69" s="6" t="s">
        <v>874</v>
      </c>
      <c r="B69" s="6" t="s">
        <v>875</v>
      </c>
      <c r="C69" s="20" t="s">
        <v>877</v>
      </c>
      <c r="D69" s="6" t="s">
        <v>879</v>
      </c>
      <c r="E69" s="6"/>
      <c r="F69" s="6" t="s">
        <v>880</v>
      </c>
      <c r="G69" s="6" t="s">
        <v>881</v>
      </c>
      <c r="H69" s="6" t="str">
        <f t="shared" si="5"/>
        <v>AMBO
CUDJOE(P170
P52)</v>
      </c>
      <c r="I69" s="6" t="s">
        <v>784</v>
      </c>
      <c r="J69" s="6"/>
      <c r="K69" s="6"/>
      <c r="L69" s="6" t="s">
        <v>55</v>
      </c>
      <c r="M69" s="6" t="str">
        <f>VLOOKUP(L69, GLOSSARY!$A:$C, 2, FALSE)</f>
        <v>EGYPT ESTATE</v>
      </c>
      <c r="N69" s="6" t="s">
        <v>68</v>
      </c>
      <c r="O69" s="6"/>
      <c r="P69" s="6"/>
      <c r="Q69" s="6"/>
      <c r="R69" s="6"/>
      <c r="S69" s="6"/>
      <c r="T69" s="6"/>
      <c r="U69" s="6"/>
      <c r="V69" s="6"/>
      <c r="W69" s="6"/>
      <c r="X69" s="6"/>
      <c r="Y69" s="6"/>
      <c r="Z69" s="6"/>
      <c r="AA69" s="6"/>
      <c r="AB69" s="6"/>
      <c r="AC69" s="6"/>
      <c r="AD69" s="6"/>
      <c r="AE69" s="6"/>
    </row>
    <row r="70" spans="1:31" ht="38.25" x14ac:dyDescent="0.2">
      <c r="A70" s="6" t="s">
        <v>874</v>
      </c>
      <c r="B70" s="6" t="s">
        <v>888</v>
      </c>
      <c r="C70" s="20" t="s">
        <v>889</v>
      </c>
      <c r="D70" s="6" t="s">
        <v>890</v>
      </c>
      <c r="E70" s="6"/>
      <c r="F70" s="6" t="s">
        <v>880</v>
      </c>
      <c r="G70" s="6" t="s">
        <v>881</v>
      </c>
      <c r="H70" s="6" t="str">
        <f t="shared" si="5"/>
        <v>AMBO
CUDJOE(P170
P52)</v>
      </c>
      <c r="I70" s="6" t="s">
        <v>784</v>
      </c>
      <c r="J70" s="6"/>
      <c r="K70" s="6"/>
      <c r="L70" s="6" t="s">
        <v>55</v>
      </c>
      <c r="M70" s="6" t="str">
        <f>VLOOKUP(L70, GLOSSARY!$A:$C, 2, FALSE)</f>
        <v>EGYPT ESTATE</v>
      </c>
      <c r="N70" s="6" t="s">
        <v>68</v>
      </c>
      <c r="O70" s="6"/>
      <c r="P70" s="6"/>
      <c r="Q70" s="6"/>
      <c r="R70" s="6"/>
      <c r="S70" s="6"/>
      <c r="T70" s="6"/>
      <c r="U70" s="6"/>
      <c r="V70" s="6"/>
      <c r="W70" s="6"/>
      <c r="X70" s="6"/>
      <c r="Y70" s="6"/>
      <c r="Z70" s="6"/>
      <c r="AA70" s="6"/>
      <c r="AB70" s="6"/>
      <c r="AC70" s="6"/>
      <c r="AD70" s="6"/>
      <c r="AE70" s="6"/>
    </row>
    <row r="71" spans="1:31" ht="89.25" x14ac:dyDescent="0.2">
      <c r="A71" s="6" t="s">
        <v>893</v>
      </c>
      <c r="B71" s="6" t="s">
        <v>894</v>
      </c>
      <c r="C71" s="20" t="s">
        <v>895</v>
      </c>
      <c r="D71" s="6" t="s">
        <v>896</v>
      </c>
      <c r="E71" s="6"/>
      <c r="F71" s="6" t="s">
        <v>898</v>
      </c>
      <c r="G71" s="6" t="s">
        <v>899</v>
      </c>
      <c r="H71" s="6" t="str">
        <f t="shared" si="5"/>
        <v>JACOB RICKETTS
THE OVERSEER(P464
P43)</v>
      </c>
      <c r="I71" s="6" t="s">
        <v>248</v>
      </c>
      <c r="J71" s="6"/>
      <c r="K71" s="6"/>
      <c r="L71" s="6" t="s">
        <v>55</v>
      </c>
      <c r="M71" s="6" t="str">
        <f>VLOOKUP(L71, GLOSSARY!$A:$C, 2, FALSE)</f>
        <v>EGYPT ESTATE</v>
      </c>
      <c r="N71" s="6" t="s">
        <v>68</v>
      </c>
      <c r="O71" s="6"/>
      <c r="P71" s="6"/>
      <c r="Q71" s="6"/>
      <c r="R71" s="6"/>
      <c r="S71" s="6"/>
      <c r="T71" s="6"/>
      <c r="U71" s="6"/>
      <c r="V71" s="6"/>
      <c r="W71" s="6"/>
      <c r="X71" s="6"/>
      <c r="Y71" s="6"/>
      <c r="Z71" s="6"/>
      <c r="AA71" s="6"/>
      <c r="AB71" s="6"/>
      <c r="AC71" s="6"/>
      <c r="AD71" s="6"/>
      <c r="AE71" s="6"/>
    </row>
    <row r="72" spans="1:31" ht="51" x14ac:dyDescent="0.2">
      <c r="A72" s="6" t="s">
        <v>874</v>
      </c>
      <c r="B72" s="6" t="s">
        <v>903</v>
      </c>
      <c r="C72" s="20" t="s">
        <v>904</v>
      </c>
      <c r="D72" s="6" t="s">
        <v>905</v>
      </c>
      <c r="E72" s="6"/>
      <c r="F72" s="6" t="s">
        <v>880</v>
      </c>
      <c r="G72" s="6" t="s">
        <v>881</v>
      </c>
      <c r="H72" s="6" t="str">
        <f t="shared" si="5"/>
        <v>AMBO
CUDJOE(P170
P52)</v>
      </c>
      <c r="I72" s="6" t="s">
        <v>784</v>
      </c>
      <c r="J72" s="6"/>
      <c r="K72" s="6"/>
      <c r="L72" s="6" t="s">
        <v>55</v>
      </c>
      <c r="M72" s="6" t="str">
        <f>VLOOKUP(L72, GLOSSARY!$A:$C, 2, FALSE)</f>
        <v>EGYPT ESTATE</v>
      </c>
      <c r="N72" s="6" t="s">
        <v>68</v>
      </c>
      <c r="O72" s="6"/>
      <c r="P72" s="6"/>
      <c r="Q72" s="6"/>
      <c r="R72" s="6"/>
      <c r="S72" s="6"/>
      <c r="T72" s="6"/>
      <c r="U72" s="6"/>
      <c r="V72" s="6"/>
      <c r="W72" s="6"/>
      <c r="X72" s="6"/>
      <c r="Y72" s="6"/>
      <c r="Z72" s="6"/>
      <c r="AA72" s="6"/>
      <c r="AB72" s="6"/>
      <c r="AC72" s="6"/>
      <c r="AD72" s="6"/>
      <c r="AE72" s="6"/>
    </row>
    <row r="73" spans="1:31" ht="38.25" x14ac:dyDescent="0.2">
      <c r="A73" s="6" t="s">
        <v>910</v>
      </c>
      <c r="B73" s="6" t="s">
        <v>911</v>
      </c>
      <c r="C73" s="20" t="s">
        <v>912</v>
      </c>
      <c r="D73" s="6" t="s">
        <v>913</v>
      </c>
      <c r="E73" s="6"/>
      <c r="F73" s="6" t="s">
        <v>779</v>
      </c>
      <c r="G73" s="6" t="s">
        <v>780</v>
      </c>
      <c r="H73" s="6" t="str">
        <f t="shared" si="5"/>
        <v>EGYPT FIELDHANDS(P315)</v>
      </c>
      <c r="I73" s="6" t="s">
        <v>342</v>
      </c>
      <c r="J73" s="6"/>
      <c r="K73" s="6"/>
      <c r="L73" s="6" t="s">
        <v>914</v>
      </c>
      <c r="M73" s="6" t="str">
        <f>VLOOKUP(L73, GLOSSARY!$A:$C, 2, FALSE)</f>
        <v>EGYPT ESTATE NEGROE HOUSES</v>
      </c>
      <c r="N73" s="6" t="s">
        <v>167</v>
      </c>
      <c r="O73" s="6"/>
      <c r="P73" s="6"/>
      <c r="Q73" s="6"/>
      <c r="R73" s="6"/>
      <c r="S73" s="6"/>
      <c r="T73" s="6"/>
      <c r="U73" s="6"/>
      <c r="V73" s="6"/>
      <c r="W73" s="6"/>
      <c r="X73" s="6"/>
      <c r="Y73" s="6"/>
      <c r="Z73" s="6"/>
      <c r="AA73" s="6"/>
      <c r="AB73" s="6"/>
      <c r="AC73" s="6"/>
      <c r="AD73" s="6"/>
      <c r="AE73" s="6"/>
    </row>
    <row r="74" spans="1:31" ht="63.75" x14ac:dyDescent="0.2">
      <c r="A74" s="6" t="s">
        <v>917</v>
      </c>
      <c r="B74" s="6" t="s">
        <v>918</v>
      </c>
      <c r="C74" s="20" t="s">
        <v>919</v>
      </c>
      <c r="D74" s="6" t="s">
        <v>920</v>
      </c>
      <c r="E74" s="6"/>
      <c r="F74" s="6" t="s">
        <v>923</v>
      </c>
      <c r="G74" s="6" t="s">
        <v>924</v>
      </c>
      <c r="H74" s="6" t="str">
        <f t="shared" si="5"/>
        <v>AMBO
CUDJOE
TONY(P170
P52
P411)</v>
      </c>
      <c r="I74" s="6" t="s">
        <v>784</v>
      </c>
      <c r="J74" s="6"/>
      <c r="K74" s="6"/>
      <c r="L74" s="6" t="s">
        <v>55</v>
      </c>
      <c r="M74" s="6" t="str">
        <f>VLOOKUP(L74, GLOSSARY!$A:$C, 2, FALSE)</f>
        <v>EGYPT ESTATE</v>
      </c>
      <c r="N74" s="6" t="s">
        <v>68</v>
      </c>
      <c r="O74" s="6"/>
      <c r="P74" s="6"/>
      <c r="Q74" s="6"/>
      <c r="R74" s="6"/>
      <c r="S74" s="6"/>
      <c r="T74" s="6"/>
      <c r="U74" s="6"/>
      <c r="V74" s="6"/>
      <c r="W74" s="6"/>
      <c r="X74" s="6"/>
      <c r="Y74" s="6"/>
      <c r="Z74" s="6"/>
      <c r="AA74" s="6"/>
      <c r="AB74" s="6"/>
      <c r="AC74" s="6"/>
      <c r="AD74" s="6"/>
      <c r="AE74" s="6"/>
    </row>
    <row r="75" spans="1:31" ht="38.25" x14ac:dyDescent="0.2">
      <c r="A75" s="6" t="s">
        <v>927</v>
      </c>
      <c r="B75" s="6" t="s">
        <v>928</v>
      </c>
      <c r="C75" s="20" t="s">
        <v>929</v>
      </c>
      <c r="D75" s="6" t="s">
        <v>930</v>
      </c>
      <c r="E75" s="6"/>
      <c r="F75" s="6" t="s">
        <v>932</v>
      </c>
      <c r="G75" s="6" t="s">
        <v>933</v>
      </c>
      <c r="H75" s="6" t="str">
        <f t="shared" si="5"/>
        <v>OLD TOM
AMBO(P277
P170)</v>
      </c>
      <c r="I75" s="6" t="s">
        <v>935</v>
      </c>
      <c r="J75" s="6"/>
      <c r="K75" s="6"/>
      <c r="L75" s="6" t="s">
        <v>55</v>
      </c>
      <c r="M75" s="6" t="str">
        <f>VLOOKUP(L75, GLOSSARY!$A:$C, 2, FALSE)</f>
        <v>EGYPT ESTATE</v>
      </c>
      <c r="N75" s="6" t="s">
        <v>68</v>
      </c>
      <c r="O75" s="6"/>
      <c r="P75" s="6"/>
      <c r="Q75" s="6"/>
      <c r="R75" s="6"/>
      <c r="S75" s="6"/>
      <c r="T75" s="6"/>
      <c r="U75" s="6"/>
      <c r="V75" s="6"/>
      <c r="W75" s="6"/>
      <c r="X75" s="6"/>
      <c r="Y75" s="6"/>
      <c r="Z75" s="6"/>
      <c r="AA75" s="6"/>
      <c r="AB75" s="6"/>
      <c r="AC75" s="6"/>
      <c r="AD75" s="6"/>
      <c r="AE75" s="6"/>
    </row>
    <row r="76" spans="1:31" ht="38.25" x14ac:dyDescent="0.2">
      <c r="A76" s="6" t="s">
        <v>927</v>
      </c>
      <c r="B76" s="6" t="s">
        <v>938</v>
      </c>
      <c r="C76" s="20" t="s">
        <v>939</v>
      </c>
      <c r="D76" s="6" t="s">
        <v>940</v>
      </c>
      <c r="E76" s="6"/>
      <c r="F76" s="6" t="s">
        <v>932</v>
      </c>
      <c r="G76" s="6" t="s">
        <v>933</v>
      </c>
      <c r="H76" s="6" t="str">
        <f t="shared" si="5"/>
        <v>OLD TOM
AMBO(P277
P170)</v>
      </c>
      <c r="I76" s="6" t="s">
        <v>935</v>
      </c>
      <c r="J76" s="6"/>
      <c r="K76" s="6"/>
      <c r="L76" s="6" t="s">
        <v>55</v>
      </c>
      <c r="M76" s="6" t="str">
        <f>VLOOKUP(L76, GLOSSARY!$A:$C, 2, FALSE)</f>
        <v>EGYPT ESTATE</v>
      </c>
      <c r="N76" s="6" t="s">
        <v>68</v>
      </c>
      <c r="O76" s="6"/>
      <c r="P76" s="6"/>
      <c r="Q76" s="6"/>
      <c r="R76" s="6"/>
      <c r="S76" s="6"/>
      <c r="T76" s="6"/>
      <c r="U76" s="6"/>
      <c r="V76" s="6"/>
      <c r="W76" s="6"/>
      <c r="X76" s="6"/>
      <c r="Y76" s="6"/>
      <c r="Z76" s="6"/>
      <c r="AA76" s="6"/>
      <c r="AB76" s="6"/>
      <c r="AC76" s="6"/>
      <c r="AD76" s="6"/>
      <c r="AE76" s="6"/>
    </row>
    <row r="77" spans="1:31" ht="25.5" x14ac:dyDescent="0.2">
      <c r="A77" s="6" t="s">
        <v>944</v>
      </c>
      <c r="B77" s="6" t="s">
        <v>945</v>
      </c>
      <c r="C77" s="20" t="s">
        <v>946</v>
      </c>
      <c r="D77" s="6" t="s">
        <v>947</v>
      </c>
      <c r="E77" s="6"/>
      <c r="F77" s="6" t="s">
        <v>52</v>
      </c>
      <c r="G77" s="6" t="s">
        <v>51</v>
      </c>
      <c r="H77" s="6" t="str">
        <f t="shared" si="5"/>
        <v>EGYPT LUCY(P3)</v>
      </c>
      <c r="I77" s="6" t="s">
        <v>533</v>
      </c>
      <c r="J77" s="6"/>
      <c r="K77" s="6"/>
      <c r="L77" s="6" t="s">
        <v>93</v>
      </c>
      <c r="M77" s="6" t="str">
        <f>VLOOKUP(L77, GLOSSARY!$A:$C, 2, FALSE)</f>
        <v>SALT RIVER ESTATE</v>
      </c>
      <c r="N77" s="6" t="s">
        <v>68</v>
      </c>
      <c r="O77" s="6"/>
      <c r="P77" s="6"/>
      <c r="Q77" s="6"/>
      <c r="R77" s="6"/>
      <c r="S77" s="6"/>
      <c r="T77" s="6"/>
      <c r="U77" s="6"/>
      <c r="V77" s="6"/>
      <c r="W77" s="6"/>
      <c r="X77" s="6"/>
      <c r="Y77" s="6"/>
      <c r="Z77" s="6"/>
      <c r="AA77" s="6"/>
      <c r="AB77" s="6"/>
      <c r="AC77" s="6"/>
      <c r="AD77" s="6"/>
      <c r="AE77" s="6"/>
    </row>
    <row r="78" spans="1:31" ht="38.25" x14ac:dyDescent="0.2">
      <c r="A78" s="6" t="s">
        <v>951</v>
      </c>
      <c r="B78" s="6" t="s">
        <v>952</v>
      </c>
      <c r="C78" s="20" t="s">
        <v>953</v>
      </c>
      <c r="D78" s="6" t="s">
        <v>954</v>
      </c>
      <c r="E78" s="6"/>
      <c r="F78" s="6" t="s">
        <v>955</v>
      </c>
      <c r="G78" s="6" t="s">
        <v>956</v>
      </c>
      <c r="H78" s="6"/>
      <c r="I78" s="6" t="s">
        <v>957</v>
      </c>
      <c r="J78" s="6"/>
      <c r="K78" s="6"/>
      <c r="L78" s="6" t="s">
        <v>55</v>
      </c>
      <c r="M78" s="6" t="str">
        <f>VLOOKUP(L78, GLOSSARY!$A:$C, 2, FALSE)</f>
        <v>EGYPT ESTATE</v>
      </c>
      <c r="N78" s="6" t="s">
        <v>167</v>
      </c>
      <c r="O78" s="6"/>
      <c r="P78" s="6"/>
      <c r="Q78" s="6"/>
      <c r="R78" s="6"/>
      <c r="S78" s="6"/>
      <c r="T78" s="6"/>
      <c r="U78" s="6"/>
      <c r="V78" s="6"/>
      <c r="W78" s="6"/>
      <c r="X78" s="6"/>
      <c r="Y78" s="6"/>
      <c r="Z78" s="6"/>
      <c r="AA78" s="6"/>
      <c r="AB78" s="6"/>
      <c r="AC78" s="6"/>
      <c r="AD78" s="6"/>
      <c r="AE78" s="6"/>
    </row>
    <row r="79" spans="1:31" ht="25.5" x14ac:dyDescent="0.2">
      <c r="A79" s="6" t="s">
        <v>951</v>
      </c>
      <c r="B79" s="6" t="s">
        <v>960</v>
      </c>
      <c r="C79" s="20" t="s">
        <v>961</v>
      </c>
      <c r="D79" s="6" t="s">
        <v>962</v>
      </c>
      <c r="E79" s="6"/>
      <c r="F79" s="6" t="s">
        <v>713</v>
      </c>
      <c r="G79" s="6" t="s">
        <v>712</v>
      </c>
      <c r="H79" s="6"/>
      <c r="I79" s="6" t="s">
        <v>96</v>
      </c>
      <c r="J79" s="6"/>
      <c r="K79" s="6"/>
      <c r="L79" s="6" t="s">
        <v>55</v>
      </c>
      <c r="M79" s="6" t="str">
        <f>VLOOKUP(L79, GLOSSARY!$A:$C, 2, FALSE)</f>
        <v>EGYPT ESTATE</v>
      </c>
      <c r="N79" s="6" t="s">
        <v>287</v>
      </c>
      <c r="O79" s="6"/>
      <c r="P79" s="6"/>
      <c r="Q79" s="6"/>
      <c r="R79" s="6"/>
      <c r="S79" s="6"/>
      <c r="T79" s="6"/>
      <c r="U79" s="6"/>
      <c r="V79" s="6"/>
      <c r="W79" s="6"/>
      <c r="X79" s="6"/>
      <c r="Y79" s="6"/>
      <c r="Z79" s="6"/>
      <c r="AA79" s="6"/>
      <c r="AB79" s="6"/>
      <c r="AC79" s="6"/>
      <c r="AD79" s="6"/>
      <c r="AE79" s="6"/>
    </row>
    <row r="80" spans="1:31" ht="102" x14ac:dyDescent="0.2">
      <c r="A80" s="6" t="s">
        <v>951</v>
      </c>
      <c r="B80" s="6" t="s">
        <v>969</v>
      </c>
      <c r="C80" s="20" t="s">
        <v>970</v>
      </c>
      <c r="D80" s="6" t="s">
        <v>971</v>
      </c>
      <c r="E80" s="6"/>
      <c r="F80" s="6" t="s">
        <v>713</v>
      </c>
      <c r="G80" s="6" t="s">
        <v>712</v>
      </c>
      <c r="H80" s="6"/>
      <c r="I80" s="6" t="s">
        <v>248</v>
      </c>
      <c r="J80" s="6"/>
      <c r="K80" s="6"/>
      <c r="L80" s="6" t="s">
        <v>55</v>
      </c>
      <c r="M80" s="6" t="str">
        <f>VLOOKUP(L80, GLOSSARY!$A:$C, 2, FALSE)</f>
        <v>EGYPT ESTATE</v>
      </c>
      <c r="N80" s="6" t="s">
        <v>287</v>
      </c>
      <c r="O80" s="6"/>
      <c r="P80" s="6"/>
      <c r="Q80" s="6"/>
      <c r="R80" s="6"/>
      <c r="S80" s="6"/>
      <c r="T80" s="6"/>
      <c r="U80" s="6"/>
      <c r="V80" s="6"/>
      <c r="W80" s="6"/>
      <c r="X80" s="6"/>
      <c r="Y80" s="6"/>
      <c r="Z80" s="6"/>
      <c r="AA80" s="6"/>
      <c r="AB80" s="6"/>
      <c r="AC80" s="6"/>
      <c r="AD80" s="6"/>
      <c r="AE80" s="6"/>
    </row>
    <row r="81" spans="1:31" ht="63.75" x14ac:dyDescent="0.2">
      <c r="A81" s="6" t="s">
        <v>974</v>
      </c>
      <c r="B81" s="6" t="s">
        <v>975</v>
      </c>
      <c r="C81" s="20" t="s">
        <v>976</v>
      </c>
      <c r="D81" s="6" t="s">
        <v>977</v>
      </c>
      <c r="E81" s="6"/>
      <c r="F81" s="6" t="s">
        <v>978</v>
      </c>
      <c r="G81" s="6" t="s">
        <v>979</v>
      </c>
      <c r="H81" s="6" t="str">
        <f>CONCATENATE(F81,"(",G81,")")</f>
        <v>JOE
CHARLES MCINTOSH
THE OVERSEER(P299
P516
P43)</v>
      </c>
      <c r="I81" s="6" t="s">
        <v>248</v>
      </c>
      <c r="J81" s="6"/>
      <c r="K81" s="6"/>
      <c r="L81" s="6" t="s">
        <v>55</v>
      </c>
      <c r="M81" s="6" t="str">
        <f>VLOOKUP(L81, GLOSSARY!$A:$C, 2, FALSE)</f>
        <v>EGYPT ESTATE</v>
      </c>
      <c r="N81" s="6" t="s">
        <v>68</v>
      </c>
      <c r="O81" s="6"/>
      <c r="P81" s="6"/>
      <c r="Q81" s="6"/>
      <c r="R81" s="6"/>
      <c r="S81" s="6"/>
      <c r="T81" s="6"/>
      <c r="U81" s="6"/>
      <c r="V81" s="6"/>
      <c r="W81" s="6"/>
      <c r="X81" s="6"/>
      <c r="Y81" s="6"/>
      <c r="Z81" s="6"/>
      <c r="AA81" s="6"/>
      <c r="AB81" s="6"/>
      <c r="AC81" s="6"/>
      <c r="AD81" s="6"/>
      <c r="AE81" s="6"/>
    </row>
    <row r="82" spans="1:31" ht="38.25" x14ac:dyDescent="0.2">
      <c r="A82" s="6" t="s">
        <v>951</v>
      </c>
      <c r="B82" s="6" t="s">
        <v>985</v>
      </c>
      <c r="C82" s="20" t="s">
        <v>986</v>
      </c>
      <c r="D82" s="6" t="s">
        <v>987</v>
      </c>
      <c r="E82" s="6"/>
      <c r="F82" s="6" t="s">
        <v>955</v>
      </c>
      <c r="G82" s="6" t="s">
        <v>956</v>
      </c>
      <c r="H82" s="6"/>
      <c r="I82" s="6" t="s">
        <v>759</v>
      </c>
      <c r="J82" s="6"/>
      <c r="K82" s="6"/>
      <c r="L82" s="6" t="s">
        <v>55</v>
      </c>
      <c r="M82" s="6" t="str">
        <f>VLOOKUP(L82, GLOSSARY!$A:$C, 2, FALSE)</f>
        <v>EGYPT ESTATE</v>
      </c>
      <c r="N82" s="6" t="s">
        <v>287</v>
      </c>
      <c r="O82" s="6"/>
      <c r="P82" s="6"/>
      <c r="Q82" s="6"/>
      <c r="R82" s="6"/>
      <c r="S82" s="6"/>
      <c r="T82" s="6"/>
      <c r="U82" s="6"/>
      <c r="V82" s="6"/>
      <c r="W82" s="6"/>
      <c r="X82" s="6"/>
      <c r="Y82" s="6"/>
      <c r="Z82" s="6"/>
      <c r="AA82" s="6"/>
      <c r="AB82" s="6"/>
      <c r="AC82" s="6"/>
      <c r="AD82" s="6"/>
      <c r="AE82" s="6"/>
    </row>
    <row r="83" spans="1:31" ht="38.25" x14ac:dyDescent="0.2">
      <c r="A83" s="6" t="s">
        <v>951</v>
      </c>
      <c r="B83" s="6" t="s">
        <v>993</v>
      </c>
      <c r="C83" s="20" t="s">
        <v>994</v>
      </c>
      <c r="D83" s="6" t="s">
        <v>995</v>
      </c>
      <c r="E83" s="6"/>
      <c r="F83" s="6" t="s">
        <v>955</v>
      </c>
      <c r="G83" s="6" t="s">
        <v>956</v>
      </c>
      <c r="H83" s="6"/>
      <c r="I83" s="6" t="s">
        <v>957</v>
      </c>
      <c r="J83" s="6"/>
      <c r="K83" s="6"/>
      <c r="L83" s="6" t="s">
        <v>55</v>
      </c>
      <c r="M83" s="6" t="str">
        <f>VLOOKUP(L83, GLOSSARY!$A:$C, 2, FALSE)</f>
        <v>EGYPT ESTATE</v>
      </c>
      <c r="N83" s="6" t="s">
        <v>287</v>
      </c>
      <c r="O83" s="6"/>
      <c r="P83" s="6"/>
      <c r="Q83" s="6"/>
      <c r="R83" s="6"/>
      <c r="S83" s="6"/>
      <c r="T83" s="6"/>
      <c r="U83" s="6"/>
      <c r="V83" s="6"/>
      <c r="W83" s="6"/>
      <c r="X83" s="6"/>
      <c r="Y83" s="6"/>
      <c r="Z83" s="6"/>
      <c r="AA83" s="6"/>
      <c r="AB83" s="6"/>
      <c r="AC83" s="6"/>
      <c r="AD83" s="6"/>
      <c r="AE83" s="6"/>
    </row>
    <row r="84" spans="1:31" ht="38.25" x14ac:dyDescent="0.2">
      <c r="A84" s="6" t="s">
        <v>951</v>
      </c>
      <c r="B84" s="6" t="s">
        <v>999</v>
      </c>
      <c r="C84" s="20" t="s">
        <v>1000</v>
      </c>
      <c r="D84" s="6" t="s">
        <v>1001</v>
      </c>
      <c r="E84" s="6"/>
      <c r="F84" s="6" t="s">
        <v>955</v>
      </c>
      <c r="G84" s="6" t="s">
        <v>956</v>
      </c>
      <c r="H84" s="6"/>
      <c r="I84" s="6" t="s">
        <v>957</v>
      </c>
      <c r="J84" s="6"/>
      <c r="K84" s="6"/>
      <c r="L84" s="6" t="s">
        <v>55</v>
      </c>
      <c r="M84" s="6" t="str">
        <f>VLOOKUP(L84, GLOSSARY!$A:$C, 2, FALSE)</f>
        <v>EGYPT ESTATE</v>
      </c>
      <c r="N84" s="6" t="s">
        <v>287</v>
      </c>
      <c r="O84" s="6"/>
      <c r="P84" s="6"/>
      <c r="Q84" s="6"/>
      <c r="R84" s="6"/>
      <c r="S84" s="6"/>
      <c r="T84" s="6"/>
      <c r="U84" s="6"/>
      <c r="V84" s="6"/>
      <c r="W84" s="6"/>
      <c r="X84" s="6"/>
      <c r="Y84" s="6"/>
      <c r="Z84" s="6"/>
      <c r="AA84" s="6"/>
      <c r="AB84" s="6"/>
      <c r="AC84" s="6"/>
      <c r="AD84" s="6"/>
      <c r="AE84" s="6"/>
    </row>
    <row r="85" spans="1:31" ht="38.25" x14ac:dyDescent="0.2">
      <c r="A85" s="6" t="s">
        <v>951</v>
      </c>
      <c r="B85" s="6" t="s">
        <v>1005</v>
      </c>
      <c r="C85" s="20" t="s">
        <v>1006</v>
      </c>
      <c r="D85" s="6" t="s">
        <v>1007</v>
      </c>
      <c r="E85" s="6"/>
      <c r="F85" s="6" t="s">
        <v>1008</v>
      </c>
      <c r="G85" s="6" t="s">
        <v>956</v>
      </c>
      <c r="H85" s="6"/>
      <c r="I85" s="6" t="s">
        <v>409</v>
      </c>
      <c r="J85" s="6"/>
      <c r="K85" s="6"/>
      <c r="L85" s="6" t="s">
        <v>55</v>
      </c>
      <c r="M85" s="6" t="str">
        <f>VLOOKUP(L85, GLOSSARY!$A:$C, 2, FALSE)</f>
        <v>EGYPT ESTATE</v>
      </c>
      <c r="N85" s="6" t="s">
        <v>68</v>
      </c>
      <c r="O85" s="6"/>
      <c r="P85" s="6"/>
      <c r="Q85" s="6"/>
      <c r="R85" s="6"/>
      <c r="S85" s="6"/>
      <c r="T85" s="6"/>
      <c r="U85" s="6"/>
      <c r="V85" s="6"/>
      <c r="W85" s="6"/>
      <c r="X85" s="6"/>
      <c r="Y85" s="6"/>
      <c r="Z85" s="6"/>
      <c r="AA85" s="6"/>
      <c r="AB85" s="6"/>
      <c r="AC85" s="6"/>
      <c r="AD85" s="6"/>
      <c r="AE85" s="6"/>
    </row>
    <row r="86" spans="1:31" ht="114.75" x14ac:dyDescent="0.2">
      <c r="A86" s="6" t="s">
        <v>1011</v>
      </c>
      <c r="B86" s="6" t="s">
        <v>1013</v>
      </c>
      <c r="C86" s="20" t="s">
        <v>1015</v>
      </c>
      <c r="D86" s="6" t="s">
        <v>1016</v>
      </c>
      <c r="E86" s="6"/>
      <c r="F86" s="6" t="s">
        <v>1017</v>
      </c>
      <c r="G86" s="6" t="s">
        <v>1018</v>
      </c>
      <c r="H86" s="6" t="str">
        <f t="shared" ref="H86:H118" si="6">CONCATENATE(F86,"(",G86,")")</f>
        <v>"A NEGROE GIRL"(P474)</v>
      </c>
      <c r="I86" s="6" t="s">
        <v>248</v>
      </c>
      <c r="J86" s="6"/>
      <c r="K86" s="6"/>
      <c r="L86" s="6"/>
      <c r="M86" s="6" t="e">
        <f>VLOOKUP(L86, GLOSSARY!$A:$C, 2, FALSE)</f>
        <v>#N/A</v>
      </c>
      <c r="N86" s="6"/>
      <c r="O86" s="6"/>
      <c r="P86" s="6"/>
      <c r="Q86" s="6"/>
      <c r="R86" s="6"/>
      <c r="S86" s="6"/>
      <c r="T86" s="6"/>
      <c r="U86" s="6"/>
      <c r="V86" s="6"/>
      <c r="W86" s="6"/>
      <c r="X86" s="6"/>
      <c r="Y86" s="6"/>
      <c r="Z86" s="6"/>
      <c r="AA86" s="6"/>
      <c r="AB86" s="6"/>
      <c r="AC86" s="6"/>
      <c r="AD86" s="6"/>
      <c r="AE86" s="6"/>
    </row>
    <row r="87" spans="1:31" ht="63.75" x14ac:dyDescent="0.2">
      <c r="A87" s="6" t="s">
        <v>1022</v>
      </c>
      <c r="B87" s="6" t="s">
        <v>1023</v>
      </c>
      <c r="C87" s="20" t="s">
        <v>1025</v>
      </c>
      <c r="D87" s="6" t="s">
        <v>1026</v>
      </c>
      <c r="E87" s="6"/>
      <c r="F87" s="6" t="s">
        <v>1027</v>
      </c>
      <c r="G87" s="6" t="s">
        <v>1028</v>
      </c>
      <c r="H87" s="6" t="str">
        <f t="shared" si="6"/>
        <v>JOE
ACCUBAH(P299
P16)</v>
      </c>
      <c r="I87" s="6" t="s">
        <v>784</v>
      </c>
      <c r="J87" s="6" t="s">
        <v>35</v>
      </c>
      <c r="K87" s="6"/>
      <c r="L87" s="6" t="s">
        <v>93</v>
      </c>
      <c r="M87" s="6" t="str">
        <f>VLOOKUP(L87, GLOSSARY!$A:$C, 2, FALSE)</f>
        <v>SALT RIVER ESTATE</v>
      </c>
      <c r="N87" s="6" t="s">
        <v>68</v>
      </c>
      <c r="O87" s="6"/>
      <c r="P87" s="6"/>
      <c r="Q87" s="6"/>
      <c r="R87" s="6"/>
      <c r="S87" s="6"/>
      <c r="T87" s="6"/>
      <c r="U87" s="6"/>
      <c r="V87" s="6"/>
      <c r="W87" s="6"/>
      <c r="X87" s="6"/>
      <c r="Y87" s="6"/>
      <c r="Z87" s="6"/>
      <c r="AA87" s="6"/>
      <c r="AB87" s="6"/>
      <c r="AC87" s="6"/>
      <c r="AD87" s="6"/>
      <c r="AE87" s="6"/>
    </row>
    <row r="88" spans="1:31" ht="114.75" x14ac:dyDescent="0.2">
      <c r="A88" s="6" t="s">
        <v>1031</v>
      </c>
      <c r="B88" s="6" t="s">
        <v>1032</v>
      </c>
      <c r="C88" s="20" t="s">
        <v>1033</v>
      </c>
      <c r="D88" s="6" t="s">
        <v>1034</v>
      </c>
      <c r="E88" s="6"/>
      <c r="F88" s="6" t="s">
        <v>1036</v>
      </c>
      <c r="G88" s="6" t="s">
        <v>1038</v>
      </c>
      <c r="H88" s="6" t="str">
        <f t="shared" si="6"/>
        <v>PHIBBAH
THE OVERSEER
JOE
OLD DAPHNE(P7
P43
P299
P11)</v>
      </c>
      <c r="I88" s="6" t="s">
        <v>96</v>
      </c>
      <c r="J88" s="6"/>
      <c r="K88" s="6"/>
      <c r="L88" s="6" t="s">
        <v>55</v>
      </c>
      <c r="M88" s="6" t="str">
        <f>VLOOKUP(L88, GLOSSARY!$A:$C, 2, FALSE)</f>
        <v>EGYPT ESTATE</v>
      </c>
      <c r="N88" s="6" t="s">
        <v>167</v>
      </c>
      <c r="O88" s="6"/>
      <c r="P88" s="6"/>
      <c r="Q88" s="6"/>
      <c r="R88" s="6"/>
      <c r="S88" s="6"/>
      <c r="T88" s="6"/>
      <c r="U88" s="6"/>
      <c r="V88" s="6"/>
      <c r="W88" s="6"/>
      <c r="X88" s="6"/>
      <c r="Y88" s="6"/>
      <c r="Z88" s="6"/>
      <c r="AA88" s="6"/>
      <c r="AB88" s="6"/>
      <c r="AC88" s="6"/>
      <c r="AD88" s="6"/>
      <c r="AE88" s="6"/>
    </row>
    <row r="89" spans="1:31" ht="51" x14ac:dyDescent="0.2">
      <c r="A89" s="6" t="s">
        <v>1031</v>
      </c>
      <c r="B89" s="6" t="s">
        <v>1032</v>
      </c>
      <c r="C89" s="20" t="s">
        <v>1043</v>
      </c>
      <c r="D89" s="6" t="s">
        <v>1044</v>
      </c>
      <c r="E89" s="6"/>
      <c r="F89" s="6" t="s">
        <v>1045</v>
      </c>
      <c r="G89" s="6" t="s">
        <v>1046</v>
      </c>
      <c r="H89" s="6" t="str">
        <f t="shared" si="6"/>
        <v>DAMSEL
PHIBBAH'S DAUGHTER(P34
P433)</v>
      </c>
      <c r="I89" s="6" t="s">
        <v>1047</v>
      </c>
      <c r="J89" s="6"/>
      <c r="K89" s="6"/>
      <c r="L89" s="6" t="s">
        <v>55</v>
      </c>
      <c r="M89" s="6" t="str">
        <f>VLOOKUP(L89, GLOSSARY!$A:$C, 2, FALSE)</f>
        <v>EGYPT ESTATE</v>
      </c>
      <c r="N89" s="6" t="s">
        <v>68</v>
      </c>
      <c r="O89" s="6"/>
      <c r="P89" s="6"/>
      <c r="Q89" s="6"/>
      <c r="R89" s="6"/>
      <c r="S89" s="6"/>
      <c r="T89" s="6"/>
      <c r="U89" s="6"/>
      <c r="V89" s="6"/>
      <c r="W89" s="6"/>
      <c r="X89" s="6"/>
      <c r="Y89" s="6"/>
      <c r="Z89" s="6"/>
      <c r="AA89" s="6"/>
      <c r="AB89" s="6"/>
      <c r="AC89" s="6"/>
      <c r="AD89" s="6"/>
      <c r="AE89" s="6"/>
    </row>
    <row r="90" spans="1:31" ht="12.75" x14ac:dyDescent="0.2">
      <c r="A90" s="6" t="s">
        <v>1031</v>
      </c>
      <c r="B90" s="6" t="s">
        <v>1051</v>
      </c>
      <c r="C90" s="20" t="s">
        <v>1052</v>
      </c>
      <c r="D90" s="6" t="s">
        <v>1053</v>
      </c>
      <c r="E90" s="6"/>
      <c r="F90" s="6" t="s">
        <v>329</v>
      </c>
      <c r="G90" s="6" t="s">
        <v>328</v>
      </c>
      <c r="H90" s="6" t="str">
        <f t="shared" si="6"/>
        <v>DAMSEL(P34)</v>
      </c>
      <c r="I90" s="6" t="s">
        <v>1047</v>
      </c>
      <c r="J90" s="6"/>
      <c r="K90" s="6"/>
      <c r="L90" s="6" t="s">
        <v>93</v>
      </c>
      <c r="M90" s="6" t="str">
        <f>VLOOKUP(L90, GLOSSARY!$A:$C, 2, FALSE)</f>
        <v>SALT RIVER ESTATE</v>
      </c>
      <c r="N90" s="6" t="s">
        <v>68</v>
      </c>
      <c r="O90" s="6"/>
      <c r="P90" s="6"/>
      <c r="Q90" s="6"/>
      <c r="R90" s="6"/>
      <c r="S90" s="6"/>
      <c r="T90" s="6"/>
      <c r="U90" s="6"/>
      <c r="V90" s="6"/>
      <c r="W90" s="6"/>
      <c r="X90" s="6"/>
      <c r="Y90" s="6"/>
      <c r="Z90" s="6"/>
      <c r="AA90" s="6"/>
      <c r="AB90" s="6"/>
      <c r="AC90" s="6"/>
      <c r="AD90" s="6"/>
      <c r="AE90" s="6"/>
    </row>
    <row r="91" spans="1:31" ht="63.75" x14ac:dyDescent="0.2">
      <c r="A91" s="6" t="s">
        <v>1031</v>
      </c>
      <c r="B91" s="6" t="s">
        <v>1056</v>
      </c>
      <c r="C91" s="20" t="s">
        <v>1057</v>
      </c>
      <c r="D91" s="6" t="s">
        <v>1058</v>
      </c>
      <c r="E91" s="6"/>
      <c r="F91" s="6" t="s">
        <v>1059</v>
      </c>
      <c r="G91" s="6" t="s">
        <v>1060</v>
      </c>
      <c r="H91" s="6" t="str">
        <f t="shared" si="6"/>
        <v>THE OVERSEER
PHIBBAH(P43
P7)</v>
      </c>
      <c r="I91" s="6" t="s">
        <v>957</v>
      </c>
      <c r="J91" s="6"/>
      <c r="K91" s="6"/>
      <c r="L91" s="6" t="s">
        <v>55</v>
      </c>
      <c r="M91" s="6" t="str">
        <f>VLOOKUP(L91, GLOSSARY!$A:$C, 2, FALSE)</f>
        <v>EGYPT ESTATE</v>
      </c>
      <c r="N91" s="6" t="s">
        <v>68</v>
      </c>
      <c r="O91" s="6"/>
      <c r="P91" s="6"/>
      <c r="Q91" s="6"/>
      <c r="R91" s="6"/>
      <c r="S91" s="6"/>
      <c r="T91" s="6"/>
      <c r="U91" s="6"/>
      <c r="V91" s="6"/>
      <c r="W91" s="6"/>
      <c r="X91" s="6"/>
      <c r="Y91" s="6"/>
      <c r="Z91" s="6"/>
      <c r="AA91" s="6"/>
      <c r="AB91" s="6"/>
      <c r="AC91" s="6"/>
      <c r="AD91" s="6"/>
      <c r="AE91" s="6"/>
    </row>
    <row r="92" spans="1:31" ht="25.5" x14ac:dyDescent="0.2">
      <c r="A92" s="6" t="s">
        <v>1031</v>
      </c>
      <c r="B92" s="6" t="s">
        <v>1056</v>
      </c>
      <c r="C92" s="20" t="s">
        <v>1057</v>
      </c>
      <c r="D92" s="6" t="s">
        <v>1065</v>
      </c>
      <c r="E92" s="6"/>
      <c r="F92" s="6" t="s">
        <v>1066</v>
      </c>
      <c r="G92" s="6" t="s">
        <v>1067</v>
      </c>
      <c r="H92" s="6" t="str">
        <f t="shared" si="6"/>
        <v>PHIBBAH'S DAUGHTER(P433)</v>
      </c>
      <c r="I92" s="6" t="s">
        <v>1068</v>
      </c>
      <c r="J92" s="6"/>
      <c r="K92" s="6"/>
      <c r="L92" s="6" t="s">
        <v>55</v>
      </c>
      <c r="M92" s="6" t="str">
        <f>VLOOKUP(L92, GLOSSARY!$A:$C, 2, FALSE)</f>
        <v>EGYPT ESTATE</v>
      </c>
      <c r="N92" s="6" t="s">
        <v>68</v>
      </c>
      <c r="O92" s="6"/>
      <c r="P92" s="6"/>
      <c r="Q92" s="6"/>
      <c r="R92" s="6"/>
      <c r="S92" s="6"/>
      <c r="T92" s="6"/>
      <c r="U92" s="6"/>
      <c r="V92" s="6"/>
      <c r="W92" s="6"/>
      <c r="X92" s="6"/>
      <c r="Y92" s="6"/>
      <c r="Z92" s="6"/>
      <c r="AA92" s="6"/>
      <c r="AB92" s="6"/>
      <c r="AC92" s="6"/>
      <c r="AD92" s="6"/>
      <c r="AE92" s="6"/>
    </row>
    <row r="93" spans="1:31" ht="25.5" x14ac:dyDescent="0.2">
      <c r="A93" s="6" t="s">
        <v>1031</v>
      </c>
      <c r="B93" s="6" t="s">
        <v>1056</v>
      </c>
      <c r="C93" s="20" t="s">
        <v>1057</v>
      </c>
      <c r="D93" s="6" t="s">
        <v>1073</v>
      </c>
      <c r="E93" s="6"/>
      <c r="F93" s="6" t="s">
        <v>144</v>
      </c>
      <c r="G93" s="6" t="s">
        <v>143</v>
      </c>
      <c r="H93" s="6" t="str">
        <f t="shared" si="6"/>
        <v>OLD DAPHNE(P11)</v>
      </c>
      <c r="I93" s="6" t="s">
        <v>1047</v>
      </c>
      <c r="J93" s="6"/>
      <c r="K93" s="6"/>
      <c r="L93" s="6" t="s">
        <v>93</v>
      </c>
      <c r="M93" s="6" t="str">
        <f>VLOOKUP(L93, GLOSSARY!$A:$C, 2, FALSE)</f>
        <v>SALT RIVER ESTATE</v>
      </c>
      <c r="N93" s="6" t="s">
        <v>68</v>
      </c>
      <c r="O93" s="6"/>
      <c r="P93" s="6"/>
      <c r="Q93" s="6"/>
      <c r="R93" s="6"/>
      <c r="S93" s="6"/>
      <c r="T93" s="6"/>
      <c r="U93" s="6"/>
      <c r="V93" s="6"/>
      <c r="W93" s="6"/>
      <c r="X93" s="6"/>
      <c r="Y93" s="6"/>
      <c r="Z93" s="6"/>
      <c r="AA93" s="6"/>
      <c r="AB93" s="6"/>
      <c r="AC93" s="6"/>
      <c r="AD93" s="6"/>
      <c r="AE93" s="6"/>
    </row>
    <row r="94" spans="1:31" ht="63.75" x14ac:dyDescent="0.2">
      <c r="A94" s="6" t="s">
        <v>1077</v>
      </c>
      <c r="B94" s="6" t="s">
        <v>1078</v>
      </c>
      <c r="C94" s="20" t="s">
        <v>1079</v>
      </c>
      <c r="D94" s="6" t="s">
        <v>1081</v>
      </c>
      <c r="E94" s="6"/>
      <c r="F94" s="6" t="s">
        <v>1083</v>
      </c>
      <c r="G94" s="6" t="s">
        <v>1084</v>
      </c>
      <c r="H94" s="6" t="str">
        <f t="shared" si="6"/>
        <v>THE OVERSEER
QUASHE(P285
P43)</v>
      </c>
      <c r="I94" s="6" t="s">
        <v>112</v>
      </c>
      <c r="J94" s="6"/>
      <c r="K94" s="6"/>
      <c r="L94" s="6" t="s">
        <v>55</v>
      </c>
      <c r="M94" s="6" t="str">
        <f>VLOOKUP(L94, GLOSSARY!$A:$C, 2, FALSE)</f>
        <v>EGYPT ESTATE</v>
      </c>
      <c r="N94" s="6" t="s">
        <v>68</v>
      </c>
      <c r="O94" s="6"/>
      <c r="P94" s="6"/>
      <c r="Q94" s="6"/>
      <c r="R94" s="6"/>
      <c r="S94" s="6"/>
      <c r="T94" s="6"/>
      <c r="U94" s="6"/>
      <c r="V94" s="6"/>
      <c r="W94" s="6"/>
      <c r="X94" s="6"/>
      <c r="Y94" s="6"/>
      <c r="Z94" s="6"/>
      <c r="AA94" s="6"/>
      <c r="AB94" s="6"/>
      <c r="AC94" s="6"/>
      <c r="AD94" s="6"/>
      <c r="AE94" s="6"/>
    </row>
    <row r="95" spans="1:31" ht="409.5" x14ac:dyDescent="0.2">
      <c r="A95" s="6" t="s">
        <v>1089</v>
      </c>
      <c r="B95" s="6" t="s">
        <v>1090</v>
      </c>
      <c r="C95" s="20" t="s">
        <v>1091</v>
      </c>
      <c r="D95" s="6" t="s">
        <v>1092</v>
      </c>
      <c r="E95" s="6"/>
      <c r="F95" s="6" t="s">
        <v>1093</v>
      </c>
      <c r="G95" s="6" t="s">
        <v>1094</v>
      </c>
      <c r="H95" s="6" t="str">
        <f t="shared" si="6"/>
        <v>THE OVERSEER
CONGO SAM
LONDON
ABIGAIL
BELLA(P43
P404
P249
P118
P176)</v>
      </c>
      <c r="I95" s="6" t="s">
        <v>326</v>
      </c>
      <c r="J95" s="6"/>
      <c r="K95" s="6"/>
      <c r="L95" s="6" t="s">
        <v>186</v>
      </c>
      <c r="M95" s="6" t="str">
        <f>VLOOKUP(L95, GLOSSARY!$A:$C, 2, FALSE)</f>
        <v xml:space="preserve">WILDERNESS </v>
      </c>
      <c r="N95" s="6" t="s">
        <v>167</v>
      </c>
      <c r="O95" s="6"/>
      <c r="P95" s="6"/>
      <c r="Q95" s="6"/>
      <c r="R95" s="6"/>
      <c r="S95" s="6"/>
      <c r="T95" s="6"/>
      <c r="U95" s="6"/>
      <c r="V95" s="6"/>
      <c r="W95" s="6"/>
      <c r="X95" s="6"/>
      <c r="Y95" s="6"/>
      <c r="Z95" s="6"/>
      <c r="AA95" s="6"/>
      <c r="AB95" s="6"/>
      <c r="AC95" s="6"/>
      <c r="AD95" s="6"/>
      <c r="AE95" s="6"/>
    </row>
    <row r="96" spans="1:31" ht="344.25" x14ac:dyDescent="0.2">
      <c r="A96" s="6" t="s">
        <v>1089</v>
      </c>
      <c r="B96" s="6" t="s">
        <v>1097</v>
      </c>
      <c r="C96" s="20" t="s">
        <v>1091</v>
      </c>
      <c r="D96" s="6" t="s">
        <v>1099</v>
      </c>
      <c r="E96" s="6"/>
      <c r="F96" s="6" t="s">
        <v>1101</v>
      </c>
      <c r="G96" s="6" t="s">
        <v>1102</v>
      </c>
      <c r="H96" s="6" t="str">
        <f t="shared" si="6"/>
        <v>QUASHE
THE OVERSEER
AMBO
PHIBBAH
CONGO SAM(P359 OR P284
P43
P170
P7
P404)</v>
      </c>
      <c r="I96" s="6" t="s">
        <v>326</v>
      </c>
      <c r="J96" s="6"/>
      <c r="K96" s="6"/>
      <c r="L96" s="6" t="s">
        <v>55</v>
      </c>
      <c r="M96" s="6" t="str">
        <f>VLOOKUP(L96, GLOSSARY!$A:$C, 2, FALSE)</f>
        <v>EGYPT ESTATE</v>
      </c>
      <c r="N96" s="6"/>
      <c r="O96" s="6"/>
      <c r="P96" s="6"/>
      <c r="Q96" s="6"/>
      <c r="R96" s="6"/>
      <c r="S96" s="6"/>
      <c r="T96" s="6"/>
      <c r="U96" s="6"/>
      <c r="V96" s="6"/>
      <c r="W96" s="6"/>
      <c r="X96" s="6"/>
      <c r="Y96" s="6"/>
      <c r="Z96" s="6"/>
      <c r="AA96" s="6"/>
      <c r="AB96" s="6"/>
      <c r="AC96" s="6"/>
      <c r="AD96" s="6"/>
      <c r="AE96" s="6"/>
    </row>
    <row r="97" spans="1:31" ht="216.75" x14ac:dyDescent="0.2">
      <c r="A97" s="6" t="s">
        <v>1089</v>
      </c>
      <c r="B97" s="6" t="s">
        <v>1106</v>
      </c>
      <c r="C97" s="20" t="s">
        <v>1107</v>
      </c>
      <c r="D97" s="6" t="s">
        <v>1108</v>
      </c>
      <c r="E97" s="6"/>
      <c r="F97" s="6" t="s">
        <v>1109</v>
      </c>
      <c r="G97" s="6" t="s">
        <v>1110</v>
      </c>
      <c r="H97" s="6" t="str">
        <f t="shared" si="6"/>
        <v>THE OVERSEER
LONDON
CONGO SAM
WILLIAM DORRILL
GEORGE. GOODE
COLONEL RICKETT
MR. LEWIS
ABIGAIL
BELLA(P43
P404
P249
P75
P511
P512
P513
P118
P176)</v>
      </c>
      <c r="I97" s="6" t="s">
        <v>112</v>
      </c>
      <c r="J97" s="6"/>
      <c r="K97" s="6"/>
      <c r="L97" s="6" t="s">
        <v>1111</v>
      </c>
      <c r="M97" s="6" t="str">
        <f>VLOOKUP(L97, GLOSSARY!$A:$C, 2, FALSE)</f>
        <v>MR. GEORGE GOODE'S</v>
      </c>
      <c r="N97" s="6" t="s">
        <v>287</v>
      </c>
      <c r="O97" s="6"/>
      <c r="P97" s="6"/>
      <c r="Q97" s="6"/>
      <c r="R97" s="6"/>
      <c r="S97" s="6"/>
      <c r="T97" s="6"/>
      <c r="U97" s="6"/>
      <c r="V97" s="6"/>
      <c r="W97" s="6"/>
      <c r="X97" s="6"/>
      <c r="Y97" s="6"/>
      <c r="Z97" s="6"/>
      <c r="AA97" s="6"/>
      <c r="AB97" s="6"/>
      <c r="AC97" s="6"/>
      <c r="AD97" s="6"/>
      <c r="AE97" s="6"/>
    </row>
    <row r="98" spans="1:31" ht="102" x14ac:dyDescent="0.2">
      <c r="A98" s="6" t="s">
        <v>1089</v>
      </c>
      <c r="B98" s="6" t="s">
        <v>1116</v>
      </c>
      <c r="C98" s="20" t="s">
        <v>1117</v>
      </c>
      <c r="D98" s="6" t="s">
        <v>1118</v>
      </c>
      <c r="E98" s="6"/>
      <c r="F98" s="6" t="s">
        <v>1119</v>
      </c>
      <c r="G98" s="6" t="s">
        <v>1120</v>
      </c>
      <c r="H98" s="6" t="str">
        <f t="shared" si="6"/>
        <v>THE OVERSEER
MR. LEWIS
CONGO SAM
CONGO SHARPER(P43
P513
P404
P514)</v>
      </c>
      <c r="I98" s="6" t="s">
        <v>112</v>
      </c>
      <c r="J98" s="6"/>
      <c r="K98" s="6"/>
      <c r="L98" s="6" t="s">
        <v>1121</v>
      </c>
      <c r="M98" s="6" t="str">
        <f>VLOOKUP(L98, GLOSSARY!$A:$C, 2, FALSE)</f>
        <v>SAVANNA LA MAR</v>
      </c>
      <c r="N98" s="6" t="s">
        <v>68</v>
      </c>
      <c r="O98" s="6"/>
      <c r="P98" s="6"/>
      <c r="Q98" s="6"/>
      <c r="R98" s="6"/>
      <c r="S98" s="6"/>
      <c r="T98" s="6"/>
      <c r="U98" s="6"/>
      <c r="V98" s="6"/>
      <c r="W98" s="6"/>
      <c r="X98" s="6"/>
      <c r="Y98" s="6"/>
      <c r="Z98" s="6"/>
      <c r="AA98" s="6"/>
      <c r="AB98" s="6"/>
      <c r="AC98" s="6"/>
      <c r="AD98" s="6"/>
      <c r="AE98" s="6"/>
    </row>
    <row r="99" spans="1:31" ht="63.75" x14ac:dyDescent="0.2">
      <c r="A99" s="6" t="s">
        <v>1089</v>
      </c>
      <c r="B99" s="6" t="s">
        <v>1116</v>
      </c>
      <c r="C99" s="20" t="s">
        <v>1122</v>
      </c>
      <c r="D99" s="6" t="s">
        <v>1123</v>
      </c>
      <c r="E99" s="6"/>
      <c r="F99" s="6" t="s">
        <v>1124</v>
      </c>
      <c r="G99" s="6" t="s">
        <v>1125</v>
      </c>
      <c r="H99" s="6" t="str">
        <f t="shared" si="6"/>
        <v>BELLA
ABIGAIL
PLATO(P176
P118
P208)</v>
      </c>
      <c r="I99" s="6" t="s">
        <v>656</v>
      </c>
      <c r="J99" s="6"/>
      <c r="K99" s="6"/>
      <c r="L99" s="6" t="s">
        <v>657</v>
      </c>
      <c r="M99" s="6" t="str">
        <f>VLOOKUP(L99, GLOSSARY!$A:$C, 2, FALSE)</f>
        <v>UNKNOWN</v>
      </c>
      <c r="N99" s="6" t="s">
        <v>287</v>
      </c>
      <c r="O99" s="6"/>
      <c r="P99" s="6"/>
      <c r="Q99" s="6"/>
      <c r="R99" s="6"/>
      <c r="S99" s="6"/>
      <c r="T99" s="6"/>
      <c r="U99" s="6"/>
      <c r="V99" s="6"/>
      <c r="W99" s="6"/>
      <c r="X99" s="6"/>
      <c r="Y99" s="6"/>
      <c r="Z99" s="6"/>
      <c r="AA99" s="6"/>
      <c r="AB99" s="6"/>
      <c r="AC99" s="6"/>
      <c r="AD99" s="6"/>
      <c r="AE99" s="6"/>
    </row>
    <row r="100" spans="1:31" ht="51" x14ac:dyDescent="0.2">
      <c r="A100" s="6" t="s">
        <v>1089</v>
      </c>
      <c r="B100" s="6" t="s">
        <v>1129</v>
      </c>
      <c r="C100" s="20" t="s">
        <v>1122</v>
      </c>
      <c r="D100" s="6" t="s">
        <v>1130</v>
      </c>
      <c r="E100" s="6"/>
      <c r="F100" s="6" t="s">
        <v>1131</v>
      </c>
      <c r="G100" s="6" t="s">
        <v>1132</v>
      </c>
      <c r="H100" s="6" t="str">
        <f t="shared" si="6"/>
        <v>BELLA
ABIGAIL(P176
P118)</v>
      </c>
      <c r="I100" s="6" t="s">
        <v>656</v>
      </c>
      <c r="J100" s="6"/>
      <c r="K100" s="6"/>
      <c r="L100" s="6" t="s">
        <v>55</v>
      </c>
      <c r="M100" s="6" t="str">
        <f>VLOOKUP(L100, GLOSSARY!$A:$C, 2, FALSE)</f>
        <v>EGYPT ESTATE</v>
      </c>
      <c r="N100" s="6" t="s">
        <v>167</v>
      </c>
      <c r="O100" s="6"/>
      <c r="P100" s="6"/>
      <c r="Q100" s="6"/>
      <c r="R100" s="6"/>
      <c r="S100" s="6"/>
      <c r="T100" s="6"/>
      <c r="U100" s="6"/>
      <c r="V100" s="6"/>
      <c r="W100" s="6"/>
      <c r="X100" s="6"/>
      <c r="Y100" s="6"/>
      <c r="Z100" s="6"/>
      <c r="AA100" s="6"/>
      <c r="AB100" s="6"/>
      <c r="AC100" s="6"/>
      <c r="AD100" s="6"/>
      <c r="AE100" s="6"/>
    </row>
    <row r="101" spans="1:31" ht="89.25" x14ac:dyDescent="0.2">
      <c r="A101" s="6" t="s">
        <v>1089</v>
      </c>
      <c r="B101" s="6" t="s">
        <v>1136</v>
      </c>
      <c r="C101" s="20" t="s">
        <v>1137</v>
      </c>
      <c r="D101" s="6" t="s">
        <v>1138</v>
      </c>
      <c r="E101" s="6"/>
      <c r="F101" s="6" t="s">
        <v>1139</v>
      </c>
      <c r="G101" s="6" t="s">
        <v>1140</v>
      </c>
      <c r="H101" s="6" t="str">
        <f t="shared" si="6"/>
        <v>MR. STONE
THE OVERSEER
LONDON
CONGO SAM(P64
P43
P404
P249)</v>
      </c>
      <c r="I101" s="6" t="s">
        <v>112</v>
      </c>
      <c r="J101" s="6"/>
      <c r="K101" s="6"/>
      <c r="L101" s="6" t="s">
        <v>55</v>
      </c>
      <c r="M101" s="6" t="str">
        <f>VLOOKUP(L101, GLOSSARY!$A:$C, 2, FALSE)</f>
        <v>EGYPT ESTATE</v>
      </c>
      <c r="N101" s="6" t="s">
        <v>167</v>
      </c>
      <c r="O101" s="6"/>
      <c r="P101" s="6"/>
      <c r="Q101" s="6"/>
      <c r="R101" s="6"/>
      <c r="S101" s="6"/>
      <c r="T101" s="6"/>
      <c r="U101" s="6"/>
      <c r="V101" s="6"/>
      <c r="W101" s="6"/>
      <c r="X101" s="6"/>
      <c r="Y101" s="6"/>
      <c r="Z101" s="6"/>
      <c r="AA101" s="6"/>
      <c r="AB101" s="6"/>
      <c r="AC101" s="6"/>
      <c r="AD101" s="6"/>
      <c r="AE101" s="6"/>
    </row>
    <row r="102" spans="1:31" ht="114.75" x14ac:dyDescent="0.2">
      <c r="A102" s="6" t="s">
        <v>1089</v>
      </c>
      <c r="B102" s="6" t="s">
        <v>1144</v>
      </c>
      <c r="C102" s="20" t="s">
        <v>1145</v>
      </c>
      <c r="D102" s="6" t="s">
        <v>1146</v>
      </c>
      <c r="E102" s="6"/>
      <c r="F102" s="6" t="s">
        <v>1147</v>
      </c>
      <c r="G102" s="6" t="s">
        <v>1148</v>
      </c>
      <c r="H102" s="6" t="str">
        <f t="shared" si="6"/>
        <v>THE OVERSEER
MR. LEWIS
MR. COLE
COLONEL BARCLAY
MR. STONE(P43
P513
P515
P369
P440)</v>
      </c>
      <c r="I102" s="6" t="s">
        <v>112</v>
      </c>
      <c r="J102" s="6"/>
      <c r="K102" s="6"/>
      <c r="L102" s="6" t="s">
        <v>1121</v>
      </c>
      <c r="M102" s="6" t="str">
        <f>VLOOKUP(L102, GLOSSARY!$A:$C, 2, FALSE)</f>
        <v>SAVANNA LA MAR</v>
      </c>
      <c r="N102" s="6" t="s">
        <v>68</v>
      </c>
      <c r="O102" s="6"/>
      <c r="P102" s="6"/>
      <c r="Q102" s="6"/>
      <c r="R102" s="6"/>
      <c r="S102" s="6"/>
      <c r="T102" s="6"/>
      <c r="U102" s="6"/>
      <c r="V102" s="6"/>
      <c r="W102" s="6"/>
      <c r="X102" s="6"/>
      <c r="Y102" s="6"/>
      <c r="Z102" s="6"/>
      <c r="AA102" s="6"/>
      <c r="AB102" s="6"/>
      <c r="AC102" s="6"/>
      <c r="AD102" s="6"/>
      <c r="AE102" s="6"/>
    </row>
    <row r="103" spans="1:31" ht="12.75" x14ac:dyDescent="0.2">
      <c r="A103" s="6" t="s">
        <v>1089</v>
      </c>
      <c r="B103" s="6" t="s">
        <v>1152</v>
      </c>
      <c r="C103" s="20" t="s">
        <v>1154</v>
      </c>
      <c r="D103" s="6" t="s">
        <v>1156</v>
      </c>
      <c r="E103" s="6"/>
      <c r="F103" s="6" t="s">
        <v>652</v>
      </c>
      <c r="G103" s="6" t="s">
        <v>654</v>
      </c>
      <c r="H103" s="6" t="str">
        <f t="shared" si="6"/>
        <v>BELLA(P176)</v>
      </c>
      <c r="I103" s="6" t="s">
        <v>656</v>
      </c>
      <c r="J103" s="6"/>
      <c r="K103" s="6"/>
      <c r="L103" s="6" t="s">
        <v>657</v>
      </c>
      <c r="M103" s="6" t="str">
        <f>VLOOKUP(L103, GLOSSARY!$A:$C, 2, FALSE)</f>
        <v>UNKNOWN</v>
      </c>
      <c r="N103" s="6" t="s">
        <v>68</v>
      </c>
      <c r="O103" s="6"/>
      <c r="P103" s="6"/>
      <c r="Q103" s="6"/>
      <c r="R103" s="6"/>
      <c r="S103" s="6"/>
      <c r="T103" s="6"/>
      <c r="U103" s="6"/>
      <c r="V103" s="6"/>
      <c r="W103" s="6"/>
      <c r="X103" s="6"/>
      <c r="Y103" s="6"/>
      <c r="Z103" s="6"/>
      <c r="AA103" s="6"/>
      <c r="AB103" s="6"/>
      <c r="AC103" s="6"/>
      <c r="AD103" s="6"/>
      <c r="AE103" s="6"/>
    </row>
    <row r="104" spans="1:31" ht="12.75" x14ac:dyDescent="0.2">
      <c r="A104" s="6" t="s">
        <v>1089</v>
      </c>
      <c r="B104" s="6" t="s">
        <v>1160</v>
      </c>
      <c r="C104" s="20" t="s">
        <v>1162</v>
      </c>
      <c r="D104" s="6" t="s">
        <v>1163</v>
      </c>
      <c r="E104" s="6"/>
      <c r="F104" s="6" t="s">
        <v>782</v>
      </c>
      <c r="G104" s="6" t="s">
        <v>781</v>
      </c>
      <c r="H104" s="6" t="str">
        <f t="shared" si="6"/>
        <v>ABIGAIL(P118)</v>
      </c>
      <c r="I104" s="6" t="s">
        <v>656</v>
      </c>
      <c r="J104" s="6"/>
      <c r="K104" s="6"/>
      <c r="L104" s="6" t="s">
        <v>657</v>
      </c>
      <c r="M104" s="6" t="str">
        <f>VLOOKUP(L104, GLOSSARY!$A:$C, 2, FALSE)</f>
        <v>UNKNOWN</v>
      </c>
      <c r="N104" s="6" t="s">
        <v>68</v>
      </c>
      <c r="O104" s="6"/>
      <c r="P104" s="6"/>
      <c r="Q104" s="6"/>
      <c r="R104" s="6"/>
      <c r="S104" s="6"/>
      <c r="T104" s="6"/>
      <c r="U104" s="6"/>
      <c r="V104" s="6"/>
      <c r="W104" s="6"/>
      <c r="X104" s="6"/>
      <c r="Y104" s="6"/>
      <c r="Z104" s="6"/>
      <c r="AA104" s="6"/>
      <c r="AB104" s="6"/>
      <c r="AC104" s="6"/>
      <c r="AD104" s="6"/>
      <c r="AE104" s="6"/>
    </row>
    <row r="105" spans="1:31" ht="38.25" x14ac:dyDescent="0.2">
      <c r="A105" s="6" t="s">
        <v>1089</v>
      </c>
      <c r="B105" s="6" t="s">
        <v>1170</v>
      </c>
      <c r="C105" s="20" t="s">
        <v>1171</v>
      </c>
      <c r="D105" s="6" t="s">
        <v>1172</v>
      </c>
      <c r="E105" s="6"/>
      <c r="F105" s="6" t="s">
        <v>1173</v>
      </c>
      <c r="G105" s="6" t="s">
        <v>1174</v>
      </c>
      <c r="H105" s="6" t="str">
        <f t="shared" si="6"/>
        <v>PLATO
ABIGAIL(P208
P118)</v>
      </c>
      <c r="I105" s="6" t="s">
        <v>656</v>
      </c>
      <c r="J105" s="6"/>
      <c r="K105" s="6"/>
      <c r="L105" s="6" t="s">
        <v>657</v>
      </c>
      <c r="M105" s="6" t="str">
        <f>VLOOKUP(L105, GLOSSARY!$A:$C, 2, FALSE)</f>
        <v>UNKNOWN</v>
      </c>
      <c r="N105" s="6" t="s">
        <v>287</v>
      </c>
      <c r="O105" s="6"/>
      <c r="P105" s="6"/>
      <c r="Q105" s="6"/>
      <c r="R105" s="6"/>
      <c r="S105" s="6"/>
      <c r="T105" s="6"/>
      <c r="U105" s="6"/>
      <c r="V105" s="6"/>
      <c r="W105" s="6"/>
      <c r="X105" s="6"/>
      <c r="Y105" s="6"/>
      <c r="Z105" s="6"/>
      <c r="AA105" s="6"/>
      <c r="AB105" s="6"/>
      <c r="AC105" s="6"/>
      <c r="AD105" s="6"/>
      <c r="AE105" s="6"/>
    </row>
    <row r="106" spans="1:31" ht="25.5" x14ac:dyDescent="0.2">
      <c r="A106" s="6" t="s">
        <v>1089</v>
      </c>
      <c r="B106" s="6" t="s">
        <v>1180</v>
      </c>
      <c r="C106" s="20" t="s">
        <v>1181</v>
      </c>
      <c r="D106" s="6" t="s">
        <v>1182</v>
      </c>
      <c r="E106" s="6"/>
      <c r="F106" s="6" t="s">
        <v>782</v>
      </c>
      <c r="G106" s="6" t="s">
        <v>781</v>
      </c>
      <c r="H106" s="6" t="str">
        <f t="shared" si="6"/>
        <v>ABIGAIL(P118)</v>
      </c>
      <c r="I106" s="6" t="s">
        <v>656</v>
      </c>
      <c r="J106" s="6"/>
      <c r="K106" s="6"/>
      <c r="L106" s="6" t="s">
        <v>55</v>
      </c>
      <c r="M106" s="6" t="str">
        <f>VLOOKUP(L106, GLOSSARY!$A:$C, 2, FALSE)</f>
        <v>EGYPT ESTATE</v>
      </c>
      <c r="N106" s="6" t="s">
        <v>68</v>
      </c>
      <c r="O106" s="6"/>
      <c r="P106" s="6"/>
      <c r="Q106" s="6"/>
      <c r="R106" s="6"/>
      <c r="S106" s="6"/>
      <c r="T106" s="6"/>
      <c r="U106" s="6"/>
      <c r="V106" s="6"/>
      <c r="W106" s="6"/>
      <c r="X106" s="6"/>
      <c r="Y106" s="6"/>
      <c r="Z106" s="6"/>
      <c r="AA106" s="6"/>
      <c r="AB106" s="6"/>
      <c r="AC106" s="6"/>
      <c r="AD106" s="6"/>
      <c r="AE106" s="6"/>
    </row>
    <row r="107" spans="1:31" ht="12.75" x14ac:dyDescent="0.2">
      <c r="A107" s="6" t="s">
        <v>1185</v>
      </c>
      <c r="B107" s="6" t="s">
        <v>1186</v>
      </c>
      <c r="C107" s="20" t="s">
        <v>1187</v>
      </c>
      <c r="D107" s="6" t="s">
        <v>1188</v>
      </c>
      <c r="E107" s="6"/>
      <c r="F107" s="6" t="s">
        <v>340</v>
      </c>
      <c r="G107" s="6" t="s">
        <v>339</v>
      </c>
      <c r="H107" s="6" t="str">
        <f t="shared" si="6"/>
        <v>BETTY(P134)</v>
      </c>
      <c r="I107" s="6" t="s">
        <v>656</v>
      </c>
      <c r="J107" s="6"/>
      <c r="K107" s="6"/>
      <c r="L107" s="6" t="s">
        <v>657</v>
      </c>
      <c r="M107" s="6" t="str">
        <f>VLOOKUP(L107, GLOSSARY!$A:$C, 2, FALSE)</f>
        <v>UNKNOWN</v>
      </c>
      <c r="N107" s="6" t="s">
        <v>68</v>
      </c>
      <c r="O107" s="6"/>
      <c r="P107" s="6"/>
      <c r="Q107" s="6"/>
      <c r="R107" s="6"/>
      <c r="S107" s="6"/>
      <c r="T107" s="6"/>
      <c r="U107" s="6"/>
      <c r="V107" s="6"/>
      <c r="W107" s="6"/>
      <c r="X107" s="6"/>
      <c r="Y107" s="6"/>
      <c r="Z107" s="6"/>
      <c r="AA107" s="6"/>
      <c r="AB107" s="6"/>
      <c r="AC107" s="6"/>
      <c r="AD107" s="6"/>
      <c r="AE107" s="6"/>
    </row>
    <row r="108" spans="1:31" ht="102" x14ac:dyDescent="0.2">
      <c r="A108" s="6" t="s">
        <v>1193</v>
      </c>
      <c r="B108" s="6" t="s">
        <v>1194</v>
      </c>
      <c r="C108" s="20" t="s">
        <v>1195</v>
      </c>
      <c r="D108" s="6" t="s">
        <v>1196</v>
      </c>
      <c r="E108" s="6"/>
      <c r="F108" s="6" t="s">
        <v>48</v>
      </c>
      <c r="G108" s="6" t="s">
        <v>50</v>
      </c>
      <c r="H108" s="6" t="str">
        <f t="shared" si="6"/>
        <v>THE OVERSEER(P43)</v>
      </c>
      <c r="I108" s="6" t="s">
        <v>533</v>
      </c>
      <c r="J108" s="6"/>
      <c r="K108" s="6"/>
      <c r="L108" s="6" t="s">
        <v>55</v>
      </c>
      <c r="M108" s="6" t="str">
        <f>VLOOKUP(L108, GLOSSARY!$A:$C, 2, FALSE)</f>
        <v>EGYPT ESTATE</v>
      </c>
      <c r="N108" s="6" t="s">
        <v>167</v>
      </c>
      <c r="O108" s="6"/>
      <c r="P108" s="6"/>
      <c r="Q108" s="6"/>
      <c r="R108" s="6"/>
      <c r="S108" s="6"/>
      <c r="T108" s="6"/>
      <c r="U108" s="6"/>
      <c r="V108" s="6"/>
      <c r="W108" s="6"/>
      <c r="X108" s="6"/>
      <c r="Y108" s="6"/>
      <c r="Z108" s="6"/>
      <c r="AA108" s="6"/>
      <c r="AB108" s="6"/>
      <c r="AC108" s="6"/>
      <c r="AD108" s="6"/>
      <c r="AE108" s="6"/>
    </row>
    <row r="109" spans="1:31" ht="76.5" x14ac:dyDescent="0.2">
      <c r="A109" s="6" t="s">
        <v>1193</v>
      </c>
      <c r="B109" s="6" t="s">
        <v>1201</v>
      </c>
      <c r="C109" s="20" t="s">
        <v>1202</v>
      </c>
      <c r="D109" s="6" t="s">
        <v>1203</v>
      </c>
      <c r="E109" s="6"/>
      <c r="F109" s="6" t="s">
        <v>48</v>
      </c>
      <c r="G109" s="6" t="s">
        <v>50</v>
      </c>
      <c r="H109" s="6" t="str">
        <f t="shared" si="6"/>
        <v>THE OVERSEER(P43)</v>
      </c>
      <c r="I109" s="6" t="s">
        <v>533</v>
      </c>
      <c r="J109" s="6"/>
      <c r="K109" s="6"/>
      <c r="L109" s="6" t="s">
        <v>55</v>
      </c>
      <c r="M109" s="6" t="str">
        <f>VLOOKUP(L109, GLOSSARY!$A:$C, 2, FALSE)</f>
        <v>EGYPT ESTATE</v>
      </c>
      <c r="N109" s="6" t="s">
        <v>167</v>
      </c>
      <c r="O109" s="6"/>
      <c r="P109" s="6"/>
      <c r="Q109" s="6"/>
      <c r="R109" s="6"/>
      <c r="S109" s="6"/>
      <c r="T109" s="6"/>
      <c r="U109" s="6"/>
      <c r="V109" s="6"/>
      <c r="W109" s="6"/>
      <c r="X109" s="6"/>
      <c r="Y109" s="6"/>
      <c r="Z109" s="6"/>
      <c r="AA109" s="6"/>
      <c r="AB109" s="6"/>
      <c r="AC109" s="6"/>
      <c r="AD109" s="6"/>
      <c r="AE109" s="6"/>
    </row>
    <row r="110" spans="1:31" ht="25.5" x14ac:dyDescent="0.2">
      <c r="A110" s="6" t="s">
        <v>1089</v>
      </c>
      <c r="B110" s="6" t="s">
        <v>1207</v>
      </c>
      <c r="C110" s="20" t="s">
        <v>1208</v>
      </c>
      <c r="D110" s="6" t="s">
        <v>1209</v>
      </c>
      <c r="E110" s="6"/>
      <c r="F110" s="6" t="s">
        <v>652</v>
      </c>
      <c r="G110" s="6" t="s">
        <v>654</v>
      </c>
      <c r="H110" s="6" t="str">
        <f t="shared" si="6"/>
        <v>BELLA(P176)</v>
      </c>
      <c r="I110" s="6" t="s">
        <v>112</v>
      </c>
      <c r="J110" s="6"/>
      <c r="K110" s="6"/>
      <c r="L110" s="6" t="s">
        <v>55</v>
      </c>
      <c r="M110" s="6" t="str">
        <f>VLOOKUP(L110, GLOSSARY!$A:$C, 2, FALSE)</f>
        <v>EGYPT ESTATE</v>
      </c>
      <c r="N110" s="6" t="s">
        <v>68</v>
      </c>
      <c r="O110" s="6"/>
      <c r="P110" s="6"/>
      <c r="Q110" s="6"/>
      <c r="R110" s="6"/>
      <c r="S110" s="6"/>
      <c r="T110" s="6"/>
      <c r="U110" s="6"/>
      <c r="V110" s="6"/>
      <c r="W110" s="6"/>
      <c r="X110" s="6"/>
      <c r="Y110" s="6"/>
      <c r="Z110" s="6"/>
      <c r="AA110" s="6"/>
      <c r="AB110" s="6"/>
      <c r="AC110" s="6"/>
      <c r="AD110" s="6"/>
      <c r="AE110" s="6"/>
    </row>
    <row r="111" spans="1:31" ht="38.25" x14ac:dyDescent="0.2">
      <c r="A111" s="6" t="s">
        <v>1214</v>
      </c>
      <c r="B111" s="6" t="s">
        <v>1215</v>
      </c>
      <c r="C111" s="20" t="s">
        <v>1216</v>
      </c>
      <c r="D111" s="6" t="s">
        <v>1217</v>
      </c>
      <c r="E111" s="6"/>
      <c r="F111" s="6" t="s">
        <v>1218</v>
      </c>
      <c r="G111" s="6" t="s">
        <v>1219</v>
      </c>
      <c r="H111" s="6" t="str">
        <f t="shared" si="6"/>
        <v>ABRAHAM
BETTY(P360
P134)</v>
      </c>
      <c r="I111" s="6" t="s">
        <v>656</v>
      </c>
      <c r="J111" s="6"/>
      <c r="K111" s="6"/>
      <c r="L111" s="6" t="s">
        <v>55</v>
      </c>
      <c r="M111" s="6" t="str">
        <f>VLOOKUP(L106, GLOSSARY!$A:$C, 2, FALSE)</f>
        <v>EGYPT ESTATE</v>
      </c>
      <c r="N111" s="6" t="s">
        <v>167</v>
      </c>
      <c r="O111" s="6"/>
      <c r="P111" s="6"/>
      <c r="Q111" s="6"/>
      <c r="R111" s="6"/>
      <c r="S111" s="6"/>
      <c r="T111" s="6"/>
      <c r="U111" s="6"/>
      <c r="V111" s="6"/>
      <c r="W111" s="6"/>
      <c r="X111" s="6"/>
      <c r="Y111" s="6"/>
      <c r="Z111" s="6"/>
      <c r="AA111" s="6"/>
      <c r="AB111" s="6"/>
      <c r="AC111" s="6"/>
      <c r="AD111" s="6"/>
      <c r="AE111" s="6"/>
    </row>
    <row r="112" spans="1:31" ht="242.25" x14ac:dyDescent="0.2">
      <c r="A112" s="6" t="s">
        <v>1223</v>
      </c>
      <c r="B112" s="6" t="s">
        <v>1224</v>
      </c>
      <c r="C112" s="20" t="s">
        <v>1226</v>
      </c>
      <c r="D112" s="6" t="s">
        <v>1228</v>
      </c>
      <c r="E112" s="6"/>
      <c r="F112" s="6" t="s">
        <v>1229</v>
      </c>
      <c r="G112" s="6" t="s">
        <v>1231</v>
      </c>
      <c r="H112" s="6" t="str">
        <f t="shared" si="6"/>
        <v>THE OVERSEER
MR. SIMMS
PHILIP
LONDON
HAZAT
COLONEL BARCLAY'S NEGROES
COLONEL BARCLAY(P43
P369
P322
P249
P87
P381
P465)</v>
      </c>
      <c r="I112" s="6" t="s">
        <v>248</v>
      </c>
      <c r="J112" s="6"/>
      <c r="K112" s="6"/>
      <c r="L112" s="6" t="s">
        <v>55</v>
      </c>
      <c r="M112" s="6" t="str">
        <f>VLOOKUP(L112, GLOSSARY!$A:$C, 2, FALSE)</f>
        <v>EGYPT ESTATE</v>
      </c>
      <c r="N112" s="6" t="s">
        <v>68</v>
      </c>
      <c r="O112" s="6"/>
      <c r="P112" s="6"/>
      <c r="Q112" s="6"/>
      <c r="R112" s="6"/>
      <c r="S112" s="6"/>
      <c r="T112" s="6"/>
      <c r="U112" s="6"/>
      <c r="V112" s="6"/>
      <c r="W112" s="6"/>
      <c r="X112" s="6"/>
      <c r="Y112" s="6"/>
      <c r="Z112" s="6"/>
      <c r="AA112" s="6"/>
      <c r="AB112" s="6"/>
      <c r="AC112" s="6"/>
      <c r="AD112" s="6"/>
      <c r="AE112" s="6"/>
    </row>
    <row r="113" spans="1:31" ht="38.25" x14ac:dyDescent="0.2">
      <c r="A113" s="6" t="s">
        <v>1236</v>
      </c>
      <c r="B113" s="6" t="s">
        <v>1237</v>
      </c>
      <c r="C113" s="20" t="s">
        <v>1238</v>
      </c>
      <c r="D113" s="6" t="s">
        <v>1239</v>
      </c>
      <c r="E113" s="6"/>
      <c r="F113" s="6" t="s">
        <v>1240</v>
      </c>
      <c r="G113" s="6" t="s">
        <v>1241</v>
      </c>
      <c r="H113" s="6" t="str">
        <f t="shared" si="6"/>
        <v>THE OVERSEER
AMBO(P43
P170)</v>
      </c>
      <c r="I113" s="6" t="s">
        <v>326</v>
      </c>
      <c r="J113" s="6"/>
      <c r="K113" s="6"/>
      <c r="L113" s="6" t="s">
        <v>55</v>
      </c>
      <c r="M113" s="6" t="str">
        <f>VLOOKUP(L113, GLOSSARY!$A:$C, 2, FALSE)</f>
        <v>EGYPT ESTATE</v>
      </c>
      <c r="N113" s="6" t="s">
        <v>167</v>
      </c>
      <c r="O113" s="6"/>
      <c r="P113" s="6"/>
      <c r="Q113" s="6"/>
      <c r="R113" s="6"/>
      <c r="S113" s="6"/>
      <c r="T113" s="6"/>
      <c r="U113" s="6"/>
      <c r="V113" s="6"/>
      <c r="W113" s="6"/>
      <c r="X113" s="6"/>
      <c r="Y113" s="6"/>
      <c r="Z113" s="6"/>
      <c r="AA113" s="6"/>
      <c r="AB113" s="6"/>
      <c r="AC113" s="6"/>
      <c r="AD113" s="6"/>
      <c r="AE113" s="6"/>
    </row>
    <row r="114" spans="1:31" ht="63.75" x14ac:dyDescent="0.2">
      <c r="A114" s="6" t="s">
        <v>1245</v>
      </c>
      <c r="B114" s="6" t="s">
        <v>1247</v>
      </c>
      <c r="C114" s="20" t="s">
        <v>1249</v>
      </c>
      <c r="D114" s="6" t="s">
        <v>1251</v>
      </c>
      <c r="E114" s="6"/>
      <c r="F114" s="6"/>
      <c r="G114" s="6"/>
      <c r="H114" s="6" t="str">
        <f t="shared" si="6"/>
        <v>()</v>
      </c>
      <c r="I114" s="6" t="s">
        <v>869</v>
      </c>
      <c r="J114" s="6"/>
      <c r="K114" s="6"/>
      <c r="L114" s="6" t="s">
        <v>55</v>
      </c>
      <c r="M114" s="6" t="str">
        <f>VLOOKUP(L114, GLOSSARY!$A:$C, 2, FALSE)</f>
        <v>EGYPT ESTATE</v>
      </c>
      <c r="N114" s="6" t="s">
        <v>167</v>
      </c>
      <c r="O114" s="6"/>
      <c r="P114" s="6"/>
      <c r="Q114" s="6"/>
      <c r="R114" s="6"/>
      <c r="S114" s="6"/>
      <c r="T114" s="6"/>
      <c r="U114" s="6"/>
      <c r="V114" s="6"/>
      <c r="W114" s="6"/>
      <c r="X114" s="6"/>
      <c r="Y114" s="6"/>
      <c r="Z114" s="6"/>
      <c r="AA114" s="6"/>
      <c r="AB114" s="6"/>
      <c r="AC114" s="6"/>
      <c r="AD114" s="6"/>
      <c r="AE114" s="6"/>
    </row>
    <row r="115" spans="1:31" ht="63.75" x14ac:dyDescent="0.2">
      <c r="A115" s="6" t="s">
        <v>1254</v>
      </c>
      <c r="B115" s="6" t="s">
        <v>1255</v>
      </c>
      <c r="C115" s="20" t="s">
        <v>1256</v>
      </c>
      <c r="D115" s="6" t="s">
        <v>1257</v>
      </c>
      <c r="E115" s="6"/>
      <c r="F115" s="6" t="s">
        <v>1258</v>
      </c>
      <c r="G115" s="6" t="s">
        <v>1259</v>
      </c>
      <c r="H115" s="6" t="str">
        <f t="shared" si="6"/>
        <v>THE OVERSEER
AMBO(P43
P170)</v>
      </c>
      <c r="I115" s="6" t="s">
        <v>1047</v>
      </c>
      <c r="J115" s="6"/>
      <c r="K115" s="6"/>
      <c r="L115" s="6" t="s">
        <v>55</v>
      </c>
      <c r="M115" s="6" t="str">
        <f>VLOOKUP(L115, GLOSSARY!$A:$C, 2, FALSE)</f>
        <v>EGYPT ESTATE</v>
      </c>
      <c r="N115" s="6" t="s">
        <v>68</v>
      </c>
      <c r="O115" s="6"/>
      <c r="P115" s="6"/>
      <c r="Q115" s="6"/>
      <c r="R115" s="6"/>
      <c r="S115" s="6"/>
      <c r="T115" s="6"/>
      <c r="U115" s="6"/>
      <c r="V115" s="6"/>
      <c r="W115" s="6"/>
      <c r="X115" s="6"/>
      <c r="Y115" s="6"/>
      <c r="Z115" s="6"/>
      <c r="AA115" s="6"/>
      <c r="AB115" s="6"/>
      <c r="AC115" s="6"/>
      <c r="AD115" s="6"/>
      <c r="AE115" s="6"/>
    </row>
    <row r="116" spans="1:31" ht="38.25" x14ac:dyDescent="0.2">
      <c r="A116" s="6" t="s">
        <v>1254</v>
      </c>
      <c r="B116" s="6" t="s">
        <v>1262</v>
      </c>
      <c r="C116" s="20" t="s">
        <v>1263</v>
      </c>
      <c r="D116" s="6" t="s">
        <v>1264</v>
      </c>
      <c r="E116" s="6"/>
      <c r="F116" s="6" t="s">
        <v>1265</v>
      </c>
      <c r="G116" s="6" t="s">
        <v>1266</v>
      </c>
      <c r="H116" s="6" t="str">
        <f t="shared" si="6"/>
        <v>AMBO'S CHILD(P416)</v>
      </c>
      <c r="I116" s="6" t="s">
        <v>1068</v>
      </c>
      <c r="J116" s="6"/>
      <c r="K116" s="6"/>
      <c r="L116" s="6"/>
      <c r="M116" s="6" t="e">
        <f>VLOOKUP(L116, GLOSSARY!$A:$C, 2, FALSE)</f>
        <v>#N/A</v>
      </c>
      <c r="N116" s="6"/>
      <c r="O116" s="6"/>
      <c r="P116" s="6"/>
      <c r="Q116" s="6"/>
      <c r="R116" s="6"/>
      <c r="S116" s="6"/>
      <c r="T116" s="6"/>
      <c r="U116" s="6"/>
      <c r="V116" s="6"/>
      <c r="W116" s="6"/>
      <c r="X116" s="6"/>
      <c r="Y116" s="6"/>
      <c r="Z116" s="6"/>
      <c r="AA116" s="6"/>
      <c r="AB116" s="6"/>
      <c r="AC116" s="6"/>
      <c r="AD116" s="6"/>
      <c r="AE116" s="6"/>
    </row>
    <row r="117" spans="1:31" ht="318.75" x14ac:dyDescent="0.2">
      <c r="A117" s="6" t="s">
        <v>1269</v>
      </c>
      <c r="B117" s="6" t="s">
        <v>1270</v>
      </c>
      <c r="C117" s="20" t="s">
        <v>1271</v>
      </c>
      <c r="D117" s="6" t="s">
        <v>1272</v>
      </c>
      <c r="E117" s="6"/>
      <c r="F117" s="6" t="s">
        <v>1274</v>
      </c>
      <c r="G117" s="6" t="s">
        <v>1275</v>
      </c>
      <c r="H117" s="6" t="str">
        <f t="shared" si="6"/>
        <v>THE OVERSEER
MULATTO SAM
AMBO(P43
P414
P170)</v>
      </c>
      <c r="I117" s="6" t="s">
        <v>198</v>
      </c>
      <c r="J117" s="6"/>
      <c r="K117" s="6"/>
      <c r="L117" s="6" t="s">
        <v>55</v>
      </c>
      <c r="M117" s="6" t="str">
        <f>VLOOKUP(L117, GLOSSARY!$A:$C, 2, FALSE)</f>
        <v>EGYPT ESTATE</v>
      </c>
      <c r="N117" s="6" t="s">
        <v>68</v>
      </c>
      <c r="O117" s="6"/>
      <c r="P117" s="6"/>
      <c r="Q117" s="6"/>
      <c r="R117" s="6"/>
      <c r="S117" s="6"/>
      <c r="T117" s="6"/>
      <c r="U117" s="6"/>
      <c r="V117" s="6"/>
      <c r="W117" s="6"/>
      <c r="X117" s="6"/>
      <c r="Y117" s="6"/>
      <c r="Z117" s="6"/>
      <c r="AA117" s="6"/>
      <c r="AB117" s="6"/>
      <c r="AC117" s="6"/>
      <c r="AD117" s="6"/>
      <c r="AE117" s="6"/>
    </row>
    <row r="118" spans="1:31" ht="38.25" x14ac:dyDescent="0.2">
      <c r="A118" s="6" t="s">
        <v>1278</v>
      </c>
      <c r="B118" s="6" t="s">
        <v>1279</v>
      </c>
      <c r="C118" s="20" t="s">
        <v>1281</v>
      </c>
      <c r="D118" s="6" t="s">
        <v>1282</v>
      </c>
      <c r="E118" s="6"/>
      <c r="F118" s="6" t="s">
        <v>1240</v>
      </c>
      <c r="G118" s="6" t="s">
        <v>1241</v>
      </c>
      <c r="H118" s="6" t="str">
        <f t="shared" si="6"/>
        <v>THE OVERSEER
AMBO(P43
P170)</v>
      </c>
      <c r="I118" s="6" t="s">
        <v>957</v>
      </c>
      <c r="J118" s="6"/>
      <c r="K118" s="6"/>
      <c r="L118" s="6" t="s">
        <v>55</v>
      </c>
      <c r="M118" s="6" t="str">
        <f>VLOOKUP(L118, GLOSSARY!$A:$C, 2, FALSE)</f>
        <v>EGYPT ESTATE</v>
      </c>
      <c r="N118" s="6" t="s">
        <v>68</v>
      </c>
      <c r="O118" s="6"/>
      <c r="P118" s="6"/>
      <c r="Q118" s="6"/>
      <c r="R118" s="6"/>
      <c r="S118" s="6"/>
      <c r="T118" s="6"/>
      <c r="U118" s="6"/>
      <c r="V118" s="6"/>
      <c r="W118" s="6"/>
      <c r="X118" s="6"/>
      <c r="Y118" s="6"/>
      <c r="Z118" s="6"/>
      <c r="AA118" s="6"/>
      <c r="AB118" s="6"/>
      <c r="AC118" s="6"/>
      <c r="AD118" s="6"/>
      <c r="AE118" s="6"/>
    </row>
    <row r="119" spans="1:31" ht="63.75" x14ac:dyDescent="0.2">
      <c r="A119" s="6" t="s">
        <v>1285</v>
      </c>
      <c r="B119" s="6" t="s">
        <v>1286</v>
      </c>
      <c r="C119" s="20" t="s">
        <v>1287</v>
      </c>
      <c r="D119" s="6" t="s">
        <v>1288</v>
      </c>
      <c r="E119" s="6"/>
      <c r="F119" s="6" t="s">
        <v>1289</v>
      </c>
      <c r="G119" s="6" t="s">
        <v>1290</v>
      </c>
      <c r="H119" s="6" t="str">
        <f>CONCATENATE(F119," (",G119,")")</f>
        <v>PHIBBAH'S HUSBAND
THE OVERSEER (P229
P43)</v>
      </c>
      <c r="I119" s="6" t="s">
        <v>957</v>
      </c>
      <c r="J119" s="6"/>
      <c r="K119" s="6"/>
      <c r="L119" s="6" t="s">
        <v>55</v>
      </c>
      <c r="M119" s="6" t="str">
        <f>VLOOKUP(L119, GLOSSARY!$A:$C, 2, FALSE)</f>
        <v>EGYPT ESTATE</v>
      </c>
      <c r="N119" s="6" t="s">
        <v>68</v>
      </c>
      <c r="O119" s="6"/>
      <c r="P119" s="6"/>
      <c r="Q119" s="6"/>
      <c r="R119" s="6"/>
      <c r="S119" s="6"/>
      <c r="T119" s="6"/>
      <c r="U119" s="6"/>
      <c r="V119" s="6"/>
      <c r="W119" s="6"/>
      <c r="X119" s="6"/>
      <c r="Y119" s="6"/>
      <c r="Z119" s="6"/>
      <c r="AA119" s="6"/>
      <c r="AB119" s="6"/>
      <c r="AC119" s="6"/>
      <c r="AD119" s="6"/>
      <c r="AE119" s="6"/>
    </row>
    <row r="120" spans="1:31" ht="63.75" x14ac:dyDescent="0.2">
      <c r="A120" s="6" t="s">
        <v>1292</v>
      </c>
      <c r="B120" s="6" t="s">
        <v>1286</v>
      </c>
      <c r="C120" s="20" t="s">
        <v>1287</v>
      </c>
      <c r="D120" s="6" t="s">
        <v>1295</v>
      </c>
      <c r="E120" s="6"/>
      <c r="F120" s="6" t="s">
        <v>1296</v>
      </c>
      <c r="G120" s="6" t="s">
        <v>1297</v>
      </c>
      <c r="H120" s="6" t="str">
        <f>CONCATENATE(F120,"(",G120,")")</f>
        <v>PHIBBAH'S HUSBAND
THE OVERSEER(P436
P43)</v>
      </c>
      <c r="I120" s="6" t="s">
        <v>957</v>
      </c>
      <c r="J120" s="6"/>
      <c r="K120" s="6"/>
      <c r="L120" s="6" t="s">
        <v>55</v>
      </c>
      <c r="M120" s="6" t="str">
        <f>VLOOKUP(L120, GLOSSARY!$A:$C, 2, FALSE)</f>
        <v>EGYPT ESTATE</v>
      </c>
      <c r="N120" s="6" t="s">
        <v>68</v>
      </c>
      <c r="O120" s="6"/>
      <c r="P120" s="6"/>
      <c r="Q120" s="6"/>
      <c r="R120" s="6"/>
      <c r="S120" s="6"/>
      <c r="T120" s="6"/>
      <c r="U120" s="6"/>
      <c r="V120" s="6"/>
      <c r="W120" s="6"/>
      <c r="X120" s="6"/>
      <c r="Y120" s="6"/>
      <c r="Z120" s="6"/>
      <c r="AA120" s="6"/>
      <c r="AB120" s="6"/>
      <c r="AC120" s="6"/>
      <c r="AD120" s="6"/>
      <c r="AE120" s="6"/>
    </row>
    <row r="121" spans="1:31" ht="89.25" x14ac:dyDescent="0.2">
      <c r="A121" s="6" t="s">
        <v>1300</v>
      </c>
      <c r="B121" s="6" t="s">
        <v>1301</v>
      </c>
      <c r="C121" s="20" t="s">
        <v>1302</v>
      </c>
      <c r="D121" s="6" t="s">
        <v>1303</v>
      </c>
      <c r="E121" s="6"/>
      <c r="F121" s="6" t="s">
        <v>1304</v>
      </c>
      <c r="G121" s="6" t="s">
        <v>1305</v>
      </c>
      <c r="H121" s="6" t="str">
        <f>CONCATENATE(F121," (",G121,")")</f>
        <v>THE OVERSEER
CHRISHEA (P43
P126)</v>
      </c>
      <c r="I121" s="6" t="s">
        <v>409</v>
      </c>
      <c r="J121" s="6"/>
      <c r="K121" s="6"/>
      <c r="L121" s="6" t="s">
        <v>55</v>
      </c>
      <c r="M121" s="6" t="str">
        <f>VLOOKUP(L121, GLOSSARY!$A:$C, 2, FALSE)</f>
        <v>EGYPT ESTATE</v>
      </c>
      <c r="N121" s="6" t="s">
        <v>68</v>
      </c>
      <c r="O121" s="6"/>
      <c r="P121" s="6"/>
      <c r="Q121" s="6"/>
      <c r="R121" s="6"/>
      <c r="S121" s="6"/>
      <c r="T121" s="6"/>
      <c r="U121" s="6"/>
      <c r="V121" s="6"/>
      <c r="W121" s="6"/>
      <c r="X121" s="6"/>
      <c r="Y121" s="6"/>
      <c r="Z121" s="6"/>
      <c r="AA121" s="6"/>
      <c r="AB121" s="6"/>
      <c r="AC121" s="6"/>
      <c r="AD121" s="6"/>
      <c r="AE121" s="6"/>
    </row>
    <row r="122" spans="1:31" ht="102" x14ac:dyDescent="0.2">
      <c r="A122" s="6" t="s">
        <v>1310</v>
      </c>
      <c r="B122" s="6" t="s">
        <v>1311</v>
      </c>
      <c r="C122" s="20" t="s">
        <v>1312</v>
      </c>
      <c r="D122" s="6" t="s">
        <v>1313</v>
      </c>
      <c r="E122" s="6"/>
      <c r="F122" s="6" t="s">
        <v>1315</v>
      </c>
      <c r="G122" s="6" t="s">
        <v>1317</v>
      </c>
      <c r="H122" s="6" t="s">
        <v>1315</v>
      </c>
      <c r="I122" s="6" t="s">
        <v>1068</v>
      </c>
      <c r="J122" s="6"/>
      <c r="K122" s="6"/>
      <c r="L122" s="6" t="s">
        <v>55</v>
      </c>
      <c r="M122" s="6" t="str">
        <f>VLOOKUP(L122, GLOSSARY!$A:$C, 2, FALSE)</f>
        <v>EGYPT ESTATE</v>
      </c>
      <c r="N122" s="6" t="s">
        <v>167</v>
      </c>
      <c r="O122" s="6"/>
      <c r="P122" s="6"/>
      <c r="Q122" s="6"/>
      <c r="R122" s="6"/>
      <c r="S122" s="6"/>
      <c r="T122" s="6"/>
      <c r="U122" s="6"/>
      <c r="V122" s="6"/>
      <c r="W122" s="6"/>
      <c r="X122" s="6"/>
      <c r="Y122" s="6"/>
      <c r="Z122" s="6"/>
      <c r="AA122" s="6"/>
      <c r="AB122" s="6"/>
      <c r="AC122" s="6"/>
      <c r="AD122" s="6"/>
      <c r="AE122" s="6"/>
    </row>
    <row r="123" spans="1:31" ht="63.75" x14ac:dyDescent="0.2">
      <c r="A123" s="6" t="s">
        <v>776</v>
      </c>
      <c r="B123" s="6" t="s">
        <v>1319</v>
      </c>
      <c r="C123" s="20" t="s">
        <v>1320</v>
      </c>
      <c r="D123" s="6" t="s">
        <v>1321</v>
      </c>
      <c r="E123" s="6"/>
      <c r="F123" s="6" t="s">
        <v>779</v>
      </c>
      <c r="G123" s="6" t="s">
        <v>780</v>
      </c>
      <c r="H123" s="6" t="str">
        <f>CONCATENATE(F123,"(",G123,")")</f>
        <v>EGYPT FIELDHANDS(P315)</v>
      </c>
      <c r="I123" s="6" t="s">
        <v>784</v>
      </c>
      <c r="J123" s="6"/>
      <c r="K123" s="6"/>
      <c r="L123" s="6" t="s">
        <v>55</v>
      </c>
      <c r="M123" s="6" t="str">
        <f>VLOOKUP(L123, GLOSSARY!$A:$C, 2, FALSE)</f>
        <v>EGYPT ESTATE</v>
      </c>
      <c r="N123" s="6" t="s">
        <v>287</v>
      </c>
      <c r="O123" s="6"/>
      <c r="P123" s="6"/>
      <c r="Q123" s="6"/>
      <c r="R123" s="6"/>
      <c r="S123" s="6"/>
      <c r="T123" s="6"/>
      <c r="U123" s="6"/>
      <c r="V123" s="6"/>
      <c r="W123" s="6"/>
      <c r="X123" s="6"/>
      <c r="Y123" s="6"/>
      <c r="Z123" s="6"/>
      <c r="AA123" s="6"/>
      <c r="AB123" s="6"/>
      <c r="AC123" s="6"/>
      <c r="AD123" s="6"/>
      <c r="AE123" s="6"/>
    </row>
    <row r="124" spans="1:31" ht="216.75" x14ac:dyDescent="0.2">
      <c r="A124" s="6" t="s">
        <v>1325</v>
      </c>
      <c r="B124" s="6" t="s">
        <v>1326</v>
      </c>
      <c r="C124" s="20" t="s">
        <v>1327</v>
      </c>
      <c r="D124" s="6" t="s">
        <v>1328</v>
      </c>
      <c r="E124" s="6"/>
      <c r="F124" s="6" t="s">
        <v>1329</v>
      </c>
      <c r="G124" s="6" t="s">
        <v>1330</v>
      </c>
      <c r="H124" s="6" t="str">
        <f>CONCATENATE(F124," (",G124,")")</f>
        <v>HAGAR
BETTY
EGYPT LUCY
OLD CATALINA
OLD SHARPER (P84
P134
P253
P3
P74)</v>
      </c>
      <c r="I124" s="6" t="s">
        <v>533</v>
      </c>
      <c r="J124" s="6"/>
      <c r="K124" s="6"/>
      <c r="L124" s="6" t="s">
        <v>55</v>
      </c>
      <c r="M124" s="6" t="str">
        <f>VLOOKUP(L124, GLOSSARY!$A:$C, 2, FALSE)</f>
        <v>EGYPT ESTATE</v>
      </c>
      <c r="N124" s="6" t="s">
        <v>68</v>
      </c>
      <c r="O124" s="6"/>
      <c r="P124" s="6"/>
      <c r="Q124" s="6"/>
      <c r="R124" s="6"/>
      <c r="S124" s="6"/>
      <c r="T124" s="6"/>
      <c r="U124" s="6"/>
      <c r="V124" s="6"/>
      <c r="W124" s="6"/>
      <c r="X124" s="6"/>
      <c r="Y124" s="6"/>
      <c r="Z124" s="6"/>
      <c r="AA124" s="6"/>
      <c r="AB124" s="6"/>
      <c r="AC124" s="6"/>
      <c r="AD124" s="6"/>
      <c r="AE124" s="6"/>
    </row>
    <row r="125" spans="1:31" ht="76.5" x14ac:dyDescent="0.2">
      <c r="A125" s="6" t="s">
        <v>776</v>
      </c>
      <c r="B125" s="6" t="s">
        <v>1333</v>
      </c>
      <c r="C125" s="20" t="s">
        <v>1334</v>
      </c>
      <c r="D125" s="6" t="s">
        <v>1335</v>
      </c>
      <c r="E125" s="6"/>
      <c r="F125" s="6" t="s">
        <v>779</v>
      </c>
      <c r="G125" s="6" t="s">
        <v>780</v>
      </c>
      <c r="H125" s="6" t="str">
        <f t="shared" ref="H125:H129" si="7">CONCATENATE(F125,"(",G125,")")</f>
        <v>EGYPT FIELDHANDS(P315)</v>
      </c>
      <c r="I125" s="6" t="s">
        <v>784</v>
      </c>
      <c r="J125" s="6"/>
      <c r="K125" s="6"/>
      <c r="L125" s="6" t="s">
        <v>55</v>
      </c>
      <c r="M125" s="6" t="str">
        <f>VLOOKUP(L125, GLOSSARY!$A:$C, 2, FALSE)</f>
        <v>EGYPT ESTATE</v>
      </c>
      <c r="N125" s="6" t="s">
        <v>167</v>
      </c>
      <c r="O125" s="6"/>
      <c r="P125" s="6"/>
      <c r="Q125" s="6"/>
      <c r="R125" s="6"/>
      <c r="S125" s="6"/>
      <c r="T125" s="6"/>
      <c r="U125" s="6"/>
      <c r="V125" s="6"/>
      <c r="W125" s="6"/>
      <c r="X125" s="6"/>
      <c r="Y125" s="6"/>
      <c r="Z125" s="6"/>
      <c r="AA125" s="6"/>
      <c r="AB125" s="6"/>
      <c r="AC125" s="6"/>
      <c r="AD125" s="6"/>
      <c r="AE125" s="6"/>
    </row>
    <row r="126" spans="1:31" ht="76.5" x14ac:dyDescent="0.2">
      <c r="A126" s="6" t="s">
        <v>776</v>
      </c>
      <c r="B126" s="6" t="s">
        <v>1338</v>
      </c>
      <c r="C126" s="20" t="s">
        <v>1339</v>
      </c>
      <c r="D126" s="6" t="s">
        <v>1340</v>
      </c>
      <c r="E126" s="6"/>
      <c r="F126" s="6" t="s">
        <v>779</v>
      </c>
      <c r="G126" s="6" t="s">
        <v>780</v>
      </c>
      <c r="H126" s="6" t="str">
        <f t="shared" si="7"/>
        <v>EGYPT FIELDHANDS(P315)</v>
      </c>
      <c r="I126" s="6" t="s">
        <v>784</v>
      </c>
      <c r="J126" s="6"/>
      <c r="K126" s="6"/>
      <c r="L126" s="6" t="s">
        <v>55</v>
      </c>
      <c r="M126" s="6" t="str">
        <f>VLOOKUP(L126, GLOSSARY!$A:$C, 2, FALSE)</f>
        <v>EGYPT ESTATE</v>
      </c>
      <c r="N126" s="6" t="s">
        <v>287</v>
      </c>
      <c r="O126" s="6"/>
      <c r="P126" s="6"/>
      <c r="Q126" s="6"/>
      <c r="R126" s="6"/>
      <c r="S126" s="6"/>
      <c r="T126" s="6"/>
      <c r="U126" s="6"/>
      <c r="V126" s="6"/>
      <c r="W126" s="6"/>
      <c r="X126" s="6"/>
      <c r="Y126" s="6"/>
      <c r="Z126" s="6"/>
      <c r="AA126" s="6"/>
      <c r="AB126" s="6"/>
      <c r="AC126" s="6"/>
      <c r="AD126" s="6"/>
      <c r="AE126" s="6"/>
    </row>
    <row r="127" spans="1:31" ht="140.25" x14ac:dyDescent="0.2">
      <c r="A127" s="6" t="s">
        <v>1344</v>
      </c>
      <c r="B127" s="6" t="s">
        <v>1346</v>
      </c>
      <c r="C127" s="20" t="s">
        <v>1347</v>
      </c>
      <c r="D127" s="6" t="s">
        <v>1348</v>
      </c>
      <c r="E127" s="6"/>
      <c r="F127" s="6" t="s">
        <v>1349</v>
      </c>
      <c r="G127" s="6" t="s">
        <v>1350</v>
      </c>
      <c r="H127" s="6" t="str">
        <f t="shared" si="7"/>
        <v>MR. ALLEN
THE OVERSEER
SAM MATHEWS(P293
P43
P79)</v>
      </c>
      <c r="I127" s="6" t="s">
        <v>248</v>
      </c>
      <c r="J127" s="6"/>
      <c r="K127" s="6"/>
      <c r="L127" s="6" t="s">
        <v>440</v>
      </c>
      <c r="M127" s="6" t="str">
        <f>VLOOKUP(L127, GLOSSARY!$A:$C, 2, FALSE)</f>
        <v>THE ROAD(S)</v>
      </c>
      <c r="N127" s="6" t="s">
        <v>167</v>
      </c>
      <c r="O127" s="6"/>
      <c r="P127" s="6"/>
      <c r="Q127" s="6"/>
      <c r="R127" s="6"/>
      <c r="S127" s="6"/>
      <c r="T127" s="6"/>
      <c r="U127" s="6"/>
      <c r="V127" s="6"/>
      <c r="W127" s="6"/>
      <c r="X127" s="6"/>
      <c r="Y127" s="6"/>
      <c r="Z127" s="6"/>
      <c r="AA127" s="6"/>
      <c r="AB127" s="6"/>
      <c r="AC127" s="6"/>
      <c r="AD127" s="6"/>
      <c r="AE127" s="6"/>
    </row>
    <row r="128" spans="1:31" ht="12.75" x14ac:dyDescent="0.2">
      <c r="A128" s="6" t="s">
        <v>1353</v>
      </c>
      <c r="B128" s="6" t="s">
        <v>1354</v>
      </c>
      <c r="C128" s="20" t="s">
        <v>1355</v>
      </c>
      <c r="D128" s="6" t="s">
        <v>1356</v>
      </c>
      <c r="E128" s="6"/>
      <c r="F128" s="6" t="s">
        <v>101</v>
      </c>
      <c r="G128" s="6" t="s">
        <v>100</v>
      </c>
      <c r="H128" s="6" t="str">
        <f t="shared" si="7"/>
        <v>PHIBBAH(P7)</v>
      </c>
      <c r="I128" s="6" t="s">
        <v>409</v>
      </c>
      <c r="J128" s="6"/>
      <c r="K128" s="6"/>
      <c r="L128" s="6" t="s">
        <v>55</v>
      </c>
      <c r="M128" s="6" t="str">
        <f>VLOOKUP(L128, GLOSSARY!$A:$C, 2, FALSE)</f>
        <v>EGYPT ESTATE</v>
      </c>
      <c r="N128" s="6" t="s">
        <v>167</v>
      </c>
      <c r="O128" s="6"/>
      <c r="P128" s="6"/>
      <c r="Q128" s="6"/>
      <c r="R128" s="6"/>
      <c r="S128" s="6"/>
      <c r="T128" s="6"/>
      <c r="U128" s="6"/>
      <c r="V128" s="6"/>
      <c r="W128" s="6"/>
      <c r="X128" s="6"/>
      <c r="Y128" s="6"/>
      <c r="Z128" s="6"/>
      <c r="AA128" s="6"/>
      <c r="AB128" s="6"/>
      <c r="AC128" s="6"/>
      <c r="AD128" s="6"/>
      <c r="AE128" s="6"/>
    </row>
    <row r="129" spans="1:31" ht="63.75" x14ac:dyDescent="0.2">
      <c r="A129" s="6" t="s">
        <v>776</v>
      </c>
      <c r="B129" s="6" t="s">
        <v>1359</v>
      </c>
      <c r="C129" s="20" t="s">
        <v>1360</v>
      </c>
      <c r="D129" s="6" t="s">
        <v>1361</v>
      </c>
      <c r="E129" s="6"/>
      <c r="F129" s="6" t="s">
        <v>779</v>
      </c>
      <c r="G129" s="6" t="s">
        <v>780</v>
      </c>
      <c r="H129" s="6" t="str">
        <f t="shared" si="7"/>
        <v>EGYPT FIELDHANDS(P315)</v>
      </c>
      <c r="I129" s="6" t="s">
        <v>784</v>
      </c>
      <c r="J129" s="6"/>
      <c r="K129" s="6"/>
      <c r="L129" s="6" t="s">
        <v>55</v>
      </c>
      <c r="M129" s="6" t="str">
        <f>VLOOKUP(L129, GLOSSARY!$A:$C, 2, FALSE)</f>
        <v>EGYPT ESTATE</v>
      </c>
      <c r="N129" s="6" t="s">
        <v>287</v>
      </c>
      <c r="O129" s="6"/>
      <c r="P129" s="6"/>
      <c r="Q129" s="6"/>
      <c r="R129" s="6"/>
      <c r="S129" s="6"/>
      <c r="T129" s="6"/>
      <c r="U129" s="6"/>
      <c r="V129" s="6"/>
      <c r="W129" s="6"/>
      <c r="X129" s="6"/>
      <c r="Y129" s="6"/>
      <c r="Z129" s="6"/>
      <c r="AA129" s="6"/>
      <c r="AB129" s="6"/>
      <c r="AC129" s="6"/>
      <c r="AD129" s="6"/>
      <c r="AE129" s="6"/>
    </row>
    <row r="130" spans="1:31" ht="38.25" x14ac:dyDescent="0.2">
      <c r="A130" s="6" t="s">
        <v>1365</v>
      </c>
      <c r="B130" s="6" t="s">
        <v>1367</v>
      </c>
      <c r="C130" s="20" t="s">
        <v>1368</v>
      </c>
      <c r="D130" s="6" t="s">
        <v>1369</v>
      </c>
      <c r="E130" s="6"/>
      <c r="F130" s="6" t="s">
        <v>1370</v>
      </c>
      <c r="G130" s="6" t="s">
        <v>1371</v>
      </c>
      <c r="H130" s="6" t="str">
        <f t="shared" ref="H130:H131" si="8">CONCATENATE(F130," (",G130,")")</f>
        <v>EGYPT LUCY
EGYPT MIRTILLA (P3
P97)</v>
      </c>
      <c r="I130" s="6" t="s">
        <v>784</v>
      </c>
      <c r="J130" s="6"/>
      <c r="K130" s="6"/>
      <c r="L130" s="6" t="s">
        <v>55</v>
      </c>
      <c r="M130" s="6" t="str">
        <f>VLOOKUP(L130, GLOSSARY!$A:$C, 2, FALSE)</f>
        <v>EGYPT ESTATE</v>
      </c>
      <c r="N130" s="6" t="s">
        <v>68</v>
      </c>
      <c r="O130" s="6"/>
      <c r="P130" s="6"/>
      <c r="Q130" s="6"/>
      <c r="R130" s="6"/>
      <c r="S130" s="6"/>
      <c r="T130" s="6"/>
      <c r="U130" s="6"/>
      <c r="V130" s="6"/>
      <c r="W130" s="6"/>
      <c r="X130" s="6"/>
      <c r="Y130" s="6"/>
      <c r="Z130" s="6"/>
      <c r="AA130" s="6"/>
      <c r="AB130" s="6"/>
      <c r="AC130" s="6"/>
      <c r="AD130" s="6"/>
      <c r="AE130" s="6"/>
    </row>
    <row r="131" spans="1:31" ht="114.75" x14ac:dyDescent="0.2">
      <c r="A131" s="6" t="s">
        <v>1374</v>
      </c>
      <c r="B131" s="6" t="s">
        <v>1375</v>
      </c>
      <c r="C131" s="40" t="s">
        <v>1376</v>
      </c>
      <c r="D131" s="6" t="s">
        <v>1377</v>
      </c>
      <c r="E131" s="6"/>
      <c r="F131" s="6" t="s">
        <v>1379</v>
      </c>
      <c r="G131" s="6" t="s">
        <v>1380</v>
      </c>
      <c r="H131" s="6" t="str">
        <f t="shared" si="8"/>
        <v>ELIZABETH ANDERSON
EGYPT LUCY
THE OVERSEER (P76
P3
P43)</v>
      </c>
      <c r="I131" s="6" t="s">
        <v>533</v>
      </c>
      <c r="J131" s="6"/>
      <c r="K131" s="6"/>
      <c r="L131" s="6" t="s">
        <v>1381</v>
      </c>
      <c r="M131" s="6" t="s">
        <v>1382</v>
      </c>
      <c r="N131" s="6" t="s">
        <v>68</v>
      </c>
      <c r="O131" s="6"/>
      <c r="P131" s="6"/>
      <c r="Q131" s="6"/>
      <c r="R131" s="6"/>
      <c r="S131" s="6"/>
      <c r="T131" s="6"/>
      <c r="U131" s="6"/>
      <c r="V131" s="6"/>
      <c r="W131" s="6"/>
      <c r="X131" s="6"/>
      <c r="Y131" s="6"/>
      <c r="Z131" s="6"/>
      <c r="AA131" s="6"/>
      <c r="AB131" s="6"/>
      <c r="AC131" s="6"/>
      <c r="AD131" s="6"/>
      <c r="AE131" s="6"/>
    </row>
    <row r="132" spans="1:31" ht="280.5" x14ac:dyDescent="0.2">
      <c r="A132" s="6" t="s">
        <v>776</v>
      </c>
      <c r="B132" s="6" t="s">
        <v>1383</v>
      </c>
      <c r="C132" s="20" t="s">
        <v>1384</v>
      </c>
      <c r="D132" s="6" t="s">
        <v>1385</v>
      </c>
      <c r="E132" s="6"/>
      <c r="F132" s="6" t="s">
        <v>779</v>
      </c>
      <c r="G132" s="6" t="s">
        <v>780</v>
      </c>
      <c r="H132" s="6" t="str">
        <f t="shared" ref="H132:H156" si="9">CONCATENATE(F132,"(",G132,")")</f>
        <v>EGYPT FIELDHANDS(P315)</v>
      </c>
      <c r="I132" s="6" t="s">
        <v>759</v>
      </c>
      <c r="J132" s="6"/>
      <c r="K132" s="6"/>
      <c r="L132" s="6" t="s">
        <v>55</v>
      </c>
      <c r="M132" s="6" t="str">
        <f>VLOOKUP(L132, GLOSSARY!$A:$C, 2, FALSE)</f>
        <v>EGYPT ESTATE</v>
      </c>
      <c r="N132" s="6" t="s">
        <v>68</v>
      </c>
      <c r="O132" s="6"/>
      <c r="P132" s="6"/>
      <c r="Q132" s="6"/>
      <c r="R132" s="6"/>
      <c r="S132" s="6"/>
      <c r="T132" s="6"/>
      <c r="U132" s="6"/>
      <c r="V132" s="6"/>
      <c r="W132" s="6"/>
      <c r="X132" s="6"/>
      <c r="Y132" s="6"/>
      <c r="Z132" s="6"/>
      <c r="AA132" s="6"/>
      <c r="AB132" s="6"/>
      <c r="AC132" s="6"/>
      <c r="AD132" s="6"/>
      <c r="AE132" s="6"/>
    </row>
    <row r="133" spans="1:31" ht="306" x14ac:dyDescent="0.2">
      <c r="A133" s="6" t="s">
        <v>1390</v>
      </c>
      <c r="B133" s="6" t="s">
        <v>1391</v>
      </c>
      <c r="C133" s="20" t="s">
        <v>1392</v>
      </c>
      <c r="D133" s="6" t="s">
        <v>1393</v>
      </c>
      <c r="E133" s="6"/>
      <c r="F133" s="6"/>
      <c r="G133" s="6"/>
      <c r="H133" s="6" t="str">
        <f t="shared" si="9"/>
        <v>()</v>
      </c>
      <c r="I133" s="6" t="s">
        <v>578</v>
      </c>
      <c r="J133" s="6"/>
      <c r="K133" s="6"/>
      <c r="L133" s="6" t="s">
        <v>1394</v>
      </c>
      <c r="M133" s="6" t="str">
        <f>VLOOKUP(L133, GLOSSARY!$A:$C, 2, FALSE)</f>
        <v xml:space="preserve">WILDERNESS </v>
      </c>
      <c r="N133" s="6" t="s">
        <v>287</v>
      </c>
      <c r="O133" s="6"/>
      <c r="P133" s="6"/>
      <c r="Q133" s="6"/>
      <c r="R133" s="6"/>
      <c r="S133" s="6"/>
      <c r="T133" s="6"/>
      <c r="U133" s="6"/>
      <c r="V133" s="6"/>
      <c r="W133" s="6"/>
      <c r="X133" s="6"/>
      <c r="Y133" s="6"/>
      <c r="Z133" s="6"/>
      <c r="AA133" s="6"/>
      <c r="AB133" s="6"/>
      <c r="AC133" s="6"/>
      <c r="AD133" s="6"/>
      <c r="AE133" s="6"/>
    </row>
    <row r="134" spans="1:31" ht="38.25" x14ac:dyDescent="0.2">
      <c r="A134" s="6" t="s">
        <v>1390</v>
      </c>
      <c r="B134" s="6" t="s">
        <v>1395</v>
      </c>
      <c r="C134" s="20" t="s">
        <v>1397</v>
      </c>
      <c r="D134" s="6" t="s">
        <v>1399</v>
      </c>
      <c r="E134" s="6"/>
      <c r="F134" s="6"/>
      <c r="G134" s="6"/>
      <c r="H134" s="6" t="str">
        <f t="shared" si="9"/>
        <v>()</v>
      </c>
      <c r="I134" s="6" t="s">
        <v>578</v>
      </c>
      <c r="J134" s="6"/>
      <c r="K134" s="6"/>
      <c r="L134" s="6" t="s">
        <v>186</v>
      </c>
      <c r="M134" s="6" t="str">
        <f>VLOOKUP(L134, GLOSSARY!$A:$C, 2, FALSE)</f>
        <v xml:space="preserve">WILDERNESS </v>
      </c>
      <c r="N134" s="6" t="s">
        <v>167</v>
      </c>
      <c r="O134" s="6"/>
      <c r="P134" s="6"/>
      <c r="Q134" s="6"/>
      <c r="R134" s="6"/>
      <c r="S134" s="6"/>
      <c r="T134" s="6"/>
      <c r="U134" s="6"/>
      <c r="V134" s="6"/>
      <c r="W134" s="6"/>
      <c r="X134" s="6"/>
      <c r="Y134" s="6"/>
      <c r="Z134" s="6"/>
      <c r="AA134" s="6"/>
      <c r="AB134" s="6"/>
      <c r="AC134" s="6"/>
      <c r="AD134" s="6"/>
      <c r="AE134" s="6"/>
    </row>
    <row r="135" spans="1:31" ht="89.25" x14ac:dyDescent="0.2">
      <c r="A135" s="6" t="s">
        <v>1390</v>
      </c>
      <c r="B135" s="6" t="s">
        <v>1395</v>
      </c>
      <c r="C135" s="20" t="s">
        <v>1402</v>
      </c>
      <c r="D135" s="6" t="s">
        <v>1403</v>
      </c>
      <c r="E135" s="6"/>
      <c r="F135" s="6"/>
      <c r="G135" s="6"/>
      <c r="H135" s="6" t="str">
        <f t="shared" si="9"/>
        <v>()</v>
      </c>
      <c r="I135" s="6" t="s">
        <v>578</v>
      </c>
      <c r="J135" s="6"/>
      <c r="K135" s="6"/>
      <c r="L135" s="6" t="s">
        <v>186</v>
      </c>
      <c r="M135" s="6" t="str">
        <f>VLOOKUP(L135, GLOSSARY!$A:$C, 2, FALSE)</f>
        <v xml:space="preserve">WILDERNESS </v>
      </c>
      <c r="N135" s="6" t="s">
        <v>167</v>
      </c>
      <c r="O135" s="6"/>
      <c r="P135" s="6"/>
      <c r="Q135" s="6"/>
      <c r="R135" s="6"/>
      <c r="S135" s="6"/>
      <c r="T135" s="6"/>
      <c r="U135" s="6"/>
      <c r="V135" s="6"/>
      <c r="W135" s="6"/>
      <c r="X135" s="6"/>
      <c r="Y135" s="6"/>
      <c r="Z135" s="6"/>
      <c r="AA135" s="6"/>
      <c r="AB135" s="6"/>
      <c r="AC135" s="6"/>
      <c r="AD135" s="6"/>
      <c r="AE135" s="6"/>
    </row>
    <row r="136" spans="1:31" ht="89.25" x14ac:dyDescent="0.2">
      <c r="A136" s="6" t="s">
        <v>1390</v>
      </c>
      <c r="B136" s="6" t="s">
        <v>1406</v>
      </c>
      <c r="C136" s="20" t="s">
        <v>1407</v>
      </c>
      <c r="D136" s="6" t="s">
        <v>1408</v>
      </c>
      <c r="E136" s="6"/>
      <c r="F136" s="6"/>
      <c r="G136" s="6"/>
      <c r="H136" s="6" t="str">
        <f t="shared" si="9"/>
        <v>()</v>
      </c>
      <c r="I136" s="6" t="s">
        <v>578</v>
      </c>
      <c r="J136" s="6"/>
      <c r="K136" s="6"/>
      <c r="L136" s="6" t="s">
        <v>55</v>
      </c>
      <c r="M136" s="6" t="str">
        <f>VLOOKUP(L136, GLOSSARY!$A:$C, 2, FALSE)</f>
        <v>EGYPT ESTATE</v>
      </c>
      <c r="N136" s="6" t="s">
        <v>287</v>
      </c>
      <c r="O136" s="6"/>
      <c r="P136" s="6"/>
      <c r="Q136" s="6"/>
      <c r="R136" s="6"/>
      <c r="S136" s="6"/>
      <c r="T136" s="6"/>
      <c r="U136" s="6"/>
      <c r="V136" s="6"/>
      <c r="W136" s="6"/>
      <c r="X136" s="6"/>
      <c r="Y136" s="6"/>
      <c r="Z136" s="6"/>
      <c r="AA136" s="6"/>
      <c r="AB136" s="6"/>
      <c r="AC136" s="6"/>
      <c r="AD136" s="6"/>
      <c r="AE136" s="6"/>
    </row>
    <row r="137" spans="1:31" ht="25.5" x14ac:dyDescent="0.2">
      <c r="A137" s="6" t="s">
        <v>1390</v>
      </c>
      <c r="B137" s="6" t="s">
        <v>1411</v>
      </c>
      <c r="C137" s="20" t="s">
        <v>1412</v>
      </c>
      <c r="D137" s="6" t="s">
        <v>1413</v>
      </c>
      <c r="E137" s="6"/>
      <c r="F137" s="6"/>
      <c r="G137" s="6"/>
      <c r="H137" s="6" t="str">
        <f t="shared" si="9"/>
        <v>()</v>
      </c>
      <c r="I137" s="6" t="s">
        <v>578</v>
      </c>
      <c r="J137" s="6"/>
      <c r="K137" s="6"/>
      <c r="L137" s="6" t="s">
        <v>55</v>
      </c>
      <c r="M137" s="6" t="str">
        <f>VLOOKUP(L137, GLOSSARY!$A:$C, 2, FALSE)</f>
        <v>EGYPT ESTATE</v>
      </c>
      <c r="N137" s="6" t="s">
        <v>68</v>
      </c>
      <c r="O137" s="6"/>
      <c r="P137" s="6"/>
      <c r="Q137" s="6"/>
      <c r="R137" s="6"/>
      <c r="S137" s="6"/>
      <c r="T137" s="6"/>
      <c r="U137" s="6"/>
      <c r="V137" s="6"/>
      <c r="W137" s="6"/>
      <c r="X137" s="6"/>
      <c r="Y137" s="6"/>
      <c r="Z137" s="6"/>
      <c r="AA137" s="6"/>
      <c r="AB137" s="6"/>
      <c r="AC137" s="6"/>
      <c r="AD137" s="6"/>
      <c r="AE137" s="6"/>
    </row>
    <row r="138" spans="1:31" ht="89.25" x14ac:dyDescent="0.2">
      <c r="A138" s="6" t="s">
        <v>1390</v>
      </c>
      <c r="B138" s="6" t="s">
        <v>1411</v>
      </c>
      <c r="C138" s="20" t="s">
        <v>1412</v>
      </c>
      <c r="D138" s="6" t="s">
        <v>1417</v>
      </c>
      <c r="E138" s="6"/>
      <c r="F138" s="6"/>
      <c r="G138" s="6"/>
      <c r="H138" s="6" t="str">
        <f t="shared" si="9"/>
        <v>()</v>
      </c>
      <c r="I138" s="6" t="s">
        <v>578</v>
      </c>
      <c r="J138" s="6"/>
      <c r="K138" s="6"/>
      <c r="L138" s="6" t="s">
        <v>55</v>
      </c>
      <c r="M138" s="6" t="str">
        <f>VLOOKUP(L138, GLOSSARY!$A:$C, 2, FALSE)</f>
        <v>EGYPT ESTATE</v>
      </c>
      <c r="N138" s="6" t="s">
        <v>287</v>
      </c>
      <c r="O138" s="6"/>
      <c r="P138" s="6"/>
      <c r="Q138" s="6"/>
      <c r="R138" s="6"/>
      <c r="S138" s="6"/>
      <c r="T138" s="6"/>
      <c r="U138" s="6"/>
      <c r="V138" s="6"/>
      <c r="W138" s="6"/>
      <c r="X138" s="6"/>
      <c r="Y138" s="6"/>
      <c r="Z138" s="6"/>
      <c r="AA138" s="6"/>
      <c r="AB138" s="6"/>
      <c r="AC138" s="6"/>
      <c r="AD138" s="6"/>
      <c r="AE138" s="6"/>
    </row>
    <row r="139" spans="1:31" ht="25.5" x14ac:dyDescent="0.2">
      <c r="A139" s="6" t="s">
        <v>1390</v>
      </c>
      <c r="B139" s="6" t="s">
        <v>1421</v>
      </c>
      <c r="C139" s="20" t="s">
        <v>1422</v>
      </c>
      <c r="D139" s="6" t="s">
        <v>1423</v>
      </c>
      <c r="E139" s="6"/>
      <c r="F139" s="6"/>
      <c r="G139" s="6"/>
      <c r="H139" s="6" t="str">
        <f t="shared" si="9"/>
        <v>()</v>
      </c>
      <c r="I139" s="6" t="s">
        <v>578</v>
      </c>
      <c r="J139" s="6"/>
      <c r="K139" s="6"/>
      <c r="L139" s="6" t="s">
        <v>55</v>
      </c>
      <c r="M139" s="6" t="str">
        <f>VLOOKUP(L139, GLOSSARY!$A:$C, 2, FALSE)</f>
        <v>EGYPT ESTATE</v>
      </c>
      <c r="N139" s="6" t="s">
        <v>68</v>
      </c>
      <c r="O139" s="6"/>
      <c r="P139" s="6"/>
      <c r="Q139" s="6"/>
      <c r="R139" s="6"/>
      <c r="S139" s="6"/>
      <c r="T139" s="6"/>
      <c r="U139" s="6"/>
      <c r="V139" s="6"/>
      <c r="W139" s="6"/>
      <c r="X139" s="6"/>
      <c r="Y139" s="6"/>
      <c r="Z139" s="6"/>
      <c r="AA139" s="6"/>
      <c r="AB139" s="6"/>
      <c r="AC139" s="6"/>
      <c r="AD139" s="6"/>
      <c r="AE139" s="6"/>
    </row>
    <row r="140" spans="1:31" ht="51" x14ac:dyDescent="0.2">
      <c r="A140" s="6" t="s">
        <v>1390</v>
      </c>
      <c r="B140" s="6" t="s">
        <v>1421</v>
      </c>
      <c r="C140" s="20" t="s">
        <v>1425</v>
      </c>
      <c r="D140" s="6" t="s">
        <v>1426</v>
      </c>
      <c r="E140" s="6"/>
      <c r="F140" s="6"/>
      <c r="G140" s="6"/>
      <c r="H140" s="6" t="str">
        <f t="shared" si="9"/>
        <v>()</v>
      </c>
      <c r="I140" s="6" t="s">
        <v>578</v>
      </c>
      <c r="J140" s="6"/>
      <c r="K140" s="6"/>
      <c r="L140" s="6" t="s">
        <v>55</v>
      </c>
      <c r="M140" s="6" t="str">
        <f>VLOOKUP(L140, GLOSSARY!$A:$C, 2, FALSE)</f>
        <v>EGYPT ESTATE</v>
      </c>
      <c r="N140" s="6" t="s">
        <v>287</v>
      </c>
      <c r="O140" s="6"/>
      <c r="P140" s="6"/>
      <c r="Q140" s="6"/>
      <c r="R140" s="6"/>
      <c r="S140" s="6"/>
      <c r="T140" s="6"/>
      <c r="U140" s="6"/>
      <c r="V140" s="6"/>
      <c r="W140" s="6"/>
      <c r="X140" s="6"/>
      <c r="Y140" s="6"/>
      <c r="Z140" s="6"/>
      <c r="AA140" s="6"/>
      <c r="AB140" s="6"/>
      <c r="AC140" s="6"/>
      <c r="AD140" s="6"/>
      <c r="AE140" s="6"/>
    </row>
    <row r="141" spans="1:31" ht="89.25" x14ac:dyDescent="0.2">
      <c r="A141" s="6" t="s">
        <v>1390</v>
      </c>
      <c r="B141" s="6" t="s">
        <v>1428</v>
      </c>
      <c r="C141" s="20" t="s">
        <v>1429</v>
      </c>
      <c r="D141" s="6" t="s">
        <v>1430</v>
      </c>
      <c r="E141" s="6"/>
      <c r="F141" s="6"/>
      <c r="G141" s="6"/>
      <c r="H141" s="6" t="str">
        <f t="shared" si="9"/>
        <v>()</v>
      </c>
      <c r="I141" s="6" t="s">
        <v>578</v>
      </c>
      <c r="J141" s="6"/>
      <c r="K141" s="6"/>
      <c r="L141" s="6" t="s">
        <v>55</v>
      </c>
      <c r="M141" s="6" t="str">
        <f>VLOOKUP(L141, GLOSSARY!$A:$C, 2, FALSE)</f>
        <v>EGYPT ESTATE</v>
      </c>
      <c r="N141" s="6" t="s">
        <v>68</v>
      </c>
      <c r="O141" s="6"/>
      <c r="P141" s="6"/>
      <c r="Q141" s="6"/>
      <c r="R141" s="6"/>
      <c r="S141" s="6"/>
      <c r="T141" s="6"/>
      <c r="U141" s="6"/>
      <c r="V141" s="6"/>
      <c r="W141" s="6"/>
      <c r="X141" s="6"/>
      <c r="Y141" s="6"/>
      <c r="Z141" s="6"/>
      <c r="AA141" s="6"/>
      <c r="AB141" s="6"/>
      <c r="AC141" s="6"/>
      <c r="AD141" s="6"/>
      <c r="AE141" s="6"/>
    </row>
    <row r="142" spans="1:31" ht="165.75" x14ac:dyDescent="0.2">
      <c r="A142" s="6" t="s">
        <v>1433</v>
      </c>
      <c r="B142" s="6" t="s">
        <v>1434</v>
      </c>
      <c r="C142" s="20" t="s">
        <v>1436</v>
      </c>
      <c r="D142" s="6" t="s">
        <v>1438</v>
      </c>
      <c r="E142" s="6"/>
      <c r="F142" s="6" t="s">
        <v>1439</v>
      </c>
      <c r="G142" s="6" t="s">
        <v>1440</v>
      </c>
      <c r="H142" s="6" t="str">
        <f t="shared" si="9"/>
        <v>THE OVERSEER
PHILKP HAWTHORNE
MAJOR CHAMBERS
MR. BLYTHE(P43
P405
P406
P407)</v>
      </c>
      <c r="I142" s="6" t="s">
        <v>248</v>
      </c>
      <c r="J142" s="6"/>
      <c r="K142" s="6"/>
      <c r="L142" s="6" t="s">
        <v>55</v>
      </c>
      <c r="M142" s="6" t="str">
        <f>VLOOKUP(L142, GLOSSARY!$A:$C, 2, FALSE)</f>
        <v>EGYPT ESTATE</v>
      </c>
      <c r="N142" s="6" t="s">
        <v>68</v>
      </c>
      <c r="O142" s="6"/>
      <c r="P142" s="6"/>
      <c r="Q142" s="6"/>
      <c r="R142" s="6"/>
      <c r="S142" s="6"/>
      <c r="T142" s="6"/>
      <c r="U142" s="6"/>
      <c r="V142" s="6"/>
      <c r="W142" s="6"/>
      <c r="X142" s="6"/>
      <c r="Y142" s="6"/>
      <c r="Z142" s="6"/>
      <c r="AA142" s="6"/>
      <c r="AB142" s="6"/>
      <c r="AC142" s="6"/>
      <c r="AD142" s="6"/>
      <c r="AE142" s="6"/>
    </row>
    <row r="143" spans="1:31" ht="25.5" x14ac:dyDescent="0.2">
      <c r="A143" s="6" t="s">
        <v>1390</v>
      </c>
      <c r="B143" s="6" t="s">
        <v>1443</v>
      </c>
      <c r="C143" s="20" t="s">
        <v>1444</v>
      </c>
      <c r="D143" s="6" t="s">
        <v>1445</v>
      </c>
      <c r="E143" s="6"/>
      <c r="F143" s="6"/>
      <c r="G143" s="6"/>
      <c r="H143" s="6" t="str">
        <f t="shared" si="9"/>
        <v>()</v>
      </c>
      <c r="I143" s="6" t="s">
        <v>578</v>
      </c>
      <c r="J143" s="6"/>
      <c r="K143" s="6"/>
      <c r="L143" s="6" t="s">
        <v>55</v>
      </c>
      <c r="M143" s="6" t="str">
        <f>VLOOKUP(L143, GLOSSARY!$A:$C, 2, FALSE)</f>
        <v>EGYPT ESTATE</v>
      </c>
      <c r="N143" s="6" t="s">
        <v>68</v>
      </c>
      <c r="O143" s="6"/>
      <c r="P143" s="6"/>
      <c r="Q143" s="6"/>
      <c r="R143" s="6"/>
      <c r="S143" s="6"/>
      <c r="T143" s="6"/>
      <c r="U143" s="6"/>
      <c r="V143" s="6"/>
      <c r="W143" s="6"/>
      <c r="X143" s="6"/>
      <c r="Y143" s="6"/>
      <c r="Z143" s="6"/>
      <c r="AA143" s="6"/>
      <c r="AB143" s="6"/>
      <c r="AC143" s="6"/>
      <c r="AD143" s="6"/>
      <c r="AE143" s="6"/>
    </row>
    <row r="144" spans="1:31" ht="89.25" x14ac:dyDescent="0.2">
      <c r="A144" s="6" t="s">
        <v>1390</v>
      </c>
      <c r="B144" s="6" t="s">
        <v>1443</v>
      </c>
      <c r="C144" s="20" t="s">
        <v>1447</v>
      </c>
      <c r="D144" s="6" t="s">
        <v>1448</v>
      </c>
      <c r="E144" s="6"/>
      <c r="F144" s="6" t="s">
        <v>1449</v>
      </c>
      <c r="G144" s="6" t="s">
        <v>1450</v>
      </c>
      <c r="H144" s="6" t="str">
        <f t="shared" si="9"/>
        <v>THE OVERSEER
EGYPT FIELDHANDS(P43
P315)</v>
      </c>
      <c r="I144" s="6" t="s">
        <v>578</v>
      </c>
      <c r="J144" s="6"/>
      <c r="K144" s="6"/>
      <c r="L144" s="6" t="s">
        <v>55</v>
      </c>
      <c r="M144" s="6" t="str">
        <f>VLOOKUP(L144, GLOSSARY!$A:$C, 2, FALSE)</f>
        <v>EGYPT ESTATE</v>
      </c>
      <c r="N144" s="6" t="s">
        <v>68</v>
      </c>
      <c r="O144" s="6"/>
      <c r="P144" s="6"/>
      <c r="Q144" s="6"/>
      <c r="R144" s="6"/>
      <c r="S144" s="6"/>
      <c r="T144" s="6"/>
      <c r="U144" s="6"/>
      <c r="V144" s="6"/>
      <c r="W144" s="6"/>
      <c r="X144" s="6"/>
      <c r="Y144" s="6"/>
      <c r="Z144" s="6"/>
      <c r="AA144" s="6"/>
      <c r="AB144" s="6"/>
      <c r="AC144" s="6"/>
      <c r="AD144" s="6"/>
      <c r="AE144" s="6"/>
    </row>
    <row r="145" spans="1:31" ht="38.25" x14ac:dyDescent="0.2">
      <c r="A145" s="6" t="s">
        <v>1390</v>
      </c>
      <c r="B145" s="6" t="s">
        <v>1453</v>
      </c>
      <c r="C145" s="20" t="s">
        <v>1454</v>
      </c>
      <c r="D145" s="6" t="s">
        <v>1455</v>
      </c>
      <c r="E145" s="6"/>
      <c r="F145" s="6" t="s">
        <v>779</v>
      </c>
      <c r="G145" s="6" t="s">
        <v>780</v>
      </c>
      <c r="H145" s="6" t="str">
        <f t="shared" si="9"/>
        <v>EGYPT FIELDHANDS(P315)</v>
      </c>
      <c r="I145" s="6" t="s">
        <v>578</v>
      </c>
      <c r="J145" s="6"/>
      <c r="K145" s="6"/>
      <c r="L145" s="6" t="s">
        <v>55</v>
      </c>
      <c r="M145" s="6" t="str">
        <f>VLOOKUP(L145, GLOSSARY!$A:$C, 2, FALSE)</f>
        <v>EGYPT ESTATE</v>
      </c>
      <c r="N145" s="6"/>
      <c r="O145" s="6"/>
      <c r="P145" s="6"/>
      <c r="Q145" s="6"/>
      <c r="R145" s="6"/>
      <c r="S145" s="6"/>
      <c r="T145" s="6"/>
      <c r="U145" s="6"/>
      <c r="V145" s="6"/>
      <c r="W145" s="6"/>
      <c r="X145" s="6"/>
      <c r="Y145" s="6"/>
      <c r="Z145" s="6"/>
      <c r="AA145" s="6"/>
      <c r="AB145" s="6"/>
      <c r="AC145" s="6"/>
      <c r="AD145" s="6"/>
      <c r="AE145" s="6"/>
    </row>
    <row r="146" spans="1:31" ht="51" x14ac:dyDescent="0.2">
      <c r="A146" s="6" t="s">
        <v>1390</v>
      </c>
      <c r="B146" s="6" t="s">
        <v>1453</v>
      </c>
      <c r="C146" s="20" t="s">
        <v>1459</v>
      </c>
      <c r="D146" s="6" t="s">
        <v>1460</v>
      </c>
      <c r="E146" s="6"/>
      <c r="F146" s="6" t="s">
        <v>779</v>
      </c>
      <c r="G146" s="6" t="s">
        <v>780</v>
      </c>
      <c r="H146" s="6" t="str">
        <f t="shared" si="9"/>
        <v>EGYPT FIELDHANDS(P315)</v>
      </c>
      <c r="I146" s="6" t="s">
        <v>578</v>
      </c>
      <c r="J146" s="6"/>
      <c r="K146" s="6"/>
      <c r="L146" s="6" t="s">
        <v>55</v>
      </c>
      <c r="M146" s="6" t="str">
        <f>VLOOKUP(L146, GLOSSARY!$A:$C, 2, FALSE)</f>
        <v>EGYPT ESTATE</v>
      </c>
      <c r="N146" s="6"/>
      <c r="O146" s="6"/>
      <c r="P146" s="6"/>
      <c r="Q146" s="6"/>
      <c r="R146" s="6"/>
      <c r="S146" s="6"/>
      <c r="T146" s="6"/>
      <c r="U146" s="6"/>
      <c r="V146" s="6"/>
      <c r="W146" s="6"/>
      <c r="X146" s="6"/>
      <c r="Y146" s="6"/>
      <c r="Z146" s="6"/>
      <c r="AA146" s="6"/>
      <c r="AB146" s="6"/>
      <c r="AC146" s="6"/>
      <c r="AD146" s="6"/>
      <c r="AE146" s="6"/>
    </row>
    <row r="147" spans="1:31" ht="25.5" x14ac:dyDescent="0.2">
      <c r="A147" s="6" t="s">
        <v>1390</v>
      </c>
      <c r="B147" s="6" t="s">
        <v>1462</v>
      </c>
      <c r="C147" s="20" t="s">
        <v>1463</v>
      </c>
      <c r="D147" s="6" t="s">
        <v>1464</v>
      </c>
      <c r="E147" s="6"/>
      <c r="F147" s="6"/>
      <c r="G147" s="6"/>
      <c r="H147" s="6" t="str">
        <f t="shared" si="9"/>
        <v>()</v>
      </c>
      <c r="I147" s="6" t="s">
        <v>578</v>
      </c>
      <c r="J147" s="6"/>
      <c r="K147" s="6"/>
      <c r="L147" s="6"/>
      <c r="M147" s="6" t="e">
        <f>VLOOKUP(L147, GLOSSARY!$A:$C, 2, FALSE)</f>
        <v>#N/A</v>
      </c>
      <c r="N147" s="6"/>
      <c r="O147" s="6"/>
      <c r="P147" s="6"/>
      <c r="Q147" s="6"/>
      <c r="R147" s="6"/>
      <c r="S147" s="6"/>
      <c r="T147" s="6"/>
      <c r="U147" s="6"/>
      <c r="V147" s="6"/>
      <c r="W147" s="6"/>
      <c r="X147" s="6"/>
      <c r="Y147" s="6"/>
      <c r="Z147" s="6"/>
      <c r="AA147" s="6"/>
      <c r="AB147" s="6"/>
      <c r="AC147" s="6"/>
      <c r="AD147" s="6"/>
      <c r="AE147" s="6"/>
    </row>
    <row r="148" spans="1:31" ht="267.75" x14ac:dyDescent="0.2">
      <c r="A148" s="6" t="s">
        <v>1467</v>
      </c>
      <c r="B148" s="6" t="s">
        <v>1468</v>
      </c>
      <c r="C148" s="20" t="s">
        <v>1469</v>
      </c>
      <c r="D148" s="6" t="s">
        <v>1470</v>
      </c>
      <c r="E148" s="6"/>
      <c r="F148" s="6" t="s">
        <v>1471</v>
      </c>
      <c r="G148" s="6" t="s">
        <v>1472</v>
      </c>
      <c r="H148" s="6" t="str">
        <f t="shared" si="9"/>
        <v>SAMUEL] MATHEWS
PLATO
LONDON
PORT ROYAL
CYRUS
EGYPT LUCY
AGNES
JENNY
HANAH
CHRISHEA
ABIGAIL(P79
P208
P249
P25
P210
P3
P124
P104
P221
P126
P118)</v>
      </c>
      <c r="I148" s="6" t="s">
        <v>578</v>
      </c>
      <c r="J148" s="6"/>
      <c r="K148" s="6"/>
      <c r="L148" s="6" t="s">
        <v>55</v>
      </c>
      <c r="M148" s="6" t="str">
        <f>VLOOKUP(L148, GLOSSARY!$A:$C, 2, FALSE)</f>
        <v>EGYPT ESTATE</v>
      </c>
      <c r="N148" s="6"/>
      <c r="O148" s="6"/>
      <c r="P148" s="6"/>
      <c r="Q148" s="6"/>
      <c r="R148" s="6"/>
      <c r="S148" s="6"/>
      <c r="T148" s="6"/>
      <c r="U148" s="6"/>
      <c r="V148" s="6"/>
      <c r="W148" s="6"/>
      <c r="X148" s="6"/>
      <c r="Y148" s="6"/>
      <c r="Z148" s="6"/>
      <c r="AA148" s="6"/>
      <c r="AB148" s="6"/>
      <c r="AC148" s="6"/>
      <c r="AD148" s="6"/>
      <c r="AE148" s="6"/>
    </row>
    <row r="149" spans="1:31" ht="51" x14ac:dyDescent="0.2">
      <c r="A149" s="6" t="s">
        <v>1390</v>
      </c>
      <c r="B149" s="6" t="s">
        <v>1476</v>
      </c>
      <c r="C149" s="20" t="s">
        <v>1477</v>
      </c>
      <c r="D149" s="6" t="s">
        <v>1478</v>
      </c>
      <c r="E149" s="6"/>
      <c r="F149" s="6"/>
      <c r="G149" s="6"/>
      <c r="H149" s="6" t="str">
        <f t="shared" si="9"/>
        <v>()</v>
      </c>
      <c r="I149" s="6" t="s">
        <v>578</v>
      </c>
      <c r="J149" s="6"/>
      <c r="K149" s="6"/>
      <c r="L149" s="6" t="s">
        <v>785</v>
      </c>
      <c r="M149" s="6" t="str">
        <f>VLOOKUP(L149, GLOSSARY!$A:$C, 2, FALSE)</f>
        <v>EGYPT ESTATE</v>
      </c>
      <c r="N149" s="6" t="s">
        <v>1481</v>
      </c>
      <c r="O149" s="6"/>
      <c r="P149" s="6"/>
      <c r="Q149" s="6"/>
      <c r="R149" s="6"/>
      <c r="S149" s="6"/>
      <c r="T149" s="6"/>
      <c r="U149" s="6"/>
      <c r="V149" s="6"/>
      <c r="W149" s="6"/>
      <c r="X149" s="6"/>
      <c r="Y149" s="6"/>
      <c r="Z149" s="6"/>
      <c r="AA149" s="6"/>
      <c r="AB149" s="6"/>
      <c r="AC149" s="6"/>
      <c r="AD149" s="6"/>
      <c r="AE149" s="6"/>
    </row>
    <row r="150" spans="1:31" ht="306" x14ac:dyDescent="0.2">
      <c r="A150" s="6" t="s">
        <v>1482</v>
      </c>
      <c r="B150" s="6" t="s">
        <v>1484</v>
      </c>
      <c r="C150" s="20" t="s">
        <v>1477</v>
      </c>
      <c r="D150" s="6" t="s">
        <v>1486</v>
      </c>
      <c r="E150" s="6"/>
      <c r="F150" s="6" t="s">
        <v>1487</v>
      </c>
      <c r="G150" s="6" t="s">
        <v>1488</v>
      </c>
      <c r="H150" s="6" t="str">
        <f t="shared" si="9"/>
        <v>PUNCH
PERO
BENJAMIN
HANNAH
MOUNTAIN LUCY
CYNTHIA
WANGA
BASHEBA
LYDIA
MOUNTAIN SUSANAH
MAZARINE
BECK
(P348
P336
P413
P221
P30
P77
P27
P218
P480
P254
P123
P361)</v>
      </c>
      <c r="I150" s="6" t="s">
        <v>784</v>
      </c>
      <c r="J150" s="6"/>
      <c r="K150" s="6"/>
      <c r="L150" s="6" t="s">
        <v>55</v>
      </c>
      <c r="M150" s="6" t="str">
        <f>VLOOKUP(L150, GLOSSARY!$A:$C, 2, FALSE)</f>
        <v>EGYPT ESTATE</v>
      </c>
      <c r="N150" s="6" t="s">
        <v>68</v>
      </c>
      <c r="O150" s="6"/>
      <c r="P150" s="6"/>
      <c r="Q150" s="6"/>
      <c r="R150" s="6"/>
      <c r="S150" s="6"/>
      <c r="T150" s="6"/>
      <c r="U150" s="6"/>
      <c r="V150" s="6"/>
      <c r="W150" s="6"/>
      <c r="X150" s="6"/>
      <c r="Y150" s="6"/>
      <c r="Z150" s="6"/>
      <c r="AA150" s="6"/>
      <c r="AB150" s="6"/>
      <c r="AC150" s="6"/>
      <c r="AD150" s="6"/>
      <c r="AE150" s="6"/>
    </row>
    <row r="151" spans="1:31" ht="38.25" x14ac:dyDescent="0.2">
      <c r="A151" s="6" t="s">
        <v>1390</v>
      </c>
      <c r="B151" s="6" t="s">
        <v>1476</v>
      </c>
      <c r="C151" s="20" t="s">
        <v>1492</v>
      </c>
      <c r="D151" s="6" t="s">
        <v>1493</v>
      </c>
      <c r="E151" s="6"/>
      <c r="F151" s="6"/>
      <c r="G151" s="6"/>
      <c r="H151" s="6" t="str">
        <f t="shared" si="9"/>
        <v>()</v>
      </c>
      <c r="I151" s="6" t="s">
        <v>578</v>
      </c>
      <c r="J151" s="6"/>
      <c r="K151" s="6"/>
      <c r="L151" s="6" t="s">
        <v>55</v>
      </c>
      <c r="M151" s="6" t="str">
        <f>VLOOKUP(L151, GLOSSARY!$A:$C, 2, FALSE)</f>
        <v>EGYPT ESTATE</v>
      </c>
      <c r="N151" s="6" t="s">
        <v>167</v>
      </c>
      <c r="O151" s="6"/>
      <c r="P151" s="6"/>
      <c r="Q151" s="6"/>
      <c r="R151" s="6"/>
      <c r="S151" s="6"/>
      <c r="T151" s="6"/>
      <c r="U151" s="6"/>
      <c r="V151" s="6"/>
      <c r="W151" s="6"/>
      <c r="X151" s="6"/>
      <c r="Y151" s="6"/>
      <c r="Z151" s="6"/>
      <c r="AA151" s="6"/>
      <c r="AB151" s="6"/>
      <c r="AC151" s="6"/>
      <c r="AD151" s="6"/>
      <c r="AE151" s="6"/>
    </row>
    <row r="152" spans="1:31" ht="318.75" x14ac:dyDescent="0.2">
      <c r="A152" s="6" t="s">
        <v>1497</v>
      </c>
      <c r="B152" s="6" t="s">
        <v>1498</v>
      </c>
      <c r="C152" s="20" t="s">
        <v>1492</v>
      </c>
      <c r="D152" s="6" t="s">
        <v>1499</v>
      </c>
      <c r="E152" s="6"/>
      <c r="F152" s="6" t="s">
        <v>1500</v>
      </c>
      <c r="G152" s="6" t="s">
        <v>1501</v>
      </c>
      <c r="H152" s="6" t="str">
        <f t="shared" si="9"/>
        <v>"PUNCH
PERO
BENJAMIN
HANNAH
MOUNTAIN LUCY
CYNTHIA
WONGA
BASHEBA
LYDIA
MOUNTAIN SUSANAH
MAZARINE
BECK
THE OVERSEER(P348
P336
P413
P221
P30
P77
P27
P218
P480
P254
P123
P361
P43)</v>
      </c>
      <c r="I152" s="6" t="s">
        <v>784</v>
      </c>
      <c r="J152" s="6"/>
      <c r="K152" s="6"/>
      <c r="L152" s="6" t="s">
        <v>55</v>
      </c>
      <c r="M152" s="6" t="str">
        <f>VLOOKUP(L152, GLOSSARY!$A:$C, 2, FALSE)</f>
        <v>EGYPT ESTATE</v>
      </c>
      <c r="N152" s="6" t="s">
        <v>68</v>
      </c>
      <c r="O152" s="6"/>
      <c r="P152" s="6"/>
      <c r="Q152" s="6"/>
      <c r="R152" s="6"/>
      <c r="S152" s="6"/>
      <c r="T152" s="6"/>
      <c r="U152" s="6"/>
      <c r="V152" s="6"/>
      <c r="W152" s="6"/>
      <c r="X152" s="6"/>
      <c r="Y152" s="6"/>
      <c r="Z152" s="6"/>
      <c r="AA152" s="6"/>
      <c r="AB152" s="6"/>
      <c r="AC152" s="6"/>
      <c r="AD152" s="6"/>
      <c r="AE152" s="6"/>
    </row>
    <row r="153" spans="1:31" ht="114.75" x14ac:dyDescent="0.2">
      <c r="A153" s="6" t="s">
        <v>1390</v>
      </c>
      <c r="B153" s="6" t="s">
        <v>1504</v>
      </c>
      <c r="C153" s="20" t="s">
        <v>1505</v>
      </c>
      <c r="D153" s="6" t="s">
        <v>1506</v>
      </c>
      <c r="E153" s="6"/>
      <c r="F153" s="6" t="s">
        <v>1507</v>
      </c>
      <c r="G153" s="6" t="s">
        <v>1508</v>
      </c>
      <c r="H153" s="6" t="str">
        <f t="shared" si="9"/>
        <v>PLATO
PORT ROYAL
LONDON(P208
P212
P249)</v>
      </c>
      <c r="I153" s="6" t="s">
        <v>578</v>
      </c>
      <c r="J153" s="6"/>
      <c r="K153" s="6"/>
      <c r="L153" s="6" t="s">
        <v>55</v>
      </c>
      <c r="M153" s="6" t="str">
        <f>VLOOKUP(L153, GLOSSARY!$A:$C, 2, FALSE)</f>
        <v>EGYPT ESTATE</v>
      </c>
      <c r="N153" s="6" t="s">
        <v>68</v>
      </c>
      <c r="O153" s="6"/>
      <c r="P153" s="6"/>
      <c r="Q153" s="6"/>
      <c r="R153" s="6"/>
      <c r="S153" s="6"/>
      <c r="T153" s="6"/>
      <c r="U153" s="6"/>
      <c r="V153" s="6"/>
      <c r="W153" s="6"/>
      <c r="X153" s="6"/>
      <c r="Y153" s="6"/>
      <c r="Z153" s="6"/>
      <c r="AA153" s="6"/>
      <c r="AB153" s="6"/>
      <c r="AC153" s="6"/>
      <c r="AD153" s="6"/>
      <c r="AE153" s="6"/>
    </row>
    <row r="154" spans="1:31" ht="344.25" x14ac:dyDescent="0.2">
      <c r="A154" s="6" t="s">
        <v>1512</v>
      </c>
      <c r="B154" s="6" t="s">
        <v>1513</v>
      </c>
      <c r="C154" s="20" t="s">
        <v>1514</v>
      </c>
      <c r="D154" s="6" t="s">
        <v>1515</v>
      </c>
      <c r="E154" s="6"/>
      <c r="F154" s="6" t="s">
        <v>1517</v>
      </c>
      <c r="G154" s="6" t="s">
        <v>1519</v>
      </c>
      <c r="H154" s="6" t="str">
        <f t="shared" si="9"/>
        <v>"PUNCH
PERO
BENJAMIN
HANNAH
MOUNTAIN LUCY
CYNTHIA
WONGA
BASHEBA
LYDIA
MOUNTAIN SUSANAH
MAZARINE
BECK
THE OVERSEER
WILLIAM DORRILL(P348
P336
P413
P221
P30
P77
P27
P218
P480
P254
P123
P361
P43
P75)</v>
      </c>
      <c r="I154" s="6" t="s">
        <v>957</v>
      </c>
      <c r="J154" s="6"/>
      <c r="K154" s="6"/>
      <c r="L154" s="6" t="s">
        <v>93</v>
      </c>
      <c r="M154" s="6" t="str">
        <f>VLOOKUP(L154, GLOSSARY!$A:$C, 2, FALSE)</f>
        <v>SALT RIVER ESTATE</v>
      </c>
      <c r="N154" s="6" t="s">
        <v>68</v>
      </c>
      <c r="O154" s="6"/>
      <c r="P154" s="6"/>
      <c r="Q154" s="6"/>
      <c r="R154" s="6"/>
      <c r="S154" s="6"/>
      <c r="T154" s="6"/>
      <c r="U154" s="6"/>
      <c r="V154" s="6"/>
      <c r="W154" s="6"/>
      <c r="X154" s="6"/>
      <c r="Y154" s="6"/>
      <c r="Z154" s="6"/>
      <c r="AA154" s="6"/>
      <c r="AB154" s="6"/>
      <c r="AC154" s="6"/>
      <c r="AD154" s="6"/>
      <c r="AE154" s="6"/>
    </row>
    <row r="155" spans="1:31" ht="25.5" x14ac:dyDescent="0.2">
      <c r="A155" s="6" t="s">
        <v>1390</v>
      </c>
      <c r="B155" s="6" t="s">
        <v>1504</v>
      </c>
      <c r="C155" s="20" t="s">
        <v>1522</v>
      </c>
      <c r="D155" s="6" t="s">
        <v>1523</v>
      </c>
      <c r="E155" s="6"/>
      <c r="F155" s="6"/>
      <c r="G155" s="6"/>
      <c r="H155" s="6" t="str">
        <f t="shared" si="9"/>
        <v>()</v>
      </c>
      <c r="I155" s="6" t="s">
        <v>578</v>
      </c>
      <c r="J155" s="6"/>
      <c r="K155" s="6"/>
      <c r="L155" s="6" t="s">
        <v>55</v>
      </c>
      <c r="M155" s="6" t="str">
        <f>VLOOKUP(L155, GLOSSARY!$A:$C, 2, FALSE)</f>
        <v>EGYPT ESTATE</v>
      </c>
      <c r="N155" s="6" t="s">
        <v>167</v>
      </c>
      <c r="O155" s="6"/>
      <c r="P155" s="6"/>
      <c r="Q155" s="6"/>
      <c r="R155" s="6"/>
      <c r="S155" s="6"/>
      <c r="T155" s="6"/>
      <c r="U155" s="6"/>
      <c r="V155" s="6"/>
      <c r="W155" s="6"/>
      <c r="X155" s="6"/>
      <c r="Y155" s="6"/>
      <c r="Z155" s="6"/>
      <c r="AA155" s="6"/>
      <c r="AB155" s="6"/>
      <c r="AC155" s="6"/>
      <c r="AD155" s="6"/>
      <c r="AE155" s="6"/>
    </row>
    <row r="156" spans="1:31" ht="293.25" x14ac:dyDescent="0.2">
      <c r="A156" s="6" t="s">
        <v>1512</v>
      </c>
      <c r="B156" s="6" t="s">
        <v>703</v>
      </c>
      <c r="C156" s="20" t="s">
        <v>1522</v>
      </c>
      <c r="D156" s="6" t="s">
        <v>1526</v>
      </c>
      <c r="E156" s="6"/>
      <c r="F156" s="6" t="s">
        <v>1527</v>
      </c>
      <c r="G156" s="6" t="s">
        <v>1488</v>
      </c>
      <c r="H156" s="6" t="str">
        <f t="shared" si="9"/>
        <v>"PUNCH
PERO
BENJAMIN
HANNAH
MOUNTAIN LUCY
CYNTHIA
WONGA
BASHEBA
LYDIA
MOUNTAIN SUSANAH
MAZARINE
BECK(P348
P336
P413
P221
P30
P77
P27
P218
P480
P254
P123
P361)</v>
      </c>
      <c r="I156" s="6" t="s">
        <v>248</v>
      </c>
      <c r="J156" s="6"/>
      <c r="K156" s="6"/>
      <c r="L156" s="6" t="s">
        <v>785</v>
      </c>
      <c r="M156" s="6" t="str">
        <f>VLOOKUP(L156, GLOSSARY!$A:$C, 2, FALSE)</f>
        <v>EGYPT ESTATE</v>
      </c>
      <c r="N156" s="6" t="s">
        <v>68</v>
      </c>
      <c r="O156" s="6"/>
      <c r="P156" s="6"/>
      <c r="Q156" s="6"/>
      <c r="R156" s="6"/>
      <c r="S156" s="6"/>
      <c r="T156" s="6"/>
      <c r="U156" s="6"/>
      <c r="V156" s="6"/>
      <c r="W156" s="6"/>
      <c r="X156" s="6"/>
      <c r="Y156" s="6"/>
      <c r="Z156" s="6"/>
      <c r="AA156" s="6"/>
      <c r="AB156" s="6"/>
      <c r="AC156" s="6"/>
      <c r="AD156" s="6"/>
      <c r="AE156" s="6"/>
    </row>
    <row r="157" spans="1:31" ht="25.5" x14ac:dyDescent="0.2">
      <c r="A157" s="6" t="s">
        <v>1390</v>
      </c>
      <c r="B157" s="6" t="s">
        <v>1504</v>
      </c>
      <c r="C157" s="20" t="s">
        <v>1530</v>
      </c>
      <c r="D157" s="6" t="s">
        <v>1531</v>
      </c>
      <c r="E157" s="6"/>
      <c r="F157" s="6"/>
      <c r="G157" s="6"/>
      <c r="H157" s="6"/>
      <c r="I157" s="6" t="s">
        <v>578</v>
      </c>
      <c r="J157" s="6"/>
      <c r="K157" s="6"/>
      <c r="L157" s="6" t="s">
        <v>55</v>
      </c>
      <c r="M157" s="6" t="str">
        <f>VLOOKUP(L157, GLOSSARY!$A:$C, 2, FALSE)</f>
        <v>EGYPT ESTATE</v>
      </c>
      <c r="N157" s="6" t="s">
        <v>68</v>
      </c>
      <c r="O157" s="6"/>
      <c r="P157" s="6"/>
      <c r="Q157" s="6"/>
      <c r="R157" s="6"/>
      <c r="S157" s="6"/>
      <c r="T157" s="6"/>
      <c r="U157" s="6"/>
      <c r="V157" s="6"/>
      <c r="W157" s="6"/>
      <c r="X157" s="6"/>
      <c r="Y157" s="6"/>
      <c r="Z157" s="6"/>
      <c r="AA157" s="6"/>
      <c r="AB157" s="6"/>
      <c r="AC157" s="6"/>
      <c r="AD157" s="6"/>
      <c r="AE157" s="6"/>
    </row>
    <row r="158" spans="1:31" ht="140.25" x14ac:dyDescent="0.2">
      <c r="A158" s="6" t="s">
        <v>1390</v>
      </c>
      <c r="B158" s="6" t="s">
        <v>1534</v>
      </c>
      <c r="C158" s="20" t="s">
        <v>1535</v>
      </c>
      <c r="D158" s="6" t="s">
        <v>1536</v>
      </c>
      <c r="E158" s="6"/>
      <c r="F158" s="6" t="s">
        <v>779</v>
      </c>
      <c r="G158" s="6" t="s">
        <v>780</v>
      </c>
      <c r="H158" s="6" t="str">
        <f t="shared" ref="H158:H161" si="10">CONCATENATE(F158,"(",G158,")")</f>
        <v>EGYPT FIELDHANDS(P315)</v>
      </c>
      <c r="I158" s="6" t="s">
        <v>578</v>
      </c>
      <c r="J158" s="6"/>
      <c r="K158" s="6"/>
      <c r="L158" s="6" t="s">
        <v>55</v>
      </c>
      <c r="M158" s="6" t="str">
        <f>VLOOKUP(L158, GLOSSARY!$A:$C, 2, FALSE)</f>
        <v>EGYPT ESTATE</v>
      </c>
      <c r="N158" s="6" t="s">
        <v>287</v>
      </c>
      <c r="O158" s="6"/>
      <c r="P158" s="6"/>
      <c r="Q158" s="6"/>
      <c r="R158" s="6"/>
      <c r="S158" s="6"/>
      <c r="T158" s="6"/>
      <c r="U158" s="6"/>
      <c r="V158" s="6"/>
      <c r="W158" s="6"/>
      <c r="X158" s="6"/>
      <c r="Y158" s="6"/>
      <c r="Z158" s="6"/>
      <c r="AA158" s="6"/>
      <c r="AB158" s="6"/>
      <c r="AC158" s="6"/>
      <c r="AD158" s="6"/>
      <c r="AE158" s="6"/>
    </row>
    <row r="159" spans="1:31" ht="76.5" x14ac:dyDescent="0.2">
      <c r="A159" s="6" t="s">
        <v>1390</v>
      </c>
      <c r="B159" s="6" t="s">
        <v>1540</v>
      </c>
      <c r="C159" s="20" t="s">
        <v>1542</v>
      </c>
      <c r="D159" s="6" t="s">
        <v>1544</v>
      </c>
      <c r="E159" s="6"/>
      <c r="F159" s="6" t="s">
        <v>779</v>
      </c>
      <c r="G159" s="6" t="s">
        <v>1545</v>
      </c>
      <c r="H159" s="6" t="str">
        <f t="shared" si="10"/>
        <v>EGYPT FIELDHANDS(P316)</v>
      </c>
      <c r="I159" s="6" t="s">
        <v>578</v>
      </c>
      <c r="J159" s="6"/>
      <c r="K159" s="6"/>
      <c r="L159" s="6" t="s">
        <v>55</v>
      </c>
      <c r="M159" s="6" t="str">
        <f>VLOOKUP(L159, GLOSSARY!$A:$C, 2, FALSE)</f>
        <v>EGYPT ESTATE</v>
      </c>
      <c r="N159" s="6" t="s">
        <v>68</v>
      </c>
      <c r="O159" s="6"/>
      <c r="P159" s="6"/>
      <c r="Q159" s="6"/>
      <c r="R159" s="6"/>
      <c r="S159" s="6"/>
      <c r="T159" s="6"/>
      <c r="U159" s="6"/>
      <c r="V159" s="6"/>
      <c r="W159" s="6"/>
      <c r="X159" s="6"/>
      <c r="Y159" s="6"/>
      <c r="Z159" s="6"/>
      <c r="AA159" s="6"/>
      <c r="AB159" s="6"/>
      <c r="AC159" s="6"/>
      <c r="AD159" s="6"/>
      <c r="AE159" s="6"/>
    </row>
    <row r="160" spans="1:31" ht="51" x14ac:dyDescent="0.2">
      <c r="A160" s="6" t="s">
        <v>1390</v>
      </c>
      <c r="B160" s="6" t="s">
        <v>1548</v>
      </c>
      <c r="C160" s="20" t="s">
        <v>1549</v>
      </c>
      <c r="D160" s="6" t="s">
        <v>1550</v>
      </c>
      <c r="E160" s="6"/>
      <c r="F160" s="6" t="s">
        <v>779</v>
      </c>
      <c r="G160" s="6" t="s">
        <v>780</v>
      </c>
      <c r="H160" s="6" t="str">
        <f t="shared" si="10"/>
        <v>EGYPT FIELDHANDS(P315)</v>
      </c>
      <c r="I160" s="6" t="s">
        <v>578</v>
      </c>
      <c r="J160" s="6"/>
      <c r="K160" s="6"/>
      <c r="L160" s="6" t="s">
        <v>55</v>
      </c>
      <c r="M160" s="6" t="str">
        <f>VLOOKUP(L160, GLOSSARY!$A:$C, 2, FALSE)</f>
        <v>EGYPT ESTATE</v>
      </c>
      <c r="N160" s="6" t="s">
        <v>68</v>
      </c>
      <c r="O160" s="6"/>
      <c r="P160" s="6"/>
      <c r="Q160" s="6"/>
      <c r="R160" s="6"/>
      <c r="S160" s="6"/>
      <c r="T160" s="6"/>
      <c r="U160" s="6"/>
      <c r="V160" s="6"/>
      <c r="W160" s="6"/>
      <c r="X160" s="6"/>
      <c r="Y160" s="6"/>
      <c r="Z160" s="6"/>
      <c r="AA160" s="6"/>
      <c r="AB160" s="6"/>
      <c r="AC160" s="6"/>
      <c r="AD160" s="6"/>
      <c r="AE160" s="6"/>
    </row>
    <row r="161" spans="1:31" ht="38.25" x14ac:dyDescent="0.2">
      <c r="A161" s="6" t="s">
        <v>1553</v>
      </c>
      <c r="B161" s="6" t="s">
        <v>1548</v>
      </c>
      <c r="C161" s="20" t="s">
        <v>1554</v>
      </c>
      <c r="D161" s="6" t="s">
        <v>1555</v>
      </c>
      <c r="E161" s="6"/>
      <c r="F161" s="6"/>
      <c r="G161" s="6"/>
      <c r="H161" s="6" t="str">
        <f t="shared" si="10"/>
        <v>()</v>
      </c>
      <c r="I161" s="6" t="s">
        <v>248</v>
      </c>
      <c r="J161" s="6"/>
      <c r="K161" s="6"/>
      <c r="L161" s="6" t="s">
        <v>55</v>
      </c>
      <c r="M161" s="6" t="str">
        <f>VLOOKUP(L161, GLOSSARY!$A:$C, 2, FALSE)</f>
        <v>EGYPT ESTATE</v>
      </c>
      <c r="N161" s="6" t="s">
        <v>68</v>
      </c>
      <c r="O161" s="6"/>
      <c r="P161" s="6"/>
      <c r="Q161" s="6"/>
      <c r="R161" s="6"/>
      <c r="S161" s="6"/>
      <c r="T161" s="6"/>
      <c r="U161" s="6"/>
      <c r="V161" s="6"/>
      <c r="W161" s="6"/>
      <c r="X161" s="6"/>
      <c r="Y161" s="6"/>
      <c r="Z161" s="6"/>
      <c r="AA161" s="6"/>
      <c r="AB161" s="6"/>
      <c r="AC161" s="6"/>
      <c r="AD161" s="6"/>
      <c r="AE161" s="6"/>
    </row>
    <row r="162" spans="1:31" ht="51" x14ac:dyDescent="0.2">
      <c r="A162" s="6" t="s">
        <v>1558</v>
      </c>
      <c r="B162" s="6" t="s">
        <v>1559</v>
      </c>
      <c r="C162" s="20" t="s">
        <v>1554</v>
      </c>
      <c r="D162" s="6" t="s">
        <v>1560</v>
      </c>
      <c r="E162" s="6"/>
      <c r="F162" s="6" t="s">
        <v>1561</v>
      </c>
      <c r="G162" s="6" t="s">
        <v>1562</v>
      </c>
      <c r="H162" s="6"/>
      <c r="I162" s="6" t="s">
        <v>409</v>
      </c>
      <c r="J162" s="6"/>
      <c r="K162" s="6"/>
      <c r="L162" s="6" t="s">
        <v>1565</v>
      </c>
      <c r="M162" s="6" t="str">
        <f>VLOOKUP(L162, GLOSSARY!$A:$C, 2, FALSE)</f>
        <v>EGYPT BREADNUT TREE CANE PIECE</v>
      </c>
      <c r="N162" s="6" t="s">
        <v>68</v>
      </c>
      <c r="O162" s="6"/>
      <c r="P162" s="6"/>
      <c r="Q162" s="6"/>
      <c r="R162" s="6"/>
      <c r="S162" s="6"/>
      <c r="T162" s="6"/>
      <c r="U162" s="6"/>
      <c r="V162" s="6"/>
      <c r="W162" s="6"/>
      <c r="X162" s="6"/>
      <c r="Y162" s="6"/>
      <c r="Z162" s="6"/>
      <c r="AA162" s="6"/>
      <c r="AB162" s="6"/>
      <c r="AC162" s="6"/>
      <c r="AD162" s="6"/>
      <c r="AE162" s="6"/>
    </row>
    <row r="163" spans="1:31" ht="318.75" x14ac:dyDescent="0.2">
      <c r="A163" s="6" t="s">
        <v>1566</v>
      </c>
      <c r="B163" s="6" t="s">
        <v>358</v>
      </c>
      <c r="C163" s="20" t="s">
        <v>1554</v>
      </c>
      <c r="D163" s="6" t="s">
        <v>1569</v>
      </c>
      <c r="E163" s="6"/>
      <c r="F163" s="6" t="s">
        <v>1500</v>
      </c>
      <c r="G163" s="6" t="s">
        <v>1501</v>
      </c>
      <c r="H163" s="6" t="str">
        <f t="shared" ref="H163:H176" si="11">CONCATENATE(F163,"(",G163,")")</f>
        <v>"PUNCH
PERO
BENJAMIN
HANNAH
MOUNTAIN LUCY
CYNTHIA
WONGA
BASHEBA
LYDIA
MOUNTAIN SUSANAH
MAZARINE
BECK
THE OVERSEER(P348
P336
P413
P221
P30
P77
P27
P218
P480
P254
P123
P361
P43)</v>
      </c>
      <c r="I163" s="6" t="s">
        <v>248</v>
      </c>
      <c r="J163" s="6"/>
      <c r="K163" s="6"/>
      <c r="L163" s="6" t="s">
        <v>55</v>
      </c>
      <c r="M163" s="6" t="str">
        <f>VLOOKUP(L163, GLOSSARY!$A:$C, 2, FALSE)</f>
        <v>EGYPT ESTATE</v>
      </c>
      <c r="N163" s="6" t="s">
        <v>68</v>
      </c>
      <c r="O163" s="6"/>
      <c r="P163" s="6"/>
      <c r="Q163" s="6"/>
      <c r="R163" s="6"/>
      <c r="S163" s="6"/>
      <c r="T163" s="6"/>
      <c r="U163" s="6"/>
      <c r="V163" s="6"/>
      <c r="W163" s="6"/>
      <c r="X163" s="6"/>
      <c r="Y163" s="6"/>
      <c r="Z163" s="6"/>
      <c r="AA163" s="6"/>
      <c r="AB163" s="6"/>
      <c r="AC163" s="6"/>
      <c r="AD163" s="6"/>
      <c r="AE163" s="6"/>
    </row>
    <row r="164" spans="1:31" ht="63.75" x14ac:dyDescent="0.2">
      <c r="A164" s="6" t="s">
        <v>1254</v>
      </c>
      <c r="B164" s="6" t="s">
        <v>1559</v>
      </c>
      <c r="C164" s="20" t="s">
        <v>1572</v>
      </c>
      <c r="D164" s="6" t="s">
        <v>1573</v>
      </c>
      <c r="E164" s="6"/>
      <c r="F164" s="6" t="s">
        <v>1258</v>
      </c>
      <c r="G164" s="6" t="s">
        <v>1259</v>
      </c>
      <c r="H164" s="6" t="str">
        <f t="shared" si="11"/>
        <v>THE OVERSEER
AMBO(P43
P170)</v>
      </c>
      <c r="I164" s="6" t="s">
        <v>957</v>
      </c>
      <c r="J164" s="6"/>
      <c r="K164" s="6"/>
      <c r="L164" s="6" t="s">
        <v>55</v>
      </c>
      <c r="M164" s="6" t="str">
        <f>VLOOKUP(L164, GLOSSARY!$A:$C, 2, FALSE)</f>
        <v>EGYPT ESTATE</v>
      </c>
      <c r="N164" s="6" t="s">
        <v>68</v>
      </c>
      <c r="O164" s="6"/>
      <c r="P164" s="6"/>
      <c r="Q164" s="6"/>
      <c r="R164" s="6"/>
      <c r="S164" s="6"/>
      <c r="T164" s="6"/>
      <c r="U164" s="6"/>
      <c r="V164" s="6"/>
      <c r="W164" s="6"/>
      <c r="X164" s="6"/>
      <c r="Y164" s="6"/>
      <c r="Z164" s="6"/>
      <c r="AA164" s="6"/>
      <c r="AB164" s="6"/>
      <c r="AC164" s="6"/>
      <c r="AD164" s="6"/>
      <c r="AE164" s="6"/>
    </row>
    <row r="165" spans="1:31" ht="25.5" x14ac:dyDescent="0.2">
      <c r="A165" s="6" t="s">
        <v>1576</v>
      </c>
      <c r="B165" s="6" t="s">
        <v>722</v>
      </c>
      <c r="C165" s="20" t="s">
        <v>1572</v>
      </c>
      <c r="D165" s="6" t="s">
        <v>1577</v>
      </c>
      <c r="E165" s="6"/>
      <c r="F165" s="6"/>
      <c r="G165" s="6"/>
      <c r="H165" s="6" t="str">
        <f t="shared" si="11"/>
        <v>()</v>
      </c>
      <c r="I165" s="6" t="s">
        <v>26</v>
      </c>
      <c r="J165" s="6"/>
      <c r="K165" s="6"/>
      <c r="L165" s="6" t="s">
        <v>785</v>
      </c>
      <c r="M165" s="6" t="str">
        <f>VLOOKUP(L165, GLOSSARY!$A:$C, 2, FALSE)</f>
        <v>EGYPT ESTATE</v>
      </c>
      <c r="N165" s="6" t="s">
        <v>287</v>
      </c>
      <c r="O165" s="6"/>
      <c r="P165" s="6"/>
      <c r="Q165" s="6"/>
      <c r="R165" s="6"/>
      <c r="S165" s="6"/>
      <c r="T165" s="6"/>
      <c r="U165" s="6"/>
      <c r="V165" s="6"/>
      <c r="W165" s="6"/>
      <c r="X165" s="6"/>
      <c r="Y165" s="6"/>
      <c r="Z165" s="6"/>
      <c r="AA165" s="6"/>
      <c r="AB165" s="6"/>
      <c r="AC165" s="6"/>
      <c r="AD165" s="6"/>
      <c r="AE165" s="6"/>
    </row>
    <row r="166" spans="1:31" ht="51" x14ac:dyDescent="0.2">
      <c r="A166" s="6" t="s">
        <v>1580</v>
      </c>
      <c r="B166" s="6" t="s">
        <v>722</v>
      </c>
      <c r="C166" s="20" t="s">
        <v>1572</v>
      </c>
      <c r="D166" s="6" t="s">
        <v>1581</v>
      </c>
      <c r="E166" s="6"/>
      <c r="F166" s="6" t="s">
        <v>1352</v>
      </c>
      <c r="G166" s="6" t="s">
        <v>1351</v>
      </c>
      <c r="H166" s="6" t="str">
        <f t="shared" si="11"/>
        <v>BASHEBA(P218)</v>
      </c>
      <c r="I166" s="6" t="s">
        <v>656</v>
      </c>
      <c r="J166" s="6"/>
      <c r="K166" s="6"/>
      <c r="L166" s="6" t="s">
        <v>55</v>
      </c>
      <c r="M166" s="6" t="str">
        <f>VLOOKUP(L166, GLOSSARY!$A:$C, 2, FALSE)</f>
        <v>EGYPT ESTATE</v>
      </c>
      <c r="N166" s="6" t="s">
        <v>68</v>
      </c>
      <c r="O166" s="6"/>
      <c r="P166" s="6"/>
      <c r="Q166" s="6"/>
      <c r="R166" s="6"/>
      <c r="S166" s="6"/>
      <c r="T166" s="6"/>
      <c r="U166" s="6"/>
      <c r="V166" s="6"/>
      <c r="W166" s="6"/>
      <c r="X166" s="6"/>
      <c r="Y166" s="6"/>
      <c r="Z166" s="6"/>
      <c r="AA166" s="6"/>
      <c r="AB166" s="6"/>
      <c r="AC166" s="6"/>
      <c r="AD166" s="6"/>
      <c r="AE166" s="6"/>
    </row>
    <row r="167" spans="1:31" ht="395.25" x14ac:dyDescent="0.2">
      <c r="A167" s="6" t="s">
        <v>1584</v>
      </c>
      <c r="B167" s="6" t="s">
        <v>1585</v>
      </c>
      <c r="C167" s="20" t="s">
        <v>1586</v>
      </c>
      <c r="D167" s="6" t="s">
        <v>1587</v>
      </c>
      <c r="E167" s="6"/>
      <c r="F167" s="6" t="s">
        <v>1588</v>
      </c>
      <c r="G167" s="6" t="s">
        <v>1590</v>
      </c>
      <c r="H167" s="6" t="str">
        <f t="shared" si="11"/>
        <v>HUMPHREY
BESS
ELIZABETH ANDERSON
DR. MICHAM'S WIFE
JACKE
LEWIE
MIRTILLA
SARAH
LYDDE
COFFEE
SCOTLAND
MULLIN
HOPE
QUASHE
HAZAT
OLD PHIBBAH(P213
P41
P76
P481
P482
P197
P32
P106
P255
P353
P483
P484
P373
P284
P87
P96)</v>
      </c>
      <c r="I167" s="6" t="s">
        <v>248</v>
      </c>
      <c r="J167" s="6"/>
      <c r="K167" s="6"/>
      <c r="L167" s="6" t="s">
        <v>55</v>
      </c>
      <c r="M167" s="6" t="str">
        <f>VLOOKUP(L167, GLOSSARY!$A:$C, 2, FALSE)</f>
        <v>EGYPT ESTATE</v>
      </c>
      <c r="N167" s="6" t="s">
        <v>287</v>
      </c>
      <c r="O167" s="6"/>
      <c r="P167" s="6"/>
      <c r="Q167" s="6"/>
      <c r="R167" s="6"/>
      <c r="S167" s="6"/>
      <c r="T167" s="6"/>
      <c r="U167" s="6"/>
      <c r="V167" s="6"/>
      <c r="W167" s="6"/>
      <c r="X167" s="6"/>
      <c r="Y167" s="6"/>
      <c r="Z167" s="6"/>
      <c r="AA167" s="6"/>
      <c r="AB167" s="6"/>
      <c r="AC167" s="6"/>
      <c r="AD167" s="6"/>
      <c r="AE167" s="6"/>
    </row>
    <row r="168" spans="1:31" ht="25.5" x14ac:dyDescent="0.2">
      <c r="A168" s="6" t="s">
        <v>1580</v>
      </c>
      <c r="B168" s="6" t="s">
        <v>1593</v>
      </c>
      <c r="C168" s="20" t="s">
        <v>1586</v>
      </c>
      <c r="D168" s="6" t="s">
        <v>1595</v>
      </c>
      <c r="E168" s="6"/>
      <c r="F168" s="6" t="s">
        <v>1352</v>
      </c>
      <c r="G168" s="6" t="s">
        <v>1351</v>
      </c>
      <c r="H168" s="6" t="str">
        <f t="shared" si="11"/>
        <v>BASHEBA(P218)</v>
      </c>
      <c r="I168" s="6" t="s">
        <v>656</v>
      </c>
      <c r="J168" s="6"/>
      <c r="K168" s="6"/>
      <c r="L168" s="6" t="s">
        <v>55</v>
      </c>
      <c r="M168" s="6" t="str">
        <f>VLOOKUP(L168, GLOSSARY!$A:$C, 2, FALSE)</f>
        <v>EGYPT ESTATE</v>
      </c>
      <c r="N168" s="6" t="s">
        <v>68</v>
      </c>
      <c r="O168" s="6"/>
      <c r="P168" s="6"/>
      <c r="Q168" s="6"/>
      <c r="R168" s="6"/>
      <c r="S168" s="6"/>
      <c r="T168" s="6"/>
      <c r="U168" s="6"/>
      <c r="V168" s="6"/>
      <c r="W168" s="6"/>
      <c r="X168" s="6"/>
      <c r="Y168" s="6"/>
      <c r="Z168" s="6"/>
      <c r="AA168" s="6"/>
      <c r="AB168" s="6"/>
      <c r="AC168" s="6"/>
      <c r="AD168" s="6"/>
      <c r="AE168" s="6"/>
    </row>
    <row r="169" spans="1:31" ht="409.5" x14ac:dyDescent="0.2">
      <c r="A169" s="6" t="s">
        <v>1584</v>
      </c>
      <c r="B169" s="6" t="s">
        <v>1598</v>
      </c>
      <c r="C169" s="20" t="s">
        <v>1599</v>
      </c>
      <c r="D169" s="6" t="s">
        <v>1600</v>
      </c>
      <c r="E169" s="6"/>
      <c r="F169" s="6" t="s">
        <v>1601</v>
      </c>
      <c r="G169" s="6" t="s">
        <v>1602</v>
      </c>
      <c r="H169" s="6" t="str">
        <f t="shared" si="11"/>
        <v>THE OVERSEER
WILLIAM CROOKSHANKS
AMBO
PHIBBAH
GEORGE
BENJAMIN
BELINDA
PUNCH
CUDJOE
MOUNTAIN LUCY
OLD MOLL
BECK
WILL
PERO
BASHEBA
DOVER
MOUNTAIN SUSANAH
LITTLE MIMBER
BESS
ROGER
CYNTHIA
NERO
HANNAH
PRUE
WONGA
SHARPER
OLD SYBIL
CONGO SAM
QUASHEBA
JENNY
QUACOO
ROSE
LYDDE
MAZARINE(P43
P189
P170
P7
P216
P413
P429
P348
P52
P30
P220
P361
P485
P336
P218
P139
P254
P80
P41
P486
P77
P256
P221
P27
P74
P404
P487
P177
P240
P104
P187
P255
P298
P123)</v>
      </c>
      <c r="I169" s="6" t="s">
        <v>139</v>
      </c>
      <c r="J169" s="6"/>
      <c r="K169" s="6"/>
      <c r="L169" s="6" t="s">
        <v>55</v>
      </c>
      <c r="M169" s="6" t="str">
        <f>VLOOKUP(L169, GLOSSARY!$A:$C, 2, FALSE)</f>
        <v>EGYPT ESTATE</v>
      </c>
      <c r="N169" s="6" t="s">
        <v>68</v>
      </c>
      <c r="O169" s="6"/>
      <c r="P169" s="6"/>
      <c r="Q169" s="6"/>
      <c r="R169" s="6"/>
      <c r="S169" s="6"/>
      <c r="T169" s="6"/>
      <c r="U169" s="6"/>
      <c r="V169" s="6"/>
      <c r="W169" s="6"/>
      <c r="X169" s="6"/>
      <c r="Y169" s="6"/>
      <c r="Z169" s="6"/>
      <c r="AA169" s="6"/>
      <c r="AB169" s="6"/>
      <c r="AC169" s="6"/>
      <c r="AD169" s="6"/>
      <c r="AE169" s="6"/>
    </row>
    <row r="170" spans="1:31" ht="63.75" x14ac:dyDescent="0.2">
      <c r="A170" s="6" t="s">
        <v>1390</v>
      </c>
      <c r="B170" s="6" t="s">
        <v>1605</v>
      </c>
      <c r="C170" s="20" t="s">
        <v>1606</v>
      </c>
      <c r="D170" s="6" t="s">
        <v>1607</v>
      </c>
      <c r="E170" s="6"/>
      <c r="F170" s="6"/>
      <c r="G170" s="6"/>
      <c r="H170" s="6" t="str">
        <f t="shared" si="11"/>
        <v>()</v>
      </c>
      <c r="I170" s="6" t="s">
        <v>578</v>
      </c>
      <c r="J170" s="6"/>
      <c r="K170" s="6"/>
      <c r="L170" s="6" t="s">
        <v>55</v>
      </c>
      <c r="M170" s="6" t="str">
        <f>VLOOKUP(L170, GLOSSARY!$A:$C, 2, FALSE)</f>
        <v>EGYPT ESTATE</v>
      </c>
      <c r="N170" s="6" t="s">
        <v>68</v>
      </c>
      <c r="O170" s="6"/>
      <c r="P170" s="6"/>
      <c r="Q170" s="6"/>
      <c r="R170" s="6"/>
      <c r="S170" s="6"/>
      <c r="T170" s="6"/>
      <c r="U170" s="6"/>
      <c r="V170" s="6"/>
      <c r="W170" s="6"/>
      <c r="X170" s="6"/>
      <c r="Y170" s="6"/>
      <c r="Z170" s="6"/>
      <c r="AA170" s="6"/>
      <c r="AB170" s="6"/>
      <c r="AC170" s="6"/>
      <c r="AD170" s="6"/>
      <c r="AE170" s="6"/>
    </row>
    <row r="171" spans="1:31" ht="293.25" x14ac:dyDescent="0.2">
      <c r="A171" s="6" t="s">
        <v>1390</v>
      </c>
      <c r="B171" s="6" t="s">
        <v>1610</v>
      </c>
      <c r="C171" s="20" t="s">
        <v>1611</v>
      </c>
      <c r="D171" s="6" t="s">
        <v>1612</v>
      </c>
      <c r="E171" s="6"/>
      <c r="F171" s="6" t="s">
        <v>1613</v>
      </c>
      <c r="G171" s="6" t="s">
        <v>1614</v>
      </c>
      <c r="H171" s="6" t="str">
        <f t="shared" si="11"/>
        <v>EGYPT FIELDHANDS
CONGO SAM
THE OVERSEER(P315
P404
P43)</v>
      </c>
      <c r="I171" s="6" t="s">
        <v>578</v>
      </c>
      <c r="J171" s="6"/>
      <c r="K171" s="6"/>
      <c r="L171" s="6" t="s">
        <v>55</v>
      </c>
      <c r="M171" s="6" t="str">
        <f>VLOOKUP(L171, GLOSSARY!$A:$C, 2, FALSE)</f>
        <v>EGYPT ESTATE</v>
      </c>
      <c r="N171" s="6" t="s">
        <v>167</v>
      </c>
      <c r="O171" s="6"/>
      <c r="P171" s="6"/>
      <c r="Q171" s="6"/>
      <c r="R171" s="6"/>
      <c r="S171" s="6"/>
      <c r="T171" s="6"/>
      <c r="U171" s="6"/>
      <c r="V171" s="6"/>
      <c r="W171" s="6"/>
      <c r="X171" s="6"/>
      <c r="Y171" s="6"/>
      <c r="Z171" s="6"/>
      <c r="AA171" s="6"/>
      <c r="AB171" s="6"/>
      <c r="AC171" s="6"/>
      <c r="AD171" s="6"/>
      <c r="AE171" s="6"/>
    </row>
    <row r="172" spans="1:31" ht="63.75" x14ac:dyDescent="0.2">
      <c r="A172" s="6" t="s">
        <v>1390</v>
      </c>
      <c r="B172" s="6" t="s">
        <v>1610</v>
      </c>
      <c r="C172" s="20" t="s">
        <v>1617</v>
      </c>
      <c r="D172" s="6" t="s">
        <v>1619</v>
      </c>
      <c r="E172" s="6"/>
      <c r="F172" s="6" t="s">
        <v>1621</v>
      </c>
      <c r="G172" s="6" t="s">
        <v>1623</v>
      </c>
      <c r="H172" s="6" t="str">
        <f t="shared" si="11"/>
        <v>EGYPT FIELDHANDS
LONDON(P315
P249)</v>
      </c>
      <c r="I172" s="6" t="s">
        <v>578</v>
      </c>
      <c r="J172" s="6"/>
      <c r="K172" s="6"/>
      <c r="L172" s="6" t="s">
        <v>55</v>
      </c>
      <c r="M172" s="6" t="str">
        <f>VLOOKUP(L172, GLOSSARY!$A:$C, 2, FALSE)</f>
        <v>EGYPT ESTATE</v>
      </c>
      <c r="N172" s="6" t="s">
        <v>68</v>
      </c>
      <c r="O172" s="6"/>
      <c r="P172" s="6"/>
      <c r="Q172" s="6"/>
      <c r="R172" s="6"/>
      <c r="S172" s="6"/>
      <c r="T172" s="6"/>
      <c r="U172" s="6"/>
      <c r="V172" s="6"/>
      <c r="W172" s="6"/>
      <c r="X172" s="6"/>
      <c r="Y172" s="6"/>
      <c r="Z172" s="6"/>
      <c r="AA172" s="6"/>
      <c r="AB172" s="6"/>
      <c r="AC172" s="6"/>
      <c r="AD172" s="6"/>
      <c r="AE172" s="6"/>
    </row>
    <row r="173" spans="1:31" ht="204" x14ac:dyDescent="0.2">
      <c r="A173" s="6" t="s">
        <v>1390</v>
      </c>
      <c r="B173" s="6" t="s">
        <v>1626</v>
      </c>
      <c r="C173" s="20" t="s">
        <v>1617</v>
      </c>
      <c r="D173" s="6" t="s">
        <v>1627</v>
      </c>
      <c r="E173" s="6"/>
      <c r="F173" s="6" t="s">
        <v>48</v>
      </c>
      <c r="G173" s="6" t="s">
        <v>50</v>
      </c>
      <c r="H173" s="6" t="str">
        <f t="shared" si="11"/>
        <v>THE OVERSEER(P43)</v>
      </c>
      <c r="I173" s="6" t="s">
        <v>578</v>
      </c>
      <c r="J173" s="6"/>
      <c r="K173" s="6"/>
      <c r="L173" s="6" t="s">
        <v>55</v>
      </c>
      <c r="M173" s="6" t="str">
        <f>VLOOKUP(L173, GLOSSARY!$A:$C, 2, FALSE)</f>
        <v>EGYPT ESTATE</v>
      </c>
      <c r="N173" s="6" t="s">
        <v>167</v>
      </c>
      <c r="O173" s="6"/>
      <c r="P173" s="6"/>
      <c r="Q173" s="6"/>
      <c r="R173" s="6"/>
      <c r="S173" s="6"/>
      <c r="T173" s="6"/>
      <c r="U173" s="6"/>
      <c r="V173" s="6"/>
      <c r="W173" s="6"/>
      <c r="X173" s="6"/>
      <c r="Y173" s="6"/>
      <c r="Z173" s="6"/>
      <c r="AA173" s="6"/>
      <c r="AB173" s="6"/>
      <c r="AC173" s="6"/>
      <c r="AD173" s="6"/>
      <c r="AE173" s="6"/>
    </row>
    <row r="174" spans="1:31" ht="344.25" x14ac:dyDescent="0.2">
      <c r="A174" s="6" t="s">
        <v>1390</v>
      </c>
      <c r="B174" s="6" t="s">
        <v>1630</v>
      </c>
      <c r="C174" s="20" t="s">
        <v>1631</v>
      </c>
      <c r="D174" s="6" t="s">
        <v>1632</v>
      </c>
      <c r="E174" s="6"/>
      <c r="F174" s="6"/>
      <c r="G174" s="6"/>
      <c r="H174" s="6" t="str">
        <f t="shared" si="11"/>
        <v>()</v>
      </c>
      <c r="I174" s="6" t="s">
        <v>578</v>
      </c>
      <c r="J174" s="6"/>
      <c r="K174" s="6"/>
      <c r="L174" s="6" t="s">
        <v>1394</v>
      </c>
      <c r="M174" s="6" t="str">
        <f>VLOOKUP(L174, GLOSSARY!$A:$C, 2, FALSE)</f>
        <v xml:space="preserve">WILDERNESS </v>
      </c>
      <c r="N174" s="6" t="s">
        <v>68</v>
      </c>
      <c r="O174" s="6"/>
      <c r="P174" s="6"/>
      <c r="Q174" s="6"/>
      <c r="R174" s="6"/>
      <c r="S174" s="6"/>
      <c r="T174" s="6"/>
      <c r="U174" s="6"/>
      <c r="V174" s="6"/>
      <c r="W174" s="6"/>
      <c r="X174" s="6"/>
      <c r="Y174" s="6"/>
      <c r="Z174" s="6"/>
      <c r="AA174" s="6"/>
      <c r="AB174" s="6"/>
      <c r="AC174" s="6"/>
      <c r="AD174" s="6"/>
      <c r="AE174" s="6"/>
    </row>
    <row r="175" spans="1:31" ht="114.75" x14ac:dyDescent="0.2">
      <c r="A175" s="6" t="s">
        <v>1636</v>
      </c>
      <c r="B175" s="6" t="s">
        <v>1637</v>
      </c>
      <c r="C175" s="20" t="s">
        <v>1638</v>
      </c>
      <c r="D175" s="6" t="s">
        <v>1639</v>
      </c>
      <c r="E175" s="6"/>
      <c r="F175" s="6" t="s">
        <v>1640</v>
      </c>
      <c r="G175" s="6" t="s">
        <v>1641</v>
      </c>
      <c r="H175" s="6" t="str">
        <f t="shared" si="11"/>
        <v>THE OVERSEER
MOUNTAIN LUCY
PHIBBAH(P43
P30
P7)</v>
      </c>
      <c r="I175" s="6" t="s">
        <v>409</v>
      </c>
      <c r="J175" s="6"/>
      <c r="K175" s="6"/>
      <c r="L175" s="6" t="s">
        <v>55</v>
      </c>
      <c r="M175" s="6" t="str">
        <f>VLOOKUP(L175, GLOSSARY!$A:$C, 2, FALSE)</f>
        <v>EGYPT ESTATE</v>
      </c>
      <c r="N175" s="6"/>
      <c r="O175" s="6"/>
      <c r="P175" s="6"/>
      <c r="Q175" s="6"/>
      <c r="R175" s="6"/>
      <c r="S175" s="6"/>
      <c r="T175" s="6"/>
      <c r="U175" s="6"/>
      <c r="V175" s="6"/>
      <c r="W175" s="6"/>
      <c r="X175" s="6"/>
      <c r="Y175" s="6"/>
      <c r="Z175" s="6"/>
      <c r="AA175" s="6"/>
      <c r="AB175" s="6"/>
      <c r="AC175" s="6"/>
      <c r="AD175" s="6"/>
      <c r="AE175" s="6"/>
    </row>
    <row r="176" spans="1:31" ht="114.75" x14ac:dyDescent="0.2">
      <c r="A176" s="6" t="s">
        <v>1636</v>
      </c>
      <c r="B176" s="6" t="s">
        <v>1645</v>
      </c>
      <c r="C176" s="20" t="s">
        <v>1646</v>
      </c>
      <c r="D176" s="6" t="s">
        <v>1647</v>
      </c>
      <c r="E176" s="6"/>
      <c r="F176" s="6" t="s">
        <v>1648</v>
      </c>
      <c r="G176" s="6" t="s">
        <v>1649</v>
      </c>
      <c r="H176" s="6" t="str">
        <f t="shared" si="11"/>
        <v>THE OVERSEER
PHIBBAH(P43
P7)</v>
      </c>
      <c r="I176" s="6" t="s">
        <v>409</v>
      </c>
      <c r="J176" s="6" t="s">
        <v>1652</v>
      </c>
      <c r="K176" s="6"/>
      <c r="L176" s="6" t="s">
        <v>55</v>
      </c>
      <c r="M176" s="6" t="str">
        <f>VLOOKUP(L176, GLOSSARY!$A:$C, 2, FALSE)</f>
        <v>EGYPT ESTATE</v>
      </c>
      <c r="N176" s="6"/>
      <c r="O176" s="6"/>
      <c r="P176" s="6"/>
      <c r="Q176" s="6"/>
      <c r="R176" s="6"/>
      <c r="S176" s="6"/>
      <c r="T176" s="6"/>
      <c r="U176" s="6"/>
      <c r="V176" s="6"/>
      <c r="W176" s="6"/>
      <c r="X176" s="6"/>
      <c r="Y176" s="6"/>
      <c r="Z176" s="6"/>
      <c r="AA176" s="6"/>
      <c r="AB176" s="6"/>
      <c r="AC176" s="6"/>
      <c r="AD176" s="6"/>
      <c r="AE176" s="6"/>
    </row>
    <row r="177" spans="1:31" ht="369.75" x14ac:dyDescent="0.2">
      <c r="A177" s="6" t="s">
        <v>1656</v>
      </c>
      <c r="B177" s="6" t="s">
        <v>1657</v>
      </c>
      <c r="C177" s="20" t="s">
        <v>1658</v>
      </c>
      <c r="D177" s="6" t="s">
        <v>1659</v>
      </c>
      <c r="E177" s="6"/>
      <c r="F177" s="6" t="s">
        <v>1660</v>
      </c>
      <c r="G177" s="6" t="s">
        <v>1661</v>
      </c>
      <c r="H177" s="6" t="str">
        <f>CONCATENATE(F177," (",G177,")")</f>
        <v>JENNY
EGYPT LUCY
ELLIN
DOLL
EGYPT MOLIA
LYDDE
EGYPT FRANKE
NERO (P104
P3
P33
P225
P116
P194
P255
P256)</v>
      </c>
      <c r="I177" s="6" t="s">
        <v>533</v>
      </c>
      <c r="J177" s="6"/>
      <c r="K177" s="6"/>
      <c r="L177" s="6" t="s">
        <v>55</v>
      </c>
      <c r="M177" s="6" t="str">
        <f>VLOOKUP(L177, GLOSSARY!$A:$C, 2, FALSE)</f>
        <v>EGYPT ESTATE</v>
      </c>
      <c r="N177" s="6" t="s">
        <v>68</v>
      </c>
      <c r="O177" s="6"/>
      <c r="P177" s="6"/>
      <c r="Q177" s="6"/>
      <c r="R177" s="6"/>
      <c r="S177" s="6"/>
      <c r="T177" s="6"/>
      <c r="U177" s="6"/>
      <c r="V177" s="6"/>
      <c r="W177" s="6"/>
      <c r="X177" s="6"/>
      <c r="Y177" s="6"/>
      <c r="Z177" s="6"/>
      <c r="AA177" s="6"/>
      <c r="AB177" s="6"/>
      <c r="AC177" s="6"/>
      <c r="AD177" s="6"/>
      <c r="AE177" s="6"/>
    </row>
    <row r="178" spans="1:31" ht="38.25" x14ac:dyDescent="0.2">
      <c r="A178" s="6" t="s">
        <v>1664</v>
      </c>
      <c r="B178" s="6" t="s">
        <v>1665</v>
      </c>
      <c r="C178" s="20" t="s">
        <v>1666</v>
      </c>
      <c r="D178" s="6" t="s">
        <v>1667</v>
      </c>
      <c r="E178" s="6"/>
      <c r="F178" s="6"/>
      <c r="G178" s="6"/>
      <c r="H178" s="6" t="str">
        <f t="shared" ref="H178:H180" si="12">CONCATENATE(F178,"(",G178,")")</f>
        <v>()</v>
      </c>
      <c r="I178" s="6" t="s">
        <v>759</v>
      </c>
      <c r="J178" s="6"/>
      <c r="K178" s="6"/>
      <c r="L178" s="6" t="s">
        <v>55</v>
      </c>
      <c r="M178" s="6" t="str">
        <f>VLOOKUP(L178, GLOSSARY!$A:$C, 2, FALSE)</f>
        <v>EGYPT ESTATE</v>
      </c>
      <c r="N178" s="6" t="s">
        <v>167</v>
      </c>
      <c r="O178" s="6"/>
      <c r="P178" s="6"/>
      <c r="Q178" s="6"/>
      <c r="R178" s="6"/>
      <c r="S178" s="6"/>
      <c r="T178" s="6"/>
      <c r="U178" s="6"/>
      <c r="V178" s="6"/>
      <c r="W178" s="6"/>
      <c r="X178" s="6"/>
      <c r="Y178" s="6"/>
      <c r="Z178" s="6"/>
      <c r="AA178" s="6"/>
      <c r="AB178" s="6"/>
      <c r="AC178" s="6"/>
      <c r="AD178" s="6"/>
      <c r="AE178" s="6"/>
    </row>
    <row r="179" spans="1:31" ht="51" x14ac:dyDescent="0.2">
      <c r="A179" s="6" t="s">
        <v>1670</v>
      </c>
      <c r="B179" s="6" t="s">
        <v>1671</v>
      </c>
      <c r="C179" s="20" t="s">
        <v>1672</v>
      </c>
      <c r="D179" s="6" t="s">
        <v>1674</v>
      </c>
      <c r="E179" s="6"/>
      <c r="F179" s="6" t="s">
        <v>1675</v>
      </c>
      <c r="G179" s="6" t="s">
        <v>1677</v>
      </c>
      <c r="H179" s="6" t="str">
        <f t="shared" si="12"/>
        <v>WILLIAM CROOKSHANKS
PHIBBAH
(P189
P7)</v>
      </c>
      <c r="I179" s="6" t="s">
        <v>1678</v>
      </c>
      <c r="J179" s="6"/>
      <c r="K179" s="6"/>
      <c r="L179" s="6" t="s">
        <v>55</v>
      </c>
      <c r="M179" s="6" t="str">
        <f>VLOOKUP(L179, GLOSSARY!$A:$C, 2, FALSE)</f>
        <v>EGYPT ESTATE</v>
      </c>
      <c r="N179" s="6" t="s">
        <v>68</v>
      </c>
      <c r="O179" s="6"/>
      <c r="P179" s="6"/>
      <c r="Q179" s="6"/>
      <c r="R179" s="6"/>
      <c r="S179" s="6"/>
      <c r="T179" s="6"/>
      <c r="U179" s="6"/>
      <c r="V179" s="6"/>
      <c r="W179" s="6"/>
      <c r="X179" s="6"/>
      <c r="Y179" s="6"/>
      <c r="Z179" s="6"/>
      <c r="AA179" s="6"/>
      <c r="AB179" s="6"/>
      <c r="AC179" s="6"/>
      <c r="AD179" s="6"/>
      <c r="AE179" s="6"/>
    </row>
    <row r="180" spans="1:31" ht="63.75" x14ac:dyDescent="0.2">
      <c r="A180" s="6" t="s">
        <v>1670</v>
      </c>
      <c r="B180" s="6" t="s">
        <v>1671</v>
      </c>
      <c r="C180" s="20" t="s">
        <v>1681</v>
      </c>
      <c r="D180" s="6" t="s">
        <v>1682</v>
      </c>
      <c r="E180" s="6"/>
      <c r="F180" s="6" t="s">
        <v>1683</v>
      </c>
      <c r="G180" s="6" t="s">
        <v>1684</v>
      </c>
      <c r="H180" s="6" t="str">
        <f t="shared" si="12"/>
        <v>WILLIAM CROOKSHANKS
PHIBBAH
AMBO(P189
P7
P43)</v>
      </c>
      <c r="I180" s="6" t="s">
        <v>1678</v>
      </c>
      <c r="J180" s="6"/>
      <c r="K180" s="6"/>
      <c r="L180" s="6" t="s">
        <v>55</v>
      </c>
      <c r="M180" s="6" t="str">
        <f>VLOOKUP(L180, GLOSSARY!$A:$C, 2, FALSE)</f>
        <v>EGYPT ESTATE</v>
      </c>
      <c r="N180" s="6" t="s">
        <v>68</v>
      </c>
      <c r="O180" s="6"/>
      <c r="P180" s="6"/>
      <c r="Q180" s="6"/>
      <c r="R180" s="6"/>
      <c r="S180" s="6"/>
      <c r="T180" s="6"/>
      <c r="U180" s="6"/>
      <c r="V180" s="6"/>
      <c r="W180" s="6"/>
      <c r="X180" s="6"/>
      <c r="Y180" s="6"/>
      <c r="Z180" s="6"/>
      <c r="AA180" s="6"/>
      <c r="AB180" s="6"/>
      <c r="AC180" s="6"/>
      <c r="AD180" s="6"/>
      <c r="AE180" s="6"/>
    </row>
    <row r="181" spans="1:31" ht="242.25" x14ac:dyDescent="0.2">
      <c r="A181" s="6" t="s">
        <v>1687</v>
      </c>
      <c r="B181" s="6" t="s">
        <v>1688</v>
      </c>
      <c r="C181" s="20" t="s">
        <v>1689</v>
      </c>
      <c r="D181" s="6" t="s">
        <v>1690</v>
      </c>
      <c r="E181" s="6"/>
      <c r="F181" s="6" t="s">
        <v>1692</v>
      </c>
      <c r="G181" s="6" t="s">
        <v>1693</v>
      </c>
      <c r="H181" s="6" t="str">
        <f>CONCATENATE(F181," (",G181,")")</f>
        <v>DOLL
CLOE
VIOLET
AGNES
EGYPT MIRTILLA
ROSE
EGYPT LUCY
MORRIS
JENNY
SARAH (P225
P101
P117
P124
P97
P187
P3
P104
P226
P106)</v>
      </c>
      <c r="I181" s="6" t="s">
        <v>533</v>
      </c>
      <c r="J181" s="6"/>
      <c r="K181" s="6"/>
      <c r="L181" s="6" t="s">
        <v>1695</v>
      </c>
      <c r="M181" s="6" t="str">
        <f>VLOOKUP(L181, GLOSSARY!$A:$C, 2, FALSE)</f>
        <v>EGYPT ESTATE HOTHOUSE</v>
      </c>
      <c r="N181" s="6" t="s">
        <v>68</v>
      </c>
      <c r="O181" s="6"/>
      <c r="P181" s="6"/>
      <c r="Q181" s="6"/>
      <c r="R181" s="6"/>
      <c r="S181" s="6"/>
      <c r="T181" s="6"/>
      <c r="U181" s="6"/>
      <c r="V181" s="6"/>
      <c r="W181" s="6"/>
      <c r="X181" s="6"/>
      <c r="Y181" s="6"/>
      <c r="Z181" s="6"/>
      <c r="AA181" s="6"/>
      <c r="AB181" s="6"/>
      <c r="AC181" s="6"/>
      <c r="AD181" s="6"/>
      <c r="AE181" s="6"/>
    </row>
    <row r="182" spans="1:31" ht="114.75" x14ac:dyDescent="0.2">
      <c r="A182" s="6" t="s">
        <v>1254</v>
      </c>
      <c r="B182" s="6" t="s">
        <v>1698</v>
      </c>
      <c r="C182" s="20" t="s">
        <v>1699</v>
      </c>
      <c r="D182" s="6" t="s">
        <v>1700</v>
      </c>
      <c r="E182" s="6"/>
      <c r="F182" s="6" t="s">
        <v>1701</v>
      </c>
      <c r="G182" s="6" t="s">
        <v>1702</v>
      </c>
      <c r="H182" s="6" t="str">
        <f t="shared" ref="H182:H195" si="13">CONCATENATE(F182,"(",G182,")")</f>
        <v>THE OVERSEER
AMBO
CYRUS(P43
P170
P210)</v>
      </c>
      <c r="I182" s="6" t="s">
        <v>784</v>
      </c>
      <c r="J182" s="6"/>
      <c r="K182" s="6"/>
      <c r="L182" s="6" t="s">
        <v>55</v>
      </c>
      <c r="M182" s="6" t="str">
        <f>VLOOKUP(L182, GLOSSARY!$A:$C, 2, FALSE)</f>
        <v>EGYPT ESTATE</v>
      </c>
      <c r="N182" s="6" t="s">
        <v>68</v>
      </c>
      <c r="O182" s="6"/>
      <c r="P182" s="6"/>
      <c r="Q182" s="6"/>
      <c r="R182" s="6"/>
      <c r="S182" s="6"/>
      <c r="T182" s="6"/>
      <c r="U182" s="6"/>
      <c r="V182" s="6"/>
      <c r="W182" s="6"/>
      <c r="X182" s="6"/>
      <c r="Y182" s="6"/>
      <c r="Z182" s="6"/>
      <c r="AA182" s="6"/>
      <c r="AB182" s="6"/>
      <c r="AC182" s="6"/>
      <c r="AD182" s="6"/>
      <c r="AE182" s="6"/>
    </row>
    <row r="183" spans="1:31" ht="38.25" x14ac:dyDescent="0.2">
      <c r="A183" s="6" t="s">
        <v>1707</v>
      </c>
      <c r="B183" s="6" t="s">
        <v>1708</v>
      </c>
      <c r="C183" s="20" t="s">
        <v>1709</v>
      </c>
      <c r="D183" s="6" t="s">
        <v>1710</v>
      </c>
      <c r="E183" s="6"/>
      <c r="F183" s="6" t="s">
        <v>1711</v>
      </c>
      <c r="G183" s="6" t="s">
        <v>1712</v>
      </c>
      <c r="H183" s="6" t="str">
        <f t="shared" si="13"/>
        <v>DR. GORSE
AGNES(P228
P124)</v>
      </c>
      <c r="I183" s="6" t="s">
        <v>533</v>
      </c>
      <c r="J183" s="6"/>
      <c r="K183" s="6"/>
      <c r="L183" s="6" t="s">
        <v>55</v>
      </c>
      <c r="M183" s="6" t="str">
        <f>VLOOKUP(L183, GLOSSARY!$A:$C, 2, FALSE)</f>
        <v>EGYPT ESTATE</v>
      </c>
      <c r="N183" s="6" t="s">
        <v>68</v>
      </c>
      <c r="O183" s="6"/>
      <c r="P183" s="6"/>
      <c r="Q183" s="6"/>
      <c r="R183" s="6"/>
      <c r="S183" s="6"/>
      <c r="T183" s="6"/>
      <c r="U183" s="6"/>
      <c r="V183" s="6"/>
      <c r="W183" s="6"/>
      <c r="X183" s="6"/>
      <c r="Y183" s="6"/>
      <c r="Z183" s="6"/>
      <c r="AA183" s="6"/>
      <c r="AB183" s="6"/>
      <c r="AC183" s="6"/>
      <c r="AD183" s="6"/>
      <c r="AE183" s="6"/>
    </row>
    <row r="184" spans="1:31" ht="267.75" x14ac:dyDescent="0.2">
      <c r="A184" s="6" t="s">
        <v>1717</v>
      </c>
      <c r="B184" s="6" t="s">
        <v>1718</v>
      </c>
      <c r="C184" s="20" t="s">
        <v>1719</v>
      </c>
      <c r="D184" s="6" t="s">
        <v>1720</v>
      </c>
      <c r="E184" s="6"/>
      <c r="F184" s="6" t="s">
        <v>1721</v>
      </c>
      <c r="G184" s="6" t="s">
        <v>1722</v>
      </c>
      <c r="H184" s="6" t="str">
        <f t="shared" si="13"/>
        <v>PLATO
JOB
LONDON
PLUTO
AMBO
COFFEE
EUCE
(P208
P29
P249
P276
P170
P353
P415)</v>
      </c>
      <c r="I184" s="6" t="s">
        <v>656</v>
      </c>
      <c r="J184" s="6"/>
      <c r="K184" s="6"/>
      <c r="L184" s="6" t="s">
        <v>55</v>
      </c>
      <c r="M184" s="6" t="str">
        <f>VLOOKUP(L184, GLOSSARY!$A:$C, 2, FALSE)</f>
        <v>EGYPT ESTATE</v>
      </c>
      <c r="N184" s="6" t="s">
        <v>167</v>
      </c>
      <c r="O184" s="6"/>
      <c r="P184" s="6"/>
      <c r="Q184" s="6"/>
      <c r="R184" s="6"/>
      <c r="S184" s="6"/>
      <c r="T184" s="6"/>
      <c r="U184" s="6"/>
      <c r="V184" s="6"/>
      <c r="W184" s="6"/>
      <c r="X184" s="6"/>
      <c r="Y184" s="6"/>
      <c r="Z184" s="6"/>
      <c r="AA184" s="6"/>
      <c r="AB184" s="6"/>
      <c r="AC184" s="6"/>
      <c r="AD184" s="6"/>
      <c r="AE184" s="6"/>
    </row>
    <row r="185" spans="1:31" ht="51" x14ac:dyDescent="0.2">
      <c r="A185" s="6" t="s">
        <v>1725</v>
      </c>
      <c r="B185" s="6" t="s">
        <v>1727</v>
      </c>
      <c r="C185" s="20" t="s">
        <v>1728</v>
      </c>
      <c r="D185" s="6" t="s">
        <v>1730</v>
      </c>
      <c r="E185" s="6"/>
      <c r="F185" s="6" t="s">
        <v>1731</v>
      </c>
      <c r="G185" s="6" t="s">
        <v>1732</v>
      </c>
      <c r="H185" s="6" t="str">
        <f t="shared" si="13"/>
        <v>THE OVERSEER
MOUNTAIN NEGROES(P43
P462)</v>
      </c>
      <c r="I185" s="6" t="s">
        <v>248</v>
      </c>
      <c r="J185" s="6"/>
      <c r="K185" s="6"/>
      <c r="L185" s="6" t="s">
        <v>55</v>
      </c>
      <c r="M185" s="6" t="str">
        <f>VLOOKUP(L185, GLOSSARY!$A:$C, 2, FALSE)</f>
        <v>EGYPT ESTATE</v>
      </c>
      <c r="N185" s="6" t="s">
        <v>68</v>
      </c>
      <c r="O185" s="6"/>
      <c r="P185" s="6"/>
      <c r="Q185" s="6"/>
      <c r="R185" s="6"/>
      <c r="S185" s="6"/>
      <c r="T185" s="6"/>
      <c r="U185" s="6"/>
      <c r="V185" s="6"/>
      <c r="W185" s="6"/>
      <c r="X185" s="6"/>
      <c r="Y185" s="6"/>
      <c r="Z185" s="6"/>
      <c r="AA185" s="6"/>
      <c r="AB185" s="6"/>
      <c r="AC185" s="6"/>
      <c r="AD185" s="6"/>
      <c r="AE185" s="6"/>
    </row>
    <row r="186" spans="1:31" ht="38.25" x14ac:dyDescent="0.2">
      <c r="A186" s="6" t="s">
        <v>1735</v>
      </c>
      <c r="B186" s="6" t="s">
        <v>1736</v>
      </c>
      <c r="C186" s="20" t="s">
        <v>1737</v>
      </c>
      <c r="D186" s="6" t="s">
        <v>1738</v>
      </c>
      <c r="E186" s="6"/>
      <c r="F186" s="6" t="s">
        <v>1740</v>
      </c>
      <c r="G186" s="6" t="s">
        <v>1742</v>
      </c>
      <c r="H186" s="6" t="str">
        <f t="shared" si="13"/>
        <v>OLD EVE
EGYPT LUCY(P434
P3)</v>
      </c>
      <c r="I186" s="6" t="s">
        <v>96</v>
      </c>
      <c r="J186" s="6"/>
      <c r="K186" s="6"/>
      <c r="L186" s="6" t="s">
        <v>55</v>
      </c>
      <c r="M186" s="6" t="str">
        <f>VLOOKUP(L186, GLOSSARY!$A:$C, 2, FALSE)</f>
        <v>EGYPT ESTATE</v>
      </c>
      <c r="N186" s="6" t="s">
        <v>167</v>
      </c>
      <c r="O186" s="6"/>
      <c r="P186" s="6"/>
      <c r="Q186" s="6"/>
      <c r="R186" s="6"/>
      <c r="S186" s="6"/>
      <c r="T186" s="6"/>
      <c r="U186" s="6"/>
      <c r="V186" s="6"/>
      <c r="W186" s="6"/>
      <c r="X186" s="6"/>
      <c r="Y186" s="6"/>
      <c r="Z186" s="6"/>
      <c r="AA186" s="6"/>
      <c r="AB186" s="6"/>
      <c r="AC186" s="6"/>
      <c r="AD186" s="6"/>
      <c r="AE186" s="6"/>
    </row>
    <row r="187" spans="1:31" ht="63.75" x14ac:dyDescent="0.2">
      <c r="A187" s="6" t="s">
        <v>1735</v>
      </c>
      <c r="B187" s="6" t="s">
        <v>1745</v>
      </c>
      <c r="C187" s="20" t="s">
        <v>1746</v>
      </c>
      <c r="D187" s="6" t="s">
        <v>1747</v>
      </c>
      <c r="E187" s="6"/>
      <c r="F187" s="6" t="s">
        <v>1748</v>
      </c>
      <c r="G187" s="6" t="s">
        <v>1749</v>
      </c>
      <c r="H187" s="6" t="str">
        <f t="shared" si="13"/>
        <v>OLD EVE
OLD PHIBBAH
EGYPT LUCY(P434
P3
P96)</v>
      </c>
      <c r="I187" s="6" t="s">
        <v>96</v>
      </c>
      <c r="J187" s="6"/>
      <c r="K187" s="6"/>
      <c r="L187" s="6" t="s">
        <v>1751</v>
      </c>
      <c r="M187" s="6" t="s">
        <v>1752</v>
      </c>
      <c r="N187" s="6" t="s">
        <v>68</v>
      </c>
      <c r="O187" s="6"/>
      <c r="P187" s="6"/>
      <c r="Q187" s="6"/>
      <c r="R187" s="6"/>
      <c r="S187" s="6"/>
      <c r="T187" s="6"/>
      <c r="U187" s="6"/>
      <c r="V187" s="6"/>
      <c r="W187" s="6"/>
      <c r="X187" s="6"/>
      <c r="Y187" s="6"/>
      <c r="Z187" s="6"/>
      <c r="AA187" s="6"/>
      <c r="AB187" s="6"/>
      <c r="AC187" s="6"/>
      <c r="AD187" s="6"/>
      <c r="AE187" s="6"/>
    </row>
    <row r="188" spans="1:31" ht="38.25" x14ac:dyDescent="0.2">
      <c r="A188" s="6" t="s">
        <v>1735</v>
      </c>
      <c r="B188" s="6" t="s">
        <v>1754</v>
      </c>
      <c r="C188" s="20" t="s">
        <v>1756</v>
      </c>
      <c r="D188" s="6" t="s">
        <v>1757</v>
      </c>
      <c r="E188" s="6"/>
      <c r="F188" s="6" t="s">
        <v>1758</v>
      </c>
      <c r="G188" s="6" t="s">
        <v>1759</v>
      </c>
      <c r="H188" s="6" t="str">
        <f t="shared" si="13"/>
        <v>EGYPT LUCY
OLD PHIBBAH(P3
P963)</v>
      </c>
      <c r="I188" s="6" t="s">
        <v>96</v>
      </c>
      <c r="J188" s="6"/>
      <c r="K188" s="6"/>
      <c r="L188" s="6" t="s">
        <v>55</v>
      </c>
      <c r="M188" s="6" t="str">
        <f>VLOOKUP(L188, GLOSSARY!$A:$C, 2, FALSE)</f>
        <v>EGYPT ESTATE</v>
      </c>
      <c r="N188" s="6" t="s">
        <v>68</v>
      </c>
      <c r="O188" s="6"/>
      <c r="P188" s="6"/>
      <c r="Q188" s="6"/>
      <c r="R188" s="6"/>
      <c r="S188" s="6"/>
      <c r="T188" s="6"/>
      <c r="U188" s="6"/>
      <c r="V188" s="6"/>
      <c r="W188" s="6"/>
      <c r="X188" s="6"/>
      <c r="Y188" s="6"/>
      <c r="Z188" s="6"/>
      <c r="AA188" s="6"/>
      <c r="AB188" s="6"/>
      <c r="AC188" s="6"/>
      <c r="AD188" s="6"/>
      <c r="AE188" s="6"/>
    </row>
    <row r="189" spans="1:31" ht="38.25" x14ac:dyDescent="0.2">
      <c r="A189" s="6" t="s">
        <v>1762</v>
      </c>
      <c r="B189" s="6" t="s">
        <v>1745</v>
      </c>
      <c r="C189" s="20" t="s">
        <v>1765</v>
      </c>
      <c r="D189" s="6" t="s">
        <v>1766</v>
      </c>
      <c r="E189" s="6"/>
      <c r="F189" s="6" t="s">
        <v>1767</v>
      </c>
      <c r="G189" s="6" t="s">
        <v>1768</v>
      </c>
      <c r="H189" s="6" t="str">
        <f t="shared" si="13"/>
        <v>AGNES
QUAW(P380
P124)</v>
      </c>
      <c r="I189" s="6" t="s">
        <v>139</v>
      </c>
      <c r="J189" s="6"/>
      <c r="K189" s="6"/>
      <c r="L189" s="6" t="s">
        <v>55</v>
      </c>
      <c r="M189" s="6" t="str">
        <f>VLOOKUP(L189, GLOSSARY!$A:$C, 2, FALSE)</f>
        <v>EGYPT ESTATE</v>
      </c>
      <c r="N189" s="6" t="s">
        <v>68</v>
      </c>
      <c r="O189" s="6"/>
      <c r="P189" s="6"/>
      <c r="Q189" s="6"/>
      <c r="R189" s="6"/>
      <c r="S189" s="6"/>
      <c r="T189" s="6"/>
      <c r="U189" s="6"/>
      <c r="V189" s="6"/>
      <c r="W189" s="6"/>
      <c r="X189" s="6"/>
      <c r="Y189" s="6"/>
      <c r="Z189" s="6"/>
      <c r="AA189" s="6"/>
      <c r="AB189" s="6"/>
      <c r="AC189" s="6"/>
      <c r="AD189" s="6"/>
      <c r="AE189" s="6"/>
    </row>
    <row r="190" spans="1:31" ht="51" x14ac:dyDescent="0.2">
      <c r="A190" s="6" t="s">
        <v>1772</v>
      </c>
      <c r="B190" s="6" t="s">
        <v>1773</v>
      </c>
      <c r="C190" s="20" t="s">
        <v>1774</v>
      </c>
      <c r="D190" s="6" t="s">
        <v>1775</v>
      </c>
      <c r="E190" s="6"/>
      <c r="F190" s="6" t="s">
        <v>1776</v>
      </c>
      <c r="G190" s="6" t="s">
        <v>1777</v>
      </c>
      <c r="H190" s="6" t="str">
        <f t="shared" si="13"/>
        <v>THE OVERSEER
WONGA(P43
P27)</v>
      </c>
      <c r="I190" s="6" t="s">
        <v>409</v>
      </c>
      <c r="J190" s="6"/>
      <c r="K190" s="6"/>
      <c r="L190" s="6" t="s">
        <v>55</v>
      </c>
      <c r="M190" s="6" t="str">
        <f>VLOOKUP(L190, GLOSSARY!$A:$C, 2, FALSE)</f>
        <v>EGYPT ESTATE</v>
      </c>
      <c r="N190" s="6" t="s">
        <v>68</v>
      </c>
      <c r="O190" s="6"/>
      <c r="P190" s="6"/>
      <c r="Q190" s="6"/>
      <c r="R190" s="6"/>
      <c r="S190" s="6"/>
      <c r="T190" s="6"/>
      <c r="U190" s="6"/>
      <c r="V190" s="6"/>
      <c r="W190" s="6"/>
      <c r="X190" s="6"/>
      <c r="Y190" s="6"/>
      <c r="Z190" s="6"/>
      <c r="AA190" s="6"/>
      <c r="AB190" s="6"/>
      <c r="AC190" s="6"/>
      <c r="AD190" s="6"/>
      <c r="AE190" s="6"/>
    </row>
    <row r="191" spans="1:31" ht="38.25" x14ac:dyDescent="0.2">
      <c r="A191" s="6" t="s">
        <v>1782</v>
      </c>
      <c r="B191" s="6" t="s">
        <v>1773</v>
      </c>
      <c r="C191" s="20" t="s">
        <v>1774</v>
      </c>
      <c r="D191" s="6" t="s">
        <v>1784</v>
      </c>
      <c r="E191" s="6"/>
      <c r="F191" s="6" t="s">
        <v>1240</v>
      </c>
      <c r="G191" s="6" t="s">
        <v>1241</v>
      </c>
      <c r="H191" s="6" t="str">
        <f t="shared" si="13"/>
        <v>THE OVERSEER
AMBO(P43
P170)</v>
      </c>
      <c r="I191" s="6" t="s">
        <v>112</v>
      </c>
      <c r="J191" s="6"/>
      <c r="K191" s="6"/>
      <c r="L191" s="6" t="s">
        <v>55</v>
      </c>
      <c r="M191" s="6" t="str">
        <f>VLOOKUP(L191, GLOSSARY!$A:$C, 2, FALSE)</f>
        <v>EGYPT ESTATE</v>
      </c>
      <c r="N191" s="6" t="s">
        <v>68</v>
      </c>
      <c r="O191" s="6"/>
      <c r="P191" s="6"/>
      <c r="Q191" s="6"/>
      <c r="R191" s="6"/>
      <c r="S191" s="6"/>
      <c r="T191" s="6"/>
      <c r="U191" s="6"/>
      <c r="V191" s="6"/>
      <c r="W191" s="6"/>
      <c r="X191" s="6"/>
      <c r="Y191" s="6"/>
      <c r="Z191" s="6"/>
      <c r="AA191" s="6"/>
      <c r="AB191" s="6"/>
      <c r="AC191" s="6"/>
      <c r="AD191" s="6"/>
      <c r="AE191" s="6"/>
    </row>
    <row r="192" spans="1:31" ht="63.75" x14ac:dyDescent="0.2">
      <c r="A192" s="6" t="s">
        <v>1788</v>
      </c>
      <c r="B192" s="6" t="s">
        <v>1789</v>
      </c>
      <c r="C192" s="20" t="s">
        <v>1790</v>
      </c>
      <c r="D192" s="6" t="s">
        <v>1791</v>
      </c>
      <c r="E192" s="6"/>
      <c r="F192" s="6" t="s">
        <v>1792</v>
      </c>
      <c r="G192" s="6" t="s">
        <v>1793</v>
      </c>
      <c r="H192" s="6" t="str">
        <f t="shared" si="13"/>
        <v>DR. GRAHAM
THE OVERSEER
WILLIAM DORRILL(P43
P108
P75)</v>
      </c>
      <c r="I192" s="6" t="s">
        <v>1068</v>
      </c>
      <c r="J192" s="6"/>
      <c r="K192" s="6"/>
      <c r="L192" s="6" t="s">
        <v>93</v>
      </c>
      <c r="M192" s="6" t="str">
        <f>VLOOKUP(L192, GLOSSARY!$A:$C, 2, FALSE)</f>
        <v>SALT RIVER ESTATE</v>
      </c>
      <c r="N192" s="6" t="s">
        <v>68</v>
      </c>
      <c r="O192" s="6"/>
      <c r="P192" s="6"/>
      <c r="Q192" s="6"/>
      <c r="R192" s="6"/>
      <c r="S192" s="6"/>
      <c r="T192" s="6"/>
      <c r="U192" s="6"/>
      <c r="V192" s="6"/>
      <c r="W192" s="6"/>
      <c r="X192" s="6"/>
      <c r="Y192" s="6"/>
      <c r="Z192" s="6"/>
      <c r="AA192" s="6"/>
      <c r="AB192" s="6"/>
      <c r="AC192" s="6"/>
      <c r="AD192" s="6"/>
      <c r="AE192" s="6"/>
    </row>
    <row r="193" spans="1:31" ht="51" x14ac:dyDescent="0.2">
      <c r="A193" s="6" t="s">
        <v>1796</v>
      </c>
      <c r="B193" s="6" t="s">
        <v>1797</v>
      </c>
      <c r="C193" s="20" t="s">
        <v>1798</v>
      </c>
      <c r="D193" s="6" t="s">
        <v>1799</v>
      </c>
      <c r="E193" s="6"/>
      <c r="F193" s="6" t="s">
        <v>1802</v>
      </c>
      <c r="G193" s="6" t="s">
        <v>1803</v>
      </c>
      <c r="H193" s="6" t="str">
        <f t="shared" si="13"/>
        <v>THE OVERSEER
DOLL(P43
P225)</v>
      </c>
      <c r="I193" s="6" t="s">
        <v>409</v>
      </c>
      <c r="J193" s="6"/>
      <c r="K193" s="6"/>
      <c r="L193" s="6" t="s">
        <v>1804</v>
      </c>
      <c r="M193" s="6" t="str">
        <f>VLOOKUP(L193, GLOSSARY!$A:$C, 2, FALSE)</f>
        <v>AMBO'S GROUND</v>
      </c>
      <c r="N193" s="6" t="s">
        <v>68</v>
      </c>
      <c r="O193" s="6"/>
      <c r="P193" s="6"/>
      <c r="Q193" s="6"/>
      <c r="R193" s="6"/>
      <c r="S193" s="6"/>
      <c r="T193" s="6"/>
      <c r="U193" s="6"/>
      <c r="V193" s="6"/>
      <c r="W193" s="6"/>
      <c r="X193" s="6"/>
      <c r="Y193" s="6"/>
      <c r="Z193" s="6"/>
      <c r="AA193" s="6"/>
      <c r="AB193" s="6"/>
      <c r="AC193" s="6"/>
      <c r="AD193" s="6"/>
      <c r="AE193" s="6"/>
    </row>
    <row r="194" spans="1:31" ht="153" x14ac:dyDescent="0.2">
      <c r="A194" s="6" t="s">
        <v>1807</v>
      </c>
      <c r="B194" s="6" t="s">
        <v>1808</v>
      </c>
      <c r="C194" s="20" t="s">
        <v>1809</v>
      </c>
      <c r="D194" s="6" t="s">
        <v>1810</v>
      </c>
      <c r="E194" s="6"/>
      <c r="F194" s="6" t="s">
        <v>1811</v>
      </c>
      <c r="G194" s="6" t="s">
        <v>1812</v>
      </c>
      <c r="H194" s="6" t="str">
        <f t="shared" si="13"/>
        <v>THE OVERSEER
WILLIAM CROOKSHANKS
AMBO
DANIEL(P43
P189
P170
P42)</v>
      </c>
      <c r="I194" s="6" t="s">
        <v>248</v>
      </c>
      <c r="J194" s="6"/>
      <c r="K194" s="6"/>
      <c r="L194" s="6" t="s">
        <v>55</v>
      </c>
      <c r="M194" s="6" t="str">
        <f>VLOOKUP(L194, GLOSSARY!$A:$C, 2, FALSE)</f>
        <v>EGYPT ESTATE</v>
      </c>
      <c r="N194" s="6" t="s">
        <v>167</v>
      </c>
      <c r="O194" s="6"/>
      <c r="P194" s="6"/>
      <c r="Q194" s="6"/>
      <c r="R194" s="6"/>
      <c r="S194" s="6"/>
      <c r="T194" s="6"/>
      <c r="U194" s="6"/>
      <c r="V194" s="6"/>
      <c r="W194" s="6"/>
      <c r="X194" s="6"/>
      <c r="Y194" s="6"/>
      <c r="Z194" s="6"/>
      <c r="AA194" s="6"/>
      <c r="AB194" s="6"/>
      <c r="AC194" s="6"/>
      <c r="AD194" s="6"/>
      <c r="AE194" s="6"/>
    </row>
    <row r="195" spans="1:31" ht="38.25" x14ac:dyDescent="0.2">
      <c r="A195" s="6" t="s">
        <v>1813</v>
      </c>
      <c r="B195" s="6" t="s">
        <v>1814</v>
      </c>
      <c r="C195" s="20" t="s">
        <v>1815</v>
      </c>
      <c r="D195" s="6" t="s">
        <v>1816</v>
      </c>
      <c r="E195" s="6"/>
      <c r="F195" s="6" t="s">
        <v>1817</v>
      </c>
      <c r="G195" s="6" t="s">
        <v>1818</v>
      </c>
      <c r="H195" s="6" t="str">
        <f t="shared" si="13"/>
        <v>NANCY
PHIBBAH(P7
P8)</v>
      </c>
      <c r="I195" s="6" t="s">
        <v>859</v>
      </c>
      <c r="J195" s="6"/>
      <c r="K195" s="6"/>
      <c r="L195" s="6" t="s">
        <v>55</v>
      </c>
      <c r="M195" s="6" t="str">
        <f>VLOOKUP(L195, GLOSSARY!$A:$C, 2, FALSE)</f>
        <v>EGYPT ESTATE</v>
      </c>
      <c r="N195" s="6" t="s">
        <v>167</v>
      </c>
      <c r="O195" s="6"/>
      <c r="P195" s="6"/>
      <c r="Q195" s="6"/>
      <c r="R195" s="6"/>
      <c r="S195" s="6"/>
      <c r="T195" s="6"/>
      <c r="U195" s="6"/>
      <c r="V195" s="6"/>
      <c r="W195" s="6"/>
      <c r="X195" s="6"/>
      <c r="Y195" s="6"/>
      <c r="Z195" s="6"/>
      <c r="AA195" s="6"/>
      <c r="AB195" s="6"/>
      <c r="AC195" s="6"/>
      <c r="AD195" s="6"/>
      <c r="AE195" s="6"/>
    </row>
    <row r="196" spans="1:31" ht="38.25" x14ac:dyDescent="0.2">
      <c r="A196" s="6" t="s">
        <v>1390</v>
      </c>
      <c r="B196" s="6" t="s">
        <v>1311</v>
      </c>
      <c r="C196" s="20" t="s">
        <v>1821</v>
      </c>
      <c r="D196" s="6" t="s">
        <v>1822</v>
      </c>
      <c r="E196" s="6"/>
      <c r="F196" s="6"/>
      <c r="G196" s="6"/>
      <c r="H196" s="6"/>
      <c r="I196" s="6" t="s">
        <v>578</v>
      </c>
      <c r="J196" s="6"/>
      <c r="K196" s="6"/>
      <c r="L196" s="6" t="s">
        <v>55</v>
      </c>
      <c r="M196" s="6" t="str">
        <f>VLOOKUP(L196, GLOSSARY!$A:$C, 2, FALSE)</f>
        <v>EGYPT ESTATE</v>
      </c>
      <c r="N196" s="6" t="s">
        <v>68</v>
      </c>
      <c r="O196" s="6"/>
      <c r="P196" s="6"/>
      <c r="Q196" s="6"/>
      <c r="R196" s="6"/>
      <c r="S196" s="6"/>
      <c r="T196" s="6"/>
      <c r="U196" s="6"/>
      <c r="V196" s="6"/>
      <c r="W196" s="6"/>
      <c r="X196" s="6"/>
      <c r="Y196" s="6"/>
      <c r="Z196" s="6"/>
      <c r="AA196" s="6"/>
      <c r="AB196" s="6"/>
      <c r="AC196" s="6"/>
      <c r="AD196" s="6"/>
      <c r="AE196" s="6"/>
    </row>
    <row r="197" spans="1:31" ht="114.75" x14ac:dyDescent="0.2">
      <c r="A197" s="6" t="s">
        <v>1825</v>
      </c>
      <c r="B197" s="6" t="s">
        <v>1311</v>
      </c>
      <c r="C197" s="20" t="s">
        <v>1821</v>
      </c>
      <c r="D197" s="6" t="s">
        <v>1826</v>
      </c>
      <c r="E197" s="6"/>
      <c r="F197" s="6" t="s">
        <v>1827</v>
      </c>
      <c r="G197" s="6" t="s">
        <v>1828</v>
      </c>
      <c r="H197" s="6" t="str">
        <f>CONCATENATE(F197,"(",G197,")")</f>
        <v>THE OVERSEER
JOHN COPE
MR. MORTIMER(P43
P44
P427)</v>
      </c>
      <c r="I197" s="6" t="s">
        <v>248</v>
      </c>
      <c r="J197" s="6"/>
      <c r="K197" s="6"/>
      <c r="L197" s="6" t="s">
        <v>55</v>
      </c>
      <c r="M197" s="6" t="str">
        <f>VLOOKUP(L197, GLOSSARY!$A:$C, 2, FALSE)</f>
        <v>EGYPT ESTATE</v>
      </c>
      <c r="N197" s="6" t="s">
        <v>68</v>
      </c>
      <c r="O197" s="6"/>
      <c r="P197" s="6"/>
      <c r="Q197" s="6"/>
      <c r="R197" s="6"/>
      <c r="S197" s="6"/>
      <c r="T197" s="6"/>
      <c r="U197" s="6"/>
      <c r="V197" s="6"/>
      <c r="W197" s="6"/>
      <c r="X197" s="6"/>
      <c r="Y197" s="6"/>
      <c r="Z197" s="6"/>
      <c r="AA197" s="6"/>
      <c r="AB197" s="6"/>
      <c r="AC197" s="6"/>
      <c r="AD197" s="6"/>
      <c r="AE197" s="6"/>
    </row>
    <row r="198" spans="1:31" ht="38.25" x14ac:dyDescent="0.2">
      <c r="A198" s="6" t="s">
        <v>1832</v>
      </c>
      <c r="B198" s="6" t="s">
        <v>1833</v>
      </c>
      <c r="C198" s="20" t="s">
        <v>1834</v>
      </c>
      <c r="D198" s="6" t="s">
        <v>1835</v>
      </c>
      <c r="E198" s="6"/>
      <c r="F198" s="6" t="s">
        <v>643</v>
      </c>
      <c r="G198" s="6" t="s">
        <v>644</v>
      </c>
      <c r="H198" s="6"/>
      <c r="I198" s="6" t="s">
        <v>784</v>
      </c>
      <c r="J198" s="6"/>
      <c r="K198" s="6"/>
      <c r="L198" s="6" t="s">
        <v>55</v>
      </c>
      <c r="M198" s="6" t="str">
        <f>VLOOKUP(L198, GLOSSARY!$A:$C, 2, FALSE)</f>
        <v>EGYPT ESTATE</v>
      </c>
      <c r="N198" s="6" t="s">
        <v>68</v>
      </c>
      <c r="O198" s="6"/>
      <c r="P198" s="6"/>
      <c r="Q198" s="6"/>
      <c r="R198" s="6"/>
      <c r="S198" s="6"/>
      <c r="T198" s="6"/>
      <c r="U198" s="6"/>
      <c r="V198" s="6"/>
      <c r="W198" s="6"/>
      <c r="X198" s="6"/>
      <c r="Y198" s="6"/>
      <c r="Z198" s="6"/>
      <c r="AA198" s="6"/>
      <c r="AB198" s="6"/>
      <c r="AC198" s="6"/>
      <c r="AD198" s="6"/>
      <c r="AE198" s="6"/>
    </row>
    <row r="199" spans="1:31" ht="38.25" x14ac:dyDescent="0.2">
      <c r="A199" s="6" t="s">
        <v>1558</v>
      </c>
      <c r="B199" s="6" t="s">
        <v>1839</v>
      </c>
      <c r="C199" s="20" t="s">
        <v>1840</v>
      </c>
      <c r="D199" s="6" t="s">
        <v>1841</v>
      </c>
      <c r="E199" s="6"/>
      <c r="F199" s="6" t="s">
        <v>1561</v>
      </c>
      <c r="G199" s="6" t="s">
        <v>1562</v>
      </c>
      <c r="H199" s="6"/>
      <c r="I199" s="6" t="s">
        <v>409</v>
      </c>
      <c r="J199" s="6"/>
      <c r="K199" s="6"/>
      <c r="L199" s="6" t="s">
        <v>1695</v>
      </c>
      <c r="M199" s="6" t="str">
        <f>VLOOKUP(L199, GLOSSARY!$A:$C, 2, FALSE)</f>
        <v>EGYPT ESTATE HOTHOUSE</v>
      </c>
      <c r="N199" s="6" t="s">
        <v>68</v>
      </c>
      <c r="O199" s="6"/>
      <c r="P199" s="6"/>
      <c r="Q199" s="6"/>
      <c r="R199" s="6"/>
      <c r="S199" s="6"/>
      <c r="T199" s="6"/>
      <c r="U199" s="6"/>
      <c r="V199" s="6"/>
      <c r="W199" s="6"/>
      <c r="X199" s="6"/>
      <c r="Y199" s="6"/>
      <c r="Z199" s="6"/>
      <c r="AA199" s="6"/>
      <c r="AB199" s="6"/>
      <c r="AC199" s="6"/>
      <c r="AD199" s="6"/>
      <c r="AE199" s="6"/>
    </row>
    <row r="200" spans="1:31" ht="63.75" x14ac:dyDescent="0.2">
      <c r="A200" s="6" t="s">
        <v>1844</v>
      </c>
      <c r="B200" s="6" t="s">
        <v>1845</v>
      </c>
      <c r="C200" s="20" t="s">
        <v>1846</v>
      </c>
      <c r="D200" s="6" t="s">
        <v>1847</v>
      </c>
      <c r="E200" s="6"/>
      <c r="F200" s="6" t="s">
        <v>1848</v>
      </c>
      <c r="G200" s="6" t="s">
        <v>1849</v>
      </c>
      <c r="H200" s="6" t="str">
        <f t="shared" ref="H200:H204" si="14">CONCATENATE(F200,"(",G200,")")</f>
        <v>THE OVERSEER
HECTOR
BECK(P43
P358
P361)</v>
      </c>
      <c r="I200" s="6" t="s">
        <v>112</v>
      </c>
      <c r="J200" s="6"/>
      <c r="K200" s="6"/>
      <c r="L200" s="6" t="s">
        <v>55</v>
      </c>
      <c r="M200" s="6" t="str">
        <f>VLOOKUP(L200, GLOSSARY!$A:$C, 2, FALSE)</f>
        <v>EGYPT ESTATE</v>
      </c>
      <c r="N200" s="6" t="s">
        <v>167</v>
      </c>
      <c r="O200" s="6"/>
      <c r="P200" s="6"/>
      <c r="Q200" s="6"/>
      <c r="R200" s="6"/>
      <c r="S200" s="6"/>
      <c r="T200" s="6"/>
      <c r="U200" s="6"/>
      <c r="V200" s="6"/>
      <c r="W200" s="6"/>
      <c r="X200" s="6"/>
      <c r="Y200" s="6"/>
      <c r="Z200" s="6"/>
      <c r="AA200" s="6"/>
      <c r="AB200" s="6"/>
      <c r="AC200" s="6"/>
      <c r="AD200" s="6"/>
      <c r="AE200" s="6"/>
    </row>
    <row r="201" spans="1:31" ht="63.75" x14ac:dyDescent="0.2">
      <c r="A201" s="6" t="s">
        <v>1853</v>
      </c>
      <c r="B201" s="6" t="s">
        <v>1854</v>
      </c>
      <c r="C201" s="20" t="s">
        <v>1855</v>
      </c>
      <c r="D201" s="6" t="s">
        <v>1856</v>
      </c>
      <c r="E201" s="6"/>
      <c r="F201" s="6" t="s">
        <v>1857</v>
      </c>
      <c r="G201" s="6" t="s">
        <v>1858</v>
      </c>
      <c r="H201" s="6" t="str">
        <f t="shared" si="14"/>
        <v>WONGA
CHRISHEA(P27
P126)</v>
      </c>
      <c r="I201" s="6" t="s">
        <v>533</v>
      </c>
      <c r="J201" s="6"/>
      <c r="K201" s="6"/>
      <c r="L201" s="6" t="s">
        <v>55</v>
      </c>
      <c r="M201" s="6" t="str">
        <f>VLOOKUP(L201, GLOSSARY!$A:$C, 2, FALSE)</f>
        <v>EGYPT ESTATE</v>
      </c>
      <c r="N201" s="6" t="s">
        <v>287</v>
      </c>
      <c r="O201" s="6"/>
      <c r="P201" s="6"/>
      <c r="Q201" s="6"/>
      <c r="R201" s="6"/>
      <c r="S201" s="6"/>
      <c r="T201" s="6"/>
      <c r="U201" s="6"/>
      <c r="V201" s="6"/>
      <c r="W201" s="6"/>
      <c r="X201" s="6"/>
      <c r="Y201" s="6"/>
      <c r="Z201" s="6"/>
      <c r="AA201" s="6"/>
      <c r="AB201" s="6"/>
      <c r="AC201" s="6"/>
      <c r="AD201" s="6"/>
      <c r="AE201" s="6"/>
    </row>
    <row r="202" spans="1:31" ht="114.75" x14ac:dyDescent="0.2">
      <c r="A202" s="6" t="s">
        <v>1863</v>
      </c>
      <c r="B202" s="6" t="s">
        <v>1326</v>
      </c>
      <c r="C202" s="20" t="s">
        <v>1864</v>
      </c>
      <c r="D202" s="6" t="s">
        <v>1865</v>
      </c>
      <c r="E202" s="6"/>
      <c r="F202" s="6" t="s">
        <v>1866</v>
      </c>
      <c r="G202" s="6" t="s">
        <v>1867</v>
      </c>
      <c r="H202" s="6" t="str">
        <f t="shared" si="14"/>
        <v>THE OVERSEER
JOHN COPE
MR. LAUDERDALE
MR. GORSE
BESSY STORER(P43
P44
P228
P459
P460)</v>
      </c>
      <c r="I202" s="6" t="s">
        <v>859</v>
      </c>
      <c r="J202" s="6"/>
      <c r="K202" s="6"/>
      <c r="L202" s="6" t="s">
        <v>55</v>
      </c>
      <c r="M202" s="6" t="str">
        <f>VLOOKUP(L202, GLOSSARY!$A:$C, 2, FALSE)</f>
        <v>EGYPT ESTATE</v>
      </c>
      <c r="N202" s="6" t="s">
        <v>167</v>
      </c>
      <c r="O202" s="6"/>
      <c r="P202" s="6"/>
      <c r="Q202" s="6"/>
      <c r="R202" s="6"/>
      <c r="S202" s="6"/>
      <c r="T202" s="6"/>
      <c r="U202" s="6"/>
      <c r="V202" s="6"/>
      <c r="W202" s="6"/>
      <c r="X202" s="6"/>
      <c r="Y202" s="6"/>
      <c r="Z202" s="6"/>
      <c r="AA202" s="6"/>
      <c r="AB202" s="6"/>
      <c r="AC202" s="6"/>
      <c r="AD202" s="6"/>
      <c r="AE202" s="6"/>
    </row>
    <row r="203" spans="1:31" ht="63.75" x14ac:dyDescent="0.2">
      <c r="A203" s="6" t="s">
        <v>1390</v>
      </c>
      <c r="B203" s="6" t="s">
        <v>1326</v>
      </c>
      <c r="C203" s="20" t="s">
        <v>1872</v>
      </c>
      <c r="D203" s="6" t="s">
        <v>1873</v>
      </c>
      <c r="E203" s="6"/>
      <c r="F203" s="6" t="s">
        <v>48</v>
      </c>
      <c r="G203" s="6" t="s">
        <v>50</v>
      </c>
      <c r="H203" s="6" t="str">
        <f t="shared" si="14"/>
        <v>THE OVERSEER(P43)</v>
      </c>
      <c r="I203" s="6" t="s">
        <v>248</v>
      </c>
      <c r="J203" s="6"/>
      <c r="K203" s="6"/>
      <c r="L203" s="6" t="s">
        <v>55</v>
      </c>
      <c r="M203" s="6" t="str">
        <f>VLOOKUP(L203, GLOSSARY!$A:$C, 2, FALSE)</f>
        <v>EGYPT ESTATE</v>
      </c>
      <c r="N203" s="6" t="s">
        <v>68</v>
      </c>
      <c r="O203" s="6"/>
      <c r="P203" s="6"/>
      <c r="Q203" s="6"/>
      <c r="R203" s="6"/>
      <c r="S203" s="6"/>
      <c r="T203" s="6"/>
      <c r="U203" s="6"/>
      <c r="V203" s="6"/>
      <c r="W203" s="6"/>
      <c r="X203" s="6"/>
      <c r="Y203" s="6"/>
      <c r="Z203" s="6"/>
      <c r="AA203" s="6"/>
      <c r="AB203" s="6"/>
      <c r="AC203" s="6"/>
      <c r="AD203" s="6"/>
      <c r="AE203" s="6"/>
    </row>
    <row r="204" spans="1:31" ht="140.25" x14ac:dyDescent="0.2">
      <c r="A204" s="6" t="s">
        <v>1876</v>
      </c>
      <c r="B204" s="6" t="s">
        <v>1333</v>
      </c>
      <c r="C204" s="20" t="s">
        <v>1877</v>
      </c>
      <c r="D204" s="6" t="s">
        <v>1880</v>
      </c>
      <c r="E204" s="6"/>
      <c r="F204" s="6" t="s">
        <v>1881</v>
      </c>
      <c r="G204" s="6" t="s">
        <v>1882</v>
      </c>
      <c r="H204" s="6" t="str">
        <f t="shared" si="14"/>
        <v>MOUNTAIN SUSANAH
BECK
CYRUS
PORT ROYAL
BENJAMIN
EVE(P254
P361
P210
P212
P413
P128)</v>
      </c>
      <c r="I204" s="6" t="s">
        <v>656</v>
      </c>
      <c r="J204" s="6"/>
      <c r="K204" s="6"/>
      <c r="L204" s="6" t="s">
        <v>55</v>
      </c>
      <c r="M204" s="6" t="str">
        <f>VLOOKUP(L204, GLOSSARY!$A:$C, 2, FALSE)</f>
        <v>EGYPT ESTATE</v>
      </c>
      <c r="N204" s="6" t="s">
        <v>287</v>
      </c>
      <c r="O204" s="6"/>
      <c r="P204" s="6"/>
      <c r="Q204" s="6"/>
      <c r="R204" s="6"/>
      <c r="S204" s="6"/>
      <c r="T204" s="6"/>
      <c r="U204" s="6"/>
      <c r="V204" s="6"/>
      <c r="W204" s="6"/>
      <c r="X204" s="6"/>
      <c r="Y204" s="6"/>
      <c r="Z204" s="6"/>
      <c r="AA204" s="6"/>
      <c r="AB204" s="6"/>
      <c r="AC204" s="6"/>
      <c r="AD204" s="6"/>
      <c r="AE204" s="6"/>
    </row>
    <row r="205" spans="1:31" ht="63.75" x14ac:dyDescent="0.2">
      <c r="A205" s="6" t="s">
        <v>1558</v>
      </c>
      <c r="B205" s="6" t="s">
        <v>1338</v>
      </c>
      <c r="C205" s="20" t="s">
        <v>1885</v>
      </c>
      <c r="D205" s="6" t="s">
        <v>1886</v>
      </c>
      <c r="E205" s="6"/>
      <c r="F205" s="6" t="s">
        <v>1561</v>
      </c>
      <c r="G205" s="6" t="s">
        <v>1562</v>
      </c>
      <c r="H205" s="6"/>
      <c r="I205" s="6" t="s">
        <v>409</v>
      </c>
      <c r="J205" s="6"/>
      <c r="K205" s="6"/>
      <c r="L205" s="6" t="s">
        <v>1888</v>
      </c>
      <c r="M205" s="6" t="str">
        <f>VLOOKUP(L205, GLOSSARY!$A:$C, 2, FALSE)</f>
        <v>EGYPT PAPAH TREE PIECE</v>
      </c>
      <c r="N205" s="6" t="s">
        <v>167</v>
      </c>
      <c r="O205" s="6"/>
      <c r="P205" s="6"/>
      <c r="Q205" s="6"/>
      <c r="R205" s="6"/>
      <c r="S205" s="6"/>
      <c r="T205" s="6"/>
      <c r="U205" s="6"/>
      <c r="V205" s="6"/>
      <c r="W205" s="6"/>
      <c r="X205" s="6"/>
      <c r="Y205" s="6"/>
      <c r="Z205" s="6"/>
      <c r="AA205" s="6"/>
      <c r="AB205" s="6"/>
      <c r="AC205" s="6"/>
      <c r="AD205" s="6"/>
      <c r="AE205" s="6"/>
    </row>
    <row r="206" spans="1:31" ht="102" x14ac:dyDescent="0.2">
      <c r="A206" s="6" t="s">
        <v>1890</v>
      </c>
      <c r="B206" s="6" t="s">
        <v>1892</v>
      </c>
      <c r="C206" s="20" t="s">
        <v>1894</v>
      </c>
      <c r="D206" s="6" t="s">
        <v>1895</v>
      </c>
      <c r="E206" s="6"/>
      <c r="F206" s="6" t="s">
        <v>1896</v>
      </c>
      <c r="G206" s="6" t="s">
        <v>1897</v>
      </c>
      <c r="H206" s="6" t="str">
        <f t="shared" ref="H206:H218" si="15">CONCATENATE(F206,"(",G206,")")</f>
        <v>THE OVERSEER
WILLIAM CROOKSHANKS
EVE(P43
P189
P128)</v>
      </c>
      <c r="I206" s="6" t="s">
        <v>656</v>
      </c>
      <c r="J206" s="6"/>
      <c r="K206" s="6"/>
      <c r="L206" s="6" t="s">
        <v>1898</v>
      </c>
      <c r="M206" s="6" t="s">
        <v>1899</v>
      </c>
      <c r="N206" s="6" t="s">
        <v>167</v>
      </c>
      <c r="O206" s="6"/>
      <c r="P206" s="6"/>
      <c r="Q206" s="6"/>
      <c r="R206" s="6"/>
      <c r="S206" s="6"/>
      <c r="T206" s="6"/>
      <c r="U206" s="6"/>
      <c r="V206" s="6"/>
      <c r="W206" s="6"/>
      <c r="X206" s="6"/>
      <c r="Y206" s="6"/>
      <c r="Z206" s="6"/>
      <c r="AA206" s="6"/>
      <c r="AB206" s="6"/>
      <c r="AC206" s="6"/>
      <c r="AD206" s="6"/>
      <c r="AE206" s="6"/>
    </row>
    <row r="207" spans="1:31" ht="51" x14ac:dyDescent="0.2">
      <c r="A207" s="6" t="s">
        <v>1902</v>
      </c>
      <c r="B207" s="6" t="s">
        <v>1903</v>
      </c>
      <c r="C207" s="20" t="s">
        <v>1904</v>
      </c>
      <c r="D207" s="6" t="s">
        <v>1905</v>
      </c>
      <c r="E207" s="6"/>
      <c r="F207" s="6" t="s">
        <v>48</v>
      </c>
      <c r="G207" s="6" t="s">
        <v>50</v>
      </c>
      <c r="H207" s="6" t="str">
        <f t="shared" si="15"/>
        <v>THE OVERSEER(P43)</v>
      </c>
      <c r="I207" s="6" t="s">
        <v>533</v>
      </c>
      <c r="J207" s="6"/>
      <c r="K207" s="6"/>
      <c r="L207" s="6" t="s">
        <v>55</v>
      </c>
      <c r="M207" s="6" t="str">
        <f>VLOOKUP(L207, GLOSSARY!$A:$C, 2, FALSE)</f>
        <v>EGYPT ESTATE</v>
      </c>
      <c r="N207" s="6" t="s">
        <v>287</v>
      </c>
      <c r="O207" s="6"/>
      <c r="P207" s="6"/>
      <c r="Q207" s="6"/>
      <c r="R207" s="6"/>
      <c r="S207" s="6"/>
      <c r="T207" s="6"/>
      <c r="U207" s="6"/>
      <c r="V207" s="6"/>
      <c r="W207" s="6"/>
      <c r="X207" s="6"/>
      <c r="Y207" s="6"/>
      <c r="Z207" s="6"/>
      <c r="AA207" s="6"/>
      <c r="AB207" s="6"/>
      <c r="AC207" s="6"/>
      <c r="AD207" s="6"/>
      <c r="AE207" s="6"/>
    </row>
    <row r="208" spans="1:31" ht="63.75" x14ac:dyDescent="0.2">
      <c r="A208" s="6" t="s">
        <v>1902</v>
      </c>
      <c r="B208" s="6" t="s">
        <v>1354</v>
      </c>
      <c r="C208" s="20" t="s">
        <v>1911</v>
      </c>
      <c r="D208" s="6" t="s">
        <v>1912</v>
      </c>
      <c r="E208" s="6"/>
      <c r="F208" s="6" t="s">
        <v>1913</v>
      </c>
      <c r="G208" s="6" t="s">
        <v>1914</v>
      </c>
      <c r="H208" s="6" t="str">
        <f t="shared" si="15"/>
        <v>THE OVERSEER
OLD SHARPER(P43
P74)</v>
      </c>
      <c r="I208" s="6" t="s">
        <v>533</v>
      </c>
      <c r="J208" s="6"/>
      <c r="K208" s="6"/>
      <c r="L208" s="6" t="s">
        <v>55</v>
      </c>
      <c r="M208" s="6" t="str">
        <f>VLOOKUP(L208, GLOSSARY!$A:$C, 2, FALSE)</f>
        <v>EGYPT ESTATE</v>
      </c>
      <c r="N208" s="6" t="s">
        <v>287</v>
      </c>
      <c r="O208" s="6"/>
      <c r="P208" s="6"/>
      <c r="Q208" s="6"/>
      <c r="R208" s="6"/>
      <c r="S208" s="6"/>
      <c r="T208" s="6"/>
      <c r="U208" s="6"/>
      <c r="V208" s="6"/>
      <c r="W208" s="6"/>
      <c r="X208" s="6"/>
      <c r="Y208" s="6"/>
      <c r="Z208" s="6"/>
      <c r="AA208" s="6"/>
      <c r="AB208" s="6"/>
      <c r="AC208" s="6"/>
      <c r="AD208" s="6"/>
      <c r="AE208" s="6"/>
    </row>
    <row r="209" spans="1:31" ht="38.25" x14ac:dyDescent="0.2">
      <c r="A209" s="6" t="s">
        <v>1917</v>
      </c>
      <c r="B209" s="6" t="s">
        <v>1918</v>
      </c>
      <c r="C209" s="20" t="s">
        <v>1919</v>
      </c>
      <c r="D209" s="6" t="s">
        <v>1920</v>
      </c>
      <c r="E209" s="6"/>
      <c r="F209" s="6" t="s">
        <v>1922</v>
      </c>
      <c r="G209" s="6" t="s">
        <v>1924</v>
      </c>
      <c r="H209" s="6" t="str">
        <f t="shared" si="15"/>
        <v>CHRISHEA
MOUNTAIN LUCY(P126
P30)</v>
      </c>
      <c r="I209" s="6" t="s">
        <v>784</v>
      </c>
      <c r="J209" s="6"/>
      <c r="K209" s="6"/>
      <c r="L209" s="6" t="s">
        <v>55</v>
      </c>
      <c r="M209" s="6" t="str">
        <f>VLOOKUP(L209, GLOSSARY!$A:$C, 2, FALSE)</f>
        <v>EGYPT ESTATE</v>
      </c>
      <c r="N209" s="6" t="s">
        <v>68</v>
      </c>
      <c r="O209" s="6"/>
      <c r="P209" s="6"/>
      <c r="Q209" s="6"/>
      <c r="R209" s="6"/>
      <c r="S209" s="6"/>
      <c r="T209" s="6"/>
      <c r="U209" s="6"/>
      <c r="V209" s="6"/>
      <c r="W209" s="6"/>
      <c r="X209" s="6"/>
      <c r="Y209" s="6"/>
      <c r="Z209" s="6"/>
      <c r="AA209" s="6"/>
      <c r="AB209" s="6"/>
      <c r="AC209" s="6"/>
      <c r="AD209" s="6"/>
      <c r="AE209" s="6"/>
    </row>
    <row r="210" spans="1:31" ht="114.75" x14ac:dyDescent="0.2">
      <c r="A210" s="6" t="s">
        <v>1902</v>
      </c>
      <c r="B210" s="6" t="s">
        <v>1918</v>
      </c>
      <c r="C210" s="20" t="s">
        <v>1919</v>
      </c>
      <c r="D210" s="6" t="s">
        <v>1927</v>
      </c>
      <c r="E210" s="6"/>
      <c r="F210" s="6" t="s">
        <v>48</v>
      </c>
      <c r="G210" s="6" t="s">
        <v>50</v>
      </c>
      <c r="H210" s="6" t="str">
        <f t="shared" si="15"/>
        <v>THE OVERSEER(P43)</v>
      </c>
      <c r="I210" s="6" t="s">
        <v>533</v>
      </c>
      <c r="J210" s="6"/>
      <c r="K210" s="6"/>
      <c r="L210" s="6" t="s">
        <v>55</v>
      </c>
      <c r="M210" s="6" t="str">
        <f>VLOOKUP(L210, GLOSSARY!$A:$C, 2, FALSE)</f>
        <v>EGYPT ESTATE</v>
      </c>
      <c r="N210" s="6" t="s">
        <v>287</v>
      </c>
      <c r="O210" s="6"/>
      <c r="P210" s="6"/>
      <c r="Q210" s="6"/>
      <c r="R210" s="6"/>
      <c r="S210" s="6"/>
      <c r="T210" s="6"/>
      <c r="U210" s="6"/>
      <c r="V210" s="6"/>
      <c r="W210" s="6"/>
      <c r="X210" s="6"/>
      <c r="Y210" s="6"/>
      <c r="Z210" s="6"/>
      <c r="AA210" s="6"/>
      <c r="AB210" s="6"/>
      <c r="AC210" s="6"/>
      <c r="AD210" s="6"/>
      <c r="AE210" s="6"/>
    </row>
    <row r="211" spans="1:31" ht="318.75" x14ac:dyDescent="0.2">
      <c r="A211" s="6" t="s">
        <v>1932</v>
      </c>
      <c r="B211" s="6" t="s">
        <v>1933</v>
      </c>
      <c r="C211" s="20" t="s">
        <v>1934</v>
      </c>
      <c r="D211" s="6" t="s">
        <v>1935</v>
      </c>
      <c r="E211" s="6"/>
      <c r="F211" s="6" t="s">
        <v>1936</v>
      </c>
      <c r="G211" s="6" t="s">
        <v>1938</v>
      </c>
      <c r="H211" s="6" t="str">
        <f t="shared" si="15"/>
        <v>JOHN COPE
JOHN HUTT
MR. MASON
MR. GORDON
MR. WEECH
MR. WATT
EVE(P44
P51
P202
P408
P409
P410
P128)</v>
      </c>
      <c r="I211" s="6" t="s">
        <v>112</v>
      </c>
      <c r="J211" s="6"/>
      <c r="K211" s="6"/>
      <c r="L211" s="6" t="s">
        <v>55</v>
      </c>
      <c r="M211" s="6" t="str">
        <f>VLOOKUP(L211, GLOSSARY!$A:$C, 2, FALSE)</f>
        <v>EGYPT ESTATE</v>
      </c>
      <c r="N211" s="6" t="s">
        <v>68</v>
      </c>
      <c r="O211" s="6"/>
      <c r="P211" s="6"/>
      <c r="Q211" s="6"/>
      <c r="R211" s="6"/>
      <c r="S211" s="6"/>
      <c r="T211" s="6"/>
      <c r="U211" s="6"/>
      <c r="V211" s="6"/>
      <c r="W211" s="6"/>
      <c r="X211" s="6"/>
      <c r="Y211" s="6"/>
      <c r="Z211" s="6"/>
      <c r="AA211" s="6"/>
      <c r="AB211" s="6"/>
      <c r="AC211" s="6"/>
      <c r="AD211" s="6"/>
      <c r="AE211" s="6"/>
    </row>
    <row r="212" spans="1:31" ht="63.75" x14ac:dyDescent="0.2">
      <c r="A212" s="6" t="s">
        <v>1942</v>
      </c>
      <c r="B212" s="6" t="s">
        <v>1943</v>
      </c>
      <c r="C212" s="20" t="s">
        <v>1934</v>
      </c>
      <c r="D212" s="6" t="s">
        <v>1944</v>
      </c>
      <c r="E212" s="6"/>
      <c r="F212" s="6" t="s">
        <v>1945</v>
      </c>
      <c r="G212" s="6" t="s">
        <v>1946</v>
      </c>
      <c r="H212" s="6" t="str">
        <f t="shared" si="15"/>
        <v>THE OVERSEER
PHIBBAH
JOHN HUTT(P43
P7
P51)</v>
      </c>
      <c r="I212" s="6" t="s">
        <v>1678</v>
      </c>
      <c r="J212" s="6"/>
      <c r="K212" s="6"/>
      <c r="L212" s="6" t="s">
        <v>55</v>
      </c>
      <c r="M212" s="6" t="str">
        <f>VLOOKUP(L212, GLOSSARY!$A:$C, 2, FALSE)</f>
        <v>EGYPT ESTATE</v>
      </c>
      <c r="N212" s="6" t="s">
        <v>167</v>
      </c>
      <c r="O212" s="6"/>
      <c r="P212" s="6"/>
      <c r="Q212" s="6"/>
      <c r="R212" s="6"/>
      <c r="S212" s="6"/>
      <c r="T212" s="6"/>
      <c r="U212" s="6"/>
      <c r="V212" s="6"/>
      <c r="W212" s="6"/>
      <c r="X212" s="6"/>
      <c r="Y212" s="6"/>
      <c r="Z212" s="6"/>
      <c r="AA212" s="6"/>
      <c r="AB212" s="6"/>
      <c r="AC212" s="6"/>
      <c r="AD212" s="6"/>
      <c r="AE212" s="6"/>
    </row>
    <row r="213" spans="1:31" ht="38.25" x14ac:dyDescent="0.2">
      <c r="A213" s="6" t="s">
        <v>1902</v>
      </c>
      <c r="B213" s="6" t="s">
        <v>1918</v>
      </c>
      <c r="C213" s="20" t="s">
        <v>1934</v>
      </c>
      <c r="D213" s="6" t="s">
        <v>1951</v>
      </c>
      <c r="E213" s="6"/>
      <c r="F213" s="6" t="s">
        <v>1913</v>
      </c>
      <c r="G213" s="6" t="s">
        <v>1914</v>
      </c>
      <c r="H213" s="6" t="str">
        <f t="shared" si="15"/>
        <v>THE OVERSEER
OLD SHARPER(P43
P74)</v>
      </c>
      <c r="I213" s="6" t="s">
        <v>533</v>
      </c>
      <c r="J213" s="6"/>
      <c r="K213" s="6"/>
      <c r="L213" s="6" t="s">
        <v>55</v>
      </c>
      <c r="M213" s="6" t="str">
        <f>VLOOKUP(L213, GLOSSARY!$A:$C, 2, FALSE)</f>
        <v>EGYPT ESTATE</v>
      </c>
      <c r="N213" s="6" t="s">
        <v>167</v>
      </c>
      <c r="O213" s="6"/>
      <c r="P213" s="6"/>
      <c r="Q213" s="6"/>
      <c r="R213" s="6"/>
      <c r="S213" s="6"/>
      <c r="T213" s="6"/>
      <c r="U213" s="6"/>
      <c r="V213" s="6"/>
      <c r="W213" s="6"/>
      <c r="X213" s="6"/>
      <c r="Y213" s="6"/>
      <c r="Z213" s="6"/>
      <c r="AA213" s="6"/>
      <c r="AB213" s="6"/>
      <c r="AC213" s="6"/>
      <c r="AD213" s="6"/>
      <c r="AE213" s="6"/>
    </row>
    <row r="214" spans="1:31" ht="114.75" x14ac:dyDescent="0.2">
      <c r="A214" s="6" t="s">
        <v>1902</v>
      </c>
      <c r="B214" s="6" t="s">
        <v>1956</v>
      </c>
      <c r="C214" s="20" t="s">
        <v>1957</v>
      </c>
      <c r="D214" s="6" t="s">
        <v>1958</v>
      </c>
      <c r="E214" s="6"/>
      <c r="F214" s="6" t="s">
        <v>1913</v>
      </c>
      <c r="G214" s="6" t="s">
        <v>1914</v>
      </c>
      <c r="H214" s="6" t="str">
        <f t="shared" si="15"/>
        <v>THE OVERSEER
OLD SHARPER(P43
P74)</v>
      </c>
      <c r="I214" s="6" t="s">
        <v>533</v>
      </c>
      <c r="J214" s="6"/>
      <c r="K214" s="6"/>
      <c r="L214" s="6" t="s">
        <v>785</v>
      </c>
      <c r="M214" s="6" t="str">
        <f>VLOOKUP(L214, GLOSSARY!$A:$C, 2, FALSE)</f>
        <v>EGYPT ESTATE</v>
      </c>
      <c r="N214" s="6" t="s">
        <v>167</v>
      </c>
      <c r="O214" s="6"/>
      <c r="P214" s="6"/>
      <c r="Q214" s="6"/>
      <c r="R214" s="6"/>
      <c r="S214" s="6"/>
      <c r="T214" s="6"/>
      <c r="U214" s="6"/>
      <c r="V214" s="6"/>
      <c r="W214" s="6"/>
      <c r="X214" s="6"/>
      <c r="Y214" s="6"/>
      <c r="Z214" s="6"/>
      <c r="AA214" s="6"/>
      <c r="AB214" s="6"/>
      <c r="AC214" s="6"/>
      <c r="AD214" s="6"/>
      <c r="AE214" s="6"/>
    </row>
    <row r="215" spans="1:31" ht="102" x14ac:dyDescent="0.2">
      <c r="A215" s="6" t="s">
        <v>1902</v>
      </c>
      <c r="B215" s="6" t="s">
        <v>1956</v>
      </c>
      <c r="C215" s="20" t="s">
        <v>1961</v>
      </c>
      <c r="D215" s="6" t="s">
        <v>1964</v>
      </c>
      <c r="E215" s="6"/>
      <c r="F215" s="6" t="s">
        <v>1913</v>
      </c>
      <c r="G215" s="6" t="s">
        <v>1914</v>
      </c>
      <c r="H215" s="6" t="str">
        <f t="shared" si="15"/>
        <v>THE OVERSEER
OLD SHARPER(P43
P74)</v>
      </c>
      <c r="I215" s="6" t="s">
        <v>533</v>
      </c>
      <c r="J215" s="6"/>
      <c r="K215" s="6"/>
      <c r="L215" s="6" t="s">
        <v>55</v>
      </c>
      <c r="M215" s="6" t="str">
        <f>VLOOKUP(L215, GLOSSARY!$A:$C, 2, FALSE)</f>
        <v>EGYPT ESTATE</v>
      </c>
      <c r="N215" s="6" t="s">
        <v>167</v>
      </c>
      <c r="O215" s="6"/>
      <c r="P215" s="6"/>
      <c r="Q215" s="6"/>
      <c r="R215" s="6"/>
      <c r="S215" s="6"/>
      <c r="T215" s="6"/>
      <c r="U215" s="6"/>
      <c r="V215" s="6"/>
      <c r="W215" s="6"/>
      <c r="X215" s="6"/>
      <c r="Y215" s="6"/>
      <c r="Z215" s="6"/>
      <c r="AA215" s="6"/>
      <c r="AB215" s="6"/>
      <c r="AC215" s="6"/>
      <c r="AD215" s="6"/>
      <c r="AE215" s="6"/>
    </row>
    <row r="216" spans="1:31" ht="114.75" x14ac:dyDescent="0.2">
      <c r="A216" s="6" t="s">
        <v>1902</v>
      </c>
      <c r="B216" s="6" t="s">
        <v>1375</v>
      </c>
      <c r="C216" s="20" t="s">
        <v>1970</v>
      </c>
      <c r="D216" s="6" t="s">
        <v>1971</v>
      </c>
      <c r="E216" s="6"/>
      <c r="F216" s="6" t="s">
        <v>1913</v>
      </c>
      <c r="G216" s="6" t="s">
        <v>1914</v>
      </c>
      <c r="H216" s="6" t="str">
        <f t="shared" si="15"/>
        <v>THE OVERSEER
OLD SHARPER(P43
P74)</v>
      </c>
      <c r="I216" s="6" t="s">
        <v>533</v>
      </c>
      <c r="J216" s="6"/>
      <c r="K216" s="6"/>
      <c r="L216" s="6" t="s">
        <v>55</v>
      </c>
      <c r="M216" s="6" t="str">
        <f>VLOOKUP(L216, GLOSSARY!$A:$C, 2, FALSE)</f>
        <v>EGYPT ESTATE</v>
      </c>
      <c r="N216" s="6" t="s">
        <v>167</v>
      </c>
      <c r="O216" s="6"/>
      <c r="P216" s="6"/>
      <c r="Q216" s="6"/>
      <c r="R216" s="6"/>
      <c r="S216" s="6"/>
      <c r="T216" s="6"/>
      <c r="U216" s="6"/>
      <c r="V216" s="6"/>
      <c r="W216" s="6"/>
      <c r="X216" s="6"/>
      <c r="Y216" s="6"/>
      <c r="Z216" s="6"/>
      <c r="AA216" s="6"/>
      <c r="AB216" s="6"/>
      <c r="AC216" s="6"/>
      <c r="AD216" s="6"/>
      <c r="AE216" s="6"/>
    </row>
    <row r="217" spans="1:31" ht="38.25" x14ac:dyDescent="0.2">
      <c r="A217" s="6" t="s">
        <v>1974</v>
      </c>
      <c r="B217" s="6" t="s">
        <v>1375</v>
      </c>
      <c r="C217" s="20" t="s">
        <v>1975</v>
      </c>
      <c r="D217" s="6" t="s">
        <v>1976</v>
      </c>
      <c r="E217" s="6"/>
      <c r="F217" s="6" t="s">
        <v>1977</v>
      </c>
      <c r="G217" s="6" t="s">
        <v>1979</v>
      </c>
      <c r="H217" s="6" t="str">
        <f t="shared" si="15"/>
        <v>MR. GARDINER
DR. FRAZIER(P245
P378)</v>
      </c>
      <c r="I217" s="6" t="s">
        <v>859</v>
      </c>
      <c r="J217" s="6"/>
      <c r="K217" s="6"/>
      <c r="L217" s="6" t="s">
        <v>55</v>
      </c>
      <c r="M217" s="6" t="str">
        <f>VLOOKUP(L217, GLOSSARY!$A:$C, 2, FALSE)</f>
        <v>EGYPT ESTATE</v>
      </c>
      <c r="N217" s="6" t="s">
        <v>167</v>
      </c>
      <c r="O217" s="6"/>
      <c r="P217" s="6"/>
      <c r="Q217" s="6"/>
      <c r="R217" s="6"/>
      <c r="S217" s="6"/>
      <c r="T217" s="6"/>
      <c r="U217" s="6"/>
      <c r="V217" s="6"/>
      <c r="W217" s="6"/>
      <c r="X217" s="6"/>
      <c r="Y217" s="6"/>
      <c r="Z217" s="6"/>
      <c r="AA217" s="6"/>
      <c r="AB217" s="6"/>
      <c r="AC217" s="6"/>
      <c r="AD217" s="6"/>
      <c r="AE217" s="6"/>
    </row>
    <row r="218" spans="1:31" ht="63.75" x14ac:dyDescent="0.2">
      <c r="A218" s="6" t="s">
        <v>1902</v>
      </c>
      <c r="B218" s="6" t="s">
        <v>1375</v>
      </c>
      <c r="C218" s="20" t="s">
        <v>1975</v>
      </c>
      <c r="D218" s="6" t="s">
        <v>1983</v>
      </c>
      <c r="E218" s="6"/>
      <c r="F218" s="6" t="s">
        <v>1913</v>
      </c>
      <c r="G218" s="6" t="s">
        <v>1914</v>
      </c>
      <c r="H218" s="6" t="str">
        <f t="shared" si="15"/>
        <v>THE OVERSEER
OLD SHARPER(P43
P74)</v>
      </c>
      <c r="I218" s="6" t="s">
        <v>533</v>
      </c>
      <c r="J218" s="6"/>
      <c r="K218" s="6"/>
      <c r="L218" s="6" t="s">
        <v>55</v>
      </c>
      <c r="M218" s="6" t="str">
        <f>VLOOKUP(L218, GLOSSARY!$A:$C, 2, FALSE)</f>
        <v>EGYPT ESTATE</v>
      </c>
      <c r="N218" s="6" t="s">
        <v>167</v>
      </c>
      <c r="O218" s="6"/>
      <c r="P218" s="6"/>
      <c r="Q218" s="6"/>
      <c r="R218" s="6"/>
      <c r="S218" s="6"/>
      <c r="T218" s="6"/>
      <c r="U218" s="6"/>
      <c r="V218" s="6"/>
      <c r="W218" s="6"/>
      <c r="X218" s="6"/>
      <c r="Y218" s="6"/>
      <c r="Z218" s="6"/>
      <c r="AA218" s="6"/>
      <c r="AB218" s="6"/>
      <c r="AC218" s="6"/>
      <c r="AD218" s="6"/>
      <c r="AE218" s="6"/>
    </row>
    <row r="219" spans="1:31" ht="178.5" x14ac:dyDescent="0.2">
      <c r="A219" s="6" t="s">
        <v>1988</v>
      </c>
      <c r="B219" s="6" t="s">
        <v>1989</v>
      </c>
      <c r="C219" s="20" t="s">
        <v>1990</v>
      </c>
      <c r="D219" s="6" t="s">
        <v>1991</v>
      </c>
      <c r="E219" s="6"/>
      <c r="F219" s="6" t="s">
        <v>1992</v>
      </c>
      <c r="G219" s="6" t="s">
        <v>1993</v>
      </c>
      <c r="H219" s="6"/>
      <c r="I219" s="6" t="s">
        <v>1678</v>
      </c>
      <c r="J219" s="6"/>
      <c r="K219" s="6"/>
      <c r="L219" s="6" t="s">
        <v>55</v>
      </c>
      <c r="M219" s="6" t="str">
        <f>VLOOKUP(L219, GLOSSARY!$A:$C, 2, FALSE)</f>
        <v>EGYPT ESTATE</v>
      </c>
      <c r="N219" s="6" t="s">
        <v>167</v>
      </c>
      <c r="O219" s="6"/>
      <c r="P219" s="6"/>
      <c r="Q219" s="6"/>
      <c r="R219" s="6"/>
      <c r="S219" s="6"/>
      <c r="T219" s="6"/>
      <c r="U219" s="6"/>
      <c r="V219" s="6"/>
      <c r="W219" s="6"/>
      <c r="X219" s="6"/>
      <c r="Y219" s="6"/>
      <c r="Z219" s="6"/>
      <c r="AA219" s="6"/>
      <c r="AB219" s="6"/>
      <c r="AC219" s="6"/>
      <c r="AD219" s="6"/>
      <c r="AE219" s="6"/>
    </row>
    <row r="220" spans="1:31" ht="165.75" x14ac:dyDescent="0.2">
      <c r="A220" s="6" t="s">
        <v>1902</v>
      </c>
      <c r="B220" s="6" t="s">
        <v>1383</v>
      </c>
      <c r="C220" s="20" t="s">
        <v>1990</v>
      </c>
      <c r="D220" s="6" t="s">
        <v>1998</v>
      </c>
      <c r="E220" s="6"/>
      <c r="F220" s="6" t="s">
        <v>1999</v>
      </c>
      <c r="G220" s="6" t="s">
        <v>2000</v>
      </c>
      <c r="H220" s="6" t="str">
        <f t="shared" ref="H220:H224" si="16">CONCATENATE(F220,"(",G220,")")</f>
        <v>THE OVERSEER
EGYPT SUSANNAH
OLD SHARPER(P43
P74
P296)</v>
      </c>
      <c r="I220" s="6" t="s">
        <v>533</v>
      </c>
      <c r="J220" s="6"/>
      <c r="K220" s="6"/>
      <c r="L220" s="6" t="s">
        <v>55</v>
      </c>
      <c r="M220" s="6" t="str">
        <f>VLOOKUP(L220, GLOSSARY!$A:$C, 2, FALSE)</f>
        <v>EGYPT ESTATE</v>
      </c>
      <c r="N220" s="6" t="s">
        <v>287</v>
      </c>
      <c r="O220" s="6"/>
      <c r="P220" s="6"/>
      <c r="Q220" s="6"/>
      <c r="R220" s="6"/>
      <c r="S220" s="6"/>
      <c r="T220" s="6"/>
      <c r="U220" s="6"/>
      <c r="V220" s="6"/>
      <c r="W220" s="6"/>
      <c r="X220" s="6"/>
      <c r="Y220" s="6"/>
      <c r="Z220" s="6"/>
      <c r="AA220" s="6"/>
      <c r="AB220" s="6"/>
      <c r="AC220" s="6"/>
      <c r="AD220" s="6"/>
      <c r="AE220" s="6"/>
    </row>
    <row r="221" spans="1:31" ht="63.75" x14ac:dyDescent="0.2">
      <c r="A221" s="6" t="s">
        <v>1902</v>
      </c>
      <c r="B221" s="6" t="s">
        <v>1989</v>
      </c>
      <c r="C221" s="20" t="s">
        <v>2005</v>
      </c>
      <c r="D221" s="6" t="s">
        <v>2006</v>
      </c>
      <c r="E221" s="6"/>
      <c r="F221" s="6" t="s">
        <v>1913</v>
      </c>
      <c r="G221" s="6" t="s">
        <v>1914</v>
      </c>
      <c r="H221" s="6" t="str">
        <f t="shared" si="16"/>
        <v>THE OVERSEER
OLD SHARPER(P43
P74)</v>
      </c>
      <c r="I221" s="6" t="s">
        <v>533</v>
      </c>
      <c r="J221" s="6"/>
      <c r="K221" s="6"/>
      <c r="L221" s="6" t="s">
        <v>55</v>
      </c>
      <c r="M221" s="6" t="str">
        <f>VLOOKUP(L221, GLOSSARY!$A:$C, 2, FALSE)</f>
        <v>EGYPT ESTATE</v>
      </c>
      <c r="N221" s="6" t="s">
        <v>167</v>
      </c>
      <c r="O221" s="6"/>
      <c r="P221" s="6"/>
      <c r="Q221" s="6"/>
      <c r="R221" s="6"/>
      <c r="S221" s="6"/>
      <c r="T221" s="6"/>
      <c r="U221" s="6"/>
      <c r="V221" s="6"/>
      <c r="W221" s="6"/>
      <c r="X221" s="6"/>
      <c r="Y221" s="6"/>
      <c r="Z221" s="6"/>
      <c r="AA221" s="6"/>
      <c r="AB221" s="6"/>
      <c r="AC221" s="6"/>
      <c r="AD221" s="6"/>
      <c r="AE221" s="6"/>
    </row>
    <row r="222" spans="1:31" ht="63.75" x14ac:dyDescent="0.2">
      <c r="A222" s="6" t="s">
        <v>2009</v>
      </c>
      <c r="B222" s="6" t="s">
        <v>2011</v>
      </c>
      <c r="C222" s="20" t="s">
        <v>2012</v>
      </c>
      <c r="D222" s="6" t="s">
        <v>2013</v>
      </c>
      <c r="E222" s="6"/>
      <c r="F222" s="6"/>
      <c r="G222" s="6"/>
      <c r="H222" s="6" t="str">
        <f t="shared" si="16"/>
        <v>()</v>
      </c>
      <c r="I222" s="6" t="s">
        <v>578</v>
      </c>
      <c r="J222" s="6"/>
      <c r="K222" s="6"/>
      <c r="L222" s="6" t="s">
        <v>785</v>
      </c>
      <c r="M222" s="6" t="str">
        <f>VLOOKUP(L222, GLOSSARY!$A:$C, 2, FALSE)</f>
        <v>EGYPT ESTATE</v>
      </c>
      <c r="N222" s="6" t="s">
        <v>68</v>
      </c>
      <c r="O222" s="6"/>
      <c r="P222" s="6"/>
      <c r="Q222" s="6"/>
      <c r="R222" s="6"/>
      <c r="S222" s="6"/>
      <c r="T222" s="6"/>
      <c r="U222" s="6"/>
      <c r="V222" s="6"/>
      <c r="W222" s="6"/>
      <c r="X222" s="6"/>
      <c r="Y222" s="6"/>
      <c r="Z222" s="6"/>
      <c r="AA222" s="6"/>
      <c r="AB222" s="6"/>
      <c r="AC222" s="6"/>
      <c r="AD222" s="6"/>
      <c r="AE222" s="6"/>
    </row>
    <row r="223" spans="1:31" ht="127.5" x14ac:dyDescent="0.2">
      <c r="A223" s="6" t="s">
        <v>1902</v>
      </c>
      <c r="B223" s="6" t="s">
        <v>2015</v>
      </c>
      <c r="C223" s="20" t="s">
        <v>2012</v>
      </c>
      <c r="D223" s="6" t="s">
        <v>2016</v>
      </c>
      <c r="E223" s="6"/>
      <c r="F223" s="6" t="s">
        <v>1913</v>
      </c>
      <c r="G223" s="6" t="s">
        <v>1914</v>
      </c>
      <c r="H223" s="6" t="str">
        <f t="shared" si="16"/>
        <v>THE OVERSEER
OLD SHARPER(P43
P74)</v>
      </c>
      <c r="I223" s="6" t="s">
        <v>533</v>
      </c>
      <c r="J223" s="6"/>
      <c r="K223" s="6"/>
      <c r="L223" s="6" t="s">
        <v>785</v>
      </c>
      <c r="M223" s="6" t="str">
        <f>VLOOKUP(L223, GLOSSARY!$A:$C, 2, FALSE)</f>
        <v>EGYPT ESTATE</v>
      </c>
      <c r="N223" s="6" t="s">
        <v>167</v>
      </c>
      <c r="O223" s="6"/>
      <c r="P223" s="6"/>
      <c r="Q223" s="6"/>
      <c r="R223" s="6"/>
      <c r="S223" s="6"/>
      <c r="T223" s="6"/>
      <c r="U223" s="6"/>
      <c r="V223" s="6"/>
      <c r="W223" s="6"/>
      <c r="X223" s="6"/>
      <c r="Y223" s="6"/>
      <c r="Z223" s="6"/>
      <c r="AA223" s="6"/>
      <c r="AB223" s="6"/>
      <c r="AC223" s="6"/>
      <c r="AD223" s="6"/>
      <c r="AE223" s="6"/>
    </row>
    <row r="224" spans="1:31" ht="140.25" x14ac:dyDescent="0.2">
      <c r="A224" s="6" t="s">
        <v>1902</v>
      </c>
      <c r="B224" s="6" t="s">
        <v>2022</v>
      </c>
      <c r="C224" s="20" t="s">
        <v>2023</v>
      </c>
      <c r="D224" s="6" t="s">
        <v>2024</v>
      </c>
      <c r="E224" s="6"/>
      <c r="F224" s="6" t="s">
        <v>1913</v>
      </c>
      <c r="G224" s="6" t="s">
        <v>1914</v>
      </c>
      <c r="H224" s="6" t="str">
        <f t="shared" si="16"/>
        <v>THE OVERSEER
OLD SHARPER(P43
P74)</v>
      </c>
      <c r="I224" s="6" t="s">
        <v>533</v>
      </c>
      <c r="J224" s="6"/>
      <c r="K224" s="6"/>
      <c r="L224" s="6" t="s">
        <v>55</v>
      </c>
      <c r="M224" s="6" t="str">
        <f>VLOOKUP(L224, GLOSSARY!$A:$C, 2, FALSE)</f>
        <v>EGYPT ESTATE</v>
      </c>
      <c r="N224" s="6" t="s">
        <v>167</v>
      </c>
      <c r="O224" s="6"/>
      <c r="P224" s="6"/>
      <c r="Q224" s="6"/>
      <c r="R224" s="6"/>
      <c r="S224" s="6"/>
      <c r="T224" s="6"/>
      <c r="U224" s="6"/>
      <c r="V224" s="6"/>
      <c r="W224" s="6"/>
      <c r="X224" s="6"/>
      <c r="Y224" s="6"/>
      <c r="Z224" s="6"/>
      <c r="AA224" s="6"/>
      <c r="AB224" s="6"/>
      <c r="AC224" s="6"/>
      <c r="AD224" s="6"/>
      <c r="AE224" s="6"/>
    </row>
    <row r="225" spans="1:31" ht="51" x14ac:dyDescent="0.2">
      <c r="A225" s="6" t="s">
        <v>2029</v>
      </c>
      <c r="B225" s="6" t="s">
        <v>2030</v>
      </c>
      <c r="C225" s="20" t="s">
        <v>2031</v>
      </c>
      <c r="D225" s="6" t="s">
        <v>2032</v>
      </c>
      <c r="E225" s="6"/>
      <c r="F225" s="6" t="s">
        <v>2033</v>
      </c>
      <c r="G225" s="6" t="s">
        <v>2034</v>
      </c>
      <c r="H225" s="6" t="str">
        <f t="shared" ref="H225:H226" si="17">CONCATENATE(F225," (",G225,")")</f>
        <v>CHRISHEA
EGYPT LUCY (P126
P3)</v>
      </c>
      <c r="I225" s="6" t="s">
        <v>784</v>
      </c>
      <c r="J225" s="6"/>
      <c r="K225" s="6"/>
      <c r="L225" s="6" t="s">
        <v>55</v>
      </c>
      <c r="M225" s="6" t="str">
        <f>VLOOKUP(L225, GLOSSARY!$A:$C, 2, FALSE)</f>
        <v>EGYPT ESTATE</v>
      </c>
      <c r="N225" s="6" t="s">
        <v>68</v>
      </c>
      <c r="O225" s="6"/>
      <c r="P225" s="6"/>
      <c r="Q225" s="6"/>
      <c r="R225" s="6"/>
      <c r="S225" s="6"/>
      <c r="T225" s="6"/>
      <c r="U225" s="6"/>
      <c r="V225" s="6"/>
      <c r="W225" s="6"/>
      <c r="X225" s="6"/>
      <c r="Y225" s="6"/>
      <c r="Z225" s="6"/>
      <c r="AA225" s="6"/>
      <c r="AB225" s="6"/>
      <c r="AC225" s="6"/>
      <c r="AD225" s="6"/>
      <c r="AE225" s="6"/>
    </row>
    <row r="226" spans="1:31" ht="89.25" x14ac:dyDescent="0.2">
      <c r="A226" s="6" t="s">
        <v>1902</v>
      </c>
      <c r="B226" s="6" t="s">
        <v>2030</v>
      </c>
      <c r="C226" s="20" t="s">
        <v>2031</v>
      </c>
      <c r="D226" s="6" t="s">
        <v>2039</v>
      </c>
      <c r="E226" s="6"/>
      <c r="F226" s="6" t="s">
        <v>246</v>
      </c>
      <c r="G226" s="6" t="s">
        <v>2040</v>
      </c>
      <c r="H226" s="6" t="str">
        <f t="shared" si="17"/>
        <v>THE OVERSEER
OLD SHARPER (P43
P74)</v>
      </c>
      <c r="I226" s="6" t="s">
        <v>533</v>
      </c>
      <c r="J226" s="6"/>
      <c r="K226" s="6"/>
      <c r="L226" s="6" t="s">
        <v>55</v>
      </c>
      <c r="M226" s="6" t="str">
        <f>VLOOKUP(L226, GLOSSARY!$A:$C, 2, FALSE)</f>
        <v>EGYPT ESTATE</v>
      </c>
      <c r="N226" s="6" t="s">
        <v>68</v>
      </c>
      <c r="O226" s="6"/>
      <c r="P226" s="6"/>
      <c r="Q226" s="6"/>
      <c r="R226" s="6"/>
      <c r="S226" s="6"/>
      <c r="T226" s="6"/>
      <c r="U226" s="6"/>
      <c r="V226" s="6"/>
      <c r="W226" s="6"/>
      <c r="X226" s="6"/>
      <c r="Y226" s="6"/>
      <c r="Z226" s="6"/>
      <c r="AA226" s="6"/>
      <c r="AB226" s="6"/>
      <c r="AC226" s="6"/>
      <c r="AD226" s="6"/>
      <c r="AE226" s="6"/>
    </row>
    <row r="227" spans="1:31" ht="51" x14ac:dyDescent="0.2">
      <c r="A227" s="6" t="s">
        <v>2045</v>
      </c>
      <c r="B227" s="6" t="s">
        <v>2046</v>
      </c>
      <c r="C227" s="20" t="s">
        <v>2047</v>
      </c>
      <c r="D227" s="6" t="s">
        <v>2048</v>
      </c>
      <c r="E227" s="6"/>
      <c r="F227" s="6" t="s">
        <v>2049</v>
      </c>
      <c r="G227" s="6" t="s">
        <v>2050</v>
      </c>
      <c r="H227" s="6" t="str">
        <f t="shared" ref="H227:H230" si="18">CONCATENATE(F227,"(",G227,")")</f>
        <v>MR. EMOTSON
THE OVERSEER(P92
P43)</v>
      </c>
      <c r="I227" s="6" t="s">
        <v>859</v>
      </c>
      <c r="J227" s="6"/>
      <c r="K227" s="6"/>
      <c r="L227" s="6" t="s">
        <v>55</v>
      </c>
      <c r="M227" s="6" t="str">
        <f>VLOOKUP(L227, GLOSSARY!$A:$C, 2, FALSE)</f>
        <v>EGYPT ESTATE</v>
      </c>
      <c r="N227" s="6" t="s">
        <v>68</v>
      </c>
      <c r="O227" s="6"/>
      <c r="P227" s="6"/>
      <c r="Q227" s="6"/>
      <c r="R227" s="6"/>
      <c r="S227" s="6"/>
      <c r="T227" s="6"/>
      <c r="U227" s="6"/>
      <c r="V227" s="6"/>
      <c r="W227" s="6"/>
      <c r="X227" s="6"/>
      <c r="Y227" s="6"/>
      <c r="Z227" s="6"/>
      <c r="AA227" s="6"/>
      <c r="AB227" s="6"/>
      <c r="AC227" s="6"/>
      <c r="AD227" s="6"/>
      <c r="AE227" s="6"/>
    </row>
    <row r="228" spans="1:31" ht="51" x14ac:dyDescent="0.2">
      <c r="A228" s="6" t="s">
        <v>2056</v>
      </c>
      <c r="B228" s="6" t="s">
        <v>2057</v>
      </c>
      <c r="C228" s="20" t="s">
        <v>2058</v>
      </c>
      <c r="D228" s="6" t="s">
        <v>2059</v>
      </c>
      <c r="E228" s="6"/>
      <c r="F228" s="6" t="s">
        <v>2060</v>
      </c>
      <c r="G228" s="6" t="s">
        <v>2061</v>
      </c>
      <c r="H228" s="6" t="str">
        <f t="shared" si="18"/>
        <v>"NEGROE" MAN FROM RETRIEVE ESTATE
MORRIS(P470
P226)</v>
      </c>
      <c r="I228" s="6" t="s">
        <v>656</v>
      </c>
      <c r="J228" s="6"/>
      <c r="K228" s="6"/>
      <c r="L228" s="6" t="s">
        <v>55</v>
      </c>
      <c r="M228" s="6" t="str">
        <f>VLOOKUP(L228, GLOSSARY!$A:$C, 2, FALSE)</f>
        <v>EGYPT ESTATE</v>
      </c>
      <c r="N228" s="6" t="s">
        <v>167</v>
      </c>
      <c r="O228" s="6"/>
      <c r="P228" s="6"/>
      <c r="Q228" s="6"/>
      <c r="R228" s="6"/>
      <c r="S228" s="6"/>
      <c r="T228" s="6"/>
      <c r="U228" s="6"/>
      <c r="V228" s="6"/>
      <c r="W228" s="6"/>
      <c r="X228" s="6"/>
      <c r="Y228" s="6"/>
      <c r="Z228" s="6"/>
      <c r="AA228" s="6"/>
      <c r="AB228" s="6"/>
      <c r="AC228" s="6"/>
      <c r="AD228" s="6"/>
      <c r="AE228" s="6"/>
    </row>
    <row r="229" spans="1:31" ht="63.75" x14ac:dyDescent="0.2">
      <c r="A229" s="6" t="s">
        <v>2066</v>
      </c>
      <c r="B229" s="6" t="s">
        <v>2067</v>
      </c>
      <c r="C229" s="20" t="s">
        <v>2068</v>
      </c>
      <c r="D229" s="6" t="s">
        <v>2069</v>
      </c>
      <c r="E229" s="6"/>
      <c r="F229" s="6" t="s">
        <v>2070</v>
      </c>
      <c r="G229" s="6" t="s">
        <v>2071</v>
      </c>
      <c r="H229" s="6" t="str">
        <f t="shared" si="18"/>
        <v>THE OVERSEER
MOUNTAIN LUCY(P43
P30)</v>
      </c>
      <c r="I229" s="6" t="s">
        <v>533</v>
      </c>
      <c r="J229" s="6"/>
      <c r="K229" s="6"/>
      <c r="L229" s="6" t="s">
        <v>255</v>
      </c>
      <c r="M229" s="6" t="str">
        <f>VLOOKUP(L229, GLOSSARY!$A:$C, 2, FALSE)</f>
        <v>BLUEFIELDS BAY</v>
      </c>
      <c r="N229" s="6" t="s">
        <v>68</v>
      </c>
      <c r="O229" s="6"/>
      <c r="P229" s="6"/>
      <c r="Q229" s="6"/>
      <c r="R229" s="6"/>
      <c r="S229" s="6"/>
      <c r="T229" s="6"/>
      <c r="U229" s="6"/>
      <c r="V229" s="6"/>
      <c r="W229" s="6"/>
      <c r="X229" s="6"/>
      <c r="Y229" s="6"/>
      <c r="Z229" s="6"/>
      <c r="AA229" s="6"/>
      <c r="AB229" s="6"/>
      <c r="AC229" s="6"/>
      <c r="AD229" s="6"/>
      <c r="AE229" s="6"/>
    </row>
    <row r="230" spans="1:31" ht="38.25" x14ac:dyDescent="0.2">
      <c r="A230" s="16" t="s">
        <v>1890</v>
      </c>
      <c r="B230" s="6" t="s">
        <v>2067</v>
      </c>
      <c r="C230" s="20" t="s">
        <v>2068</v>
      </c>
      <c r="D230" s="6" t="s">
        <v>2076</v>
      </c>
      <c r="E230" s="6"/>
      <c r="F230" s="6" t="s">
        <v>839</v>
      </c>
      <c r="G230" s="6" t="s">
        <v>837</v>
      </c>
      <c r="H230" s="6" t="str">
        <f t="shared" si="18"/>
        <v>EVE(P128)</v>
      </c>
      <c r="I230" s="6" t="s">
        <v>656</v>
      </c>
      <c r="J230" s="6"/>
      <c r="K230" s="6"/>
      <c r="L230" s="6" t="s">
        <v>55</v>
      </c>
      <c r="M230" s="6" t="str">
        <f>VLOOKUP(L230, GLOSSARY!$A:$C, 2, FALSE)</f>
        <v>EGYPT ESTATE</v>
      </c>
      <c r="N230" s="6" t="s">
        <v>68</v>
      </c>
      <c r="O230" s="6"/>
      <c r="P230" s="6"/>
      <c r="Q230" s="6"/>
      <c r="R230" s="6"/>
      <c r="S230" s="6"/>
      <c r="T230" s="6"/>
      <c r="U230" s="6"/>
      <c r="V230" s="6"/>
      <c r="W230" s="6"/>
      <c r="X230" s="6"/>
      <c r="Y230" s="6"/>
      <c r="Z230" s="6"/>
      <c r="AA230" s="6"/>
      <c r="AB230" s="6"/>
      <c r="AC230" s="6"/>
      <c r="AD230" s="6"/>
      <c r="AE230" s="6"/>
    </row>
    <row r="231" spans="1:31" ht="38.25" x14ac:dyDescent="0.2">
      <c r="A231" s="6" t="s">
        <v>1988</v>
      </c>
      <c r="B231" s="6" t="s">
        <v>2079</v>
      </c>
      <c r="C231" s="20" t="s">
        <v>2080</v>
      </c>
      <c r="D231" s="6" t="s">
        <v>2081</v>
      </c>
      <c r="E231" s="6"/>
      <c r="F231" s="6" t="s">
        <v>1992</v>
      </c>
      <c r="G231" s="6" t="s">
        <v>1993</v>
      </c>
      <c r="H231" s="6"/>
      <c r="I231" s="6" t="s">
        <v>1678</v>
      </c>
      <c r="J231" s="6"/>
      <c r="K231" s="6"/>
      <c r="L231" s="6" t="s">
        <v>55</v>
      </c>
      <c r="M231" s="6" t="str">
        <f>VLOOKUP(L231, GLOSSARY!$A:$C, 2, FALSE)</f>
        <v>EGYPT ESTATE</v>
      </c>
      <c r="N231" s="6" t="s">
        <v>68</v>
      </c>
      <c r="O231" s="6"/>
      <c r="P231" s="6"/>
      <c r="Q231" s="6"/>
      <c r="R231" s="6"/>
      <c r="S231" s="6"/>
      <c r="T231" s="6"/>
      <c r="U231" s="6"/>
      <c r="V231" s="6"/>
      <c r="W231" s="6"/>
      <c r="X231" s="6"/>
      <c r="Y231" s="6"/>
      <c r="Z231" s="6"/>
      <c r="AA231" s="6"/>
      <c r="AB231" s="6"/>
      <c r="AC231" s="6"/>
      <c r="AD231" s="6"/>
      <c r="AE231" s="6"/>
    </row>
    <row r="232" spans="1:31" ht="63.75" x14ac:dyDescent="0.2">
      <c r="A232" s="6" t="s">
        <v>2086</v>
      </c>
      <c r="B232" s="6" t="s">
        <v>2087</v>
      </c>
      <c r="C232" s="20" t="s">
        <v>2088</v>
      </c>
      <c r="D232" s="6" t="s">
        <v>2089</v>
      </c>
      <c r="E232" s="6"/>
      <c r="F232" s="6" t="s">
        <v>1648</v>
      </c>
      <c r="G232" s="6" t="s">
        <v>1649</v>
      </c>
      <c r="H232" s="6" t="str">
        <f>CONCATENATE(F232,"(",G232,")")</f>
        <v>THE OVERSEER
PHIBBAH(P43
P7)</v>
      </c>
      <c r="I232" s="6" t="s">
        <v>409</v>
      </c>
      <c r="J232" s="6"/>
      <c r="K232" s="6"/>
      <c r="L232" s="6" t="s">
        <v>55</v>
      </c>
      <c r="M232" s="6" t="str">
        <f>VLOOKUP(L232, GLOSSARY!$A:$C, 2, FALSE)</f>
        <v>EGYPT ESTATE</v>
      </c>
      <c r="N232" s="6" t="s">
        <v>167</v>
      </c>
      <c r="O232" s="6"/>
      <c r="P232" s="6"/>
      <c r="Q232" s="6"/>
      <c r="R232" s="6"/>
      <c r="S232" s="6"/>
      <c r="T232" s="6"/>
      <c r="U232" s="6"/>
      <c r="V232" s="6"/>
      <c r="W232" s="6"/>
      <c r="X232" s="6"/>
      <c r="Y232" s="6"/>
      <c r="Z232" s="6"/>
      <c r="AA232" s="6"/>
      <c r="AB232" s="6"/>
      <c r="AC232" s="6"/>
      <c r="AD232" s="6"/>
      <c r="AE232" s="6"/>
    </row>
    <row r="233" spans="1:31" ht="63.75" x14ac:dyDescent="0.2">
      <c r="A233" s="6" t="s">
        <v>1390</v>
      </c>
      <c r="B233" s="6" t="s">
        <v>2093</v>
      </c>
      <c r="C233" s="20" t="s">
        <v>2088</v>
      </c>
      <c r="D233" s="6" t="s">
        <v>2094</v>
      </c>
      <c r="E233" s="6"/>
      <c r="F233" s="6" t="s">
        <v>779</v>
      </c>
      <c r="G233" s="6" t="s">
        <v>780</v>
      </c>
      <c r="H233" s="6"/>
      <c r="I233" s="6" t="s">
        <v>578</v>
      </c>
      <c r="J233" s="6"/>
      <c r="K233" s="6"/>
      <c r="L233" s="6" t="s">
        <v>55</v>
      </c>
      <c r="M233" s="6" t="str">
        <f>VLOOKUP(L233, GLOSSARY!$A:$C, 2, FALSE)</f>
        <v>EGYPT ESTATE</v>
      </c>
      <c r="N233" s="6" t="s">
        <v>68</v>
      </c>
      <c r="O233" s="6"/>
      <c r="P233" s="6"/>
      <c r="Q233" s="6"/>
      <c r="R233" s="6"/>
      <c r="S233" s="6"/>
      <c r="T233" s="6"/>
      <c r="U233" s="6"/>
      <c r="V233" s="6"/>
      <c r="W233" s="6"/>
      <c r="X233" s="6"/>
      <c r="Y233" s="6"/>
      <c r="Z233" s="6"/>
      <c r="AA233" s="6"/>
      <c r="AB233" s="6"/>
      <c r="AC233" s="6"/>
      <c r="AD233" s="6"/>
      <c r="AE233" s="6"/>
    </row>
    <row r="234" spans="1:31" ht="63.75" x14ac:dyDescent="0.2">
      <c r="A234" s="6" t="s">
        <v>2097</v>
      </c>
      <c r="B234" s="6" t="s">
        <v>2098</v>
      </c>
      <c r="C234" s="20" t="s">
        <v>2099</v>
      </c>
      <c r="D234" s="6" t="s">
        <v>2100</v>
      </c>
      <c r="E234" s="6"/>
      <c r="F234" s="6" t="s">
        <v>2101</v>
      </c>
      <c r="G234" s="6" t="s">
        <v>2102</v>
      </c>
      <c r="H234" s="6"/>
      <c r="I234" s="6" t="s">
        <v>578</v>
      </c>
      <c r="J234" s="6"/>
      <c r="K234" s="6"/>
      <c r="L234" s="6" t="s">
        <v>55</v>
      </c>
      <c r="M234" s="6" t="str">
        <f>VLOOKUP(L234, GLOSSARY!$A:$C, 2, FALSE)</f>
        <v>EGYPT ESTATE</v>
      </c>
      <c r="N234" s="6" t="s">
        <v>68</v>
      </c>
      <c r="O234" s="6"/>
      <c r="P234" s="6"/>
      <c r="Q234" s="6"/>
      <c r="R234" s="6"/>
      <c r="S234" s="6"/>
      <c r="T234" s="6"/>
      <c r="U234" s="6"/>
      <c r="V234" s="6"/>
      <c r="W234" s="6"/>
      <c r="X234" s="6"/>
      <c r="Y234" s="6"/>
      <c r="Z234" s="6"/>
      <c r="AA234" s="6"/>
      <c r="AB234" s="6"/>
      <c r="AC234" s="6"/>
      <c r="AD234" s="6"/>
      <c r="AE234" s="6"/>
    </row>
    <row r="235" spans="1:31" ht="63.75" x14ac:dyDescent="0.2">
      <c r="A235" s="6" t="s">
        <v>2105</v>
      </c>
      <c r="B235" s="6" t="s">
        <v>2106</v>
      </c>
      <c r="C235" s="20" t="s">
        <v>2107</v>
      </c>
      <c r="D235" s="6" t="s">
        <v>2109</v>
      </c>
      <c r="E235" s="6"/>
      <c r="F235" s="6" t="s">
        <v>110</v>
      </c>
      <c r="G235" s="6" t="s">
        <v>111</v>
      </c>
      <c r="H235" s="6"/>
      <c r="I235" s="6" t="s">
        <v>383</v>
      </c>
      <c r="J235" s="6"/>
      <c r="K235" s="6"/>
      <c r="L235" s="6" t="s">
        <v>93</v>
      </c>
      <c r="M235" s="6" t="str">
        <f>VLOOKUP(L235, GLOSSARY!$A:$C, 2, FALSE)</f>
        <v>SALT RIVER ESTATE</v>
      </c>
      <c r="N235" s="6" t="s">
        <v>68</v>
      </c>
      <c r="O235" s="6"/>
      <c r="P235" s="6"/>
      <c r="Q235" s="6"/>
      <c r="R235" s="6"/>
      <c r="S235" s="6"/>
      <c r="T235" s="6"/>
      <c r="U235" s="6"/>
      <c r="V235" s="6"/>
      <c r="W235" s="6"/>
      <c r="X235" s="6"/>
      <c r="Y235" s="6"/>
      <c r="Z235" s="6"/>
      <c r="AA235" s="6"/>
      <c r="AB235" s="6"/>
      <c r="AC235" s="6"/>
      <c r="AD235" s="6"/>
      <c r="AE235" s="6"/>
    </row>
    <row r="236" spans="1:31" ht="102" x14ac:dyDescent="0.2">
      <c r="A236" s="6" t="s">
        <v>1988</v>
      </c>
      <c r="B236" s="6" t="s">
        <v>1428</v>
      </c>
      <c r="C236" s="20" t="s">
        <v>2113</v>
      </c>
      <c r="D236" s="6" t="s">
        <v>2114</v>
      </c>
      <c r="E236" s="6"/>
      <c r="F236" s="6" t="s">
        <v>2115</v>
      </c>
      <c r="G236" s="6" t="s">
        <v>2116</v>
      </c>
      <c r="H236" s="6"/>
      <c r="I236" s="6" t="s">
        <v>1678</v>
      </c>
      <c r="J236" s="6"/>
      <c r="K236" s="6"/>
      <c r="L236" s="6" t="s">
        <v>55</v>
      </c>
      <c r="M236" s="6" t="str">
        <f>VLOOKUP(L236, GLOSSARY!$A:$C, 2, FALSE)</f>
        <v>EGYPT ESTATE</v>
      </c>
      <c r="N236" s="6" t="s">
        <v>167</v>
      </c>
      <c r="O236" s="6"/>
      <c r="P236" s="6"/>
      <c r="Q236" s="6"/>
      <c r="R236" s="6"/>
      <c r="S236" s="6"/>
      <c r="T236" s="6"/>
      <c r="U236" s="6"/>
      <c r="V236" s="6"/>
      <c r="W236" s="6"/>
      <c r="X236" s="6"/>
      <c r="Y236" s="6"/>
      <c r="Z236" s="6"/>
      <c r="AA236" s="6"/>
      <c r="AB236" s="6"/>
      <c r="AC236" s="6"/>
      <c r="AD236" s="6"/>
      <c r="AE236" s="6"/>
    </row>
    <row r="237" spans="1:31" ht="127.5" x14ac:dyDescent="0.2">
      <c r="A237" s="6" t="s">
        <v>2119</v>
      </c>
      <c r="B237" s="6" t="s">
        <v>2120</v>
      </c>
      <c r="C237" s="20" t="s">
        <v>2121</v>
      </c>
      <c r="D237" s="6" t="s">
        <v>2122</v>
      </c>
      <c r="E237" s="6"/>
      <c r="F237" s="6"/>
      <c r="G237" s="6"/>
      <c r="H237" s="6"/>
      <c r="I237" s="6" t="s">
        <v>784</v>
      </c>
      <c r="J237" s="6"/>
      <c r="K237" s="6"/>
      <c r="L237" s="6" t="s">
        <v>55</v>
      </c>
      <c r="M237" s="6" t="str">
        <f>VLOOKUP(L237, GLOSSARY!$A:$C, 2, FALSE)</f>
        <v>EGYPT ESTATE</v>
      </c>
      <c r="N237" s="6" t="s">
        <v>68</v>
      </c>
      <c r="O237" s="6"/>
      <c r="P237" s="6"/>
      <c r="Q237" s="6"/>
      <c r="R237" s="6"/>
      <c r="S237" s="6"/>
      <c r="T237" s="6"/>
      <c r="U237" s="6"/>
      <c r="V237" s="6"/>
      <c r="W237" s="6"/>
      <c r="X237" s="6"/>
      <c r="Y237" s="6"/>
      <c r="Z237" s="6"/>
      <c r="AA237" s="6"/>
      <c r="AB237" s="6"/>
      <c r="AC237" s="6"/>
      <c r="AD237" s="6"/>
      <c r="AE237" s="6"/>
    </row>
    <row r="238" spans="1:31" ht="76.5" x14ac:dyDescent="0.2">
      <c r="A238" s="6" t="s">
        <v>1558</v>
      </c>
      <c r="B238" s="6" t="s">
        <v>2125</v>
      </c>
      <c r="C238" s="20" t="s">
        <v>2127</v>
      </c>
      <c r="D238" s="6" t="s">
        <v>2129</v>
      </c>
      <c r="E238" s="6"/>
      <c r="F238" s="6" t="s">
        <v>1561</v>
      </c>
      <c r="G238" s="6" t="s">
        <v>1562</v>
      </c>
      <c r="H238" s="6"/>
      <c r="I238" s="6" t="s">
        <v>409</v>
      </c>
      <c r="J238" s="6"/>
      <c r="K238" s="6"/>
      <c r="L238" s="6" t="s">
        <v>55</v>
      </c>
      <c r="M238" s="6" t="str">
        <f>VLOOKUP(L238, GLOSSARY!$A:$C, 2, FALSE)</f>
        <v>EGYPT ESTATE</v>
      </c>
      <c r="N238" s="6" t="s">
        <v>1481</v>
      </c>
      <c r="O238" s="6"/>
      <c r="P238" s="6"/>
      <c r="Q238" s="6"/>
      <c r="R238" s="6"/>
      <c r="S238" s="6"/>
      <c r="T238" s="6"/>
      <c r="U238" s="6"/>
      <c r="V238" s="6"/>
      <c r="W238" s="6"/>
      <c r="X238" s="6"/>
      <c r="Y238" s="6"/>
      <c r="Z238" s="6"/>
      <c r="AA238" s="6"/>
      <c r="AB238" s="6"/>
      <c r="AC238" s="6"/>
      <c r="AD238" s="6"/>
      <c r="AE238" s="6"/>
    </row>
    <row r="239" spans="1:31" ht="63.75" x14ac:dyDescent="0.2">
      <c r="A239" s="6" t="s">
        <v>2132</v>
      </c>
      <c r="B239" s="6" t="s">
        <v>2125</v>
      </c>
      <c r="C239" s="20" t="s">
        <v>2133</v>
      </c>
      <c r="D239" s="6" t="s">
        <v>2134</v>
      </c>
      <c r="E239" s="6"/>
      <c r="F239" s="6" t="s">
        <v>2135</v>
      </c>
      <c r="G239" s="6" t="s">
        <v>2136</v>
      </c>
      <c r="H239" s="6" t="str">
        <f>CONCATENATE(F239," (",G239,")")</f>
        <v>PHIBBAH
THE OVERSEER (P7
P43)</v>
      </c>
      <c r="I239" s="6" t="s">
        <v>1678</v>
      </c>
      <c r="J239" s="6"/>
      <c r="K239" s="6"/>
      <c r="L239" s="6" t="s">
        <v>55</v>
      </c>
      <c r="M239" s="6" t="str">
        <f>VLOOKUP(L239, GLOSSARY!$A:$C, 2, FALSE)</f>
        <v>EGYPT ESTATE</v>
      </c>
      <c r="N239" s="6" t="s">
        <v>68</v>
      </c>
      <c r="O239" s="6"/>
      <c r="P239" s="6"/>
      <c r="Q239" s="6"/>
      <c r="R239" s="6"/>
      <c r="S239" s="6"/>
      <c r="T239" s="6"/>
      <c r="U239" s="6"/>
      <c r="V239" s="6"/>
      <c r="W239" s="6"/>
      <c r="X239" s="6"/>
      <c r="Y239" s="6"/>
      <c r="Z239" s="6"/>
      <c r="AA239" s="6"/>
      <c r="AB239" s="6"/>
      <c r="AC239" s="6"/>
      <c r="AD239" s="6"/>
      <c r="AE239" s="6"/>
    </row>
    <row r="240" spans="1:31" ht="89.25" x14ac:dyDescent="0.2">
      <c r="A240" s="6" t="s">
        <v>1390</v>
      </c>
      <c r="B240" s="6" t="s">
        <v>1504</v>
      </c>
      <c r="C240" s="20" t="s">
        <v>2141</v>
      </c>
      <c r="D240" s="6" t="s">
        <v>2142</v>
      </c>
      <c r="E240" s="6"/>
      <c r="F240" s="6"/>
      <c r="G240" s="6"/>
      <c r="H240" s="6"/>
      <c r="I240" s="6" t="s">
        <v>578</v>
      </c>
      <c r="J240" s="6"/>
      <c r="K240" s="6"/>
      <c r="L240" s="6" t="s">
        <v>55</v>
      </c>
      <c r="M240" s="6" t="str">
        <f>VLOOKUP(L240, GLOSSARY!$A:$C, 2, FALSE)</f>
        <v>EGYPT ESTATE</v>
      </c>
      <c r="N240" s="6" t="s">
        <v>167</v>
      </c>
      <c r="O240" s="6"/>
      <c r="P240" s="6"/>
      <c r="Q240" s="6"/>
      <c r="R240" s="6"/>
      <c r="S240" s="6"/>
      <c r="T240" s="6"/>
      <c r="U240" s="6"/>
      <c r="V240" s="6"/>
      <c r="W240" s="6"/>
      <c r="X240" s="6"/>
      <c r="Y240" s="6"/>
      <c r="Z240" s="6"/>
      <c r="AA240" s="6"/>
      <c r="AB240" s="6"/>
      <c r="AC240" s="6"/>
      <c r="AD240" s="6"/>
      <c r="AE240" s="6"/>
    </row>
    <row r="241" spans="1:31" ht="76.5" x14ac:dyDescent="0.2">
      <c r="A241" s="6" t="s">
        <v>2147</v>
      </c>
      <c r="B241" s="6" t="s">
        <v>1534</v>
      </c>
      <c r="C241" s="20" t="s">
        <v>2148</v>
      </c>
      <c r="D241" s="6" t="s">
        <v>2149</v>
      </c>
      <c r="E241" s="6"/>
      <c r="F241" s="6" t="s">
        <v>2150</v>
      </c>
      <c r="G241" s="6" t="s">
        <v>2151</v>
      </c>
      <c r="H241" s="6"/>
      <c r="I241" s="6" t="s">
        <v>409</v>
      </c>
      <c r="J241" s="6"/>
      <c r="K241" s="6"/>
      <c r="L241" s="6" t="s">
        <v>55</v>
      </c>
      <c r="M241" s="6" t="str">
        <f>VLOOKUP(L241, GLOSSARY!$A:$C, 2, FALSE)</f>
        <v>EGYPT ESTATE</v>
      </c>
      <c r="N241" s="6" t="s">
        <v>167</v>
      </c>
      <c r="O241" s="6"/>
      <c r="P241" s="6"/>
      <c r="Q241" s="6"/>
      <c r="R241" s="6"/>
      <c r="S241" s="6"/>
      <c r="T241" s="6"/>
      <c r="U241" s="6"/>
      <c r="V241" s="6"/>
      <c r="W241" s="6"/>
      <c r="X241" s="6"/>
      <c r="Y241" s="6"/>
      <c r="Z241" s="6"/>
      <c r="AA241" s="6"/>
      <c r="AB241" s="6"/>
      <c r="AC241" s="6"/>
      <c r="AD241" s="6"/>
      <c r="AE241" s="6"/>
    </row>
    <row r="242" spans="1:31" ht="89.25" x14ac:dyDescent="0.2">
      <c r="A242" s="6" t="s">
        <v>2154</v>
      </c>
      <c r="B242" s="6" t="s">
        <v>1559</v>
      </c>
      <c r="C242" s="20" t="s">
        <v>2155</v>
      </c>
      <c r="D242" s="6" t="s">
        <v>2156</v>
      </c>
      <c r="E242" s="6"/>
      <c r="F242" s="6" t="s">
        <v>2158</v>
      </c>
      <c r="G242" s="6" t="s">
        <v>2160</v>
      </c>
      <c r="H242" s="6"/>
      <c r="I242" s="6" t="s">
        <v>784</v>
      </c>
      <c r="J242" s="6"/>
      <c r="K242" s="6"/>
      <c r="L242" s="6" t="s">
        <v>55</v>
      </c>
      <c r="M242" s="6" t="str">
        <f>VLOOKUP(L242, GLOSSARY!$A:$C, 2, FALSE)</f>
        <v>EGYPT ESTATE</v>
      </c>
      <c r="N242" s="6"/>
      <c r="O242" s="6"/>
      <c r="P242" s="6"/>
      <c r="Q242" s="6"/>
      <c r="R242" s="6"/>
      <c r="S242" s="6"/>
      <c r="T242" s="6"/>
      <c r="U242" s="6"/>
      <c r="V242" s="6"/>
      <c r="W242" s="6"/>
      <c r="X242" s="6"/>
      <c r="Y242" s="6"/>
      <c r="Z242" s="6"/>
      <c r="AA242" s="6"/>
      <c r="AB242" s="6"/>
      <c r="AC242" s="6"/>
      <c r="AD242" s="6"/>
      <c r="AE242" s="6"/>
    </row>
    <row r="243" spans="1:31" ht="114.75" x14ac:dyDescent="0.2">
      <c r="A243" s="6" t="s">
        <v>2163</v>
      </c>
      <c r="B243" s="6" t="s">
        <v>2164</v>
      </c>
      <c r="C243" s="20" t="s">
        <v>2165</v>
      </c>
      <c r="D243" s="6" t="s">
        <v>2166</v>
      </c>
      <c r="E243" s="6"/>
      <c r="F243" s="6" t="s">
        <v>2167</v>
      </c>
      <c r="G243" s="6" t="s">
        <v>2168</v>
      </c>
      <c r="H243" s="6" t="str">
        <f>CONCATENATE(F243,"(",G243,")")</f>
        <v>VIOLET
JENNY
EGYPT LUCY(P117
P104
P3)</v>
      </c>
      <c r="I243" s="6" t="s">
        <v>112</v>
      </c>
      <c r="J243" s="6"/>
      <c r="K243" s="6"/>
      <c r="L243" s="6" t="s">
        <v>55</v>
      </c>
      <c r="M243" s="6" t="str">
        <f>VLOOKUP(L243, GLOSSARY!$A:$C, 2, FALSE)</f>
        <v>EGYPT ESTATE</v>
      </c>
      <c r="N243" s="6" t="s">
        <v>68</v>
      </c>
      <c r="O243" s="6"/>
      <c r="P243" s="6"/>
      <c r="Q243" s="6"/>
      <c r="R243" s="6"/>
      <c r="S243" s="6"/>
      <c r="T243" s="6"/>
      <c r="U243" s="6"/>
      <c r="V243" s="6"/>
      <c r="W243" s="6"/>
      <c r="X243" s="6"/>
      <c r="Y243" s="6"/>
      <c r="Z243" s="6"/>
      <c r="AA243" s="6"/>
      <c r="AB243" s="6"/>
      <c r="AC243" s="6"/>
      <c r="AD243" s="6"/>
      <c r="AE243" s="6"/>
    </row>
    <row r="244" spans="1:31" ht="25.5" x14ac:dyDescent="0.2">
      <c r="A244" s="6" t="s">
        <v>1390</v>
      </c>
      <c r="B244" s="6" t="s">
        <v>2171</v>
      </c>
      <c r="C244" s="20" t="s">
        <v>2172</v>
      </c>
      <c r="D244" s="6" t="s">
        <v>2173</v>
      </c>
      <c r="E244" s="6"/>
      <c r="F244" s="6"/>
      <c r="G244" s="6"/>
      <c r="H244" s="6"/>
      <c r="I244" s="6" t="s">
        <v>578</v>
      </c>
      <c r="J244" s="6"/>
      <c r="K244" s="6"/>
      <c r="L244" s="6" t="s">
        <v>55</v>
      </c>
      <c r="M244" s="6" t="str">
        <f>VLOOKUP(L244, GLOSSARY!$A:$C, 2, FALSE)</f>
        <v>EGYPT ESTATE</v>
      </c>
      <c r="N244" s="6" t="s">
        <v>476</v>
      </c>
      <c r="O244" s="6"/>
      <c r="P244" s="6"/>
      <c r="Q244" s="6"/>
      <c r="R244" s="6"/>
      <c r="S244" s="6"/>
      <c r="T244" s="6"/>
      <c r="U244" s="6"/>
      <c r="V244" s="6"/>
      <c r="W244" s="6"/>
      <c r="X244" s="6"/>
      <c r="Y244" s="6"/>
      <c r="Z244" s="6"/>
      <c r="AA244" s="6"/>
      <c r="AB244" s="6"/>
      <c r="AC244" s="6"/>
      <c r="AD244" s="6"/>
      <c r="AE244" s="6"/>
    </row>
    <row r="245" spans="1:31" ht="89.25" x14ac:dyDescent="0.2">
      <c r="A245" s="6" t="s">
        <v>2154</v>
      </c>
      <c r="B245" s="6" t="s">
        <v>2171</v>
      </c>
      <c r="C245" s="20" t="s">
        <v>2172</v>
      </c>
      <c r="D245" s="6" t="s">
        <v>2176</v>
      </c>
      <c r="E245" s="6"/>
      <c r="F245" s="6" t="s">
        <v>2158</v>
      </c>
      <c r="G245" s="6" t="s">
        <v>2160</v>
      </c>
      <c r="H245" s="6"/>
      <c r="I245" s="6" t="s">
        <v>784</v>
      </c>
      <c r="J245" s="6"/>
      <c r="K245" s="6"/>
      <c r="L245" s="6" t="s">
        <v>55</v>
      </c>
      <c r="M245" s="6" t="str">
        <f>VLOOKUP(L245, GLOSSARY!$A:$C, 2, FALSE)</f>
        <v>EGYPT ESTATE</v>
      </c>
      <c r="N245" s="6" t="s">
        <v>68</v>
      </c>
      <c r="O245" s="6"/>
      <c r="P245" s="6"/>
      <c r="Q245" s="6"/>
      <c r="R245" s="6"/>
      <c r="S245" s="6"/>
      <c r="T245" s="6"/>
      <c r="U245" s="6"/>
      <c r="V245" s="6"/>
      <c r="W245" s="6"/>
      <c r="X245" s="6"/>
      <c r="Y245" s="6"/>
      <c r="Z245" s="6"/>
      <c r="AA245" s="6"/>
      <c r="AB245" s="6"/>
      <c r="AC245" s="6"/>
      <c r="AD245" s="6"/>
      <c r="AE245" s="6"/>
    </row>
    <row r="246" spans="1:31" ht="51" x14ac:dyDescent="0.2">
      <c r="A246" s="6" t="s">
        <v>2180</v>
      </c>
      <c r="B246" s="6" t="s">
        <v>2181</v>
      </c>
      <c r="C246" s="20" t="s">
        <v>2183</v>
      </c>
      <c r="D246" s="6" t="s">
        <v>2184</v>
      </c>
      <c r="E246" s="6"/>
      <c r="F246" s="6"/>
      <c r="G246" s="6"/>
      <c r="H246" s="6" t="str">
        <f t="shared" ref="H246:H248" si="19">CONCATENATE(F246,"(",G246,")")</f>
        <v>()</v>
      </c>
      <c r="I246" s="6" t="s">
        <v>139</v>
      </c>
      <c r="J246" s="6"/>
      <c r="K246" s="6"/>
      <c r="L246" s="6" t="s">
        <v>55</v>
      </c>
      <c r="M246" s="6" t="str">
        <f>VLOOKUP(L246, GLOSSARY!$A:$C, 2, FALSE)</f>
        <v>EGYPT ESTATE</v>
      </c>
      <c r="N246" s="6" t="s">
        <v>68</v>
      </c>
      <c r="O246" s="6"/>
      <c r="P246" s="6"/>
      <c r="Q246" s="6"/>
      <c r="R246" s="6"/>
      <c r="S246" s="6"/>
      <c r="T246" s="6"/>
      <c r="U246" s="6"/>
      <c r="V246" s="6"/>
      <c r="W246" s="6"/>
      <c r="X246" s="6"/>
      <c r="Y246" s="6"/>
      <c r="Z246" s="6"/>
      <c r="AA246" s="6"/>
      <c r="AB246" s="6"/>
      <c r="AC246" s="6"/>
      <c r="AD246" s="6"/>
      <c r="AE246" s="6"/>
    </row>
    <row r="247" spans="1:31" ht="63.75" x14ac:dyDescent="0.2">
      <c r="A247" s="6" t="s">
        <v>2187</v>
      </c>
      <c r="B247" s="6" t="s">
        <v>2188</v>
      </c>
      <c r="C247" s="20" t="s">
        <v>2189</v>
      </c>
      <c r="D247" s="6" t="s">
        <v>2190</v>
      </c>
      <c r="E247" s="6"/>
      <c r="F247" s="6" t="s">
        <v>2191</v>
      </c>
      <c r="G247" s="6" t="s">
        <v>2192</v>
      </c>
      <c r="H247" s="6" t="str">
        <f t="shared" si="19"/>
        <v>MR MOULD
MRS. MOULD
THE OVERSEER(P43
P252
P463)</v>
      </c>
      <c r="I247" s="6" t="s">
        <v>859</v>
      </c>
      <c r="J247" s="6"/>
      <c r="K247" s="6"/>
      <c r="L247" s="6" t="s">
        <v>55</v>
      </c>
      <c r="M247" s="6" t="str">
        <f>VLOOKUP(L247, GLOSSARY!$A:$C, 2, FALSE)</f>
        <v>EGYPT ESTATE</v>
      </c>
      <c r="N247" s="6" t="s">
        <v>167</v>
      </c>
      <c r="O247" s="6"/>
      <c r="P247" s="6"/>
      <c r="Q247" s="6"/>
      <c r="R247" s="6"/>
      <c r="S247" s="6"/>
      <c r="T247" s="6"/>
      <c r="U247" s="6"/>
      <c r="V247" s="6"/>
      <c r="W247" s="6"/>
      <c r="X247" s="6"/>
      <c r="Y247" s="6"/>
      <c r="Z247" s="6"/>
      <c r="AA247" s="6"/>
      <c r="AB247" s="6"/>
      <c r="AC247" s="6"/>
      <c r="AD247" s="6"/>
      <c r="AE247" s="6"/>
    </row>
    <row r="248" spans="1:31" ht="89.25" x14ac:dyDescent="0.2">
      <c r="A248" s="6" t="s">
        <v>2195</v>
      </c>
      <c r="B248" s="6" t="s">
        <v>2196</v>
      </c>
      <c r="C248" s="20" t="s">
        <v>2197</v>
      </c>
      <c r="D248" s="6" t="s">
        <v>2198</v>
      </c>
      <c r="E248" s="6"/>
      <c r="F248" s="6" t="s">
        <v>2201</v>
      </c>
      <c r="G248" s="6" t="s">
        <v>2202</v>
      </c>
      <c r="H248" s="6" t="str">
        <f t="shared" si="19"/>
        <v>RICHARD HUNGERFORD
JOHN WEECH
THOMAS GARDINER
THE OVERSEER(P43
P111
P202
P378)</v>
      </c>
      <c r="I248" s="6" t="s">
        <v>859</v>
      </c>
      <c r="J248" s="6"/>
      <c r="K248" s="6"/>
      <c r="L248" s="6" t="s">
        <v>55</v>
      </c>
      <c r="M248" s="6" t="str">
        <f>VLOOKUP(L248, GLOSSARY!$A:$C, 2, FALSE)</f>
        <v>EGYPT ESTATE</v>
      </c>
      <c r="N248" s="6" t="s">
        <v>167</v>
      </c>
      <c r="O248" s="6"/>
      <c r="P248" s="6"/>
      <c r="Q248" s="6"/>
      <c r="R248" s="6"/>
      <c r="S248" s="6"/>
      <c r="T248" s="6"/>
      <c r="U248" s="6"/>
      <c r="V248" s="6"/>
      <c r="W248" s="6"/>
      <c r="X248" s="6"/>
      <c r="Y248" s="6"/>
      <c r="Z248" s="6"/>
      <c r="AA248" s="6"/>
      <c r="AB248" s="6"/>
      <c r="AC248" s="6"/>
      <c r="AD248" s="6"/>
      <c r="AE248" s="6"/>
    </row>
    <row r="249" spans="1:31" ht="25.5" x14ac:dyDescent="0.2">
      <c r="A249" s="6" t="s">
        <v>2205</v>
      </c>
      <c r="B249" s="6" t="s">
        <v>1626</v>
      </c>
      <c r="C249" s="20" t="s">
        <v>2206</v>
      </c>
      <c r="D249" s="6" t="s">
        <v>2207</v>
      </c>
      <c r="E249" s="6"/>
      <c r="F249" s="6"/>
      <c r="G249" s="6"/>
      <c r="H249" s="6"/>
      <c r="I249" s="6" t="s">
        <v>869</v>
      </c>
      <c r="J249" s="6"/>
      <c r="K249" s="6"/>
      <c r="L249" s="6" t="s">
        <v>785</v>
      </c>
      <c r="M249" s="6" t="str">
        <f>VLOOKUP(L249, GLOSSARY!$A:$C, 2, FALSE)</f>
        <v>EGYPT ESTATE</v>
      </c>
      <c r="N249" s="6" t="s">
        <v>1481</v>
      </c>
      <c r="O249" s="6"/>
      <c r="P249" s="6"/>
      <c r="Q249" s="6"/>
      <c r="R249" s="6"/>
      <c r="S249" s="6"/>
      <c r="T249" s="6"/>
      <c r="U249" s="6"/>
      <c r="V249" s="6"/>
      <c r="W249" s="6"/>
      <c r="X249" s="6"/>
      <c r="Y249" s="6"/>
      <c r="Z249" s="6"/>
      <c r="AA249" s="6"/>
      <c r="AB249" s="6"/>
      <c r="AC249" s="6"/>
      <c r="AD249" s="6"/>
      <c r="AE249" s="6"/>
    </row>
    <row r="250" spans="1:31" ht="63.75" x14ac:dyDescent="0.2">
      <c r="A250" s="6" t="s">
        <v>2210</v>
      </c>
      <c r="B250" s="6" t="s">
        <v>2211</v>
      </c>
      <c r="C250" s="20" t="s">
        <v>2212</v>
      </c>
      <c r="D250" s="6" t="s">
        <v>2213</v>
      </c>
      <c r="E250" s="6"/>
      <c r="F250" s="6" t="s">
        <v>2214</v>
      </c>
      <c r="G250" s="6" t="s">
        <v>2215</v>
      </c>
      <c r="H250" s="6" t="str">
        <f>CONCATENATE(F250," (",G250,")")</f>
        <v>DR. ALLWOOD
PHIBBAH (P7
P248)</v>
      </c>
      <c r="I250" s="6" t="s">
        <v>859</v>
      </c>
      <c r="J250" s="6"/>
      <c r="K250" s="6"/>
      <c r="L250" s="6" t="s">
        <v>55</v>
      </c>
      <c r="M250" s="6" t="str">
        <f>VLOOKUP(L250, GLOSSARY!$A:$C, 2, FALSE)</f>
        <v>EGYPT ESTATE</v>
      </c>
      <c r="N250" s="6" t="s">
        <v>167</v>
      </c>
      <c r="O250" s="6"/>
      <c r="P250" s="6"/>
      <c r="Q250" s="6"/>
      <c r="R250" s="6"/>
      <c r="S250" s="6"/>
      <c r="T250" s="6"/>
      <c r="U250" s="6"/>
      <c r="V250" s="6"/>
      <c r="W250" s="6"/>
      <c r="X250" s="6"/>
      <c r="Y250" s="6"/>
      <c r="Z250" s="6"/>
      <c r="AA250" s="6"/>
      <c r="AB250" s="6"/>
      <c r="AC250" s="6"/>
      <c r="AD250" s="6"/>
      <c r="AE250" s="6"/>
    </row>
    <row r="251" spans="1:31" ht="63.75" x14ac:dyDescent="0.2">
      <c r="A251" s="6" t="s">
        <v>1390</v>
      </c>
      <c r="B251" s="6" t="s">
        <v>2218</v>
      </c>
      <c r="C251" s="20" t="s">
        <v>2219</v>
      </c>
      <c r="D251" s="6" t="s">
        <v>2220</v>
      </c>
      <c r="E251" s="6"/>
      <c r="F251" s="6" t="s">
        <v>48</v>
      </c>
      <c r="G251" s="6" t="s">
        <v>50</v>
      </c>
      <c r="H251" s="6" t="str">
        <f>CONCATENATE(F251,"(",G251,")")</f>
        <v>THE OVERSEER(P43)</v>
      </c>
      <c r="I251" s="6" t="s">
        <v>248</v>
      </c>
      <c r="J251" s="6"/>
      <c r="K251" s="6"/>
      <c r="L251" s="6" t="s">
        <v>1121</v>
      </c>
      <c r="M251" s="6" t="str">
        <f>VLOOKUP(L251, GLOSSARY!$A:$C, 2, FALSE)</f>
        <v>SAVANNA LA MAR</v>
      </c>
      <c r="N251" s="6" t="s">
        <v>68</v>
      </c>
      <c r="O251" s="6"/>
      <c r="P251" s="6"/>
      <c r="Q251" s="6"/>
      <c r="R251" s="6"/>
      <c r="S251" s="6"/>
      <c r="T251" s="6"/>
      <c r="U251" s="6"/>
      <c r="V251" s="6"/>
      <c r="W251" s="6"/>
      <c r="X251" s="6"/>
      <c r="Y251" s="6"/>
      <c r="Z251" s="6"/>
      <c r="AA251" s="6"/>
      <c r="AB251" s="6"/>
      <c r="AC251" s="6"/>
      <c r="AD251" s="6"/>
      <c r="AE251" s="6"/>
    </row>
    <row r="252" spans="1:31" ht="38.25" x14ac:dyDescent="0.2">
      <c r="A252" s="6" t="s">
        <v>1390</v>
      </c>
      <c r="B252" s="6" t="s">
        <v>2223</v>
      </c>
      <c r="C252" s="20" t="s">
        <v>2225</v>
      </c>
      <c r="D252" s="6" t="s">
        <v>2227</v>
      </c>
      <c r="E252" s="6"/>
      <c r="F252" s="6" t="s">
        <v>779</v>
      </c>
      <c r="G252" s="6" t="s">
        <v>780</v>
      </c>
      <c r="H252" s="6"/>
      <c r="I252" s="6" t="s">
        <v>784</v>
      </c>
      <c r="J252" s="6"/>
      <c r="K252" s="6"/>
      <c r="L252" s="6" t="s">
        <v>2228</v>
      </c>
      <c r="M252" s="6" t="str">
        <f>VLOOKUP(L252, GLOSSARY!$A:$C, 2, FALSE)</f>
        <v>EGYPT OLD CURING HOUSE PIECE</v>
      </c>
      <c r="N252" s="6" t="s">
        <v>68</v>
      </c>
      <c r="O252" s="6"/>
      <c r="P252" s="6"/>
      <c r="Q252" s="6"/>
      <c r="R252" s="6"/>
      <c r="S252" s="6"/>
      <c r="T252" s="6"/>
      <c r="U252" s="6"/>
      <c r="V252" s="6"/>
      <c r="W252" s="6"/>
      <c r="X252" s="6"/>
      <c r="Y252" s="6"/>
      <c r="Z252" s="6"/>
      <c r="AA252" s="6"/>
      <c r="AB252" s="6"/>
      <c r="AC252" s="6"/>
      <c r="AD252" s="6"/>
      <c r="AE252" s="6"/>
    </row>
    <row r="253" spans="1:31" ht="114.75" x14ac:dyDescent="0.2">
      <c r="A253" s="6" t="s">
        <v>1390</v>
      </c>
      <c r="B253" s="6" t="s">
        <v>2223</v>
      </c>
      <c r="C253" s="20" t="s">
        <v>2225</v>
      </c>
      <c r="D253" s="6" t="s">
        <v>2231</v>
      </c>
      <c r="E253" s="6"/>
      <c r="F253" s="6"/>
      <c r="G253" s="6"/>
      <c r="H253" s="6"/>
      <c r="I253" s="6" t="s">
        <v>578</v>
      </c>
      <c r="J253" s="6"/>
      <c r="K253" s="6"/>
      <c r="L253" s="6" t="s">
        <v>55</v>
      </c>
      <c r="M253" s="6" t="str">
        <f>VLOOKUP(L253, GLOSSARY!$A:$C, 2, FALSE)</f>
        <v>EGYPT ESTATE</v>
      </c>
      <c r="N253" s="6" t="s">
        <v>68</v>
      </c>
      <c r="O253" s="6"/>
      <c r="P253" s="6"/>
      <c r="Q253" s="6"/>
      <c r="R253" s="6"/>
      <c r="S253" s="6"/>
      <c r="T253" s="6"/>
      <c r="U253" s="6"/>
      <c r="V253" s="6"/>
      <c r="W253" s="6"/>
      <c r="X253" s="6"/>
      <c r="Y253" s="6"/>
      <c r="Z253" s="6"/>
      <c r="AA253" s="6"/>
      <c r="AB253" s="6"/>
      <c r="AC253" s="6"/>
      <c r="AD253" s="6"/>
      <c r="AE253" s="6"/>
    </row>
    <row r="254" spans="1:31" ht="51" x14ac:dyDescent="0.2">
      <c r="A254" s="6" t="s">
        <v>1390</v>
      </c>
      <c r="B254" s="6" t="s">
        <v>2223</v>
      </c>
      <c r="C254" s="20" t="s">
        <v>2234</v>
      </c>
      <c r="D254" s="6" t="s">
        <v>2235</v>
      </c>
      <c r="E254" s="6"/>
      <c r="F254" s="6"/>
      <c r="G254" s="6"/>
      <c r="H254" s="6"/>
      <c r="I254" s="6" t="s">
        <v>578</v>
      </c>
      <c r="J254" s="6"/>
      <c r="K254" s="6"/>
      <c r="L254" s="6" t="s">
        <v>55</v>
      </c>
      <c r="M254" s="6" t="str">
        <f>VLOOKUP(L254, GLOSSARY!$A:$C, 2, FALSE)</f>
        <v>EGYPT ESTATE</v>
      </c>
      <c r="N254" s="6" t="s">
        <v>68</v>
      </c>
      <c r="O254" s="6"/>
      <c r="P254" s="6"/>
      <c r="Q254" s="6"/>
      <c r="R254" s="6"/>
      <c r="S254" s="6"/>
      <c r="T254" s="6"/>
      <c r="U254" s="6"/>
      <c r="V254" s="6"/>
      <c r="W254" s="6"/>
      <c r="X254" s="6"/>
      <c r="Y254" s="6"/>
      <c r="Z254" s="6"/>
      <c r="AA254" s="6"/>
      <c r="AB254" s="6"/>
      <c r="AC254" s="6"/>
      <c r="AD254" s="6"/>
      <c r="AE254" s="6"/>
    </row>
    <row r="255" spans="1:31" ht="25.5" x14ac:dyDescent="0.2">
      <c r="A255" s="6" t="s">
        <v>2238</v>
      </c>
      <c r="B255" s="6" t="s">
        <v>2239</v>
      </c>
      <c r="C255" s="20" t="s">
        <v>2240</v>
      </c>
      <c r="D255" s="6" t="s">
        <v>2241</v>
      </c>
      <c r="E255" s="6"/>
      <c r="F255" s="6" t="s">
        <v>1307</v>
      </c>
      <c r="G255" s="6" t="s">
        <v>2242</v>
      </c>
      <c r="H255" s="6" t="str">
        <f>CONCATENATE(F255,"(",G255,")")</f>
        <v>CYRUS(P522)</v>
      </c>
      <c r="I255" s="6" t="s">
        <v>198</v>
      </c>
      <c r="J255" s="6"/>
      <c r="K255" s="6"/>
      <c r="L255" s="6" t="s">
        <v>55</v>
      </c>
      <c r="M255" s="6" t="str">
        <f>VLOOKUP(L255, GLOSSARY!$A:$C, 2, FALSE)</f>
        <v>EGYPT ESTATE</v>
      </c>
      <c r="N255" s="6" t="s">
        <v>167</v>
      </c>
      <c r="O255" s="6"/>
      <c r="P255" s="6"/>
      <c r="Q255" s="6"/>
      <c r="R255" s="6"/>
      <c r="S255" s="6"/>
      <c r="T255" s="6"/>
      <c r="U255" s="6"/>
      <c r="V255" s="6"/>
      <c r="W255" s="6"/>
      <c r="X255" s="6"/>
      <c r="Y255" s="6"/>
      <c r="Z255" s="6"/>
      <c r="AA255" s="6"/>
      <c r="AB255" s="6"/>
      <c r="AC255" s="6"/>
      <c r="AD255" s="6"/>
      <c r="AE255" s="6"/>
    </row>
    <row r="256" spans="1:31" ht="114.75" x14ac:dyDescent="0.2">
      <c r="A256" s="6" t="s">
        <v>1988</v>
      </c>
      <c r="B256" s="6" t="s">
        <v>2245</v>
      </c>
      <c r="C256" s="20" t="s">
        <v>2246</v>
      </c>
      <c r="D256" s="6" t="s">
        <v>2247</v>
      </c>
      <c r="E256" s="6"/>
      <c r="F256" s="6" t="s">
        <v>2115</v>
      </c>
      <c r="G256" s="6" t="s">
        <v>2116</v>
      </c>
      <c r="H256" s="6"/>
      <c r="I256" s="6" t="s">
        <v>1678</v>
      </c>
      <c r="J256" s="6"/>
      <c r="K256" s="6"/>
      <c r="L256" s="6" t="s">
        <v>55</v>
      </c>
      <c r="M256" s="6" t="str">
        <f>VLOOKUP(L256, GLOSSARY!$A:$C, 2, FALSE)</f>
        <v>EGYPT ESTATE</v>
      </c>
      <c r="N256" s="6" t="s">
        <v>167</v>
      </c>
      <c r="O256" s="6"/>
      <c r="P256" s="6"/>
      <c r="Q256" s="6"/>
      <c r="R256" s="6"/>
      <c r="S256" s="6"/>
      <c r="T256" s="6"/>
      <c r="U256" s="6"/>
      <c r="V256" s="6"/>
      <c r="W256" s="6"/>
      <c r="X256" s="6"/>
      <c r="Y256" s="6"/>
      <c r="Z256" s="6"/>
      <c r="AA256" s="6"/>
      <c r="AB256" s="6"/>
      <c r="AC256" s="6"/>
      <c r="AD256" s="6"/>
      <c r="AE256" s="6"/>
    </row>
    <row r="257" spans="1:31" ht="63.75" x14ac:dyDescent="0.2">
      <c r="A257" s="6" t="s">
        <v>2238</v>
      </c>
      <c r="B257" s="6" t="s">
        <v>2252</v>
      </c>
      <c r="C257" s="20" t="s">
        <v>2253</v>
      </c>
      <c r="D257" s="6" t="s">
        <v>2254</v>
      </c>
      <c r="E257" s="6"/>
      <c r="F257" s="6" t="s">
        <v>2255</v>
      </c>
      <c r="G257" s="6" t="s">
        <v>2256</v>
      </c>
      <c r="H257" s="6" t="str">
        <f>CONCATENATE(F257,"(",G257,")")</f>
        <v>CYRUS
THE OVERSEER(P522
P43)</v>
      </c>
      <c r="I257" s="6" t="s">
        <v>198</v>
      </c>
      <c r="J257" s="6"/>
      <c r="K257" s="6"/>
      <c r="L257" s="6" t="s">
        <v>55</v>
      </c>
      <c r="M257" s="6" t="str">
        <f>VLOOKUP(L257, GLOSSARY!$A:$C, 2, FALSE)</f>
        <v>EGYPT ESTATE</v>
      </c>
      <c r="N257" s="6" t="s">
        <v>68</v>
      </c>
      <c r="O257" s="6"/>
      <c r="P257" s="6"/>
      <c r="Q257" s="6"/>
      <c r="R257" s="6"/>
      <c r="S257" s="6"/>
      <c r="T257" s="6"/>
      <c r="U257" s="6"/>
      <c r="V257" s="6"/>
      <c r="W257" s="6"/>
      <c r="X257" s="6"/>
      <c r="Y257" s="6"/>
      <c r="Z257" s="6"/>
      <c r="AA257" s="6"/>
      <c r="AB257" s="6"/>
      <c r="AC257" s="6"/>
      <c r="AD257" s="6"/>
      <c r="AE257" s="6"/>
    </row>
    <row r="258" spans="1:31" ht="38.25" x14ac:dyDescent="0.2">
      <c r="A258" s="6" t="s">
        <v>1988</v>
      </c>
      <c r="B258" s="6" t="s">
        <v>2259</v>
      </c>
      <c r="C258" s="20" t="s">
        <v>2260</v>
      </c>
      <c r="D258" s="6" t="s">
        <v>2261</v>
      </c>
      <c r="E258" s="6"/>
      <c r="F258" s="6" t="s">
        <v>2262</v>
      </c>
      <c r="G258" s="6" t="s">
        <v>2263</v>
      </c>
      <c r="H258" s="6"/>
      <c r="I258" s="6" t="s">
        <v>248</v>
      </c>
      <c r="J258" s="6"/>
      <c r="K258" s="6"/>
      <c r="L258" s="6" t="s">
        <v>55</v>
      </c>
      <c r="M258" s="6" t="str">
        <f>VLOOKUP(L258, GLOSSARY!$A:$C, 2, FALSE)</f>
        <v>EGYPT ESTATE</v>
      </c>
      <c r="N258" s="6" t="s">
        <v>167</v>
      </c>
      <c r="O258" s="6"/>
      <c r="P258" s="6"/>
      <c r="Q258" s="6"/>
      <c r="R258" s="6"/>
      <c r="S258" s="6"/>
      <c r="T258" s="6"/>
      <c r="U258" s="6"/>
      <c r="V258" s="6"/>
      <c r="W258" s="6"/>
      <c r="X258" s="6"/>
      <c r="Y258" s="6"/>
      <c r="Z258" s="6"/>
      <c r="AA258" s="6"/>
      <c r="AB258" s="6"/>
      <c r="AC258" s="6"/>
      <c r="AD258" s="6"/>
      <c r="AE258" s="6"/>
    </row>
    <row r="259" spans="1:31" ht="178.5" x14ac:dyDescent="0.2">
      <c r="A259" s="6" t="s">
        <v>2266</v>
      </c>
      <c r="B259" s="6" t="s">
        <v>2267</v>
      </c>
      <c r="C259" s="20" t="s">
        <v>2268</v>
      </c>
      <c r="D259" s="6" t="s">
        <v>2269</v>
      </c>
      <c r="E259" s="6"/>
      <c r="F259" s="6" t="s">
        <v>2270</v>
      </c>
      <c r="G259" s="6" t="s">
        <v>2272</v>
      </c>
      <c r="H259" s="6" t="str">
        <f t="shared" ref="H259:H262" si="20">CONCATENATE(F259," (",G259,")")</f>
        <v>JENNY
EGYPT LUCY 
ABIGAIL
MOUNTAIN SUSANAH (P104
P3
P118
P254)</v>
      </c>
      <c r="I259" s="6" t="s">
        <v>533</v>
      </c>
      <c r="J259" s="6"/>
      <c r="K259" s="6"/>
      <c r="L259" s="6" t="s">
        <v>1695</v>
      </c>
      <c r="M259" s="6" t="str">
        <f>VLOOKUP(L259, GLOSSARY!$A:$C, 2, FALSE)</f>
        <v>EGYPT ESTATE HOTHOUSE</v>
      </c>
      <c r="N259" s="6" t="s">
        <v>68</v>
      </c>
      <c r="O259" s="6"/>
      <c r="P259" s="6"/>
      <c r="Q259" s="6"/>
      <c r="R259" s="6"/>
      <c r="S259" s="6"/>
      <c r="T259" s="6"/>
      <c r="U259" s="6"/>
      <c r="V259" s="6"/>
      <c r="W259" s="6"/>
      <c r="X259" s="6"/>
      <c r="Y259" s="6"/>
      <c r="Z259" s="6"/>
      <c r="AA259" s="6"/>
      <c r="AB259" s="6"/>
      <c r="AC259" s="6"/>
      <c r="AD259" s="6"/>
      <c r="AE259" s="6"/>
    </row>
    <row r="260" spans="1:31" ht="191.25" x14ac:dyDescent="0.2">
      <c r="A260" s="6" t="s">
        <v>2147</v>
      </c>
      <c r="B260" s="6" t="s">
        <v>2276</v>
      </c>
      <c r="C260" s="20" t="s">
        <v>2277</v>
      </c>
      <c r="D260" s="6" t="s">
        <v>2278</v>
      </c>
      <c r="E260" s="6"/>
      <c r="F260" s="6" t="s">
        <v>2279</v>
      </c>
      <c r="G260" s="6" t="s">
        <v>2280</v>
      </c>
      <c r="H260" s="6" t="str">
        <f t="shared" si="20"/>
        <v>PHIBBAH
THE OVERSEER
LONDON (P7
P43
P249)</v>
      </c>
      <c r="I260" s="6" t="s">
        <v>1678</v>
      </c>
      <c r="J260" s="6"/>
      <c r="K260" s="6"/>
      <c r="L260" s="6" t="s">
        <v>55</v>
      </c>
      <c r="M260" s="6" t="str">
        <f>VLOOKUP(L260, GLOSSARY!$A:$C, 2, FALSE)</f>
        <v>EGYPT ESTATE</v>
      </c>
      <c r="N260" s="6" t="s">
        <v>167</v>
      </c>
      <c r="O260" s="6"/>
      <c r="P260" s="6"/>
      <c r="Q260" s="6"/>
      <c r="R260" s="6"/>
      <c r="S260" s="6"/>
      <c r="T260" s="6"/>
      <c r="U260" s="6"/>
      <c r="V260" s="6"/>
      <c r="W260" s="6"/>
      <c r="X260" s="6"/>
      <c r="Y260" s="6"/>
      <c r="Z260" s="6"/>
      <c r="AA260" s="6"/>
      <c r="AB260" s="6"/>
      <c r="AC260" s="6"/>
      <c r="AD260" s="6"/>
      <c r="AE260" s="6"/>
    </row>
    <row r="261" spans="1:31" ht="38.25" x14ac:dyDescent="0.2">
      <c r="A261" s="6" t="s">
        <v>2147</v>
      </c>
      <c r="B261" s="6" t="s">
        <v>2283</v>
      </c>
      <c r="C261" s="20" t="s">
        <v>2284</v>
      </c>
      <c r="D261" s="6" t="s">
        <v>2285</v>
      </c>
      <c r="E261" s="6"/>
      <c r="F261" s="6" t="s">
        <v>101</v>
      </c>
      <c r="G261" s="6" t="s">
        <v>100</v>
      </c>
      <c r="H261" s="6" t="str">
        <f t="shared" si="20"/>
        <v>PHIBBAH (P7)</v>
      </c>
      <c r="I261" s="6" t="s">
        <v>1678</v>
      </c>
      <c r="J261" s="6"/>
      <c r="K261" s="6"/>
      <c r="L261" s="6" t="s">
        <v>55</v>
      </c>
      <c r="M261" s="6" t="str">
        <f>VLOOKUP(L261, GLOSSARY!$A:$C, 2, FALSE)</f>
        <v>EGYPT ESTATE</v>
      </c>
      <c r="N261" s="6" t="s">
        <v>167</v>
      </c>
      <c r="O261" s="6"/>
      <c r="P261" s="6"/>
      <c r="Q261" s="6"/>
      <c r="R261" s="6"/>
      <c r="S261" s="6"/>
      <c r="T261" s="6"/>
      <c r="U261" s="6"/>
      <c r="V261" s="6"/>
      <c r="W261" s="6"/>
      <c r="X261" s="6"/>
      <c r="Y261" s="6"/>
      <c r="Z261" s="6"/>
      <c r="AA261" s="6"/>
      <c r="AB261" s="6"/>
      <c r="AC261" s="6"/>
      <c r="AD261" s="6"/>
      <c r="AE261" s="6"/>
    </row>
    <row r="262" spans="1:31" ht="12.75" x14ac:dyDescent="0.2">
      <c r="A262" s="6" t="s">
        <v>2147</v>
      </c>
      <c r="B262" s="6" t="s">
        <v>2288</v>
      </c>
      <c r="C262" s="20" t="s">
        <v>2289</v>
      </c>
      <c r="D262" s="6" t="s">
        <v>2290</v>
      </c>
      <c r="E262" s="6"/>
      <c r="F262" s="6" t="s">
        <v>101</v>
      </c>
      <c r="G262" s="6" t="s">
        <v>113</v>
      </c>
      <c r="H262" s="6" t="str">
        <f t="shared" si="20"/>
        <v>PHIBBAH (P8)</v>
      </c>
      <c r="I262" s="6" t="s">
        <v>1678</v>
      </c>
      <c r="J262" s="6"/>
      <c r="K262" s="6"/>
      <c r="L262" s="6" t="s">
        <v>785</v>
      </c>
      <c r="M262" s="6" t="str">
        <f>VLOOKUP(L262, GLOSSARY!$A:$C, 2, FALSE)</f>
        <v>EGYPT ESTATE</v>
      </c>
      <c r="N262" s="6" t="s">
        <v>167</v>
      </c>
      <c r="O262" s="6"/>
      <c r="P262" s="6"/>
      <c r="Q262" s="6"/>
      <c r="R262" s="6"/>
      <c r="S262" s="6"/>
      <c r="T262" s="6"/>
      <c r="U262" s="6"/>
      <c r="V262" s="6"/>
      <c r="W262" s="6"/>
      <c r="X262" s="6"/>
      <c r="Y262" s="6"/>
      <c r="Z262" s="6"/>
      <c r="AA262" s="6"/>
      <c r="AB262" s="6"/>
      <c r="AC262" s="6"/>
      <c r="AD262" s="6"/>
      <c r="AE262" s="6"/>
    </row>
    <row r="263" spans="1:31" ht="102" x14ac:dyDescent="0.2">
      <c r="A263" s="6" t="s">
        <v>2295</v>
      </c>
      <c r="B263" s="6" t="s">
        <v>2283</v>
      </c>
      <c r="C263" s="20" t="s">
        <v>2289</v>
      </c>
      <c r="D263" s="6" t="s">
        <v>2296</v>
      </c>
      <c r="E263" s="6"/>
      <c r="F263" s="6" t="s">
        <v>2297</v>
      </c>
      <c r="G263" s="6" t="s">
        <v>2298</v>
      </c>
      <c r="H263" s="6" t="str">
        <f>CONCATENATE(F263,"(",G263,")")</f>
        <v>QUASHEBA
AMBO
HAZAT
THE OVERSEER(P185
P170
P87
P43)</v>
      </c>
      <c r="I263" s="6" t="s">
        <v>112</v>
      </c>
      <c r="J263" s="6"/>
      <c r="K263" s="6"/>
      <c r="L263" s="6" t="s">
        <v>55</v>
      </c>
      <c r="M263" s="6" t="str">
        <f>VLOOKUP(L263, GLOSSARY!$A:$C, 2, FALSE)</f>
        <v>EGYPT ESTATE</v>
      </c>
      <c r="N263" s="6" t="s">
        <v>68</v>
      </c>
      <c r="O263" s="6"/>
      <c r="P263" s="6"/>
      <c r="Q263" s="6"/>
      <c r="R263" s="6"/>
      <c r="S263" s="6"/>
      <c r="T263" s="6"/>
      <c r="U263" s="6"/>
      <c r="V263" s="6"/>
      <c r="W263" s="6"/>
      <c r="X263" s="6"/>
      <c r="Y263" s="6"/>
      <c r="Z263" s="6"/>
      <c r="AA263" s="6"/>
      <c r="AB263" s="6"/>
      <c r="AC263" s="6"/>
      <c r="AD263" s="6"/>
      <c r="AE263" s="6"/>
    </row>
    <row r="264" spans="1:31" ht="165.75" x14ac:dyDescent="0.2">
      <c r="A264" s="6" t="s">
        <v>2147</v>
      </c>
      <c r="B264" s="6" t="s">
        <v>2301</v>
      </c>
      <c r="C264" s="20" t="s">
        <v>2303</v>
      </c>
      <c r="D264" s="6" t="s">
        <v>2305</v>
      </c>
      <c r="E264" s="6"/>
      <c r="F264" s="6" t="s">
        <v>2306</v>
      </c>
      <c r="G264" s="6" t="s">
        <v>2307</v>
      </c>
      <c r="H264" s="6" t="str">
        <f>CONCATENATE(F264," (",G264,")")</f>
        <v>P7
P43
P250
P27 (PHIBBAH
PRINCESS
THE OVERSEER
DITTO)</v>
      </c>
      <c r="I264" s="6" t="s">
        <v>1678</v>
      </c>
      <c r="J264" s="6"/>
      <c r="K264" s="6"/>
      <c r="L264" s="6" t="s">
        <v>55</v>
      </c>
      <c r="M264" s="6" t="str">
        <f>VLOOKUP(L264, GLOSSARY!$A:$C, 2, FALSE)</f>
        <v>EGYPT ESTATE</v>
      </c>
      <c r="N264" s="6" t="s">
        <v>167</v>
      </c>
      <c r="O264" s="6"/>
      <c r="P264" s="6"/>
      <c r="Q264" s="6"/>
      <c r="R264" s="6"/>
      <c r="S264" s="6"/>
      <c r="T264" s="6"/>
      <c r="U264" s="6"/>
      <c r="V264" s="6"/>
      <c r="W264" s="6"/>
      <c r="X264" s="6"/>
      <c r="Y264" s="6"/>
      <c r="Z264" s="6"/>
      <c r="AA264" s="6"/>
      <c r="AB264" s="6"/>
      <c r="AC264" s="6"/>
      <c r="AD264" s="6"/>
      <c r="AE264" s="6"/>
    </row>
    <row r="265" spans="1:31" ht="25.5" x14ac:dyDescent="0.2">
      <c r="A265" s="6" t="s">
        <v>2310</v>
      </c>
      <c r="B265" s="6" t="s">
        <v>2288</v>
      </c>
      <c r="C265" s="20" t="s">
        <v>2303</v>
      </c>
      <c r="D265" s="6" t="s">
        <v>2311</v>
      </c>
      <c r="E265" s="6"/>
      <c r="F265" s="6" t="s">
        <v>816</v>
      </c>
      <c r="G265" s="6" t="s">
        <v>815</v>
      </c>
      <c r="H265" s="6" t="str">
        <f t="shared" ref="H265:H266" si="21">CONCATENATE(F265,"(",G265,")")</f>
        <v>AGNES(P124)</v>
      </c>
      <c r="I265" s="6" t="s">
        <v>533</v>
      </c>
      <c r="J265" s="6"/>
      <c r="K265" s="6"/>
      <c r="L265" s="6" t="s">
        <v>55</v>
      </c>
      <c r="M265" s="6" t="str">
        <f>VLOOKUP(L265, GLOSSARY!$A:$C, 2, FALSE)</f>
        <v>EGYPT ESTATE</v>
      </c>
      <c r="N265" s="6" t="s">
        <v>68</v>
      </c>
      <c r="O265" s="6"/>
      <c r="P265" s="6"/>
      <c r="Q265" s="6"/>
      <c r="R265" s="6"/>
      <c r="S265" s="6"/>
      <c r="T265" s="6"/>
      <c r="U265" s="6"/>
      <c r="V265" s="6"/>
      <c r="W265" s="6"/>
      <c r="X265" s="6"/>
      <c r="Y265" s="6"/>
      <c r="Z265" s="6"/>
      <c r="AA265" s="6"/>
      <c r="AB265" s="6"/>
      <c r="AC265" s="6"/>
      <c r="AD265" s="6"/>
      <c r="AE265" s="6"/>
    </row>
    <row r="266" spans="1:31" ht="409.5" x14ac:dyDescent="0.2">
      <c r="A266" s="6" t="s">
        <v>2313</v>
      </c>
      <c r="B266" s="6" t="s">
        <v>2314</v>
      </c>
      <c r="C266" s="20" t="s">
        <v>2316</v>
      </c>
      <c r="D266" s="6" t="s">
        <v>2318</v>
      </c>
      <c r="E266" s="6"/>
      <c r="F266" s="6" t="s">
        <v>2319</v>
      </c>
      <c r="G266" s="6" t="s">
        <v>2320</v>
      </c>
      <c r="H266" s="6" t="str">
        <f t="shared" si="21"/>
        <v>MORRIS
JENNY
EGYPT LUCY
ABIGAIL
MOUNTAIN SUSANAH
TONY
OLD SARAH
OLD SHARPER
CELIA
HECTOR
CLOE
PRINCE
HAZAT
PORT ROYAL
BENJAMIN
AMBO
PHIBBAH
MAZARINE
CYNTHIA
ABRAHAM
DOVER
MASON QUASHE
MIMBER
FRANKE
EVE
SILVIA
ACCUABAH
HUMPHREY
KENT
LITTLE MIMBER(P226
P104
P3
P118
P254
P411
P370
P74
P412
P358
P101
P165
P87
P212
P413
P170
P7
P123
P77
P360
P139
P25
P362
P59
P128
P122
P16
P213
P329
P80)</v>
      </c>
      <c r="I266" s="6" t="s">
        <v>784</v>
      </c>
      <c r="J266" s="6"/>
      <c r="K266" s="6"/>
      <c r="L266" s="6" t="s">
        <v>55</v>
      </c>
      <c r="M266" s="6" t="str">
        <f>VLOOKUP(L266, GLOSSARY!$A:$C, 2, FALSE)</f>
        <v>EGYPT ESTATE</v>
      </c>
      <c r="N266" s="6"/>
      <c r="O266" s="6"/>
      <c r="P266" s="6"/>
      <c r="Q266" s="6"/>
      <c r="R266" s="6"/>
      <c r="S266" s="6"/>
      <c r="T266" s="6"/>
      <c r="U266" s="6"/>
      <c r="V266" s="6"/>
      <c r="W266" s="6"/>
      <c r="X266" s="6"/>
      <c r="Y266" s="6"/>
      <c r="Z266" s="6"/>
      <c r="AA266" s="6"/>
      <c r="AB266" s="6"/>
      <c r="AC266" s="6"/>
      <c r="AD266" s="6"/>
      <c r="AE266" s="6"/>
    </row>
    <row r="267" spans="1:31" ht="114.75" x14ac:dyDescent="0.2">
      <c r="A267" s="6" t="s">
        <v>2147</v>
      </c>
      <c r="B267" s="6" t="s">
        <v>2323</v>
      </c>
      <c r="C267" s="20" t="s">
        <v>2324</v>
      </c>
      <c r="D267" s="6" t="s">
        <v>2325</v>
      </c>
      <c r="E267" s="6"/>
      <c r="F267" s="6" t="s">
        <v>2326</v>
      </c>
      <c r="G267" s="6" t="s">
        <v>2328</v>
      </c>
      <c r="H267" s="6" t="str">
        <f t="shared" ref="H267:H269" si="22">CONCATENATE(F267," (",G267,")")</f>
        <v>P7
P43
P30 (PHIBBAH
THE OVERSEER
MOUNTAIN LUCY)</v>
      </c>
      <c r="I267" s="6" t="s">
        <v>409</v>
      </c>
      <c r="J267" s="6"/>
      <c r="K267" s="6"/>
      <c r="L267" s="6" t="s">
        <v>55</v>
      </c>
      <c r="M267" s="6" t="str">
        <f>VLOOKUP(L267, GLOSSARY!$A:$C, 2, FALSE)</f>
        <v>EGYPT ESTATE</v>
      </c>
      <c r="N267" s="6" t="s">
        <v>167</v>
      </c>
      <c r="O267" s="6"/>
      <c r="P267" s="6"/>
      <c r="Q267" s="6"/>
      <c r="R267" s="6"/>
      <c r="S267" s="6"/>
      <c r="T267" s="6"/>
      <c r="U267" s="6"/>
      <c r="V267" s="6"/>
      <c r="W267" s="6"/>
      <c r="X267" s="6"/>
      <c r="Y267" s="6"/>
      <c r="Z267" s="6"/>
      <c r="AA267" s="6"/>
      <c r="AB267" s="6"/>
      <c r="AC267" s="6"/>
      <c r="AD267" s="6"/>
      <c r="AE267" s="6"/>
    </row>
    <row r="268" spans="1:31" ht="140.25" x14ac:dyDescent="0.2">
      <c r="A268" s="6" t="s">
        <v>2147</v>
      </c>
      <c r="B268" s="6" t="s">
        <v>2332</v>
      </c>
      <c r="C268" s="20" t="s">
        <v>2333</v>
      </c>
      <c r="D268" s="6" t="s">
        <v>2334</v>
      </c>
      <c r="E268" s="6"/>
      <c r="F268" s="6" t="s">
        <v>2335</v>
      </c>
      <c r="G268" s="6" t="s">
        <v>2336</v>
      </c>
      <c r="H268" s="6" t="str">
        <f t="shared" si="22"/>
        <v>P43
P251
P7
 (MIMBAH
THE OVERSEER
PHIBBAH)</v>
      </c>
      <c r="I268" s="6" t="s">
        <v>409</v>
      </c>
      <c r="J268" s="6"/>
      <c r="K268" s="6"/>
      <c r="L268" s="6" t="s">
        <v>55</v>
      </c>
      <c r="M268" s="6" t="str">
        <f>VLOOKUP(L268, GLOSSARY!$A:$C, 2, FALSE)</f>
        <v>EGYPT ESTATE</v>
      </c>
      <c r="N268" s="6" t="s">
        <v>167</v>
      </c>
      <c r="O268" s="6"/>
      <c r="P268" s="6"/>
      <c r="Q268" s="6"/>
      <c r="R268" s="6"/>
      <c r="S268" s="6"/>
      <c r="T268" s="6"/>
      <c r="U268" s="6"/>
      <c r="V268" s="6"/>
      <c r="W268" s="6"/>
      <c r="X268" s="6"/>
      <c r="Y268" s="6"/>
      <c r="Z268" s="6"/>
      <c r="AA268" s="6"/>
      <c r="AB268" s="6"/>
      <c r="AC268" s="6"/>
      <c r="AD268" s="6"/>
      <c r="AE268" s="6"/>
    </row>
    <row r="269" spans="1:31" ht="293.25" x14ac:dyDescent="0.2">
      <c r="A269" s="6" t="s">
        <v>2147</v>
      </c>
      <c r="B269" s="6" t="s">
        <v>2339</v>
      </c>
      <c r="C269" s="20" t="s">
        <v>2340</v>
      </c>
      <c r="D269" s="6" t="s">
        <v>2341</v>
      </c>
      <c r="E269" s="6"/>
      <c r="F269" s="6" t="s">
        <v>2342</v>
      </c>
      <c r="G269" s="6" t="s">
        <v>2343</v>
      </c>
      <c r="H269" s="6" t="str">
        <f t="shared" si="22"/>
        <v>P7
P43
P96
P44
P252 (PHIBBAH
QUASHE
OLD PHIBBAH
MR. MOULD
THE PLANTER
THE OVERSEEER
)</v>
      </c>
      <c r="I269" s="6" t="s">
        <v>96</v>
      </c>
      <c r="J269" s="6"/>
      <c r="K269" s="6"/>
      <c r="L269" s="6" t="s">
        <v>55</v>
      </c>
      <c r="M269" s="6" t="str">
        <f>VLOOKUP(L269, GLOSSARY!$A:$C, 2, FALSE)</f>
        <v>EGYPT ESTATE</v>
      </c>
      <c r="N269" s="6" t="s">
        <v>167</v>
      </c>
      <c r="O269" s="6"/>
      <c r="P269" s="6"/>
      <c r="Q269" s="6"/>
      <c r="R269" s="6"/>
      <c r="S269" s="6"/>
      <c r="T269" s="6"/>
      <c r="U269" s="6"/>
      <c r="V269" s="6"/>
      <c r="W269" s="6"/>
      <c r="X269" s="6"/>
      <c r="Y269" s="6"/>
      <c r="Z269" s="6"/>
      <c r="AA269" s="6"/>
      <c r="AB269" s="6"/>
      <c r="AC269" s="6"/>
      <c r="AD269" s="6"/>
      <c r="AE269" s="6"/>
    </row>
    <row r="270" spans="1:31" ht="76.5" x14ac:dyDescent="0.2">
      <c r="A270" s="6" t="s">
        <v>2147</v>
      </c>
      <c r="B270" s="6" t="s">
        <v>2348</v>
      </c>
      <c r="C270" s="20" t="s">
        <v>2349</v>
      </c>
      <c r="D270" s="6" t="s">
        <v>2350</v>
      </c>
      <c r="E270" s="6"/>
      <c r="F270" s="6" t="s">
        <v>2150</v>
      </c>
      <c r="G270" s="6" t="s">
        <v>2151</v>
      </c>
      <c r="H270" s="6"/>
      <c r="I270" s="6" t="s">
        <v>409</v>
      </c>
      <c r="J270" s="6"/>
      <c r="K270" s="6"/>
      <c r="L270" s="6" t="s">
        <v>55</v>
      </c>
      <c r="M270" s="6" t="str">
        <f>VLOOKUP(L270, GLOSSARY!$A:$C, 2, FALSE)</f>
        <v>EGYPT ESTATE</v>
      </c>
      <c r="N270" s="6" t="s">
        <v>167</v>
      </c>
      <c r="O270" s="6"/>
      <c r="P270" s="6"/>
      <c r="Q270" s="6"/>
      <c r="R270" s="6"/>
      <c r="S270" s="6"/>
      <c r="T270" s="6"/>
      <c r="U270" s="6"/>
      <c r="V270" s="6"/>
      <c r="W270" s="6"/>
      <c r="X270" s="6"/>
      <c r="Y270" s="6"/>
      <c r="Z270" s="6"/>
      <c r="AA270" s="6"/>
      <c r="AB270" s="6"/>
      <c r="AC270" s="6"/>
      <c r="AD270" s="6"/>
      <c r="AE270" s="6"/>
    </row>
    <row r="271" spans="1:31" ht="114.75" x14ac:dyDescent="0.2">
      <c r="A271" s="6" t="s">
        <v>2147</v>
      </c>
      <c r="B271" s="6" t="s">
        <v>2351</v>
      </c>
      <c r="C271" s="20" t="s">
        <v>2352</v>
      </c>
      <c r="D271" s="6" t="s">
        <v>2353</v>
      </c>
      <c r="E271" s="6"/>
      <c r="F271" s="6" t="s">
        <v>2355</v>
      </c>
      <c r="G271" s="6" t="s">
        <v>2357</v>
      </c>
      <c r="H271" s="6" t="str">
        <f t="shared" ref="H271:H280" si="23">CONCATENATE(F271,"(",G271,")")</f>
        <v>THE OVERSEER
QUASHEBA [EGYPT]
MOUNTAIN LUCY(P43
P185
P30)</v>
      </c>
      <c r="I271" s="6" t="s">
        <v>409</v>
      </c>
      <c r="J271" s="6"/>
      <c r="K271" s="6"/>
      <c r="L271" s="6" t="s">
        <v>55</v>
      </c>
      <c r="M271" s="6" t="str">
        <f>VLOOKUP(L271, GLOSSARY!$A:$C, 2, FALSE)</f>
        <v>EGYPT ESTATE</v>
      </c>
      <c r="N271" s="6" t="s">
        <v>167</v>
      </c>
      <c r="O271" s="6"/>
      <c r="P271" s="6"/>
      <c r="Q271" s="6"/>
      <c r="R271" s="6"/>
      <c r="S271" s="6"/>
      <c r="T271" s="6"/>
      <c r="U271" s="6"/>
      <c r="V271" s="6"/>
      <c r="W271" s="6"/>
      <c r="X271" s="6"/>
      <c r="Y271" s="6"/>
      <c r="Z271" s="6"/>
      <c r="AA271" s="6"/>
      <c r="AB271" s="6"/>
      <c r="AC271" s="6"/>
      <c r="AD271" s="6"/>
      <c r="AE271" s="6"/>
    </row>
    <row r="272" spans="1:31" ht="63.75" x14ac:dyDescent="0.2">
      <c r="A272" s="6" t="s">
        <v>2360</v>
      </c>
      <c r="B272" s="6" t="s">
        <v>2361</v>
      </c>
      <c r="C272" s="20" t="s">
        <v>2362</v>
      </c>
      <c r="D272" s="6" t="s">
        <v>2363</v>
      </c>
      <c r="E272" s="6"/>
      <c r="F272" s="6" t="s">
        <v>2364</v>
      </c>
      <c r="G272" s="6" t="s">
        <v>2365</v>
      </c>
      <c r="H272" s="6" t="str">
        <f t="shared" si="23"/>
        <v>MOUNTAIN LUCY
THE OVERSEER(P30
P43)</v>
      </c>
      <c r="I272" s="6" t="s">
        <v>409</v>
      </c>
      <c r="J272" s="6"/>
      <c r="K272" s="6"/>
      <c r="L272" s="6" t="s">
        <v>785</v>
      </c>
      <c r="M272" s="6" t="str">
        <f>VLOOKUP(L272, GLOSSARY!$A:$C, 2, FALSE)</f>
        <v>EGYPT ESTATE</v>
      </c>
      <c r="N272" s="6" t="s">
        <v>167</v>
      </c>
      <c r="O272" s="6"/>
      <c r="P272" s="6"/>
      <c r="Q272" s="6"/>
      <c r="R272" s="6"/>
      <c r="S272" s="6"/>
      <c r="T272" s="6"/>
      <c r="U272" s="6"/>
      <c r="V272" s="6"/>
      <c r="W272" s="6"/>
      <c r="X272" s="6"/>
      <c r="Y272" s="6"/>
      <c r="Z272" s="6"/>
      <c r="AA272" s="6"/>
      <c r="AB272" s="6"/>
      <c r="AC272" s="6"/>
      <c r="AD272" s="6"/>
      <c r="AE272" s="6"/>
    </row>
    <row r="273" spans="1:31" ht="63.75" x14ac:dyDescent="0.2">
      <c r="A273" s="6" t="s">
        <v>2360</v>
      </c>
      <c r="B273" s="6" t="s">
        <v>2368</v>
      </c>
      <c r="C273" s="20" t="s">
        <v>2369</v>
      </c>
      <c r="D273" s="6" t="s">
        <v>2370</v>
      </c>
      <c r="E273" s="6"/>
      <c r="F273" s="6" t="s">
        <v>2364</v>
      </c>
      <c r="G273" s="6" t="s">
        <v>2365</v>
      </c>
      <c r="H273" s="6" t="str">
        <f t="shared" si="23"/>
        <v>MOUNTAIN LUCY
THE OVERSEER(P30
P43)</v>
      </c>
      <c r="I273" s="6" t="s">
        <v>409</v>
      </c>
      <c r="J273" s="6"/>
      <c r="K273" s="6"/>
      <c r="L273" s="6" t="s">
        <v>55</v>
      </c>
      <c r="M273" s="6" t="str">
        <f>VLOOKUP(L273, GLOSSARY!$A:$C, 2, FALSE)</f>
        <v>EGYPT ESTATE</v>
      </c>
      <c r="N273" s="6" t="s">
        <v>167</v>
      </c>
      <c r="O273" s="6"/>
      <c r="P273" s="6"/>
      <c r="Q273" s="6"/>
      <c r="R273" s="6"/>
      <c r="S273" s="6"/>
      <c r="T273" s="6"/>
      <c r="U273" s="6"/>
      <c r="V273" s="6"/>
      <c r="W273" s="6"/>
      <c r="X273" s="6"/>
      <c r="Y273" s="6"/>
      <c r="Z273" s="6"/>
      <c r="AA273" s="6"/>
      <c r="AB273" s="6"/>
      <c r="AC273" s="6"/>
      <c r="AD273" s="6"/>
      <c r="AE273" s="6"/>
    </row>
    <row r="274" spans="1:31" ht="63.75" x14ac:dyDescent="0.2">
      <c r="A274" s="6" t="s">
        <v>2360</v>
      </c>
      <c r="B274" s="6" t="s">
        <v>2371</v>
      </c>
      <c r="C274" s="20" t="s">
        <v>2372</v>
      </c>
      <c r="D274" s="6" t="s">
        <v>2373</v>
      </c>
      <c r="E274" s="6"/>
      <c r="F274" s="6" t="s">
        <v>2364</v>
      </c>
      <c r="G274" s="6" t="s">
        <v>2365</v>
      </c>
      <c r="H274" s="6" t="str">
        <f t="shared" si="23"/>
        <v>MOUNTAIN LUCY
THE OVERSEER(P30
P43)</v>
      </c>
      <c r="I274" s="6" t="s">
        <v>409</v>
      </c>
      <c r="J274" s="6"/>
      <c r="K274" s="6"/>
      <c r="L274" s="6" t="s">
        <v>55</v>
      </c>
      <c r="M274" s="6" t="str">
        <f>VLOOKUP(L274, GLOSSARY!$A:$C, 2, FALSE)</f>
        <v>EGYPT ESTATE</v>
      </c>
      <c r="N274" s="6" t="s">
        <v>167</v>
      </c>
      <c r="O274" s="6"/>
      <c r="P274" s="6"/>
      <c r="Q274" s="6"/>
      <c r="R274" s="6"/>
      <c r="S274" s="6"/>
      <c r="T274" s="6"/>
      <c r="U274" s="6"/>
      <c r="V274" s="6"/>
      <c r="W274" s="6"/>
      <c r="X274" s="6"/>
      <c r="Y274" s="6"/>
      <c r="Z274" s="6"/>
      <c r="AA274" s="6"/>
      <c r="AB274" s="6"/>
      <c r="AC274" s="6"/>
      <c r="AD274" s="6"/>
      <c r="AE274" s="6"/>
    </row>
    <row r="275" spans="1:31" ht="63.75" x14ac:dyDescent="0.2">
      <c r="A275" s="6" t="s">
        <v>2360</v>
      </c>
      <c r="B275" s="6" t="s">
        <v>2378</v>
      </c>
      <c r="C275" s="20" t="s">
        <v>2379</v>
      </c>
      <c r="D275" s="6" t="s">
        <v>2380</v>
      </c>
      <c r="E275" s="6"/>
      <c r="F275" s="6" t="s">
        <v>2364</v>
      </c>
      <c r="G275" s="6" t="s">
        <v>2365</v>
      </c>
      <c r="H275" s="6" t="str">
        <f t="shared" si="23"/>
        <v>MOUNTAIN LUCY
THE OVERSEER(P30
P43)</v>
      </c>
      <c r="I275" s="6" t="s">
        <v>248</v>
      </c>
      <c r="J275" s="6"/>
      <c r="K275" s="6"/>
      <c r="L275" s="6" t="s">
        <v>55</v>
      </c>
      <c r="M275" s="6" t="str">
        <f>VLOOKUP(L275, GLOSSARY!$A:$C, 2, FALSE)</f>
        <v>EGYPT ESTATE</v>
      </c>
      <c r="N275" s="6" t="s">
        <v>167</v>
      </c>
      <c r="O275" s="6"/>
      <c r="P275" s="6"/>
      <c r="Q275" s="6"/>
      <c r="R275" s="6"/>
      <c r="S275" s="6"/>
      <c r="T275" s="6"/>
      <c r="U275" s="6"/>
      <c r="V275" s="6"/>
      <c r="W275" s="6"/>
      <c r="X275" s="6"/>
      <c r="Y275" s="6"/>
      <c r="Z275" s="6"/>
      <c r="AA275" s="6"/>
      <c r="AB275" s="6"/>
      <c r="AC275" s="6"/>
      <c r="AD275" s="6"/>
      <c r="AE275" s="6"/>
    </row>
    <row r="276" spans="1:31" ht="63.75" x14ac:dyDescent="0.2">
      <c r="A276" s="6" t="s">
        <v>2360</v>
      </c>
      <c r="B276" s="6" t="s">
        <v>2381</v>
      </c>
      <c r="C276" s="20" t="s">
        <v>2382</v>
      </c>
      <c r="D276" s="6" t="s">
        <v>2383</v>
      </c>
      <c r="E276" s="6"/>
      <c r="F276" s="6" t="s">
        <v>2364</v>
      </c>
      <c r="G276" s="6" t="s">
        <v>2384</v>
      </c>
      <c r="H276" s="6" t="str">
        <f t="shared" si="23"/>
        <v>MOUNTAIN LUCY
THE OVERSEER(P30 
P43)</v>
      </c>
      <c r="I276" s="6" t="s">
        <v>409</v>
      </c>
      <c r="J276" s="6"/>
      <c r="K276" s="6"/>
      <c r="L276" s="6" t="s">
        <v>55</v>
      </c>
      <c r="M276" s="6" t="str">
        <f>VLOOKUP(L276, GLOSSARY!$A:$C, 2, FALSE)</f>
        <v>EGYPT ESTATE</v>
      </c>
      <c r="N276" s="6" t="s">
        <v>167</v>
      </c>
      <c r="O276" s="6"/>
      <c r="P276" s="6"/>
      <c r="Q276" s="6"/>
      <c r="R276" s="6"/>
      <c r="S276" s="6"/>
      <c r="T276" s="6"/>
      <c r="U276" s="6"/>
      <c r="V276" s="6"/>
      <c r="W276" s="6"/>
      <c r="X276" s="6"/>
      <c r="Y276" s="6"/>
      <c r="Z276" s="6"/>
      <c r="AA276" s="6"/>
      <c r="AB276" s="6"/>
      <c r="AC276" s="6"/>
      <c r="AD276" s="6"/>
      <c r="AE276" s="6"/>
    </row>
    <row r="277" spans="1:31" ht="76.5" x14ac:dyDescent="0.2">
      <c r="A277" s="6" t="s">
        <v>2387</v>
      </c>
      <c r="B277" s="6" t="s">
        <v>2388</v>
      </c>
      <c r="C277" s="20" t="s">
        <v>2389</v>
      </c>
      <c r="D277" s="6" t="s">
        <v>2391</v>
      </c>
      <c r="E277" s="6"/>
      <c r="F277" s="6" t="s">
        <v>48</v>
      </c>
      <c r="G277" s="6" t="s">
        <v>50</v>
      </c>
      <c r="H277" s="6" t="str">
        <f t="shared" si="23"/>
        <v>THE OVERSEER(P43)</v>
      </c>
      <c r="I277" s="6" t="s">
        <v>533</v>
      </c>
      <c r="J277" s="6"/>
      <c r="K277" s="6"/>
      <c r="L277" s="6" t="s">
        <v>55</v>
      </c>
      <c r="M277" s="6" t="str">
        <f>VLOOKUP(L277, GLOSSARY!$A:$C, 2, FALSE)</f>
        <v>EGYPT ESTATE</v>
      </c>
      <c r="N277" s="6" t="s">
        <v>167</v>
      </c>
      <c r="O277" s="6"/>
      <c r="P277" s="6"/>
      <c r="Q277" s="6"/>
      <c r="R277" s="6"/>
      <c r="S277" s="6"/>
      <c r="T277" s="6"/>
      <c r="U277" s="6"/>
      <c r="V277" s="6"/>
      <c r="W277" s="6"/>
      <c r="X277" s="6"/>
      <c r="Y277" s="6"/>
      <c r="Z277" s="6"/>
      <c r="AA277" s="6"/>
      <c r="AB277" s="6"/>
      <c r="AC277" s="6"/>
      <c r="AD277" s="6"/>
      <c r="AE277" s="6"/>
    </row>
    <row r="278" spans="1:31" ht="165.75" x14ac:dyDescent="0.2">
      <c r="A278" s="6" t="s">
        <v>1254</v>
      </c>
      <c r="B278" s="6" t="s">
        <v>2395</v>
      </c>
      <c r="C278" s="20" t="s">
        <v>2396</v>
      </c>
      <c r="D278" s="6" t="s">
        <v>2397</v>
      </c>
      <c r="E278" s="6"/>
      <c r="F278" s="6" t="s">
        <v>2398</v>
      </c>
      <c r="G278" s="6" t="s">
        <v>2400</v>
      </c>
      <c r="H278" s="6" t="str">
        <f t="shared" si="23"/>
        <v>THE OVERSEER
AMBO
MR. EMOTSON
MR. GARDINER(P43
P170
P92
P378)</v>
      </c>
      <c r="I278" s="6" t="s">
        <v>957</v>
      </c>
      <c r="J278" s="6"/>
      <c r="K278" s="6"/>
      <c r="L278" s="6" t="s">
        <v>55</v>
      </c>
      <c r="M278" s="6" t="str">
        <f>VLOOKUP(L278, GLOSSARY!$A:$C, 2, FALSE)</f>
        <v>EGYPT ESTATE</v>
      </c>
      <c r="N278" s="6" t="s">
        <v>68</v>
      </c>
      <c r="O278" s="6"/>
      <c r="P278" s="6"/>
      <c r="Q278" s="6"/>
      <c r="R278" s="6"/>
      <c r="S278" s="6"/>
      <c r="T278" s="6"/>
      <c r="U278" s="6"/>
      <c r="V278" s="6"/>
      <c r="W278" s="6"/>
      <c r="X278" s="6"/>
      <c r="Y278" s="6"/>
      <c r="Z278" s="6"/>
      <c r="AA278" s="6"/>
      <c r="AB278" s="6"/>
      <c r="AC278" s="6"/>
      <c r="AD278" s="6"/>
      <c r="AE278" s="6"/>
    </row>
    <row r="279" spans="1:31" ht="38.25" x14ac:dyDescent="0.2">
      <c r="A279" s="6" t="s">
        <v>2403</v>
      </c>
      <c r="B279" s="6" t="s">
        <v>2404</v>
      </c>
      <c r="C279" s="20" t="s">
        <v>2405</v>
      </c>
      <c r="D279" s="6" t="s">
        <v>2406</v>
      </c>
      <c r="E279" s="6"/>
      <c r="F279" s="6" t="s">
        <v>297</v>
      </c>
      <c r="G279" s="6" t="s">
        <v>296</v>
      </c>
      <c r="H279" s="6" t="str">
        <f t="shared" si="23"/>
        <v>JOB(P29)</v>
      </c>
      <c r="I279" s="6" t="s">
        <v>784</v>
      </c>
      <c r="J279" s="6"/>
      <c r="K279" s="6"/>
      <c r="L279" s="6" t="s">
        <v>55</v>
      </c>
      <c r="M279" s="6" t="str">
        <f>VLOOKUP(L279, GLOSSARY!$A:$C, 2, FALSE)</f>
        <v>EGYPT ESTATE</v>
      </c>
      <c r="N279" s="6" t="s">
        <v>68</v>
      </c>
      <c r="O279" s="6"/>
      <c r="P279" s="6"/>
      <c r="Q279" s="6"/>
      <c r="R279" s="6"/>
      <c r="S279" s="6"/>
      <c r="T279" s="6"/>
      <c r="U279" s="6"/>
      <c r="V279" s="6"/>
      <c r="W279" s="6"/>
      <c r="X279" s="6"/>
      <c r="Y279" s="6"/>
      <c r="Z279" s="6"/>
      <c r="AA279" s="6"/>
      <c r="AB279" s="6"/>
      <c r="AC279" s="6"/>
      <c r="AD279" s="6"/>
      <c r="AE279" s="6"/>
    </row>
    <row r="280" spans="1:31" ht="63.75" x14ac:dyDescent="0.2">
      <c r="A280" s="6" t="s">
        <v>2360</v>
      </c>
      <c r="B280" s="6" t="s">
        <v>2408</v>
      </c>
      <c r="C280" s="20" t="s">
        <v>2409</v>
      </c>
      <c r="D280" s="6" t="s">
        <v>2410</v>
      </c>
      <c r="E280" s="6"/>
      <c r="F280" s="6" t="s">
        <v>2364</v>
      </c>
      <c r="G280" s="6" t="s">
        <v>2384</v>
      </c>
      <c r="H280" s="6" t="str">
        <f t="shared" si="23"/>
        <v>MOUNTAIN LUCY
THE OVERSEER(P30 
P43)</v>
      </c>
      <c r="I280" s="6" t="s">
        <v>96</v>
      </c>
      <c r="J280" s="6"/>
      <c r="K280" s="6"/>
      <c r="L280" s="6" t="s">
        <v>1695</v>
      </c>
      <c r="M280" s="6" t="str">
        <f>VLOOKUP(L280, GLOSSARY!$A:$C, 2, FALSE)</f>
        <v>EGYPT ESTATE HOTHOUSE</v>
      </c>
      <c r="N280" s="6" t="s">
        <v>68</v>
      </c>
      <c r="O280" s="6"/>
      <c r="P280" s="6"/>
      <c r="Q280" s="6"/>
      <c r="R280" s="6"/>
      <c r="S280" s="6"/>
      <c r="T280" s="6"/>
      <c r="U280" s="6"/>
      <c r="V280" s="6"/>
      <c r="W280" s="6"/>
      <c r="X280" s="6"/>
      <c r="Y280" s="6"/>
      <c r="Z280" s="6"/>
      <c r="AA280" s="6"/>
      <c r="AB280" s="6"/>
      <c r="AC280" s="6"/>
      <c r="AD280" s="6"/>
      <c r="AE280" s="6"/>
    </row>
    <row r="281" spans="1:31" ht="25.5" x14ac:dyDescent="0.2">
      <c r="A281" s="6" t="s">
        <v>1390</v>
      </c>
      <c r="B281" s="6" t="s">
        <v>2412</v>
      </c>
      <c r="C281" s="20" t="s">
        <v>2413</v>
      </c>
      <c r="D281" s="6" t="s">
        <v>2414</v>
      </c>
      <c r="E281" s="6"/>
      <c r="F281" s="6"/>
      <c r="G281" s="6"/>
      <c r="H281" s="6"/>
      <c r="I281" s="6" t="s">
        <v>26</v>
      </c>
      <c r="J281" s="6"/>
      <c r="K281" s="6"/>
      <c r="L281" s="6" t="s">
        <v>55</v>
      </c>
      <c r="M281" s="6" t="str">
        <f>VLOOKUP(L281, GLOSSARY!$A:$C, 2, FALSE)</f>
        <v>EGYPT ESTATE</v>
      </c>
      <c r="N281" s="6" t="s">
        <v>68</v>
      </c>
      <c r="O281" s="6"/>
      <c r="P281" s="6"/>
      <c r="Q281" s="6"/>
      <c r="R281" s="6"/>
      <c r="S281" s="6"/>
      <c r="T281" s="6"/>
      <c r="U281" s="6"/>
      <c r="V281" s="6"/>
      <c r="W281" s="6"/>
      <c r="X281" s="6"/>
      <c r="Y281" s="6"/>
      <c r="Z281" s="6"/>
      <c r="AA281" s="6"/>
      <c r="AB281" s="6"/>
      <c r="AC281" s="6"/>
      <c r="AD281" s="6"/>
      <c r="AE281" s="6"/>
    </row>
    <row r="282" spans="1:31" ht="38.25" x14ac:dyDescent="0.2">
      <c r="A282" s="6" t="s">
        <v>1390</v>
      </c>
      <c r="B282" s="6" t="s">
        <v>2412</v>
      </c>
      <c r="C282" s="20" t="s">
        <v>2416</v>
      </c>
      <c r="D282" s="6" t="s">
        <v>2417</v>
      </c>
      <c r="E282" s="6"/>
      <c r="F282" s="6"/>
      <c r="G282" s="6"/>
      <c r="H282" s="6"/>
      <c r="I282" s="6" t="s">
        <v>578</v>
      </c>
      <c r="J282" s="6"/>
      <c r="K282" s="6"/>
      <c r="L282" s="6" t="s">
        <v>55</v>
      </c>
      <c r="M282" s="6" t="str">
        <f>VLOOKUP(L282, GLOSSARY!$A:$C, 2, FALSE)</f>
        <v>EGYPT ESTATE</v>
      </c>
      <c r="N282" s="6" t="s">
        <v>167</v>
      </c>
      <c r="O282" s="6"/>
      <c r="P282" s="6"/>
      <c r="Q282" s="6"/>
      <c r="R282" s="6"/>
      <c r="S282" s="6"/>
      <c r="T282" s="6"/>
      <c r="U282" s="6"/>
      <c r="V282" s="6"/>
      <c r="W282" s="6"/>
      <c r="X282" s="6"/>
      <c r="Y282" s="6"/>
      <c r="Z282" s="6"/>
      <c r="AA282" s="6"/>
      <c r="AB282" s="6"/>
      <c r="AC282" s="6"/>
      <c r="AD282" s="6"/>
      <c r="AE282" s="6"/>
    </row>
    <row r="283" spans="1:31" ht="38.25" x14ac:dyDescent="0.2">
      <c r="A283" s="6" t="s">
        <v>1390</v>
      </c>
      <c r="B283" s="6" t="s">
        <v>2419</v>
      </c>
      <c r="C283" s="20" t="s">
        <v>2420</v>
      </c>
      <c r="D283" s="6" t="s">
        <v>2421</v>
      </c>
      <c r="E283" s="6"/>
      <c r="F283" s="6"/>
      <c r="G283" s="6"/>
      <c r="H283" s="6"/>
      <c r="I283" s="6" t="s">
        <v>578</v>
      </c>
      <c r="J283" s="6"/>
      <c r="K283" s="6"/>
      <c r="L283" s="6" t="s">
        <v>785</v>
      </c>
      <c r="M283" s="6" t="str">
        <f>VLOOKUP(L283, GLOSSARY!$A:$C, 2, FALSE)</f>
        <v>EGYPT ESTATE</v>
      </c>
      <c r="N283" s="6" t="s">
        <v>476</v>
      </c>
      <c r="O283" s="6"/>
      <c r="P283" s="6"/>
      <c r="Q283" s="6"/>
      <c r="R283" s="6"/>
      <c r="S283" s="6"/>
      <c r="T283" s="6"/>
      <c r="U283" s="6"/>
      <c r="V283" s="6"/>
      <c r="W283" s="6"/>
      <c r="X283" s="6"/>
      <c r="Y283" s="6"/>
      <c r="Z283" s="6"/>
      <c r="AA283" s="6"/>
      <c r="AB283" s="6"/>
      <c r="AC283" s="6"/>
      <c r="AD283" s="6"/>
      <c r="AE283" s="6"/>
    </row>
    <row r="284" spans="1:31" ht="63.75" x14ac:dyDescent="0.2">
      <c r="A284" s="6" t="s">
        <v>2403</v>
      </c>
      <c r="B284" s="6" t="s">
        <v>2412</v>
      </c>
      <c r="C284" s="20" t="s">
        <v>2420</v>
      </c>
      <c r="D284" s="6" t="s">
        <v>2423</v>
      </c>
      <c r="E284" s="6"/>
      <c r="F284" s="6" t="s">
        <v>2424</v>
      </c>
      <c r="G284" s="6" t="s">
        <v>2425</v>
      </c>
      <c r="H284" s="6" t="str">
        <f>CONCATENATE(F284,"(",G284,")")</f>
        <v>JOB
BENJAMIN
PORT ROYAL(P29
P413
P212)</v>
      </c>
      <c r="I284" s="6" t="s">
        <v>198</v>
      </c>
      <c r="J284" s="6"/>
      <c r="K284" s="6"/>
      <c r="L284" s="6" t="s">
        <v>55</v>
      </c>
      <c r="M284" s="6" t="str">
        <f>VLOOKUP(L284, GLOSSARY!$A:$C, 2, FALSE)</f>
        <v>EGYPT ESTATE</v>
      </c>
      <c r="N284" s="6" t="s">
        <v>68</v>
      </c>
      <c r="O284" s="6"/>
      <c r="P284" s="6"/>
      <c r="Q284" s="6"/>
      <c r="R284" s="6"/>
      <c r="S284" s="6"/>
      <c r="T284" s="6"/>
      <c r="U284" s="6"/>
      <c r="V284" s="6"/>
      <c r="W284" s="6"/>
      <c r="X284" s="6"/>
      <c r="Y284" s="6"/>
      <c r="Z284" s="6"/>
      <c r="AA284" s="6"/>
      <c r="AB284" s="6"/>
      <c r="AC284" s="6"/>
      <c r="AD284" s="6"/>
      <c r="AE284" s="6"/>
    </row>
    <row r="285" spans="1:31" ht="25.5" x14ac:dyDescent="0.2">
      <c r="A285" s="6" t="s">
        <v>1390</v>
      </c>
      <c r="B285" s="6" t="s">
        <v>2428</v>
      </c>
      <c r="C285" s="20" t="s">
        <v>2430</v>
      </c>
      <c r="D285" s="6" t="s">
        <v>2431</v>
      </c>
      <c r="E285" s="6"/>
      <c r="F285" s="6"/>
      <c r="G285" s="6"/>
      <c r="H285" s="6"/>
      <c r="I285" s="6" t="s">
        <v>578</v>
      </c>
      <c r="J285" s="6"/>
      <c r="K285" s="6"/>
      <c r="L285" s="6" t="s">
        <v>55</v>
      </c>
      <c r="M285" s="6" t="str">
        <f>VLOOKUP(L285, GLOSSARY!$A:$C, 2, FALSE)</f>
        <v>EGYPT ESTATE</v>
      </c>
      <c r="N285" s="6" t="s">
        <v>68</v>
      </c>
      <c r="O285" s="6"/>
      <c r="P285" s="6"/>
      <c r="Q285" s="6"/>
      <c r="R285" s="6"/>
      <c r="S285" s="6"/>
      <c r="T285" s="6"/>
      <c r="U285" s="6"/>
      <c r="V285" s="6"/>
      <c r="W285" s="6"/>
      <c r="X285" s="6"/>
      <c r="Y285" s="6"/>
      <c r="Z285" s="6"/>
      <c r="AA285" s="6"/>
      <c r="AB285" s="6"/>
      <c r="AC285" s="6"/>
      <c r="AD285" s="6"/>
      <c r="AE285" s="6"/>
    </row>
    <row r="286" spans="1:31" ht="51" x14ac:dyDescent="0.2">
      <c r="A286" s="6" t="s">
        <v>2238</v>
      </c>
      <c r="B286" s="6" t="s">
        <v>2432</v>
      </c>
      <c r="C286" s="20" t="s">
        <v>2433</v>
      </c>
      <c r="D286" s="6" t="s">
        <v>2434</v>
      </c>
      <c r="E286" s="6"/>
      <c r="F286" s="6" t="s">
        <v>1307</v>
      </c>
      <c r="G286" s="6" t="s">
        <v>1306</v>
      </c>
      <c r="H286" s="6" t="str">
        <f t="shared" ref="H286:H307" si="24">CONCATENATE(F286,"(",G286,")")</f>
        <v>CYRUS(P210)</v>
      </c>
      <c r="I286" s="6" t="s">
        <v>112</v>
      </c>
      <c r="J286" s="6"/>
      <c r="K286" s="6"/>
      <c r="L286" s="6" t="s">
        <v>55</v>
      </c>
      <c r="M286" s="6" t="str">
        <f>VLOOKUP(L286, GLOSSARY!$A:$C, 2, FALSE)</f>
        <v>EGYPT ESTATE</v>
      </c>
      <c r="N286" s="6" t="s">
        <v>287</v>
      </c>
      <c r="O286" s="6"/>
      <c r="P286" s="6"/>
      <c r="Q286" s="6"/>
      <c r="R286" s="6"/>
      <c r="S286" s="6"/>
      <c r="T286" s="6"/>
      <c r="U286" s="6"/>
      <c r="V286" s="6"/>
      <c r="W286" s="6"/>
      <c r="X286" s="6"/>
      <c r="Y286" s="6"/>
      <c r="Z286" s="6"/>
      <c r="AA286" s="6"/>
      <c r="AB286" s="6"/>
      <c r="AC286" s="6"/>
      <c r="AD286" s="6"/>
      <c r="AE286" s="6"/>
    </row>
    <row r="287" spans="1:31" ht="25.5" x14ac:dyDescent="0.2">
      <c r="A287" s="6" t="s">
        <v>2238</v>
      </c>
      <c r="B287" s="6" t="s">
        <v>2436</v>
      </c>
      <c r="C287" s="20" t="s">
        <v>2437</v>
      </c>
      <c r="D287" s="6" t="s">
        <v>2438</v>
      </c>
      <c r="E287" s="6"/>
      <c r="F287" s="6" t="s">
        <v>1307</v>
      </c>
      <c r="G287" s="6" t="s">
        <v>1306</v>
      </c>
      <c r="H287" s="6" t="str">
        <f t="shared" si="24"/>
        <v>CYRUS(P210)</v>
      </c>
      <c r="I287" s="6" t="s">
        <v>112</v>
      </c>
      <c r="J287" s="6"/>
      <c r="K287" s="6"/>
      <c r="L287" s="6" t="s">
        <v>55</v>
      </c>
      <c r="M287" s="6" t="str">
        <f>VLOOKUP(L287, GLOSSARY!$A:$C, 2, FALSE)</f>
        <v>EGYPT ESTATE</v>
      </c>
      <c r="N287" s="6" t="s">
        <v>68</v>
      </c>
      <c r="O287" s="6"/>
      <c r="P287" s="6"/>
      <c r="Q287" s="6"/>
      <c r="R287" s="6"/>
      <c r="S287" s="6"/>
      <c r="T287" s="6"/>
      <c r="U287" s="6"/>
      <c r="V287" s="6"/>
      <c r="W287" s="6"/>
      <c r="X287" s="6"/>
      <c r="Y287" s="6"/>
      <c r="Z287" s="6"/>
      <c r="AA287" s="6"/>
      <c r="AB287" s="6"/>
      <c r="AC287" s="6"/>
      <c r="AD287" s="6"/>
      <c r="AE287" s="6"/>
    </row>
    <row r="288" spans="1:31" ht="63.75" x14ac:dyDescent="0.2">
      <c r="A288" s="6" t="s">
        <v>2441</v>
      </c>
      <c r="B288" s="6" t="s">
        <v>2436</v>
      </c>
      <c r="C288" s="20" t="s">
        <v>2437</v>
      </c>
      <c r="D288" s="6" t="s">
        <v>2442</v>
      </c>
      <c r="E288" s="6"/>
      <c r="F288" s="6" t="s">
        <v>2443</v>
      </c>
      <c r="G288" s="6" t="s">
        <v>2444</v>
      </c>
      <c r="H288" s="6" t="str">
        <f t="shared" si="24"/>
        <v>EGYPT QUASHEBA
DERBY
PHILIP(P240
P295
P381)</v>
      </c>
      <c r="I288" s="6" t="s">
        <v>112</v>
      </c>
      <c r="J288" s="6"/>
      <c r="K288" s="6"/>
      <c r="L288" s="6" t="s">
        <v>55</v>
      </c>
      <c r="M288" s="6" t="str">
        <f>VLOOKUP(L288, GLOSSARY!$A:$C, 2, FALSE)</f>
        <v>EGYPT ESTATE</v>
      </c>
      <c r="N288" s="6" t="s">
        <v>68</v>
      </c>
      <c r="O288" s="6"/>
      <c r="P288" s="6"/>
      <c r="Q288" s="6"/>
      <c r="R288" s="6"/>
      <c r="S288" s="6"/>
      <c r="T288" s="6"/>
      <c r="U288" s="6"/>
      <c r="V288" s="6"/>
      <c r="W288" s="6"/>
      <c r="X288" s="6"/>
      <c r="Y288" s="6"/>
      <c r="Z288" s="6"/>
      <c r="AA288" s="6"/>
      <c r="AB288" s="6"/>
      <c r="AC288" s="6"/>
      <c r="AD288" s="6"/>
      <c r="AE288" s="6"/>
    </row>
    <row r="289" spans="1:31" ht="255" x14ac:dyDescent="0.2">
      <c r="A289" s="6" t="s">
        <v>2446</v>
      </c>
      <c r="B289" s="6" t="s">
        <v>2447</v>
      </c>
      <c r="C289" s="20" t="s">
        <v>2448</v>
      </c>
      <c r="D289" s="6" t="s">
        <v>2449</v>
      </c>
      <c r="E289" s="6"/>
      <c r="F289" s="6" t="s">
        <v>2450</v>
      </c>
      <c r="G289" s="6" t="s">
        <v>2451</v>
      </c>
      <c r="H289" s="6" t="str">
        <f t="shared" si="24"/>
        <v>HAZAT
AGNES
CHRISHEA
WONGA [PRINCESS]
ELLIN
LITTLE LYDDE(P84
P124
P126
P27
P33
P255)</v>
      </c>
      <c r="I289" s="6" t="s">
        <v>1678</v>
      </c>
      <c r="J289" s="6"/>
      <c r="K289" s="6"/>
      <c r="L289" s="6" t="s">
        <v>55</v>
      </c>
      <c r="M289" s="6" t="str">
        <f>VLOOKUP(L289, GLOSSARY!$A:$C, 2, FALSE)</f>
        <v>EGYPT ESTATE</v>
      </c>
      <c r="N289" s="6" t="s">
        <v>68</v>
      </c>
      <c r="O289" s="6"/>
      <c r="P289" s="6"/>
      <c r="Q289" s="6"/>
      <c r="R289" s="6"/>
      <c r="S289" s="6"/>
      <c r="T289" s="6"/>
      <c r="U289" s="6"/>
      <c r="V289" s="6"/>
      <c r="W289" s="6"/>
      <c r="X289" s="6"/>
      <c r="Y289" s="6"/>
      <c r="Z289" s="6"/>
      <c r="AA289" s="6"/>
      <c r="AB289" s="6"/>
      <c r="AC289" s="6"/>
      <c r="AD289" s="6"/>
      <c r="AE289" s="6"/>
    </row>
    <row r="290" spans="1:31" ht="63.75" x14ac:dyDescent="0.2">
      <c r="A290" s="6" t="s">
        <v>2453</v>
      </c>
      <c r="B290" s="6" t="s">
        <v>2454</v>
      </c>
      <c r="C290" s="20" t="s">
        <v>2456</v>
      </c>
      <c r="D290" s="6" t="s">
        <v>2457</v>
      </c>
      <c r="E290" s="6"/>
      <c r="F290" s="6" t="s">
        <v>2458</v>
      </c>
      <c r="G290" s="6" t="s">
        <v>2459</v>
      </c>
      <c r="H290" s="6" t="str">
        <f t="shared" si="24"/>
        <v>VIOLET
VIOLET'S CHILD(P117
P379)</v>
      </c>
      <c r="I290" s="6" t="s">
        <v>96</v>
      </c>
      <c r="J290" s="6"/>
      <c r="K290" s="6"/>
      <c r="L290" s="6" t="s">
        <v>55</v>
      </c>
      <c r="M290" s="6" t="str">
        <f>VLOOKUP(L290, GLOSSARY!$A:$C, 2, FALSE)</f>
        <v>EGYPT ESTATE</v>
      </c>
      <c r="N290" s="6" t="s">
        <v>167</v>
      </c>
      <c r="O290" s="6"/>
      <c r="P290" s="6"/>
      <c r="Q290" s="6"/>
      <c r="R290" s="6"/>
      <c r="S290" s="6"/>
      <c r="T290" s="6"/>
      <c r="U290" s="6"/>
      <c r="V290" s="6"/>
      <c r="W290" s="6"/>
      <c r="X290" s="6"/>
      <c r="Y290" s="6"/>
      <c r="Z290" s="6"/>
      <c r="AA290" s="6"/>
      <c r="AB290" s="6"/>
      <c r="AC290" s="6"/>
      <c r="AD290" s="6"/>
      <c r="AE290" s="6"/>
    </row>
    <row r="291" spans="1:31" ht="114.75" x14ac:dyDescent="0.2">
      <c r="A291" s="6" t="s">
        <v>2453</v>
      </c>
      <c r="B291" s="6" t="s">
        <v>2461</v>
      </c>
      <c r="C291" s="20" t="s">
        <v>2462</v>
      </c>
      <c r="D291" s="6" t="s">
        <v>2463</v>
      </c>
      <c r="E291" s="6"/>
      <c r="F291" s="6" t="s">
        <v>2464</v>
      </c>
      <c r="G291" s="6" t="s">
        <v>2465</v>
      </c>
      <c r="H291" s="6" t="str">
        <f t="shared" si="24"/>
        <v>JENNY
VIOLET
VIOLET'S CHILD(P379
P117
P104)</v>
      </c>
      <c r="I291" s="6" t="s">
        <v>1047</v>
      </c>
      <c r="J291" s="6"/>
      <c r="K291" s="6"/>
      <c r="L291" s="6" t="s">
        <v>55</v>
      </c>
      <c r="M291" s="6" t="str">
        <f>VLOOKUP(L291, GLOSSARY!$A:$C, 2, FALSE)</f>
        <v>EGYPT ESTATE</v>
      </c>
      <c r="N291" s="6" t="s">
        <v>68</v>
      </c>
      <c r="O291" s="6"/>
      <c r="P291" s="6"/>
      <c r="Q291" s="6"/>
      <c r="R291" s="6"/>
      <c r="S291" s="6"/>
      <c r="T291" s="6"/>
      <c r="U291" s="6"/>
      <c r="V291" s="6"/>
      <c r="W291" s="6"/>
      <c r="X291" s="6"/>
      <c r="Y291" s="6"/>
      <c r="Z291" s="6"/>
      <c r="AA291" s="6"/>
      <c r="AB291" s="6"/>
      <c r="AC291" s="6"/>
      <c r="AD291" s="6"/>
      <c r="AE291" s="6"/>
    </row>
    <row r="292" spans="1:31" ht="25.5" x14ac:dyDescent="0.2">
      <c r="A292" s="6" t="s">
        <v>2467</v>
      </c>
      <c r="B292" s="6" t="s">
        <v>2461</v>
      </c>
      <c r="C292" s="20" t="s">
        <v>2468</v>
      </c>
      <c r="D292" s="6" t="s">
        <v>2469</v>
      </c>
      <c r="E292" s="6"/>
      <c r="F292" s="6" t="s">
        <v>48</v>
      </c>
      <c r="G292" s="6" t="s">
        <v>50</v>
      </c>
      <c r="H292" s="6" t="str">
        <f t="shared" si="24"/>
        <v>THE OVERSEER(P43)</v>
      </c>
      <c r="I292" s="6" t="s">
        <v>248</v>
      </c>
      <c r="J292" s="6"/>
      <c r="K292" s="6"/>
      <c r="L292" s="6" t="s">
        <v>55</v>
      </c>
      <c r="M292" s="6" t="str">
        <f>VLOOKUP(L292, GLOSSARY!$A:$C, 2, FALSE)</f>
        <v>EGYPT ESTATE</v>
      </c>
      <c r="N292" s="6" t="s">
        <v>167</v>
      </c>
      <c r="O292" s="6"/>
      <c r="P292" s="6"/>
      <c r="Q292" s="6"/>
      <c r="R292" s="6"/>
      <c r="S292" s="6"/>
      <c r="T292" s="6"/>
      <c r="U292" s="6"/>
      <c r="V292" s="6"/>
      <c r="W292" s="6"/>
      <c r="X292" s="6"/>
      <c r="Y292" s="6"/>
      <c r="Z292" s="6"/>
      <c r="AA292" s="6"/>
      <c r="AB292" s="6"/>
      <c r="AC292" s="6"/>
      <c r="AD292" s="6"/>
      <c r="AE292" s="6"/>
    </row>
    <row r="293" spans="1:31" ht="25.5" x14ac:dyDescent="0.2">
      <c r="A293" s="6" t="s">
        <v>2467</v>
      </c>
      <c r="B293" s="6" t="s">
        <v>2471</v>
      </c>
      <c r="C293" s="20" t="s">
        <v>2473</v>
      </c>
      <c r="D293" s="6" t="s">
        <v>2475</v>
      </c>
      <c r="E293" s="6"/>
      <c r="F293" s="6" t="s">
        <v>48</v>
      </c>
      <c r="G293" s="6" t="s">
        <v>50</v>
      </c>
      <c r="H293" s="6" t="str">
        <f t="shared" si="24"/>
        <v>THE OVERSEER(P43)</v>
      </c>
      <c r="I293" s="6" t="s">
        <v>248</v>
      </c>
      <c r="J293" s="6"/>
      <c r="K293" s="6"/>
      <c r="L293" s="6" t="s">
        <v>55</v>
      </c>
      <c r="M293" s="6" t="str">
        <f>VLOOKUP(L293, GLOSSARY!$A:$C, 2, FALSE)</f>
        <v>EGYPT ESTATE</v>
      </c>
      <c r="N293" s="6" t="s">
        <v>167</v>
      </c>
      <c r="O293" s="6"/>
      <c r="P293" s="6"/>
      <c r="Q293" s="6"/>
      <c r="R293" s="6"/>
      <c r="S293" s="6"/>
      <c r="T293" s="6"/>
      <c r="U293" s="6"/>
      <c r="V293" s="6"/>
      <c r="W293" s="6"/>
      <c r="X293" s="6"/>
      <c r="Y293" s="6"/>
      <c r="Z293" s="6"/>
      <c r="AA293" s="6"/>
      <c r="AB293" s="6"/>
      <c r="AC293" s="6"/>
      <c r="AD293" s="6"/>
      <c r="AE293" s="6"/>
    </row>
    <row r="294" spans="1:31" ht="38.25" x14ac:dyDescent="0.2">
      <c r="A294" s="6" t="s">
        <v>2478</v>
      </c>
      <c r="B294" s="6" t="s">
        <v>2479</v>
      </c>
      <c r="C294" s="20" t="s">
        <v>2480</v>
      </c>
      <c r="D294" s="6" t="s">
        <v>2481</v>
      </c>
      <c r="E294" s="6"/>
      <c r="F294" s="6" t="s">
        <v>2482</v>
      </c>
      <c r="G294" s="6" t="s">
        <v>2483</v>
      </c>
      <c r="H294" s="6" t="str">
        <f t="shared" si="24"/>
        <v>EGYPT LUCY 
ELLIN(P3
P33)</v>
      </c>
      <c r="I294" s="6" t="s">
        <v>533</v>
      </c>
      <c r="J294" s="6"/>
      <c r="K294" s="6"/>
      <c r="L294" s="6" t="s">
        <v>55</v>
      </c>
      <c r="M294" s="6" t="str">
        <f>VLOOKUP(L294, GLOSSARY!$A:$C, 2, FALSE)</f>
        <v>EGYPT ESTATE</v>
      </c>
      <c r="N294" s="6" t="s">
        <v>68</v>
      </c>
      <c r="O294" s="6"/>
      <c r="P294" s="6"/>
      <c r="Q294" s="6"/>
      <c r="R294" s="6"/>
      <c r="S294" s="6"/>
      <c r="T294" s="6"/>
      <c r="U294" s="6"/>
      <c r="V294" s="6"/>
      <c r="W294" s="6"/>
      <c r="X294" s="6"/>
      <c r="Y294" s="6"/>
      <c r="Z294" s="6"/>
      <c r="AA294" s="6"/>
      <c r="AB294" s="6"/>
      <c r="AC294" s="6"/>
      <c r="AD294" s="6"/>
      <c r="AE294" s="6"/>
    </row>
    <row r="295" spans="1:31" ht="38.25" x14ac:dyDescent="0.2">
      <c r="A295" s="6" t="s">
        <v>2486</v>
      </c>
      <c r="B295" s="6" t="s">
        <v>2479</v>
      </c>
      <c r="C295" s="20" t="s">
        <v>2480</v>
      </c>
      <c r="D295" s="6" t="s">
        <v>2487</v>
      </c>
      <c r="E295" s="6"/>
      <c r="F295" s="6" t="s">
        <v>2489</v>
      </c>
      <c r="G295" s="6" t="s">
        <v>2483</v>
      </c>
      <c r="H295" s="6" t="str">
        <f t="shared" si="24"/>
        <v>EGYPT LUCY
ELLIN(P3
P33)</v>
      </c>
      <c r="I295" s="6" t="s">
        <v>533</v>
      </c>
      <c r="J295" s="6"/>
      <c r="K295" s="6"/>
      <c r="L295" s="6" t="s">
        <v>55</v>
      </c>
      <c r="M295" s="6" t="str">
        <f>VLOOKUP(L295, GLOSSARY!$A:$C, 2, FALSE)</f>
        <v>EGYPT ESTATE</v>
      </c>
      <c r="N295" s="6" t="s">
        <v>68</v>
      </c>
      <c r="O295" s="6"/>
      <c r="P295" s="6"/>
      <c r="Q295" s="6"/>
      <c r="R295" s="6"/>
      <c r="S295" s="6"/>
      <c r="T295" s="6"/>
      <c r="U295" s="6"/>
      <c r="V295" s="6"/>
      <c r="W295" s="6"/>
      <c r="X295" s="6"/>
      <c r="Y295" s="6"/>
      <c r="Z295" s="6"/>
      <c r="AA295" s="6"/>
      <c r="AB295" s="6"/>
      <c r="AC295" s="6"/>
      <c r="AD295" s="6"/>
      <c r="AE295" s="6"/>
    </row>
    <row r="296" spans="1:31" ht="63.75" x14ac:dyDescent="0.2">
      <c r="A296" s="6" t="s">
        <v>2493</v>
      </c>
      <c r="B296" s="6" t="s">
        <v>2494</v>
      </c>
      <c r="C296" s="20" t="s">
        <v>2495</v>
      </c>
      <c r="D296" s="6" t="s">
        <v>2496</v>
      </c>
      <c r="E296" s="6"/>
      <c r="F296" s="6" t="s">
        <v>1307</v>
      </c>
      <c r="G296" s="6" t="s">
        <v>1306</v>
      </c>
      <c r="H296" s="6" t="str">
        <f t="shared" si="24"/>
        <v>CYRUS(P210)</v>
      </c>
      <c r="I296" s="6" t="s">
        <v>198</v>
      </c>
      <c r="J296" s="6"/>
      <c r="K296" s="6"/>
      <c r="L296" s="6" t="s">
        <v>55</v>
      </c>
      <c r="M296" s="6" t="str">
        <f>VLOOKUP(L296, GLOSSARY!$A:$C, 2, FALSE)</f>
        <v>EGYPT ESTATE</v>
      </c>
      <c r="N296" s="6" t="s">
        <v>68</v>
      </c>
      <c r="O296" s="6"/>
      <c r="P296" s="6"/>
      <c r="Q296" s="6"/>
      <c r="R296" s="6"/>
      <c r="S296" s="6"/>
      <c r="T296" s="6"/>
      <c r="U296" s="6"/>
      <c r="V296" s="6"/>
      <c r="W296" s="6"/>
      <c r="X296" s="6"/>
      <c r="Y296" s="6"/>
      <c r="Z296" s="6"/>
      <c r="AA296" s="6"/>
      <c r="AB296" s="6"/>
      <c r="AC296" s="6"/>
      <c r="AD296" s="6"/>
      <c r="AE296" s="6"/>
    </row>
    <row r="297" spans="1:31" ht="12.75" x14ac:dyDescent="0.2">
      <c r="A297" s="6" t="s">
        <v>2238</v>
      </c>
      <c r="B297" s="6" t="s">
        <v>2499</v>
      </c>
      <c r="C297" s="20" t="s">
        <v>2500</v>
      </c>
      <c r="D297" s="6" t="s">
        <v>2501</v>
      </c>
      <c r="E297" s="6"/>
      <c r="F297" s="6" t="s">
        <v>1307</v>
      </c>
      <c r="G297" s="6" t="s">
        <v>1306</v>
      </c>
      <c r="H297" s="6" t="str">
        <f t="shared" si="24"/>
        <v>CYRUS(P210)</v>
      </c>
      <c r="I297" s="6" t="s">
        <v>198</v>
      </c>
      <c r="J297" s="6"/>
      <c r="K297" s="6"/>
      <c r="L297" s="6" t="s">
        <v>55</v>
      </c>
      <c r="M297" s="6" t="str">
        <f>VLOOKUP(L297, GLOSSARY!$A:$C, 2, FALSE)</f>
        <v>EGYPT ESTATE</v>
      </c>
      <c r="N297" s="6" t="s">
        <v>68</v>
      </c>
      <c r="O297" s="6"/>
      <c r="P297" s="6"/>
      <c r="Q297" s="6"/>
      <c r="R297" s="6"/>
      <c r="S297" s="6"/>
      <c r="T297" s="6"/>
      <c r="U297" s="6"/>
      <c r="V297" s="6"/>
      <c r="W297" s="6"/>
      <c r="X297" s="6"/>
      <c r="Y297" s="6"/>
      <c r="Z297" s="6"/>
      <c r="AA297" s="6"/>
      <c r="AB297" s="6"/>
      <c r="AC297" s="6"/>
      <c r="AD297" s="6"/>
      <c r="AE297" s="6"/>
    </row>
    <row r="298" spans="1:31" ht="25.5" x14ac:dyDescent="0.2">
      <c r="A298" s="6" t="s">
        <v>2504</v>
      </c>
      <c r="B298" s="6" t="s">
        <v>2505</v>
      </c>
      <c r="C298" s="20" t="s">
        <v>2506</v>
      </c>
      <c r="D298" s="6" t="s">
        <v>2508</v>
      </c>
      <c r="E298" s="6"/>
      <c r="F298" s="6" t="s">
        <v>2510</v>
      </c>
      <c r="G298" s="6" t="s">
        <v>451</v>
      </c>
      <c r="H298" s="6" t="str">
        <f t="shared" si="24"/>
        <v>THE SLAVE TRADER [JOHN HUTT](P51)</v>
      </c>
      <c r="I298" s="6" t="s">
        <v>859</v>
      </c>
      <c r="J298" s="6"/>
      <c r="K298" s="6"/>
      <c r="L298" s="6" t="s">
        <v>55</v>
      </c>
      <c r="M298" s="6" t="str">
        <f>VLOOKUP(L298, GLOSSARY!$A:$C, 2, FALSE)</f>
        <v>EGYPT ESTATE</v>
      </c>
      <c r="N298" s="6" t="s">
        <v>167</v>
      </c>
      <c r="O298" s="6"/>
      <c r="P298" s="6"/>
      <c r="Q298" s="6"/>
      <c r="R298" s="6"/>
      <c r="S298" s="6"/>
      <c r="T298" s="6"/>
      <c r="U298" s="6"/>
      <c r="V298" s="6"/>
      <c r="W298" s="6"/>
      <c r="X298" s="6"/>
      <c r="Y298" s="6"/>
      <c r="Z298" s="6"/>
      <c r="AA298" s="6"/>
      <c r="AB298" s="6"/>
      <c r="AC298" s="6"/>
      <c r="AD298" s="6"/>
      <c r="AE298" s="6"/>
    </row>
    <row r="299" spans="1:31" ht="140.25" x14ac:dyDescent="0.2">
      <c r="A299" s="6" t="s">
        <v>2504</v>
      </c>
      <c r="B299" s="6" t="s">
        <v>2505</v>
      </c>
      <c r="C299" s="20" t="s">
        <v>2513</v>
      </c>
      <c r="D299" s="6" t="s">
        <v>2514</v>
      </c>
      <c r="E299" s="6"/>
      <c r="F299" s="6" t="s">
        <v>2515</v>
      </c>
      <c r="G299" s="6" t="s">
        <v>2516</v>
      </c>
      <c r="H299" s="6" t="str">
        <f t="shared" si="24"/>
        <v>THE SLAVE TRADER [JOHN HUTT]
PHIBBAH
THE OVERSEER(P51
P7
P43
)</v>
      </c>
      <c r="I299" s="6" t="s">
        <v>1678</v>
      </c>
      <c r="J299" s="6"/>
      <c r="K299" s="6"/>
      <c r="L299" s="6" t="s">
        <v>55</v>
      </c>
      <c r="M299" s="6" t="str">
        <f>VLOOKUP(L299, GLOSSARY!$A:$C, 2, FALSE)</f>
        <v>EGYPT ESTATE</v>
      </c>
      <c r="N299" s="6" t="s">
        <v>68</v>
      </c>
      <c r="O299" s="6"/>
      <c r="P299" s="6"/>
      <c r="Q299" s="6"/>
      <c r="R299" s="6"/>
      <c r="S299" s="6"/>
      <c r="T299" s="6"/>
      <c r="U299" s="6"/>
      <c r="V299" s="6"/>
      <c r="W299" s="6"/>
      <c r="X299" s="6"/>
      <c r="Y299" s="6"/>
      <c r="Z299" s="6"/>
      <c r="AA299" s="6"/>
      <c r="AB299" s="6"/>
      <c r="AC299" s="6"/>
      <c r="AD299" s="6"/>
      <c r="AE299" s="6"/>
    </row>
    <row r="300" spans="1:31" ht="114.75" x14ac:dyDescent="0.2">
      <c r="A300" s="6" t="s">
        <v>1254</v>
      </c>
      <c r="B300" s="6" t="s">
        <v>2519</v>
      </c>
      <c r="C300" s="20" t="s">
        <v>2520</v>
      </c>
      <c r="D300" s="6" t="s">
        <v>2521</v>
      </c>
      <c r="E300" s="6"/>
      <c r="F300" s="6" t="s">
        <v>2522</v>
      </c>
      <c r="G300" s="6" t="s">
        <v>2523</v>
      </c>
      <c r="H300" s="6" t="str">
        <f t="shared" si="24"/>
        <v>THE OVERSEER
AMBO
WONGA(P43
P170
P23)</v>
      </c>
      <c r="I300" s="6" t="s">
        <v>112</v>
      </c>
      <c r="J300" s="6"/>
      <c r="K300" s="6"/>
      <c r="L300" s="6" t="s">
        <v>55</v>
      </c>
      <c r="M300" s="6" t="str">
        <f>VLOOKUP(L300, GLOSSARY!$A:$C, 2, FALSE)</f>
        <v>EGYPT ESTATE</v>
      </c>
      <c r="N300" s="6" t="s">
        <v>167</v>
      </c>
      <c r="O300" s="6"/>
      <c r="P300" s="6"/>
      <c r="Q300" s="6"/>
      <c r="R300" s="6"/>
      <c r="S300" s="6"/>
      <c r="T300" s="6"/>
      <c r="U300" s="6"/>
      <c r="V300" s="6"/>
      <c r="W300" s="6"/>
      <c r="X300" s="6"/>
      <c r="Y300" s="6"/>
      <c r="Z300" s="6"/>
      <c r="AA300" s="6"/>
      <c r="AB300" s="6"/>
      <c r="AC300" s="6"/>
      <c r="AD300" s="6"/>
      <c r="AE300" s="6"/>
    </row>
    <row r="301" spans="1:31" ht="89.25" x14ac:dyDescent="0.2">
      <c r="A301" s="6" t="s">
        <v>2526</v>
      </c>
      <c r="B301" s="6" t="s">
        <v>2527</v>
      </c>
      <c r="C301" s="20" t="s">
        <v>2529</v>
      </c>
      <c r="D301" s="6" t="s">
        <v>2531</v>
      </c>
      <c r="E301" s="6"/>
      <c r="F301" s="6" t="s">
        <v>2532</v>
      </c>
      <c r="G301" s="6" t="s">
        <v>2533</v>
      </c>
      <c r="H301" s="6" t="str">
        <f t="shared" si="24"/>
        <v>JOB
BENJAMIN
ABRAHAM
JACKIE(P29
P413
P360
P102)</v>
      </c>
      <c r="I301" s="6" t="s">
        <v>112</v>
      </c>
      <c r="J301" s="6"/>
      <c r="K301" s="6"/>
      <c r="L301" s="6" t="s">
        <v>55</v>
      </c>
      <c r="M301" s="6" t="str">
        <f>VLOOKUP(L301, GLOSSARY!$A:$C, 2, FALSE)</f>
        <v>EGYPT ESTATE</v>
      </c>
      <c r="N301" s="6" t="s">
        <v>68</v>
      </c>
      <c r="O301" s="6"/>
      <c r="P301" s="6"/>
      <c r="Q301" s="6"/>
      <c r="R301" s="6"/>
      <c r="S301" s="6"/>
      <c r="T301" s="6"/>
      <c r="U301" s="6"/>
      <c r="V301" s="6"/>
      <c r="W301" s="6"/>
      <c r="X301" s="6"/>
      <c r="Y301" s="6"/>
      <c r="Z301" s="6"/>
      <c r="AA301" s="6"/>
      <c r="AB301" s="6"/>
      <c r="AC301" s="6"/>
      <c r="AD301" s="6"/>
      <c r="AE301" s="6"/>
    </row>
    <row r="302" spans="1:31" ht="63.75" x14ac:dyDescent="0.2">
      <c r="A302" s="6" t="s">
        <v>2536</v>
      </c>
      <c r="B302" s="6" t="s">
        <v>2537</v>
      </c>
      <c r="C302" s="20" t="s">
        <v>2538</v>
      </c>
      <c r="D302" s="6" t="s">
        <v>2539</v>
      </c>
      <c r="E302" s="6"/>
      <c r="F302" s="6" t="s">
        <v>2540</v>
      </c>
      <c r="G302" s="6" t="s">
        <v>2541</v>
      </c>
      <c r="H302" s="6" t="str">
        <f t="shared" si="24"/>
        <v>MASON QUASHE
JOHN COPE(P25
P44)</v>
      </c>
      <c r="I302" s="6" t="s">
        <v>784</v>
      </c>
      <c r="J302" s="6"/>
      <c r="K302" s="6"/>
      <c r="L302" s="6" t="s">
        <v>55</v>
      </c>
      <c r="M302" s="6" t="str">
        <f>VLOOKUP(L302, GLOSSARY!$A:$C, 2, FALSE)</f>
        <v>EGYPT ESTATE</v>
      </c>
      <c r="N302" s="6" t="s">
        <v>68</v>
      </c>
      <c r="O302" s="6"/>
      <c r="P302" s="6"/>
      <c r="Q302" s="6"/>
      <c r="R302" s="6"/>
      <c r="S302" s="6"/>
      <c r="T302" s="6"/>
      <c r="U302" s="6"/>
      <c r="V302" s="6"/>
      <c r="W302" s="6"/>
      <c r="X302" s="6"/>
      <c r="Y302" s="6"/>
      <c r="Z302" s="6"/>
      <c r="AA302" s="6"/>
      <c r="AB302" s="6"/>
      <c r="AC302" s="6"/>
      <c r="AD302" s="6"/>
      <c r="AE302" s="6"/>
    </row>
    <row r="303" spans="1:31" ht="63.75" x14ac:dyDescent="0.2">
      <c r="A303" s="6" t="s">
        <v>2544</v>
      </c>
      <c r="B303" s="6" t="s">
        <v>2545</v>
      </c>
      <c r="C303" s="20" t="s">
        <v>2546</v>
      </c>
      <c r="D303" s="6" t="s">
        <v>2547</v>
      </c>
      <c r="E303" s="6"/>
      <c r="F303" s="6" t="s">
        <v>2548</v>
      </c>
      <c r="G303" s="6" t="s">
        <v>2549</v>
      </c>
      <c r="H303" s="6" t="str">
        <f t="shared" si="24"/>
        <v>AMBO
THE OVERSEER
FRANKE(P43
P170
P59)</v>
      </c>
      <c r="I303" s="6" t="s">
        <v>957</v>
      </c>
      <c r="J303" s="6"/>
      <c r="K303" s="6"/>
      <c r="L303" s="6"/>
      <c r="M303" s="6" t="e">
        <f>VLOOKUP(L303, GLOSSARY!$A:$C, 2, FALSE)</f>
        <v>#N/A</v>
      </c>
      <c r="N303" s="6"/>
      <c r="O303" s="6"/>
      <c r="P303" s="6"/>
      <c r="Q303" s="6"/>
      <c r="R303" s="6"/>
      <c r="S303" s="6"/>
      <c r="T303" s="6"/>
      <c r="U303" s="6"/>
      <c r="V303" s="6"/>
      <c r="W303" s="6"/>
      <c r="X303" s="6"/>
      <c r="Y303" s="6"/>
      <c r="Z303" s="6"/>
      <c r="AA303" s="6"/>
      <c r="AB303" s="6"/>
      <c r="AC303" s="6"/>
      <c r="AD303" s="6"/>
      <c r="AE303" s="6"/>
    </row>
    <row r="304" spans="1:31" ht="89.25" x14ac:dyDescent="0.2">
      <c r="A304" s="6" t="s">
        <v>2552</v>
      </c>
      <c r="B304" s="6" t="s">
        <v>2553</v>
      </c>
      <c r="C304" s="20" t="s">
        <v>2554</v>
      </c>
      <c r="D304" s="6" t="s">
        <v>2555</v>
      </c>
      <c r="E304" s="6"/>
      <c r="F304" s="6" t="s">
        <v>2556</v>
      </c>
      <c r="G304" s="6" t="s">
        <v>2557</v>
      </c>
      <c r="H304" s="6" t="str">
        <f t="shared" si="24"/>
        <v>THE OVERSEER
MR. DORWOOD
WILLIAM CROOKSHANKS
AMBO(P43
P170
P189
P428)</v>
      </c>
      <c r="I304" s="6" t="s">
        <v>656</v>
      </c>
      <c r="J304" s="6"/>
      <c r="K304" s="6"/>
      <c r="L304" s="6" t="s">
        <v>55</v>
      </c>
      <c r="M304" s="6" t="str">
        <f>VLOOKUP(L304, GLOSSARY!$A:$C, 2, FALSE)</f>
        <v>EGYPT ESTATE</v>
      </c>
      <c r="N304" s="6" t="s">
        <v>167</v>
      </c>
      <c r="O304" s="6"/>
      <c r="P304" s="6"/>
      <c r="Q304" s="6"/>
      <c r="R304" s="6"/>
      <c r="S304" s="6"/>
      <c r="T304" s="6"/>
      <c r="U304" s="6"/>
      <c r="V304" s="6"/>
      <c r="W304" s="6"/>
      <c r="X304" s="6"/>
      <c r="Y304" s="6"/>
      <c r="Z304" s="6"/>
      <c r="AA304" s="6"/>
      <c r="AB304" s="6"/>
      <c r="AC304" s="6"/>
      <c r="AD304" s="6"/>
      <c r="AE304" s="6"/>
    </row>
    <row r="305" spans="1:31" ht="63.75" x14ac:dyDescent="0.2">
      <c r="A305" s="6" t="s">
        <v>2558</v>
      </c>
      <c r="B305" s="6" t="s">
        <v>2553</v>
      </c>
      <c r="C305" s="20" t="s">
        <v>2554</v>
      </c>
      <c r="D305" s="6" t="s">
        <v>2561</v>
      </c>
      <c r="E305" s="6"/>
      <c r="F305" s="6" t="s">
        <v>2562</v>
      </c>
      <c r="G305" s="6" t="s">
        <v>2563</v>
      </c>
      <c r="H305" s="6" t="str">
        <f t="shared" si="24"/>
        <v>MR. COPE
MISS WINN
JOB(P44
P445
P29)</v>
      </c>
      <c r="I305" s="6" t="s">
        <v>248</v>
      </c>
      <c r="J305" s="6"/>
      <c r="K305" s="6"/>
      <c r="L305" s="6" t="s">
        <v>1121</v>
      </c>
      <c r="M305" s="6" t="str">
        <f>VLOOKUP(L305, GLOSSARY!$A:$C, 2, FALSE)</f>
        <v>SAVANNA LA MAR</v>
      </c>
      <c r="N305" s="6" t="s">
        <v>68</v>
      </c>
      <c r="O305" s="6"/>
      <c r="P305" s="6"/>
      <c r="Q305" s="6"/>
      <c r="R305" s="6"/>
      <c r="S305" s="6"/>
      <c r="T305" s="6"/>
      <c r="U305" s="6"/>
      <c r="V305" s="6"/>
      <c r="W305" s="6"/>
      <c r="X305" s="6"/>
      <c r="Y305" s="6"/>
      <c r="Z305" s="6"/>
      <c r="AA305" s="6"/>
      <c r="AB305" s="6"/>
      <c r="AC305" s="6"/>
      <c r="AD305" s="6"/>
      <c r="AE305" s="6"/>
    </row>
    <row r="306" spans="1:31" ht="63.75" x14ac:dyDescent="0.2">
      <c r="A306" s="6" t="s">
        <v>2566</v>
      </c>
      <c r="B306" s="6" t="s">
        <v>2567</v>
      </c>
      <c r="C306" s="20" t="s">
        <v>2568</v>
      </c>
      <c r="D306" s="6" t="s">
        <v>2569</v>
      </c>
      <c r="E306" s="6"/>
      <c r="F306" s="6" t="s">
        <v>2570</v>
      </c>
      <c r="G306" s="6" t="s">
        <v>2571</v>
      </c>
      <c r="H306" s="6" t="str">
        <f t="shared" si="24"/>
        <v>OLD SARAH
THE OVERSEER(P370
P43)</v>
      </c>
      <c r="I306" s="6" t="s">
        <v>112</v>
      </c>
      <c r="J306" s="6"/>
      <c r="K306" s="6"/>
      <c r="L306" s="6" t="s">
        <v>55</v>
      </c>
      <c r="M306" s="6" t="str">
        <f>VLOOKUP(L306, GLOSSARY!$A:$C, 2, FALSE)</f>
        <v>EGYPT ESTATE</v>
      </c>
      <c r="N306" s="6" t="s">
        <v>68</v>
      </c>
      <c r="O306" s="6"/>
      <c r="P306" s="6"/>
      <c r="Q306" s="6"/>
      <c r="R306" s="6"/>
      <c r="S306" s="6"/>
      <c r="T306" s="6"/>
      <c r="U306" s="6"/>
      <c r="V306" s="6"/>
      <c r="W306" s="6"/>
      <c r="X306" s="6"/>
      <c r="Y306" s="6"/>
      <c r="Z306" s="6"/>
      <c r="AA306" s="6"/>
      <c r="AB306" s="6"/>
      <c r="AC306" s="6"/>
      <c r="AD306" s="6"/>
      <c r="AE306" s="6"/>
    </row>
    <row r="307" spans="1:31" ht="38.25" x14ac:dyDescent="0.2">
      <c r="A307" s="6" t="s">
        <v>2544</v>
      </c>
      <c r="B307" s="6" t="s">
        <v>2574</v>
      </c>
      <c r="C307" s="20" t="s">
        <v>2575</v>
      </c>
      <c r="D307" s="6" t="s">
        <v>2576</v>
      </c>
      <c r="E307" s="6"/>
      <c r="F307" s="6" t="s">
        <v>1240</v>
      </c>
      <c r="G307" s="6" t="s">
        <v>1241</v>
      </c>
      <c r="H307" s="6" t="str">
        <f t="shared" si="24"/>
        <v>THE OVERSEER
AMBO(P43
P170)</v>
      </c>
      <c r="I307" s="6" t="s">
        <v>957</v>
      </c>
      <c r="J307" s="6"/>
      <c r="K307" s="6"/>
      <c r="L307" s="6" t="s">
        <v>55</v>
      </c>
      <c r="M307" s="6" t="str">
        <f>VLOOKUP(L307, GLOSSARY!$A:$C, 2, FALSE)</f>
        <v>EGYPT ESTATE</v>
      </c>
      <c r="N307" s="6" t="s">
        <v>68</v>
      </c>
      <c r="O307" s="6"/>
      <c r="P307" s="6"/>
      <c r="Q307" s="6"/>
      <c r="R307" s="6"/>
      <c r="S307" s="6"/>
      <c r="T307" s="6"/>
      <c r="U307" s="6"/>
      <c r="V307" s="6"/>
      <c r="W307" s="6"/>
      <c r="X307" s="6"/>
      <c r="Y307" s="6"/>
      <c r="Z307" s="6"/>
      <c r="AA307" s="6"/>
      <c r="AB307" s="6"/>
      <c r="AC307" s="6"/>
      <c r="AD307" s="6"/>
      <c r="AE307" s="6"/>
    </row>
    <row r="308" spans="1:31" ht="76.5" x14ac:dyDescent="0.2">
      <c r="A308" s="6" t="s">
        <v>2581</v>
      </c>
      <c r="B308" s="6" t="s">
        <v>2574</v>
      </c>
      <c r="C308" s="20" t="s">
        <v>2582</v>
      </c>
      <c r="D308" s="6" t="s">
        <v>2583</v>
      </c>
      <c r="E308" s="6"/>
      <c r="F308" s="6" t="s">
        <v>52</v>
      </c>
      <c r="G308" s="6" t="s">
        <v>51</v>
      </c>
      <c r="H308" s="6" t="str">
        <f>CONCATENATE(F308," (",G308,")")</f>
        <v>EGYPT LUCY (P3)</v>
      </c>
      <c r="I308" s="6" t="s">
        <v>198</v>
      </c>
      <c r="J308" s="6"/>
      <c r="K308" s="6"/>
      <c r="L308" s="6" t="s">
        <v>2584</v>
      </c>
      <c r="M308" s="6" t="str">
        <f>VLOOKUP(L308, GLOSSARY!$A:$C, 2, FALSE)</f>
        <v>EGYPT LUCY'S HOUSE</v>
      </c>
      <c r="N308" s="6" t="s">
        <v>167</v>
      </c>
      <c r="O308" s="6"/>
      <c r="P308" s="6"/>
      <c r="Q308" s="6"/>
      <c r="R308" s="6"/>
      <c r="S308" s="6"/>
      <c r="T308" s="6"/>
      <c r="U308" s="6"/>
      <c r="V308" s="6"/>
      <c r="W308" s="6"/>
      <c r="X308" s="6"/>
      <c r="Y308" s="6"/>
      <c r="Z308" s="6"/>
      <c r="AA308" s="6"/>
      <c r="AB308" s="6"/>
      <c r="AC308" s="6"/>
      <c r="AD308" s="6"/>
      <c r="AE308" s="6"/>
    </row>
    <row r="309" spans="1:31" ht="63.75" x14ac:dyDescent="0.2">
      <c r="A309" s="6" t="s">
        <v>2587</v>
      </c>
      <c r="B309" s="6" t="s">
        <v>2588</v>
      </c>
      <c r="C309" s="20" t="s">
        <v>2582</v>
      </c>
      <c r="D309" s="6" t="s">
        <v>2589</v>
      </c>
      <c r="E309" s="6"/>
      <c r="F309" s="6" t="s">
        <v>2590</v>
      </c>
      <c r="G309" s="6" t="s">
        <v>2591</v>
      </c>
      <c r="H309" s="6" t="str">
        <f t="shared" ref="H309:H343" si="25">CONCATENATE(F309,"(",G309,")")</f>
        <v>THE OVERSEER
MASON QUASHE(P43
P25)</v>
      </c>
      <c r="I309" s="6" t="s">
        <v>957</v>
      </c>
      <c r="J309" s="6"/>
      <c r="K309" s="6"/>
      <c r="L309" s="6" t="s">
        <v>55</v>
      </c>
      <c r="M309" s="6" t="str">
        <f>VLOOKUP(L309, GLOSSARY!$A:$C, 2, FALSE)</f>
        <v>EGYPT ESTATE</v>
      </c>
      <c r="N309" s="6" t="s">
        <v>68</v>
      </c>
      <c r="O309" s="6"/>
      <c r="P309" s="6"/>
      <c r="Q309" s="6"/>
      <c r="R309" s="6"/>
      <c r="S309" s="6"/>
      <c r="T309" s="6"/>
      <c r="U309" s="6"/>
      <c r="V309" s="6"/>
      <c r="W309" s="6"/>
      <c r="X309" s="6"/>
      <c r="Y309" s="6"/>
      <c r="Z309" s="6"/>
      <c r="AA309" s="6"/>
      <c r="AB309" s="6"/>
      <c r="AC309" s="6"/>
      <c r="AD309" s="6"/>
      <c r="AE309" s="6"/>
    </row>
    <row r="310" spans="1:31" ht="25.5" x14ac:dyDescent="0.2">
      <c r="A310" s="6" t="s">
        <v>2594</v>
      </c>
      <c r="B310" s="6" t="s">
        <v>2595</v>
      </c>
      <c r="C310" s="20" t="s">
        <v>2596</v>
      </c>
      <c r="D310" s="6" t="s">
        <v>2597</v>
      </c>
      <c r="E310" s="6"/>
      <c r="F310" s="6" t="s">
        <v>273</v>
      </c>
      <c r="G310" s="6" t="s">
        <v>272</v>
      </c>
      <c r="H310" s="6" t="str">
        <f t="shared" si="25"/>
        <v>MASON QUASHE(P25)</v>
      </c>
      <c r="I310" s="6" t="s">
        <v>342</v>
      </c>
      <c r="J310" s="6"/>
      <c r="K310" s="6"/>
      <c r="L310" s="6" t="s">
        <v>55</v>
      </c>
      <c r="M310" s="6" t="str">
        <f>VLOOKUP(L310, GLOSSARY!$A:$C, 2, FALSE)</f>
        <v>EGYPT ESTATE</v>
      </c>
      <c r="N310" s="6" t="s">
        <v>68</v>
      </c>
      <c r="O310" s="6"/>
      <c r="P310" s="6"/>
      <c r="Q310" s="6"/>
      <c r="R310" s="6"/>
      <c r="S310" s="6"/>
      <c r="T310" s="6"/>
      <c r="U310" s="6"/>
      <c r="V310" s="6"/>
      <c r="W310" s="6"/>
      <c r="X310" s="6"/>
      <c r="Y310" s="6"/>
      <c r="Z310" s="6"/>
      <c r="AA310" s="6"/>
      <c r="AB310" s="6"/>
      <c r="AC310" s="6"/>
      <c r="AD310" s="6"/>
      <c r="AE310" s="6"/>
    </row>
    <row r="311" spans="1:31" ht="242.25" x14ac:dyDescent="0.2">
      <c r="A311" s="6" t="s">
        <v>1292</v>
      </c>
      <c r="B311" s="6" t="s">
        <v>2602</v>
      </c>
      <c r="C311" s="20" t="s">
        <v>2603</v>
      </c>
      <c r="D311" s="6" t="s">
        <v>2604</v>
      </c>
      <c r="E311" s="6"/>
      <c r="F311" s="6" t="s">
        <v>2605</v>
      </c>
      <c r="G311" s="6" t="s">
        <v>2606</v>
      </c>
      <c r="H311" s="6" t="str">
        <f t="shared" si="25"/>
        <v>THE OVERSEER
LINCOLN
MR. MASON
(P43
P409
P24)</v>
      </c>
      <c r="I311" s="6" t="s">
        <v>2607</v>
      </c>
      <c r="J311" s="6"/>
      <c r="K311" s="6"/>
      <c r="L311" s="6" t="s">
        <v>2608</v>
      </c>
      <c r="M311" s="6" t="s">
        <v>2609</v>
      </c>
      <c r="N311" s="6" t="s">
        <v>287</v>
      </c>
      <c r="O311" s="6"/>
      <c r="P311" s="6"/>
      <c r="Q311" s="6"/>
      <c r="R311" s="6"/>
      <c r="S311" s="6"/>
      <c r="T311" s="6"/>
      <c r="U311" s="6"/>
      <c r="V311" s="6"/>
      <c r="W311" s="6"/>
      <c r="X311" s="6"/>
      <c r="Y311" s="6"/>
      <c r="Z311" s="6"/>
      <c r="AA311" s="6"/>
      <c r="AB311" s="6"/>
      <c r="AC311" s="6"/>
      <c r="AD311" s="6"/>
      <c r="AE311" s="6"/>
    </row>
    <row r="312" spans="1:31" ht="63.75" x14ac:dyDescent="0.2">
      <c r="A312" s="6" t="s">
        <v>2403</v>
      </c>
      <c r="B312" s="6" t="s">
        <v>2612</v>
      </c>
      <c r="C312" s="20" t="s">
        <v>2603</v>
      </c>
      <c r="D312" s="6" t="s">
        <v>2613</v>
      </c>
      <c r="E312" s="6"/>
      <c r="F312" s="6" t="s">
        <v>2614</v>
      </c>
      <c r="G312" s="6" t="s">
        <v>2615</v>
      </c>
      <c r="H312" s="6" t="str">
        <f t="shared" si="25"/>
        <v>LONDON
BENJAMIN
JOB(P249
P413
P29)</v>
      </c>
      <c r="I312" s="6" t="s">
        <v>198</v>
      </c>
      <c r="J312" s="6"/>
      <c r="K312" s="6"/>
      <c r="L312" s="6" t="s">
        <v>55</v>
      </c>
      <c r="M312" s="6" t="str">
        <f>VLOOKUP(L312, GLOSSARY!$A:$C, 2, FALSE)</f>
        <v>EGYPT ESTATE</v>
      </c>
      <c r="N312" s="6" t="s">
        <v>68</v>
      </c>
      <c r="O312" s="6"/>
      <c r="P312" s="6"/>
      <c r="Q312" s="6"/>
      <c r="R312" s="6"/>
      <c r="S312" s="6"/>
      <c r="T312" s="6"/>
      <c r="U312" s="6"/>
      <c r="V312" s="6"/>
      <c r="W312" s="6"/>
      <c r="X312" s="6"/>
      <c r="Y312" s="6"/>
      <c r="Z312" s="6"/>
      <c r="AA312" s="6"/>
      <c r="AB312" s="6"/>
      <c r="AC312" s="6"/>
      <c r="AD312" s="6"/>
      <c r="AE312" s="6"/>
    </row>
    <row r="313" spans="1:31" ht="114.75" x14ac:dyDescent="0.2">
      <c r="A313" s="6" t="s">
        <v>2617</v>
      </c>
      <c r="B313" s="6" t="s">
        <v>2618</v>
      </c>
      <c r="C313" s="20" t="s">
        <v>2619</v>
      </c>
      <c r="D313" s="6" t="s">
        <v>2620</v>
      </c>
      <c r="E313" s="6"/>
      <c r="F313" s="6" t="s">
        <v>2621</v>
      </c>
      <c r="G313" s="6" t="s">
        <v>2622</v>
      </c>
      <c r="H313" s="6" t="str">
        <f t="shared" si="25"/>
        <v>HANNAH
MOUNTAIN LUCY
THE OVERSEER(P221
P30
P43)</v>
      </c>
      <c r="I313" s="6" t="s">
        <v>112</v>
      </c>
      <c r="J313" s="6"/>
      <c r="K313" s="6"/>
      <c r="L313" s="6" t="s">
        <v>55</v>
      </c>
      <c r="M313" s="6" t="str">
        <f>VLOOKUP(L313, GLOSSARY!$A:$C, 2, FALSE)</f>
        <v>EGYPT ESTATE</v>
      </c>
      <c r="N313" s="6" t="s">
        <v>68</v>
      </c>
      <c r="O313" s="6"/>
      <c r="P313" s="6"/>
      <c r="Q313" s="6"/>
      <c r="R313" s="6"/>
      <c r="S313" s="6"/>
      <c r="T313" s="6"/>
      <c r="U313" s="6"/>
      <c r="V313" s="6"/>
      <c r="W313" s="6"/>
      <c r="X313" s="6"/>
      <c r="Y313" s="6"/>
      <c r="Z313" s="6"/>
      <c r="AA313" s="6"/>
      <c r="AB313" s="6"/>
      <c r="AC313" s="6"/>
      <c r="AD313" s="6"/>
      <c r="AE313" s="6"/>
    </row>
    <row r="314" spans="1:31" ht="51" x14ac:dyDescent="0.2">
      <c r="A314" s="6" t="s">
        <v>1292</v>
      </c>
      <c r="B314" s="6" t="s">
        <v>2602</v>
      </c>
      <c r="C314" s="20" t="s">
        <v>2619</v>
      </c>
      <c r="D314" s="6" t="s">
        <v>2627</v>
      </c>
      <c r="E314" s="6"/>
      <c r="F314" s="6" t="s">
        <v>2628</v>
      </c>
      <c r="G314" s="6" t="s">
        <v>2629</v>
      </c>
      <c r="H314" s="6" t="str">
        <f t="shared" si="25"/>
        <v>THE OVERSEER
LINCOLN(P43
P24
)</v>
      </c>
      <c r="I314" s="6" t="s">
        <v>2630</v>
      </c>
      <c r="J314" s="6"/>
      <c r="K314" s="6"/>
      <c r="L314" s="6" t="s">
        <v>55</v>
      </c>
      <c r="M314" s="6" t="str">
        <f>VLOOKUP(L314, GLOSSARY!$A:$C, 2, FALSE)</f>
        <v>EGYPT ESTATE</v>
      </c>
      <c r="N314" s="6" t="s">
        <v>68</v>
      </c>
      <c r="O314" s="6"/>
      <c r="P314" s="6"/>
      <c r="Q314" s="6"/>
      <c r="R314" s="6"/>
      <c r="S314" s="6"/>
      <c r="T314" s="6"/>
      <c r="U314" s="6"/>
      <c r="V314" s="6"/>
      <c r="W314" s="6"/>
      <c r="X314" s="6"/>
      <c r="Y314" s="6"/>
      <c r="Z314" s="6"/>
      <c r="AA314" s="6"/>
      <c r="AB314" s="6"/>
      <c r="AC314" s="6"/>
      <c r="AD314" s="6"/>
      <c r="AE314" s="6"/>
    </row>
    <row r="315" spans="1:31" ht="114.75" x14ac:dyDescent="0.2">
      <c r="A315" s="6" t="s">
        <v>2617</v>
      </c>
      <c r="B315" s="6" t="s">
        <v>2618</v>
      </c>
      <c r="C315" s="20" t="s">
        <v>2633</v>
      </c>
      <c r="D315" s="6" t="s">
        <v>2634</v>
      </c>
      <c r="E315" s="6"/>
      <c r="F315" s="6" t="s">
        <v>2621</v>
      </c>
      <c r="G315" s="6" t="s">
        <v>2622</v>
      </c>
      <c r="H315" s="6" t="str">
        <f t="shared" si="25"/>
        <v>HANNAH
MOUNTAIN LUCY
THE OVERSEER(P221
P30
P43)</v>
      </c>
      <c r="I315" s="6" t="s">
        <v>656</v>
      </c>
      <c r="J315" s="6"/>
      <c r="K315" s="6"/>
      <c r="L315" s="6" t="s">
        <v>55</v>
      </c>
      <c r="M315" s="6" t="str">
        <f>VLOOKUP(L315, GLOSSARY!$A:$C, 2, FALSE)</f>
        <v>EGYPT ESTATE</v>
      </c>
      <c r="N315" s="6" t="s">
        <v>287</v>
      </c>
      <c r="O315" s="6"/>
      <c r="P315" s="6"/>
      <c r="Q315" s="6"/>
      <c r="R315" s="6"/>
      <c r="S315" s="6"/>
      <c r="T315" s="6"/>
      <c r="U315" s="6"/>
      <c r="V315" s="6"/>
      <c r="W315" s="6"/>
      <c r="X315" s="6"/>
      <c r="Y315" s="6"/>
      <c r="Z315" s="6"/>
      <c r="AA315" s="6"/>
      <c r="AB315" s="6"/>
      <c r="AC315" s="6"/>
      <c r="AD315" s="6"/>
      <c r="AE315" s="6"/>
    </row>
    <row r="316" spans="1:31" ht="38.25" x14ac:dyDescent="0.2">
      <c r="A316" s="6" t="s">
        <v>2504</v>
      </c>
      <c r="B316" s="6" t="s">
        <v>2639</v>
      </c>
      <c r="C316" s="20" t="s">
        <v>2633</v>
      </c>
      <c r="D316" s="6" t="s">
        <v>2640</v>
      </c>
      <c r="E316" s="6"/>
      <c r="F316" s="6" t="s">
        <v>2510</v>
      </c>
      <c r="G316" s="6" t="s">
        <v>451</v>
      </c>
      <c r="H316" s="6" t="str">
        <f t="shared" si="25"/>
        <v>THE SLAVE TRADER [JOHN HUTT](P51)</v>
      </c>
      <c r="I316" s="6" t="s">
        <v>859</v>
      </c>
      <c r="J316" s="6"/>
      <c r="K316" s="6"/>
      <c r="L316" s="6" t="s">
        <v>785</v>
      </c>
      <c r="M316" s="6" t="str">
        <f>VLOOKUP(L316, GLOSSARY!$A:$C, 2, FALSE)</f>
        <v>EGYPT ESTATE</v>
      </c>
      <c r="N316" s="6" t="s">
        <v>68</v>
      </c>
      <c r="O316" s="6"/>
      <c r="P316" s="6"/>
      <c r="Q316" s="6"/>
      <c r="R316" s="6"/>
      <c r="S316" s="6"/>
      <c r="T316" s="6"/>
      <c r="U316" s="6"/>
      <c r="V316" s="6"/>
      <c r="W316" s="6"/>
      <c r="X316" s="6"/>
      <c r="Y316" s="6"/>
      <c r="Z316" s="6"/>
      <c r="AA316" s="6"/>
      <c r="AB316" s="6"/>
      <c r="AC316" s="6"/>
      <c r="AD316" s="6"/>
      <c r="AE316" s="6"/>
    </row>
    <row r="317" spans="1:31" ht="114.75" x14ac:dyDescent="0.2">
      <c r="A317" s="6" t="s">
        <v>2617</v>
      </c>
      <c r="B317" s="6" t="s">
        <v>2618</v>
      </c>
      <c r="C317" s="20" t="s">
        <v>2643</v>
      </c>
      <c r="D317" s="6" t="s">
        <v>2644</v>
      </c>
      <c r="E317" s="6"/>
      <c r="F317" s="6" t="s">
        <v>2647</v>
      </c>
      <c r="G317" s="6" t="s">
        <v>2648</v>
      </c>
      <c r="H317" s="6" t="str">
        <f t="shared" si="25"/>
        <v>THE OVERSEER
MOUNTAIN LUCY
VIOLET(P43
P30
P117)</v>
      </c>
      <c r="I317" s="6" t="s">
        <v>112</v>
      </c>
      <c r="J317" s="6"/>
      <c r="K317" s="6"/>
      <c r="L317" s="6" t="s">
        <v>55</v>
      </c>
      <c r="M317" s="6" t="str">
        <f>VLOOKUP(L317, GLOSSARY!$A:$C, 2, FALSE)</f>
        <v>EGYPT ESTATE</v>
      </c>
      <c r="N317" s="6" t="s">
        <v>68</v>
      </c>
      <c r="O317" s="6"/>
      <c r="P317" s="6"/>
      <c r="Q317" s="6"/>
      <c r="R317" s="6"/>
      <c r="S317" s="6"/>
      <c r="T317" s="6"/>
      <c r="U317" s="6"/>
      <c r="V317" s="6"/>
      <c r="W317" s="6"/>
      <c r="X317" s="6"/>
      <c r="Y317" s="6"/>
      <c r="Z317" s="6"/>
      <c r="AA317" s="6"/>
      <c r="AB317" s="6"/>
      <c r="AC317" s="6"/>
      <c r="AD317" s="6"/>
      <c r="AE317" s="6"/>
    </row>
    <row r="318" spans="1:31" ht="51" x14ac:dyDescent="0.2">
      <c r="A318" s="6" t="s">
        <v>2651</v>
      </c>
      <c r="B318" s="6" t="s">
        <v>2652</v>
      </c>
      <c r="C318" s="20" t="s">
        <v>2653</v>
      </c>
      <c r="D318" s="6" t="s">
        <v>2654</v>
      </c>
      <c r="E318" s="6"/>
      <c r="F318" s="6" t="s">
        <v>2655</v>
      </c>
      <c r="G318" s="6" t="s">
        <v>2656</v>
      </c>
      <c r="H318" s="6" t="str">
        <f t="shared" si="25"/>
        <v>HIRED ENSLAVED PEOPLE ON EGYPT ESTATE(P504)</v>
      </c>
      <c r="I318" s="6" t="s">
        <v>784</v>
      </c>
      <c r="J318" s="6"/>
      <c r="K318" s="6"/>
      <c r="L318" s="6" t="s">
        <v>657</v>
      </c>
      <c r="M318" s="6" t="str">
        <f>VLOOKUP(L318, GLOSSARY!$A:$C, 2, FALSE)</f>
        <v>UNKNOWN</v>
      </c>
      <c r="N318" s="6" t="s">
        <v>287</v>
      </c>
      <c r="O318" s="6"/>
      <c r="P318" s="6"/>
      <c r="Q318" s="6"/>
      <c r="R318" s="6"/>
      <c r="S318" s="6"/>
      <c r="T318" s="6"/>
      <c r="U318" s="6"/>
      <c r="V318" s="6"/>
      <c r="W318" s="6"/>
      <c r="X318" s="6"/>
      <c r="Y318" s="6"/>
      <c r="Z318" s="6"/>
      <c r="AA318" s="6"/>
      <c r="AB318" s="6"/>
      <c r="AC318" s="6"/>
      <c r="AD318" s="6"/>
      <c r="AE318" s="6"/>
    </row>
    <row r="319" spans="1:31" ht="63.75" x14ac:dyDescent="0.2">
      <c r="A319" s="6" t="s">
        <v>2403</v>
      </c>
      <c r="B319" s="6" t="s">
        <v>2661</v>
      </c>
      <c r="C319" s="20" t="s">
        <v>2662</v>
      </c>
      <c r="D319" s="6" t="s">
        <v>2663</v>
      </c>
      <c r="E319" s="6"/>
      <c r="F319" s="6" t="s">
        <v>2664</v>
      </c>
      <c r="G319" s="6" t="s">
        <v>2665</v>
      </c>
      <c r="H319" s="6" t="str">
        <f t="shared" si="25"/>
        <v>JOB
BENJAMIN
PERO(P336
P413
P29)</v>
      </c>
      <c r="I319" s="6" t="s">
        <v>198</v>
      </c>
      <c r="J319" s="6"/>
      <c r="K319" s="6"/>
      <c r="L319" s="6" t="s">
        <v>55</v>
      </c>
      <c r="M319" s="6" t="str">
        <f>VLOOKUP(L319, GLOSSARY!$A:$C, 2, FALSE)</f>
        <v>EGYPT ESTATE</v>
      </c>
      <c r="N319" s="6" t="s">
        <v>68</v>
      </c>
      <c r="O319" s="6"/>
      <c r="P319" s="6"/>
      <c r="Q319" s="6"/>
      <c r="R319" s="6"/>
      <c r="S319" s="6"/>
      <c r="T319" s="6"/>
      <c r="U319" s="6"/>
      <c r="V319" s="6"/>
      <c r="W319" s="6"/>
      <c r="X319" s="6"/>
      <c r="Y319" s="6"/>
      <c r="Z319" s="6"/>
      <c r="AA319" s="6"/>
      <c r="AB319" s="6"/>
      <c r="AC319" s="6"/>
      <c r="AD319" s="6"/>
      <c r="AE319" s="6"/>
    </row>
    <row r="320" spans="1:31" ht="165.75" x14ac:dyDescent="0.2">
      <c r="A320" s="6" t="s">
        <v>2668</v>
      </c>
      <c r="B320" s="6" t="s">
        <v>2661</v>
      </c>
      <c r="C320" s="20" t="s">
        <v>2662</v>
      </c>
      <c r="D320" s="6" t="s">
        <v>2671</v>
      </c>
      <c r="E320" s="6"/>
      <c r="F320" s="6" t="s">
        <v>2672</v>
      </c>
      <c r="G320" s="6" t="s">
        <v>2673</v>
      </c>
      <c r="H320" s="6" t="str">
        <f t="shared" si="25"/>
        <v>THE OVERSEER
WILLIAM CROOKSHANKS(P43
P189)</v>
      </c>
      <c r="I320" s="6" t="s">
        <v>248</v>
      </c>
      <c r="J320" s="6"/>
      <c r="K320" s="6"/>
      <c r="L320" s="6" t="s">
        <v>55</v>
      </c>
      <c r="M320" s="6" t="str">
        <f>VLOOKUP(L320, GLOSSARY!$A:$C, 2, FALSE)</f>
        <v>EGYPT ESTATE</v>
      </c>
      <c r="N320" s="6" t="s">
        <v>287</v>
      </c>
      <c r="O320" s="6"/>
      <c r="P320" s="6"/>
      <c r="Q320" s="6"/>
      <c r="R320" s="6"/>
      <c r="S320" s="6"/>
      <c r="T320" s="6"/>
      <c r="U320" s="6"/>
      <c r="V320" s="6"/>
      <c r="W320" s="6"/>
      <c r="X320" s="6"/>
      <c r="Y320" s="6"/>
      <c r="Z320" s="6"/>
      <c r="AA320" s="6"/>
      <c r="AB320" s="6"/>
      <c r="AC320" s="6"/>
      <c r="AD320" s="6"/>
      <c r="AE320" s="6"/>
    </row>
    <row r="321" spans="1:31" ht="51" x14ac:dyDescent="0.2">
      <c r="A321" s="6" t="s">
        <v>2676</v>
      </c>
      <c r="B321" s="6" t="s">
        <v>2677</v>
      </c>
      <c r="C321" s="20" t="s">
        <v>2678</v>
      </c>
      <c r="D321" s="6" t="s">
        <v>2680</v>
      </c>
      <c r="E321" s="6"/>
      <c r="F321" s="6" t="s">
        <v>2682</v>
      </c>
      <c r="G321" s="6" t="s">
        <v>2683</v>
      </c>
      <c r="H321" s="6" t="str">
        <f t="shared" si="25"/>
        <v>LINCOLN
CYRUS(P210
P24)</v>
      </c>
      <c r="I321" s="6" t="s">
        <v>198</v>
      </c>
      <c r="J321" s="6"/>
      <c r="K321" s="6"/>
      <c r="L321" s="6" t="s">
        <v>55</v>
      </c>
      <c r="M321" s="6" t="str">
        <f>VLOOKUP(L321, GLOSSARY!$A:$C, 2, FALSE)</f>
        <v>EGYPT ESTATE</v>
      </c>
      <c r="N321" s="6" t="s">
        <v>167</v>
      </c>
      <c r="O321" s="6"/>
      <c r="P321" s="6"/>
      <c r="Q321" s="6"/>
      <c r="R321" s="6"/>
      <c r="S321" s="6"/>
      <c r="T321" s="6"/>
      <c r="U321" s="6"/>
      <c r="V321" s="6"/>
      <c r="W321" s="6"/>
      <c r="X321" s="6"/>
      <c r="Y321" s="6"/>
      <c r="Z321" s="6"/>
      <c r="AA321" s="6"/>
      <c r="AB321" s="6"/>
      <c r="AC321" s="6"/>
      <c r="AD321" s="6"/>
      <c r="AE321" s="6"/>
    </row>
    <row r="322" spans="1:31" ht="51" x14ac:dyDescent="0.2">
      <c r="A322" s="6" t="s">
        <v>2594</v>
      </c>
      <c r="B322" s="6" t="s">
        <v>2686</v>
      </c>
      <c r="C322" s="20" t="s">
        <v>2687</v>
      </c>
      <c r="D322" s="6" t="s">
        <v>2688</v>
      </c>
      <c r="E322" s="6"/>
      <c r="F322" s="6" t="s">
        <v>48</v>
      </c>
      <c r="G322" s="6" t="s">
        <v>50</v>
      </c>
      <c r="H322" s="6" t="str">
        <f t="shared" si="25"/>
        <v>THE OVERSEER(P43)</v>
      </c>
      <c r="I322" s="6" t="s">
        <v>248</v>
      </c>
      <c r="J322" s="6"/>
      <c r="K322" s="6"/>
      <c r="L322" s="6" t="s">
        <v>55</v>
      </c>
      <c r="M322" s="6" t="str">
        <f>VLOOKUP(L322, GLOSSARY!$A:$C, 2, FALSE)</f>
        <v>EGYPT ESTATE</v>
      </c>
      <c r="N322" s="6" t="s">
        <v>68</v>
      </c>
      <c r="O322" s="6"/>
      <c r="P322" s="6"/>
      <c r="Q322" s="6"/>
      <c r="R322" s="6"/>
      <c r="S322" s="6"/>
      <c r="T322" s="6"/>
      <c r="U322" s="6"/>
      <c r="V322" s="6"/>
      <c r="W322" s="6"/>
      <c r="X322" s="6"/>
      <c r="Y322" s="6"/>
      <c r="Z322" s="6"/>
      <c r="AA322" s="6"/>
      <c r="AB322" s="6"/>
      <c r="AC322" s="6"/>
      <c r="AD322" s="6"/>
      <c r="AE322" s="6"/>
    </row>
    <row r="323" spans="1:31" ht="25.5" x14ac:dyDescent="0.2">
      <c r="A323" s="6" t="s">
        <v>2693</v>
      </c>
      <c r="B323" s="6" t="s">
        <v>2686</v>
      </c>
      <c r="C323" s="20" t="s">
        <v>2687</v>
      </c>
      <c r="D323" s="6" t="s">
        <v>2694</v>
      </c>
      <c r="E323" s="6"/>
      <c r="F323" s="6" t="s">
        <v>297</v>
      </c>
      <c r="G323" s="6" t="s">
        <v>296</v>
      </c>
      <c r="H323" s="6" t="str">
        <f t="shared" si="25"/>
        <v>JOB(P29)</v>
      </c>
      <c r="I323" s="6" t="s">
        <v>784</v>
      </c>
      <c r="J323" s="6"/>
      <c r="K323" s="6"/>
      <c r="L323" s="6" t="s">
        <v>2695</v>
      </c>
      <c r="M323" s="6" t="str">
        <f>VLOOKUP(L323, GLOSSARY!$A:$C, 2, FALSE)</f>
        <v>LUCEA</v>
      </c>
      <c r="N323" s="6" t="s">
        <v>68</v>
      </c>
      <c r="O323" s="6"/>
      <c r="P323" s="6"/>
      <c r="Q323" s="6"/>
      <c r="R323" s="6"/>
      <c r="S323" s="6"/>
      <c r="T323" s="6"/>
      <c r="U323" s="6"/>
      <c r="V323" s="6"/>
      <c r="W323" s="6"/>
      <c r="X323" s="6"/>
      <c r="Y323" s="6"/>
      <c r="Z323" s="6"/>
      <c r="AA323" s="6"/>
      <c r="AB323" s="6"/>
      <c r="AC323" s="6"/>
      <c r="AD323" s="6"/>
      <c r="AE323" s="6"/>
    </row>
    <row r="324" spans="1:31" ht="51" x14ac:dyDescent="0.2">
      <c r="A324" s="6" t="s">
        <v>2698</v>
      </c>
      <c r="B324" s="6" t="s">
        <v>2699</v>
      </c>
      <c r="C324" s="20" t="s">
        <v>2700</v>
      </c>
      <c r="D324" s="6" t="s">
        <v>2701</v>
      </c>
      <c r="E324" s="6"/>
      <c r="F324" s="6"/>
      <c r="G324" s="6"/>
      <c r="H324" s="6" t="str">
        <f t="shared" si="25"/>
        <v>()</v>
      </c>
      <c r="I324" s="6" t="s">
        <v>26</v>
      </c>
      <c r="J324" s="6"/>
      <c r="K324" s="6"/>
      <c r="L324" s="6" t="s">
        <v>55</v>
      </c>
      <c r="M324" s="6" t="str">
        <f>VLOOKUP(L324, GLOSSARY!$A:$C, 2, FALSE)</f>
        <v>EGYPT ESTATE</v>
      </c>
      <c r="N324" s="6" t="s">
        <v>167</v>
      </c>
      <c r="O324" s="6"/>
      <c r="P324" s="6"/>
      <c r="Q324" s="6"/>
      <c r="R324" s="6"/>
      <c r="S324" s="6"/>
      <c r="T324" s="6"/>
      <c r="U324" s="6"/>
      <c r="V324" s="6"/>
      <c r="W324" s="6"/>
      <c r="X324" s="6"/>
      <c r="Y324" s="6"/>
      <c r="Z324" s="6"/>
      <c r="AA324" s="6"/>
      <c r="AB324" s="6"/>
      <c r="AC324" s="6"/>
      <c r="AD324" s="6"/>
      <c r="AE324" s="6"/>
    </row>
    <row r="325" spans="1:31" ht="89.25" x14ac:dyDescent="0.2">
      <c r="A325" s="6" t="s">
        <v>2706</v>
      </c>
      <c r="B325" s="6" t="s">
        <v>2707</v>
      </c>
      <c r="C325" s="20" t="s">
        <v>2708</v>
      </c>
      <c r="D325" s="6" t="s">
        <v>2709</v>
      </c>
      <c r="E325" s="6"/>
      <c r="F325" s="6" t="s">
        <v>667</v>
      </c>
      <c r="G325" s="6" t="s">
        <v>666</v>
      </c>
      <c r="H325" s="6" t="str">
        <f t="shared" si="25"/>
        <v>MR. EMOTSON(P92)</v>
      </c>
      <c r="I325" s="6" t="s">
        <v>2630</v>
      </c>
      <c r="J325" s="6"/>
      <c r="K325" s="6"/>
      <c r="L325" s="6" t="s">
        <v>55</v>
      </c>
      <c r="M325" s="6" t="str">
        <f>VLOOKUP(L325, GLOSSARY!$A:$C, 2, FALSE)</f>
        <v>EGYPT ESTATE</v>
      </c>
      <c r="N325" s="6" t="s">
        <v>68</v>
      </c>
      <c r="O325" s="6"/>
      <c r="P325" s="6"/>
      <c r="Q325" s="6"/>
      <c r="R325" s="6"/>
      <c r="S325" s="6"/>
      <c r="T325" s="6"/>
      <c r="U325" s="6"/>
      <c r="V325" s="6"/>
      <c r="W325" s="6"/>
      <c r="X325" s="6"/>
      <c r="Y325" s="6"/>
      <c r="Z325" s="6"/>
      <c r="AA325" s="6"/>
      <c r="AB325" s="6"/>
      <c r="AC325" s="6"/>
      <c r="AD325" s="6"/>
      <c r="AE325" s="6"/>
    </row>
    <row r="326" spans="1:31" ht="38.25" x14ac:dyDescent="0.2">
      <c r="A326" s="6" t="s">
        <v>2712</v>
      </c>
      <c r="B326" s="6" t="s">
        <v>2713</v>
      </c>
      <c r="C326" s="20" t="s">
        <v>2714</v>
      </c>
      <c r="D326" s="6" t="s">
        <v>2715</v>
      </c>
      <c r="E326" s="6"/>
      <c r="F326" s="6" t="s">
        <v>1744</v>
      </c>
      <c r="G326" s="6" t="s">
        <v>1743</v>
      </c>
      <c r="H326" s="6" t="str">
        <f t="shared" si="25"/>
        <v>DERBY(P295)</v>
      </c>
      <c r="I326" s="6" t="s">
        <v>112</v>
      </c>
      <c r="J326" s="6"/>
      <c r="K326" s="6"/>
      <c r="L326" s="6" t="s">
        <v>55</v>
      </c>
      <c r="M326" s="6" t="str">
        <f>VLOOKUP(L326, GLOSSARY!$A:$C, 2, FALSE)</f>
        <v>EGYPT ESTATE</v>
      </c>
      <c r="N326" s="6" t="s">
        <v>167</v>
      </c>
      <c r="O326" s="6"/>
      <c r="P326" s="6"/>
      <c r="Q326" s="6"/>
      <c r="R326" s="6"/>
      <c r="S326" s="6"/>
      <c r="T326" s="6"/>
      <c r="U326" s="6"/>
      <c r="V326" s="6"/>
      <c r="W326" s="6"/>
      <c r="X326" s="6"/>
      <c r="Y326" s="6"/>
      <c r="Z326" s="6"/>
      <c r="AA326" s="6"/>
      <c r="AB326" s="6"/>
      <c r="AC326" s="6"/>
      <c r="AD326" s="6"/>
      <c r="AE326" s="6"/>
    </row>
    <row r="327" spans="1:31" ht="89.25" x14ac:dyDescent="0.2">
      <c r="A327" s="6" t="s">
        <v>2712</v>
      </c>
      <c r="B327" s="6" t="s">
        <v>2713</v>
      </c>
      <c r="C327" s="20" t="s">
        <v>2719</v>
      </c>
      <c r="D327" s="6" t="s">
        <v>2720</v>
      </c>
      <c r="E327" s="6"/>
      <c r="F327" s="6" t="s">
        <v>2722</v>
      </c>
      <c r="G327" s="6" t="s">
        <v>2723</v>
      </c>
      <c r="H327" s="6" t="str">
        <f t="shared" si="25"/>
        <v>THE OVERSEER
DERBY
EGYPT(P43
P419
P295)</v>
      </c>
      <c r="I327" s="6" t="s">
        <v>112</v>
      </c>
      <c r="J327" s="6"/>
      <c r="K327" s="6"/>
      <c r="L327" s="6" t="s">
        <v>55</v>
      </c>
      <c r="M327" s="6" t="str">
        <f>VLOOKUP(L327, GLOSSARY!$A:$C, 2, FALSE)</f>
        <v>EGYPT ESTATE</v>
      </c>
      <c r="N327" s="6" t="s">
        <v>68</v>
      </c>
      <c r="O327" s="6"/>
      <c r="P327" s="6"/>
      <c r="Q327" s="6"/>
      <c r="R327" s="6"/>
      <c r="S327" s="6"/>
      <c r="T327" s="6"/>
      <c r="U327" s="6"/>
      <c r="V327" s="6"/>
      <c r="W327" s="6"/>
      <c r="X327" s="6"/>
      <c r="Y327" s="6"/>
      <c r="Z327" s="6"/>
      <c r="AA327" s="6"/>
      <c r="AB327" s="6"/>
      <c r="AC327" s="6"/>
      <c r="AD327" s="6"/>
      <c r="AE327" s="6"/>
    </row>
    <row r="328" spans="1:31" ht="102" x14ac:dyDescent="0.2">
      <c r="A328" s="6" t="s">
        <v>2726</v>
      </c>
      <c r="B328" s="6" t="s">
        <v>2727</v>
      </c>
      <c r="C328" s="20" t="s">
        <v>2728</v>
      </c>
      <c r="D328" s="6" t="s">
        <v>2729</v>
      </c>
      <c r="E328" s="6"/>
      <c r="F328" s="6" t="s">
        <v>2730</v>
      </c>
      <c r="G328" s="6" t="s">
        <v>2731</v>
      </c>
      <c r="H328" s="6" t="str">
        <f t="shared" si="25"/>
        <v>ACHILLES
DOLL(P225
P192)</v>
      </c>
      <c r="I328" s="6" t="s">
        <v>248</v>
      </c>
      <c r="J328" s="6"/>
      <c r="K328" s="6"/>
      <c r="L328" s="6" t="s">
        <v>55</v>
      </c>
      <c r="M328" s="6" t="str">
        <f>VLOOKUP(L328, GLOSSARY!$A:$C, 2, FALSE)</f>
        <v>EGYPT ESTATE</v>
      </c>
      <c r="N328" s="6" t="s">
        <v>68</v>
      </c>
      <c r="O328" s="6"/>
      <c r="P328" s="6"/>
      <c r="Q328" s="6"/>
      <c r="R328" s="6"/>
      <c r="S328" s="6"/>
      <c r="T328" s="6"/>
      <c r="U328" s="6"/>
      <c r="V328" s="6"/>
      <c r="W328" s="6"/>
      <c r="X328" s="6"/>
      <c r="Y328" s="6"/>
      <c r="Z328" s="6"/>
      <c r="AA328" s="6"/>
      <c r="AB328" s="6"/>
      <c r="AC328" s="6"/>
      <c r="AD328" s="6"/>
      <c r="AE328" s="6"/>
    </row>
    <row r="329" spans="1:31" ht="140.25" x14ac:dyDescent="0.2">
      <c r="A329" s="6" t="s">
        <v>2734</v>
      </c>
      <c r="B329" s="6" t="s">
        <v>2727</v>
      </c>
      <c r="C329" s="20" t="s">
        <v>2735</v>
      </c>
      <c r="D329" s="6" t="s">
        <v>2736</v>
      </c>
      <c r="E329" s="6"/>
      <c r="F329" s="6" t="s">
        <v>2737</v>
      </c>
      <c r="G329" s="6" t="s">
        <v>2738</v>
      </c>
      <c r="H329" s="6" t="str">
        <f t="shared" si="25"/>
        <v>WILLIAM CROOKSHANKS
ABRAHAM
THE OVERSEER
PHIBBAH
MIRTILLA
JOHN COPE(P189
P360
P43
P7
P32
P44)</v>
      </c>
      <c r="I329" s="6" t="s">
        <v>112</v>
      </c>
      <c r="J329" s="6"/>
      <c r="K329" s="6"/>
      <c r="L329" s="6" t="s">
        <v>55</v>
      </c>
      <c r="M329" s="6" t="str">
        <f>VLOOKUP(L329, GLOSSARY!$A:$C, 2, FALSE)</f>
        <v>EGYPT ESTATE</v>
      </c>
      <c r="N329" s="6" t="s">
        <v>167</v>
      </c>
      <c r="O329" s="6"/>
      <c r="P329" s="6"/>
      <c r="Q329" s="6"/>
      <c r="R329" s="6"/>
      <c r="S329" s="6"/>
      <c r="T329" s="6"/>
      <c r="U329" s="6"/>
      <c r="V329" s="6"/>
      <c r="W329" s="6"/>
      <c r="X329" s="6"/>
      <c r="Y329" s="6"/>
      <c r="Z329" s="6"/>
      <c r="AA329" s="6"/>
      <c r="AB329" s="6"/>
      <c r="AC329" s="6"/>
      <c r="AD329" s="6"/>
      <c r="AE329" s="6"/>
    </row>
    <row r="330" spans="1:31" ht="25.5" x14ac:dyDescent="0.2">
      <c r="A330" s="6" t="s">
        <v>2712</v>
      </c>
      <c r="B330" s="6" t="s">
        <v>2741</v>
      </c>
      <c r="C330" s="20" t="s">
        <v>2742</v>
      </c>
      <c r="D330" s="6" t="s">
        <v>2743</v>
      </c>
      <c r="E330" s="6"/>
      <c r="F330" s="6" t="s">
        <v>1744</v>
      </c>
      <c r="G330" s="6" t="s">
        <v>1743</v>
      </c>
      <c r="H330" s="6" t="str">
        <f t="shared" si="25"/>
        <v>DERBY(P295)</v>
      </c>
      <c r="I330" s="6" t="s">
        <v>112</v>
      </c>
      <c r="J330" s="6"/>
      <c r="K330" s="6"/>
      <c r="L330" s="6" t="s">
        <v>55</v>
      </c>
      <c r="M330" s="6" t="str">
        <f>VLOOKUP(L330, GLOSSARY!$A:$C, 2, FALSE)</f>
        <v>EGYPT ESTATE</v>
      </c>
      <c r="N330" s="6" t="s">
        <v>68</v>
      </c>
      <c r="O330" s="6"/>
      <c r="P330" s="6"/>
      <c r="Q330" s="6"/>
      <c r="R330" s="6"/>
      <c r="S330" s="6"/>
      <c r="T330" s="6"/>
      <c r="U330" s="6"/>
      <c r="V330" s="6"/>
      <c r="W330" s="6"/>
      <c r="X330" s="6"/>
      <c r="Y330" s="6"/>
      <c r="Z330" s="6"/>
      <c r="AA330" s="6"/>
      <c r="AB330" s="6"/>
      <c r="AC330" s="6"/>
      <c r="AD330" s="6"/>
      <c r="AE330" s="6"/>
    </row>
    <row r="331" spans="1:31" ht="51" x14ac:dyDescent="0.2">
      <c r="A331" s="6" t="s">
        <v>2748</v>
      </c>
      <c r="B331" s="6" t="s">
        <v>2749</v>
      </c>
      <c r="C331" s="20" t="s">
        <v>2750</v>
      </c>
      <c r="D331" s="6" t="s">
        <v>2751</v>
      </c>
      <c r="E331" s="6"/>
      <c r="F331" s="6" t="s">
        <v>1227</v>
      </c>
      <c r="G331" s="6" t="s">
        <v>1225</v>
      </c>
      <c r="H331" s="6" t="str">
        <f t="shared" si="25"/>
        <v>LEWIE(P197)</v>
      </c>
      <c r="I331" s="6" t="s">
        <v>656</v>
      </c>
      <c r="J331" s="6"/>
      <c r="K331" s="6"/>
      <c r="L331" s="6" t="s">
        <v>55</v>
      </c>
      <c r="M331" s="6" t="str">
        <f>VLOOKUP(L331, GLOSSARY!$A:$C, 2, FALSE)</f>
        <v>EGYPT ESTATE</v>
      </c>
      <c r="N331" s="6" t="s">
        <v>167</v>
      </c>
      <c r="O331" s="6"/>
      <c r="P331" s="6"/>
      <c r="Q331" s="6"/>
      <c r="R331" s="6"/>
      <c r="S331" s="6"/>
      <c r="T331" s="6"/>
      <c r="U331" s="6"/>
      <c r="V331" s="6"/>
      <c r="W331" s="6"/>
      <c r="X331" s="6"/>
      <c r="Y331" s="6"/>
      <c r="Z331" s="6"/>
      <c r="AA331" s="6"/>
      <c r="AB331" s="6"/>
      <c r="AC331" s="6"/>
      <c r="AD331" s="6"/>
      <c r="AE331" s="6"/>
    </row>
    <row r="332" spans="1:31" ht="63.75" x14ac:dyDescent="0.2">
      <c r="A332" s="6" t="s">
        <v>2693</v>
      </c>
      <c r="B332" s="6" t="s">
        <v>2754</v>
      </c>
      <c r="C332" s="20" t="s">
        <v>2755</v>
      </c>
      <c r="D332" s="6" t="s">
        <v>2756</v>
      </c>
      <c r="E332" s="6"/>
      <c r="F332" s="6" t="s">
        <v>2757</v>
      </c>
      <c r="G332" s="6" t="s">
        <v>2758</v>
      </c>
      <c r="H332" s="6" t="str">
        <f t="shared" si="25"/>
        <v>JOB
LONDON(P29
P249)</v>
      </c>
      <c r="I332" s="6" t="s">
        <v>784</v>
      </c>
      <c r="J332" s="6"/>
      <c r="K332" s="6"/>
      <c r="L332" s="6" t="s">
        <v>2759</v>
      </c>
      <c r="M332" s="6" t="str">
        <f>VLOOKUP(L332, GLOSSARY!$A:$C, 2, FALSE)</f>
        <v>STRATHBOGIE CASTLE</v>
      </c>
      <c r="N332" s="6" t="s">
        <v>287</v>
      </c>
      <c r="O332" s="6"/>
      <c r="P332" s="6"/>
      <c r="Q332" s="6"/>
      <c r="R332" s="6"/>
      <c r="S332" s="6"/>
      <c r="T332" s="6"/>
      <c r="U332" s="6"/>
      <c r="V332" s="6"/>
      <c r="W332" s="6"/>
      <c r="X332" s="6"/>
      <c r="Y332" s="6"/>
      <c r="Z332" s="6"/>
      <c r="AA332" s="6"/>
      <c r="AB332" s="6"/>
      <c r="AC332" s="6"/>
      <c r="AD332" s="6"/>
      <c r="AE332" s="6"/>
    </row>
    <row r="333" spans="1:31" ht="63.75" x14ac:dyDescent="0.2">
      <c r="A333" s="6" t="s">
        <v>2712</v>
      </c>
      <c r="B333" s="6" t="s">
        <v>2754</v>
      </c>
      <c r="C333" s="20" t="s">
        <v>2755</v>
      </c>
      <c r="D333" s="6" t="s">
        <v>2762</v>
      </c>
      <c r="E333" s="6"/>
      <c r="F333" s="6" t="s">
        <v>2763</v>
      </c>
      <c r="G333" s="6" t="s">
        <v>2764</v>
      </c>
      <c r="H333" s="6" t="str">
        <f t="shared" si="25"/>
        <v>DERBY
OLD SHARPER
THE OVERSEER(P295
P43
P74)</v>
      </c>
      <c r="I333" s="6" t="s">
        <v>112</v>
      </c>
      <c r="J333" s="6"/>
      <c r="K333" s="6"/>
      <c r="L333" s="6" t="s">
        <v>55</v>
      </c>
      <c r="M333" s="6" t="str">
        <f>VLOOKUP(L333, GLOSSARY!$A:$C, 2, FALSE)</f>
        <v>EGYPT ESTATE</v>
      </c>
      <c r="N333" s="6" t="s">
        <v>68</v>
      </c>
      <c r="O333" s="6"/>
      <c r="P333" s="6"/>
      <c r="Q333" s="6"/>
      <c r="R333" s="6"/>
      <c r="S333" s="6"/>
      <c r="T333" s="6"/>
      <c r="U333" s="6"/>
      <c r="V333" s="6"/>
      <c r="W333" s="6"/>
      <c r="X333" s="6"/>
      <c r="Y333" s="6"/>
      <c r="Z333" s="6"/>
      <c r="AA333" s="6"/>
      <c r="AB333" s="6"/>
      <c r="AC333" s="6"/>
      <c r="AD333" s="6"/>
      <c r="AE333" s="6"/>
    </row>
    <row r="334" spans="1:31" ht="63.75" x14ac:dyDescent="0.2">
      <c r="A334" s="6" t="s">
        <v>2748</v>
      </c>
      <c r="B334" s="6" t="s">
        <v>2754</v>
      </c>
      <c r="C334" s="20" t="s">
        <v>2755</v>
      </c>
      <c r="D334" s="6" t="s">
        <v>2769</v>
      </c>
      <c r="E334" s="6"/>
      <c r="F334" s="6" t="s">
        <v>2770</v>
      </c>
      <c r="G334" s="6" t="s">
        <v>2771</v>
      </c>
      <c r="H334" s="6" t="str">
        <f t="shared" si="25"/>
        <v>LEWIE
MR. MOULD(P197
P252)</v>
      </c>
      <c r="I334" s="6" t="s">
        <v>656</v>
      </c>
      <c r="J334" s="6"/>
      <c r="K334" s="6"/>
      <c r="L334" s="6" t="s">
        <v>55</v>
      </c>
      <c r="M334" s="6" t="str">
        <f>VLOOKUP(L334, GLOSSARY!$A:$C, 2, FALSE)</f>
        <v>EGYPT ESTATE</v>
      </c>
      <c r="N334" s="6" t="s">
        <v>167</v>
      </c>
      <c r="O334" s="6"/>
      <c r="P334" s="6"/>
      <c r="Q334" s="6"/>
      <c r="R334" s="6"/>
      <c r="S334" s="6"/>
      <c r="T334" s="6"/>
      <c r="U334" s="6"/>
      <c r="V334" s="6"/>
      <c r="W334" s="6"/>
      <c r="X334" s="6"/>
      <c r="Y334" s="6"/>
      <c r="Z334" s="6"/>
      <c r="AA334" s="6"/>
      <c r="AB334" s="6"/>
      <c r="AC334" s="6"/>
      <c r="AD334" s="6"/>
      <c r="AE334" s="6"/>
    </row>
    <row r="335" spans="1:31" ht="63.75" x14ac:dyDescent="0.2">
      <c r="A335" s="6" t="s">
        <v>2774</v>
      </c>
      <c r="B335" s="6" t="s">
        <v>2754</v>
      </c>
      <c r="C335" s="20" t="s">
        <v>2775</v>
      </c>
      <c r="D335" s="6" t="s">
        <v>2776</v>
      </c>
      <c r="E335" s="6"/>
      <c r="F335" s="6" t="s">
        <v>269</v>
      </c>
      <c r="G335" s="6" t="s">
        <v>268</v>
      </c>
      <c r="H335" s="6" t="str">
        <f t="shared" si="25"/>
        <v>LINCOLN(P24)</v>
      </c>
      <c r="I335" s="6" t="s">
        <v>198</v>
      </c>
      <c r="J335" s="6"/>
      <c r="K335" s="6"/>
      <c r="L335" s="6" t="s">
        <v>55</v>
      </c>
      <c r="M335" s="6" t="str">
        <f>VLOOKUP(L335, GLOSSARY!$A:$C, 2, FALSE)</f>
        <v>EGYPT ESTATE</v>
      </c>
      <c r="N335" s="6" t="s">
        <v>68</v>
      </c>
      <c r="O335" s="6"/>
      <c r="P335" s="6"/>
      <c r="Q335" s="6"/>
      <c r="R335" s="6"/>
      <c r="S335" s="6"/>
      <c r="T335" s="6"/>
      <c r="U335" s="6"/>
      <c r="V335" s="6"/>
      <c r="W335" s="6"/>
      <c r="X335" s="6"/>
      <c r="Y335" s="6"/>
      <c r="Z335" s="6"/>
      <c r="AA335" s="6"/>
      <c r="AB335" s="6"/>
      <c r="AC335" s="6"/>
      <c r="AD335" s="6"/>
      <c r="AE335" s="6"/>
    </row>
    <row r="336" spans="1:31" ht="63.75" x14ac:dyDescent="0.2">
      <c r="A336" s="6" t="s">
        <v>1254</v>
      </c>
      <c r="B336" s="6" t="s">
        <v>2781</v>
      </c>
      <c r="C336" s="20" t="s">
        <v>2782</v>
      </c>
      <c r="D336" s="6" t="s">
        <v>2783</v>
      </c>
      <c r="E336" s="6"/>
      <c r="F336" s="6" t="s">
        <v>2784</v>
      </c>
      <c r="G336" s="6" t="s">
        <v>2785</v>
      </c>
      <c r="H336" s="6" t="str">
        <f t="shared" si="25"/>
        <v>AMBO
SYPHOX(P170
P62)</v>
      </c>
      <c r="I336" s="6" t="s">
        <v>533</v>
      </c>
      <c r="J336" s="6"/>
      <c r="K336" s="6"/>
      <c r="L336" s="6" t="s">
        <v>55</v>
      </c>
      <c r="M336" s="6" t="str">
        <f>VLOOKUP(L336, GLOSSARY!$A:$C, 2, FALSE)</f>
        <v>EGYPT ESTATE</v>
      </c>
      <c r="N336" s="6" t="s">
        <v>68</v>
      </c>
      <c r="O336" s="6"/>
      <c r="P336" s="6"/>
      <c r="Q336" s="6"/>
      <c r="R336" s="6"/>
      <c r="S336" s="6"/>
      <c r="T336" s="6"/>
      <c r="U336" s="6"/>
      <c r="V336" s="6"/>
      <c r="W336" s="6"/>
      <c r="X336" s="6"/>
      <c r="Y336" s="6"/>
      <c r="Z336" s="6"/>
      <c r="AA336" s="6"/>
      <c r="AB336" s="6"/>
      <c r="AC336" s="6"/>
      <c r="AD336" s="6"/>
      <c r="AE336" s="6"/>
    </row>
    <row r="337" spans="1:31" ht="409.5" x14ac:dyDescent="0.2">
      <c r="A337" s="6" t="s">
        <v>2789</v>
      </c>
      <c r="B337" s="6" t="s">
        <v>2790</v>
      </c>
      <c r="C337" s="20" t="s">
        <v>2791</v>
      </c>
      <c r="D337" s="6" t="s">
        <v>2792</v>
      </c>
      <c r="E337" s="6"/>
      <c r="F337" s="6" t="s">
        <v>2793</v>
      </c>
      <c r="G337" s="6" t="s">
        <v>2794</v>
      </c>
      <c r="H337" s="6" t="str">
        <f t="shared" si="25"/>
        <v>PUNCH
EGYPT QUACOO
CHARLES
PHILIP
MOUNTAIN LUCY
PRINCESS
BECK
EGYPT LUCY
ELLIN
MOLL
DOLL
DIDO
ROSANNA
MOLIA(P348
P298
P380
P302
P381
P30
P27
P361
P3
P33
P125
P225
P105
P115
P116
)</v>
      </c>
      <c r="I337" s="6" t="s">
        <v>759</v>
      </c>
      <c r="J337" s="6"/>
      <c r="K337" s="6"/>
      <c r="L337" s="6" t="s">
        <v>55</v>
      </c>
      <c r="M337" s="6" t="str">
        <f>VLOOKUP(L337, GLOSSARY!$A:$C, 2, FALSE)</f>
        <v>EGYPT ESTATE</v>
      </c>
      <c r="N337" s="6" t="s">
        <v>68</v>
      </c>
      <c r="O337" s="6"/>
      <c r="P337" s="6"/>
      <c r="Q337" s="6"/>
      <c r="R337" s="6"/>
      <c r="S337" s="6"/>
      <c r="T337" s="6"/>
      <c r="U337" s="6"/>
      <c r="V337" s="6"/>
      <c r="W337" s="6"/>
      <c r="X337" s="6"/>
      <c r="Y337" s="6"/>
      <c r="Z337" s="6"/>
      <c r="AA337" s="6"/>
      <c r="AB337" s="6"/>
      <c r="AC337" s="6"/>
      <c r="AD337" s="6"/>
      <c r="AE337" s="6"/>
    </row>
    <row r="338" spans="1:31" ht="51" x14ac:dyDescent="0.2">
      <c r="A338" s="6" t="s">
        <v>2799</v>
      </c>
      <c r="B338" s="6" t="s">
        <v>2790</v>
      </c>
      <c r="C338" s="20" t="s">
        <v>2791</v>
      </c>
      <c r="D338" s="6" t="s">
        <v>2800</v>
      </c>
      <c r="E338" s="6"/>
      <c r="F338" s="6" t="s">
        <v>2801</v>
      </c>
      <c r="G338" s="6" t="s">
        <v>2802</v>
      </c>
      <c r="H338" s="6" t="str">
        <f t="shared" si="25"/>
        <v>JOB
JOHNIE(P29
P20)</v>
      </c>
      <c r="I338" s="6" t="s">
        <v>784</v>
      </c>
      <c r="J338" s="6"/>
      <c r="K338" s="6"/>
      <c r="L338" s="6" t="s">
        <v>93</v>
      </c>
      <c r="M338" s="6" t="str">
        <f>VLOOKUP(L338, GLOSSARY!$A:$C, 2, FALSE)</f>
        <v>SALT RIVER ESTATE</v>
      </c>
      <c r="N338" s="6" t="s">
        <v>68</v>
      </c>
      <c r="O338" s="6"/>
      <c r="P338" s="6"/>
      <c r="Q338" s="6"/>
      <c r="R338" s="6"/>
      <c r="S338" s="6"/>
      <c r="T338" s="6"/>
      <c r="U338" s="6"/>
      <c r="V338" s="6"/>
      <c r="W338" s="6"/>
      <c r="X338" s="6"/>
      <c r="Y338" s="6"/>
      <c r="Z338" s="6"/>
      <c r="AA338" s="6"/>
      <c r="AB338" s="6"/>
      <c r="AC338" s="6"/>
      <c r="AD338" s="6"/>
      <c r="AE338" s="6"/>
    </row>
    <row r="339" spans="1:31" ht="51" x14ac:dyDescent="0.2">
      <c r="A339" s="6" t="s">
        <v>2805</v>
      </c>
      <c r="B339" s="6" t="s">
        <v>2790</v>
      </c>
      <c r="C339" s="20" t="s">
        <v>2791</v>
      </c>
      <c r="D339" s="6" t="s">
        <v>2807</v>
      </c>
      <c r="E339" s="6"/>
      <c r="F339" s="6" t="s">
        <v>2808</v>
      </c>
      <c r="G339" s="6" t="s">
        <v>1210</v>
      </c>
      <c r="H339" s="6" t="str">
        <f t="shared" si="25"/>
        <v>EGYPT FRANKE(P194)</v>
      </c>
      <c r="I339" s="6" t="s">
        <v>248</v>
      </c>
      <c r="J339" s="6"/>
      <c r="K339" s="6"/>
      <c r="L339" s="6" t="s">
        <v>55</v>
      </c>
      <c r="M339" s="6" t="str">
        <f>VLOOKUP(L339, GLOSSARY!$A:$C, 2, FALSE)</f>
        <v>EGYPT ESTATE</v>
      </c>
      <c r="N339" s="6" t="s">
        <v>287</v>
      </c>
      <c r="O339" s="6"/>
      <c r="P339" s="6"/>
      <c r="Q339" s="6"/>
      <c r="R339" s="6"/>
      <c r="S339" s="6"/>
      <c r="T339" s="6"/>
      <c r="U339" s="6"/>
      <c r="V339" s="6"/>
      <c r="W339" s="6"/>
      <c r="X339" s="6"/>
      <c r="Y339" s="6"/>
      <c r="Z339" s="6"/>
      <c r="AA339" s="6"/>
      <c r="AB339" s="6"/>
      <c r="AC339" s="6"/>
      <c r="AD339" s="6"/>
      <c r="AE339" s="6"/>
    </row>
    <row r="340" spans="1:31" ht="102" x14ac:dyDescent="0.2">
      <c r="A340" s="6" t="s">
        <v>2810</v>
      </c>
      <c r="B340" s="6" t="s">
        <v>2790</v>
      </c>
      <c r="C340" s="20" t="s">
        <v>2791</v>
      </c>
      <c r="D340" s="6" t="s">
        <v>2811</v>
      </c>
      <c r="E340" s="6"/>
      <c r="F340" s="6" t="s">
        <v>2812</v>
      </c>
      <c r="G340" s="6" t="s">
        <v>2813</v>
      </c>
      <c r="H340" s="6" t="str">
        <f t="shared" si="25"/>
        <v>THE OVERSEER
WILLIAM DORRILL(P43
P75)</v>
      </c>
      <c r="I340" s="6" t="s">
        <v>26</v>
      </c>
      <c r="J340" s="6"/>
      <c r="K340" s="6"/>
      <c r="L340" s="6" t="s">
        <v>55</v>
      </c>
      <c r="M340" s="6" t="str">
        <f>VLOOKUP(L340, GLOSSARY!$A:$C, 2, FALSE)</f>
        <v>EGYPT ESTATE</v>
      </c>
      <c r="N340" s="6" t="s">
        <v>167</v>
      </c>
      <c r="O340" s="6"/>
      <c r="P340" s="6"/>
      <c r="Q340" s="6"/>
      <c r="R340" s="6"/>
      <c r="S340" s="6"/>
      <c r="T340" s="6"/>
      <c r="U340" s="6"/>
      <c r="V340" s="6"/>
      <c r="W340" s="6"/>
      <c r="X340" s="6"/>
      <c r="Y340" s="6"/>
      <c r="Z340" s="6"/>
      <c r="AA340" s="6"/>
      <c r="AB340" s="6"/>
      <c r="AC340" s="6"/>
      <c r="AD340" s="6"/>
      <c r="AE340" s="6"/>
    </row>
    <row r="341" spans="1:31" ht="38.25" x14ac:dyDescent="0.2">
      <c r="A341" s="6" t="s">
        <v>2815</v>
      </c>
      <c r="B341" s="6" t="s">
        <v>2816</v>
      </c>
      <c r="C341" s="20" t="s">
        <v>2817</v>
      </c>
      <c r="D341" s="6" t="s">
        <v>2818</v>
      </c>
      <c r="E341" s="6"/>
      <c r="F341" s="6" t="s">
        <v>2703</v>
      </c>
      <c r="G341" s="6" t="s">
        <v>2702</v>
      </c>
      <c r="H341" s="6" t="str">
        <f t="shared" si="25"/>
        <v>HANNAH WILLIS(P505)</v>
      </c>
      <c r="I341" s="6" t="s">
        <v>1068</v>
      </c>
      <c r="J341" s="6"/>
      <c r="K341" s="6"/>
      <c r="L341" s="6" t="s">
        <v>657</v>
      </c>
      <c r="M341" s="6" t="str">
        <f>VLOOKUP(L341, GLOSSARY!$A:$C, 2, FALSE)</f>
        <v>UNKNOWN</v>
      </c>
      <c r="N341" s="6" t="s">
        <v>68</v>
      </c>
      <c r="O341" s="6"/>
      <c r="P341" s="6"/>
      <c r="Q341" s="6"/>
      <c r="R341" s="6"/>
      <c r="S341" s="6"/>
      <c r="T341" s="6"/>
      <c r="U341" s="6"/>
      <c r="V341" s="6"/>
      <c r="W341" s="6"/>
      <c r="X341" s="6"/>
      <c r="Y341" s="6"/>
      <c r="Z341" s="6"/>
      <c r="AA341" s="6"/>
      <c r="AB341" s="6"/>
      <c r="AC341" s="6"/>
      <c r="AD341" s="6"/>
      <c r="AE341" s="6"/>
    </row>
    <row r="342" spans="1:31" ht="38.25" x14ac:dyDescent="0.2">
      <c r="A342" s="6" t="s">
        <v>2815</v>
      </c>
      <c r="B342" s="6" t="s">
        <v>2677</v>
      </c>
      <c r="C342" s="20" t="s">
        <v>2819</v>
      </c>
      <c r="D342" s="6" t="s">
        <v>2820</v>
      </c>
      <c r="E342" s="6"/>
      <c r="F342" s="6" t="s">
        <v>2821</v>
      </c>
      <c r="G342" s="6" t="s">
        <v>2822</v>
      </c>
      <c r="H342" s="6" t="str">
        <f t="shared" si="25"/>
        <v>PRICE
HANNAH WILLIS(P505
P506)</v>
      </c>
      <c r="I342" s="6" t="s">
        <v>326</v>
      </c>
      <c r="J342" s="6"/>
      <c r="K342" s="6"/>
      <c r="L342" s="6" t="s">
        <v>657</v>
      </c>
      <c r="M342" s="6" t="str">
        <f>VLOOKUP(L342, GLOSSARY!$A:$C, 2, FALSE)</f>
        <v>UNKNOWN</v>
      </c>
      <c r="N342" s="6" t="s">
        <v>287</v>
      </c>
      <c r="O342" s="6"/>
      <c r="P342" s="6"/>
      <c r="Q342" s="6"/>
      <c r="R342" s="6"/>
      <c r="S342" s="6"/>
      <c r="T342" s="6"/>
      <c r="U342" s="6"/>
      <c r="V342" s="6"/>
      <c r="W342" s="6"/>
      <c r="X342" s="6"/>
      <c r="Y342" s="6"/>
      <c r="Z342" s="6"/>
      <c r="AA342" s="6"/>
      <c r="AB342" s="6"/>
      <c r="AC342" s="6"/>
      <c r="AD342" s="6"/>
      <c r="AE342" s="6"/>
    </row>
    <row r="343" spans="1:31" ht="25.5" x14ac:dyDescent="0.2">
      <c r="A343" s="6" t="s">
        <v>2824</v>
      </c>
      <c r="B343" s="6" t="s">
        <v>2825</v>
      </c>
      <c r="C343" s="20" t="s">
        <v>2826</v>
      </c>
      <c r="D343" s="6" t="s">
        <v>2827</v>
      </c>
      <c r="E343" s="6"/>
      <c r="F343" s="6" t="s">
        <v>297</v>
      </c>
      <c r="G343" s="6" t="s">
        <v>296</v>
      </c>
      <c r="H343" s="6" t="str">
        <f t="shared" si="25"/>
        <v>JOB(P29)</v>
      </c>
      <c r="I343" s="6" t="s">
        <v>248</v>
      </c>
      <c r="J343" s="6"/>
      <c r="K343" s="6"/>
      <c r="L343" s="6" t="s">
        <v>55</v>
      </c>
      <c r="M343" s="6" t="str">
        <f>VLOOKUP(L343, GLOSSARY!$A:$C, 2, FALSE)</f>
        <v>EGYPT ESTATE</v>
      </c>
      <c r="N343" s="6" t="s">
        <v>68</v>
      </c>
      <c r="O343" s="6"/>
      <c r="P343" s="6"/>
      <c r="Q343" s="6"/>
      <c r="R343" s="6"/>
      <c r="S343" s="6"/>
      <c r="T343" s="6"/>
      <c r="U343" s="6"/>
      <c r="V343" s="6"/>
      <c r="W343" s="6"/>
      <c r="X343" s="6"/>
      <c r="Y343" s="6"/>
      <c r="Z343" s="6"/>
      <c r="AA343" s="6"/>
      <c r="AB343" s="6"/>
      <c r="AC343" s="6"/>
      <c r="AD343" s="6"/>
      <c r="AE343" s="6"/>
    </row>
    <row r="344" spans="1:31" ht="63.75" x14ac:dyDescent="0.2">
      <c r="A344" s="6" t="s">
        <v>2829</v>
      </c>
      <c r="B344" s="6" t="s">
        <v>2830</v>
      </c>
      <c r="C344" s="20" t="s">
        <v>2831</v>
      </c>
      <c r="D344" s="6" t="s">
        <v>2832</v>
      </c>
      <c r="E344" s="6"/>
      <c r="F344" s="6" t="s">
        <v>1165</v>
      </c>
      <c r="G344" s="6" t="s">
        <v>1164</v>
      </c>
      <c r="H344" s="6" t="str">
        <f>CONCATENATE(F344," (",G344,")")</f>
        <v>OLD KATY (P184)</v>
      </c>
      <c r="I344" s="6" t="s">
        <v>2834</v>
      </c>
      <c r="J344" s="6"/>
      <c r="K344" s="6"/>
      <c r="L344" s="6" t="s">
        <v>55</v>
      </c>
      <c r="M344" s="6" t="str">
        <f>VLOOKUP(L344, GLOSSARY!$A:$C, 2, FALSE)</f>
        <v>EGYPT ESTATE</v>
      </c>
      <c r="N344" s="6" t="s">
        <v>68</v>
      </c>
      <c r="O344" s="6"/>
      <c r="P344" s="6"/>
      <c r="Q344" s="6"/>
      <c r="R344" s="6"/>
      <c r="S344" s="6"/>
      <c r="T344" s="6"/>
      <c r="U344" s="6"/>
      <c r="V344" s="6"/>
      <c r="W344" s="6"/>
      <c r="X344" s="6"/>
      <c r="Y344" s="6"/>
      <c r="Z344" s="6"/>
      <c r="AA344" s="6"/>
      <c r="AB344" s="6"/>
      <c r="AC344" s="6"/>
      <c r="AD344" s="6"/>
      <c r="AE344" s="6"/>
    </row>
    <row r="345" spans="1:31" ht="242.25" x14ac:dyDescent="0.2">
      <c r="A345" s="6" t="s">
        <v>2836</v>
      </c>
      <c r="B345" s="6" t="s">
        <v>2837</v>
      </c>
      <c r="C345" s="20" t="s">
        <v>2831</v>
      </c>
      <c r="D345" s="6" t="s">
        <v>2838</v>
      </c>
      <c r="E345" s="6"/>
      <c r="F345" s="6" t="s">
        <v>2711</v>
      </c>
      <c r="G345" s="6" t="s">
        <v>2710</v>
      </c>
      <c r="H345" s="6" t="str">
        <f t="shared" ref="H345:H347" si="26">CONCATENATE(F345,"(",G345,")")</f>
        <v>CAPTAIN CUZZONS(P507)</v>
      </c>
      <c r="I345" s="6" t="s">
        <v>248</v>
      </c>
      <c r="J345" s="6"/>
      <c r="K345" s="6"/>
      <c r="L345" s="6" t="s">
        <v>657</v>
      </c>
      <c r="M345" s="6" t="str">
        <f>VLOOKUP(L345, GLOSSARY!$A:$C, 2, FALSE)</f>
        <v>UNKNOWN</v>
      </c>
      <c r="N345" s="6" t="s">
        <v>287</v>
      </c>
      <c r="O345" s="6"/>
      <c r="P345" s="6"/>
      <c r="Q345" s="6"/>
      <c r="R345" s="6"/>
      <c r="S345" s="6"/>
      <c r="T345" s="6"/>
      <c r="U345" s="6"/>
      <c r="V345" s="6"/>
      <c r="W345" s="6"/>
      <c r="X345" s="6"/>
      <c r="Y345" s="6"/>
      <c r="Z345" s="6"/>
      <c r="AA345" s="6"/>
      <c r="AB345" s="6"/>
      <c r="AC345" s="6"/>
      <c r="AD345" s="6"/>
      <c r="AE345" s="6"/>
    </row>
    <row r="346" spans="1:31" ht="89.25" x14ac:dyDescent="0.2">
      <c r="A346" s="6" t="s">
        <v>2843</v>
      </c>
      <c r="B346" s="6" t="s">
        <v>2844</v>
      </c>
      <c r="C346" s="20" t="s">
        <v>2845</v>
      </c>
      <c r="D346" s="6" t="s">
        <v>2846</v>
      </c>
      <c r="E346" s="6"/>
      <c r="F346" s="6" t="s">
        <v>2847</v>
      </c>
      <c r="G346" s="6" t="s">
        <v>2848</v>
      </c>
      <c r="H346" s="6" t="str">
        <f t="shared" si="26"/>
        <v>PORT ROYAL
CHRISHEA
DIDO
ZACHARY(P212
P126
P105
P477)</v>
      </c>
      <c r="I346" s="6" t="s">
        <v>784</v>
      </c>
      <c r="J346" s="6"/>
      <c r="K346" s="6"/>
      <c r="L346" s="6" t="s">
        <v>2849</v>
      </c>
      <c r="M346" s="6" t="str">
        <f>VLOOKUP(L346, GLOSSARY!$A:$C, 2, FALSE)</f>
        <v>EGYPT POTATO PIECE</v>
      </c>
      <c r="N346" s="6" t="s">
        <v>68</v>
      </c>
      <c r="O346" s="6"/>
      <c r="P346" s="6"/>
      <c r="Q346" s="6"/>
      <c r="R346" s="6"/>
      <c r="S346" s="6"/>
      <c r="T346" s="6"/>
      <c r="U346" s="6"/>
      <c r="V346" s="6"/>
      <c r="W346" s="6"/>
      <c r="X346" s="6"/>
      <c r="Y346" s="6"/>
      <c r="Z346" s="6"/>
      <c r="AA346" s="6"/>
      <c r="AB346" s="6"/>
      <c r="AC346" s="6"/>
      <c r="AD346" s="6"/>
      <c r="AE346" s="6"/>
    </row>
    <row r="347" spans="1:31" ht="38.25" x14ac:dyDescent="0.2">
      <c r="A347" s="6" t="s">
        <v>2712</v>
      </c>
      <c r="B347" s="6" t="s">
        <v>2851</v>
      </c>
      <c r="C347" s="20" t="s">
        <v>2852</v>
      </c>
      <c r="D347" s="6" t="s">
        <v>2854</v>
      </c>
      <c r="E347" s="6"/>
      <c r="F347" s="6" t="s">
        <v>1744</v>
      </c>
      <c r="G347" s="6" t="s">
        <v>1743</v>
      </c>
      <c r="H347" s="6" t="str">
        <f t="shared" si="26"/>
        <v>DERBY(P295)</v>
      </c>
      <c r="I347" s="6" t="s">
        <v>248</v>
      </c>
      <c r="J347" s="6"/>
      <c r="K347" s="6"/>
      <c r="L347" s="6" t="s">
        <v>55</v>
      </c>
      <c r="M347" s="6" t="str">
        <f>VLOOKUP(L347, GLOSSARY!$A:$C, 2, FALSE)</f>
        <v>EGYPT ESTATE</v>
      </c>
      <c r="N347" s="6" t="s">
        <v>68</v>
      </c>
      <c r="O347" s="6"/>
      <c r="P347" s="6"/>
      <c r="Q347" s="6"/>
      <c r="R347" s="6"/>
      <c r="S347" s="6"/>
      <c r="T347" s="6"/>
      <c r="U347" s="6"/>
      <c r="V347" s="6"/>
      <c r="W347" s="6"/>
      <c r="X347" s="6"/>
      <c r="Y347" s="6"/>
      <c r="Z347" s="6"/>
      <c r="AA347" s="6"/>
      <c r="AB347" s="6"/>
      <c r="AC347" s="6"/>
      <c r="AD347" s="6"/>
      <c r="AE347" s="6"/>
    </row>
    <row r="348" spans="1:31" ht="114.75" x14ac:dyDescent="0.2">
      <c r="A348" s="39" t="s">
        <v>2857</v>
      </c>
      <c r="B348" s="39" t="s">
        <v>2858</v>
      </c>
      <c r="C348" s="48" t="s">
        <v>2859</v>
      </c>
      <c r="D348" s="39" t="s">
        <v>2860</v>
      </c>
      <c r="E348" s="49"/>
      <c r="F348" s="49"/>
      <c r="G348" s="49"/>
      <c r="H348" s="39" t="str">
        <f>CONCATENATE(F347,"(",G347,")")</f>
        <v>DERBY(P295)</v>
      </c>
      <c r="I348" s="15" t="s">
        <v>26</v>
      </c>
      <c r="J348" s="49"/>
      <c r="K348" s="49"/>
      <c r="L348" s="39" t="s">
        <v>2863</v>
      </c>
      <c r="M348" s="39" t="str">
        <f>VLOOKUP(L348, GLOSSARY!$A:$C, 2, FALSE)</f>
        <v>ANTIGUA</v>
      </c>
      <c r="N348" s="39" t="s">
        <v>2866</v>
      </c>
      <c r="O348" s="49"/>
      <c r="P348" s="49"/>
      <c r="Q348" s="49"/>
      <c r="R348" s="49"/>
      <c r="S348" s="49"/>
      <c r="T348" s="49"/>
      <c r="U348" s="49"/>
      <c r="V348" s="49"/>
      <c r="W348" s="49"/>
      <c r="X348" s="49"/>
      <c r="Y348" s="49"/>
      <c r="Z348" s="49"/>
      <c r="AA348" s="49"/>
      <c r="AB348" s="49"/>
      <c r="AC348" s="49"/>
      <c r="AD348" s="49"/>
      <c r="AE348" s="49"/>
    </row>
    <row r="349" spans="1:31" ht="89.25" x14ac:dyDescent="0.2">
      <c r="A349" s="6" t="s">
        <v>2867</v>
      </c>
      <c r="B349" s="6" t="s">
        <v>2868</v>
      </c>
      <c r="C349" s="20" t="s">
        <v>2869</v>
      </c>
      <c r="D349" s="6" t="s">
        <v>2870</v>
      </c>
      <c r="E349" s="6"/>
      <c r="F349" s="6" t="s">
        <v>2871</v>
      </c>
      <c r="G349" s="6" t="s">
        <v>2872</v>
      </c>
      <c r="H349" s="6" t="str">
        <f t="shared" ref="H349:H354" si="27">CONCATENATE(F349,"(",G349,")")</f>
        <v>JOHN HUTT
MR. WEECH
JOHN COPE
MOLLY COPE(P51
P44
P45
P202)</v>
      </c>
      <c r="I349" s="6" t="s">
        <v>859</v>
      </c>
      <c r="J349" s="6"/>
      <c r="K349" s="6"/>
      <c r="L349" s="6" t="s">
        <v>55</v>
      </c>
      <c r="M349" s="6" t="str">
        <f>VLOOKUP(L349, GLOSSARY!$A:$C, 2, FALSE)</f>
        <v>EGYPT ESTATE</v>
      </c>
      <c r="N349" s="6" t="s">
        <v>167</v>
      </c>
      <c r="O349" s="6"/>
      <c r="P349" s="6"/>
      <c r="Q349" s="6"/>
      <c r="R349" s="6"/>
      <c r="S349" s="6"/>
      <c r="T349" s="6"/>
      <c r="U349" s="6"/>
      <c r="V349" s="6"/>
      <c r="W349" s="6"/>
      <c r="X349" s="6"/>
      <c r="Y349" s="6"/>
      <c r="Z349" s="6"/>
      <c r="AA349" s="6"/>
      <c r="AB349" s="6"/>
      <c r="AC349" s="6"/>
      <c r="AD349" s="6"/>
      <c r="AE349" s="6"/>
    </row>
    <row r="350" spans="1:31" ht="12.75" x14ac:dyDescent="0.2">
      <c r="A350" s="6" t="s">
        <v>2867</v>
      </c>
      <c r="B350" s="6" t="s">
        <v>2877</v>
      </c>
      <c r="C350" s="20" t="s">
        <v>2878</v>
      </c>
      <c r="D350" s="6" t="s">
        <v>2879</v>
      </c>
      <c r="E350" s="6"/>
      <c r="F350" s="6" t="s">
        <v>2880</v>
      </c>
      <c r="G350" s="6" t="s">
        <v>451</v>
      </c>
      <c r="H350" s="6" t="str">
        <f t="shared" si="27"/>
        <v>JOHN HUTT(P51)</v>
      </c>
      <c r="I350" s="6" t="s">
        <v>859</v>
      </c>
      <c r="J350" s="6"/>
      <c r="K350" s="6"/>
      <c r="L350" s="6" t="s">
        <v>55</v>
      </c>
      <c r="M350" s="6" t="str">
        <f>VLOOKUP(L350, GLOSSARY!$A:$C, 2, FALSE)</f>
        <v>EGYPT ESTATE</v>
      </c>
      <c r="N350" s="6" t="s">
        <v>167</v>
      </c>
      <c r="O350" s="6"/>
      <c r="P350" s="6"/>
      <c r="Q350" s="6"/>
      <c r="R350" s="6"/>
      <c r="S350" s="6"/>
      <c r="T350" s="6"/>
      <c r="U350" s="6"/>
      <c r="V350" s="6"/>
      <c r="W350" s="6"/>
      <c r="X350" s="6"/>
      <c r="Y350" s="6"/>
      <c r="Z350" s="6"/>
      <c r="AA350" s="6"/>
      <c r="AB350" s="6"/>
      <c r="AC350" s="6"/>
      <c r="AD350" s="6"/>
      <c r="AE350" s="6"/>
    </row>
    <row r="351" spans="1:31" ht="89.25" x14ac:dyDescent="0.2">
      <c r="A351" s="6" t="s">
        <v>2884</v>
      </c>
      <c r="B351" s="6" t="s">
        <v>2885</v>
      </c>
      <c r="C351" s="20" t="s">
        <v>2886</v>
      </c>
      <c r="D351" s="6" t="s">
        <v>2887</v>
      </c>
      <c r="E351" s="6"/>
      <c r="F351" s="6" t="s">
        <v>2888</v>
      </c>
      <c r="G351" s="6" t="s">
        <v>2889</v>
      </c>
      <c r="H351" s="6" t="str">
        <f t="shared" si="27"/>
        <v>THE OVERSEER
BELLA
PHIBBAH(P223
P43
P7)</v>
      </c>
      <c r="I351" s="6" t="s">
        <v>409</v>
      </c>
      <c r="J351" s="6"/>
      <c r="K351" s="6"/>
      <c r="L351" s="6" t="s">
        <v>2890</v>
      </c>
      <c r="M351" s="6" t="str">
        <f>VLOOKUP(L351, GLOSSARY!$A:$C, 2, FALSE)</f>
        <v>THISTLEWOOD'S HOUSE</v>
      </c>
      <c r="N351" s="6" t="s">
        <v>167</v>
      </c>
      <c r="O351" s="6"/>
      <c r="P351" s="6"/>
      <c r="Q351" s="6"/>
      <c r="R351" s="6"/>
      <c r="S351" s="6"/>
      <c r="T351" s="6"/>
      <c r="U351" s="6"/>
      <c r="V351" s="6"/>
      <c r="W351" s="6"/>
      <c r="X351" s="6"/>
      <c r="Y351" s="6"/>
      <c r="Z351" s="6"/>
      <c r="AA351" s="6"/>
      <c r="AB351" s="6"/>
      <c r="AC351" s="6"/>
      <c r="AD351" s="6"/>
      <c r="AE351" s="6"/>
    </row>
    <row r="352" spans="1:31" ht="38.25" x14ac:dyDescent="0.2">
      <c r="A352" s="6" t="s">
        <v>2894</v>
      </c>
      <c r="B352" s="6" t="s">
        <v>2895</v>
      </c>
      <c r="C352" s="20" t="s">
        <v>2896</v>
      </c>
      <c r="D352" s="6" t="s">
        <v>2897</v>
      </c>
      <c r="E352" s="6"/>
      <c r="F352" s="6" t="s">
        <v>2898</v>
      </c>
      <c r="G352" s="6" t="s">
        <v>2899</v>
      </c>
      <c r="H352" s="6" t="str">
        <f t="shared" si="27"/>
        <v>THE OVERSEER
BETTY(P43
P134)</v>
      </c>
      <c r="I352" s="6" t="s">
        <v>784</v>
      </c>
      <c r="J352" s="6"/>
      <c r="K352" s="6"/>
      <c r="L352" s="6" t="s">
        <v>55</v>
      </c>
      <c r="M352" s="6" t="str">
        <f>VLOOKUP(L352, GLOSSARY!$A:$C, 2, FALSE)</f>
        <v>EGYPT ESTATE</v>
      </c>
      <c r="N352" s="6" t="s">
        <v>68</v>
      </c>
      <c r="O352" s="6"/>
      <c r="P352" s="6"/>
      <c r="Q352" s="6"/>
      <c r="R352" s="6"/>
      <c r="S352" s="6"/>
      <c r="T352" s="6"/>
      <c r="U352" s="6"/>
      <c r="V352" s="6"/>
      <c r="W352" s="6"/>
      <c r="X352" s="6"/>
      <c r="Y352" s="6"/>
      <c r="Z352" s="6"/>
      <c r="AA352" s="6"/>
      <c r="AB352" s="6"/>
      <c r="AC352" s="6"/>
      <c r="AD352" s="6"/>
      <c r="AE352" s="6"/>
    </row>
    <row r="353" spans="1:31" ht="38.25" x14ac:dyDescent="0.2">
      <c r="A353" s="6" t="s">
        <v>2712</v>
      </c>
      <c r="B353" s="6" t="s">
        <v>2895</v>
      </c>
      <c r="C353" s="20" t="s">
        <v>2902</v>
      </c>
      <c r="D353" s="6" t="s">
        <v>2903</v>
      </c>
      <c r="E353" s="6"/>
      <c r="F353" s="6" t="s">
        <v>2904</v>
      </c>
      <c r="G353" s="6" t="s">
        <v>2905</v>
      </c>
      <c r="H353" s="6" t="str">
        <f t="shared" si="27"/>
        <v>DERBY
HAZAT(P87
P295)</v>
      </c>
      <c r="I353" s="6" t="s">
        <v>656</v>
      </c>
      <c r="J353" s="6"/>
      <c r="K353" s="6"/>
      <c r="L353" s="6" t="s">
        <v>55</v>
      </c>
      <c r="M353" s="6" t="str">
        <f>VLOOKUP(L353, GLOSSARY!$A:$C, 2, FALSE)</f>
        <v>EGYPT ESTATE</v>
      </c>
      <c r="N353" s="6" t="s">
        <v>2908</v>
      </c>
      <c r="O353" s="6"/>
      <c r="P353" s="6"/>
      <c r="Q353" s="6"/>
      <c r="R353" s="6"/>
      <c r="S353" s="6"/>
      <c r="T353" s="6"/>
      <c r="U353" s="6"/>
      <c r="V353" s="6"/>
      <c r="W353" s="6"/>
      <c r="X353" s="6"/>
      <c r="Y353" s="6"/>
      <c r="Z353" s="6"/>
      <c r="AA353" s="6"/>
      <c r="AB353" s="6"/>
      <c r="AC353" s="6"/>
      <c r="AD353" s="6"/>
      <c r="AE353" s="6"/>
    </row>
    <row r="354" spans="1:31" ht="38.25" x14ac:dyDescent="0.2">
      <c r="A354" s="6" t="s">
        <v>2712</v>
      </c>
      <c r="B354" s="6" t="s">
        <v>2895</v>
      </c>
      <c r="C354" s="20" t="s">
        <v>2902</v>
      </c>
      <c r="D354" s="6" t="s">
        <v>2911</v>
      </c>
      <c r="E354" s="6"/>
      <c r="F354" s="6" t="s">
        <v>2912</v>
      </c>
      <c r="G354" s="6" t="s">
        <v>2905</v>
      </c>
      <c r="H354" s="6" t="str">
        <f t="shared" si="27"/>
        <v>HAZAT
DERBY(P87
P295)</v>
      </c>
      <c r="I354" s="6" t="s">
        <v>656</v>
      </c>
      <c r="J354" s="6"/>
      <c r="K354" s="6"/>
      <c r="L354" s="6" t="s">
        <v>55</v>
      </c>
      <c r="M354" s="6" t="str">
        <f>VLOOKUP(L354, GLOSSARY!$A:$C, 2, FALSE)</f>
        <v>EGYPT ESTATE</v>
      </c>
      <c r="N354" s="6" t="s">
        <v>287</v>
      </c>
      <c r="O354" s="6"/>
      <c r="P354" s="6"/>
      <c r="Q354" s="6"/>
      <c r="R354" s="6"/>
      <c r="S354" s="6"/>
      <c r="T354" s="6"/>
      <c r="U354" s="6"/>
      <c r="V354" s="6"/>
      <c r="W354" s="6"/>
      <c r="X354" s="6"/>
      <c r="Y354" s="6"/>
      <c r="Z354" s="6"/>
      <c r="AA354" s="6"/>
      <c r="AB354" s="6"/>
      <c r="AC354" s="6"/>
      <c r="AD354" s="6"/>
      <c r="AE354" s="6"/>
    </row>
    <row r="355" spans="1:31" ht="127.5" x14ac:dyDescent="0.2">
      <c r="A355" s="6" t="s">
        <v>2915</v>
      </c>
      <c r="B355" s="6" t="s">
        <v>2917</v>
      </c>
      <c r="C355" s="20" t="s">
        <v>2918</v>
      </c>
      <c r="D355" s="6" t="s">
        <v>2919</v>
      </c>
      <c r="E355" s="6"/>
      <c r="F355" s="6" t="s">
        <v>2920</v>
      </c>
      <c r="G355" s="6" t="s">
        <v>2921</v>
      </c>
      <c r="H355" s="6" t="str">
        <f>CONCATENATE(F355," (",G355,")")</f>
        <v>WILLIAM CROOKSHANKS
MIRTILLA
DOCTOR ROBINSON
EGYPT LUCY (P189
P97
P188
P3)</v>
      </c>
      <c r="I355" s="6" t="s">
        <v>96</v>
      </c>
      <c r="J355" s="6"/>
      <c r="K355" s="6"/>
      <c r="L355" s="6" t="s">
        <v>2924</v>
      </c>
      <c r="M355" s="6" t="e">
        <f>VLOOKUP(L355, GLOSSARY!$A:$C, 2, FALSE)</f>
        <v>#N/A</v>
      </c>
      <c r="N355" s="6" t="s">
        <v>68</v>
      </c>
      <c r="O355" s="6"/>
      <c r="P355" s="6"/>
      <c r="Q355" s="6"/>
      <c r="R355" s="6"/>
      <c r="S355" s="6"/>
      <c r="T355" s="6"/>
      <c r="U355" s="6"/>
      <c r="V355" s="6"/>
      <c r="W355" s="6"/>
      <c r="X355" s="6"/>
      <c r="Y355" s="6"/>
      <c r="Z355" s="6"/>
      <c r="AA355" s="6"/>
      <c r="AB355" s="6"/>
      <c r="AC355" s="6"/>
      <c r="AD355" s="6"/>
      <c r="AE355" s="6"/>
    </row>
    <row r="356" spans="1:31" ht="229.5" x14ac:dyDescent="0.2">
      <c r="A356" s="6" t="s">
        <v>2712</v>
      </c>
      <c r="B356" s="6" t="s">
        <v>2926</v>
      </c>
      <c r="C356" s="20" t="s">
        <v>2918</v>
      </c>
      <c r="D356" s="6" t="s">
        <v>2927</v>
      </c>
      <c r="E356" s="6"/>
      <c r="F356" s="6" t="s">
        <v>2928</v>
      </c>
      <c r="G356" s="6" t="s">
        <v>2929</v>
      </c>
      <c r="H356" s="6" t="str">
        <f t="shared" ref="H356:H358" si="28">CONCATENATE(F356,"(",G356,")")</f>
        <v>PARADISE DOVER
DERBY(P494
P295)</v>
      </c>
      <c r="I356" s="6" t="s">
        <v>656</v>
      </c>
      <c r="J356" s="6"/>
      <c r="K356" s="6"/>
      <c r="L356" s="6"/>
      <c r="M356" s="6" t="e">
        <f>VLOOKUP(L356, GLOSSARY!$A:$C, 2, FALSE)</f>
        <v>#N/A</v>
      </c>
      <c r="N356" s="6"/>
      <c r="O356" s="6"/>
      <c r="P356" s="6"/>
      <c r="Q356" s="6"/>
      <c r="R356" s="6"/>
      <c r="S356" s="6"/>
      <c r="T356" s="6"/>
      <c r="U356" s="6"/>
      <c r="V356" s="6"/>
      <c r="W356" s="6"/>
      <c r="X356" s="6"/>
      <c r="Y356" s="6"/>
      <c r="Z356" s="6"/>
      <c r="AA356" s="6"/>
      <c r="AB356" s="6"/>
      <c r="AC356" s="6"/>
      <c r="AD356" s="6"/>
      <c r="AE356" s="6"/>
    </row>
    <row r="357" spans="1:31" ht="229.5" x14ac:dyDescent="0.2">
      <c r="A357" s="6" t="s">
        <v>2712</v>
      </c>
      <c r="B357" s="6" t="s">
        <v>2926</v>
      </c>
      <c r="C357" s="20" t="s">
        <v>2918</v>
      </c>
      <c r="D357" s="6" t="s">
        <v>2933</v>
      </c>
      <c r="E357" s="6"/>
      <c r="F357" s="6" t="s">
        <v>2934</v>
      </c>
      <c r="G357" s="6" t="s">
        <v>2935</v>
      </c>
      <c r="H357" s="6" t="str">
        <f t="shared" si="28"/>
        <v>PARADISE DOVER
DERBY
THE OVERSEER
PLATO
COBENNA(P494
P295
P43
P208
P493)</v>
      </c>
      <c r="I357" s="6" t="s">
        <v>656</v>
      </c>
      <c r="J357" s="6"/>
      <c r="K357" s="6"/>
      <c r="L357" s="6" t="s">
        <v>2936</v>
      </c>
      <c r="M357" s="6" t="str">
        <f>VLOOKUP(L357, GLOSSARY!$A:$C, 2, FALSE)</f>
        <v>CABARITTA BRIDGE</v>
      </c>
      <c r="N357" s="6" t="s">
        <v>167</v>
      </c>
      <c r="O357" s="6"/>
      <c r="P357" s="6"/>
      <c r="Q357" s="6"/>
      <c r="R357" s="6"/>
      <c r="S357" s="6"/>
      <c r="T357" s="6"/>
      <c r="U357" s="6"/>
      <c r="V357" s="6"/>
      <c r="W357" s="6"/>
      <c r="X357" s="6"/>
      <c r="Y357" s="6"/>
      <c r="Z357" s="6"/>
      <c r="AA357" s="6"/>
      <c r="AB357" s="6"/>
      <c r="AC357" s="6"/>
      <c r="AD357" s="6"/>
      <c r="AE357" s="6"/>
    </row>
    <row r="358" spans="1:31" ht="38.25" x14ac:dyDescent="0.2">
      <c r="A358" s="6" t="s">
        <v>2712</v>
      </c>
      <c r="B358" s="6" t="s">
        <v>2939</v>
      </c>
      <c r="C358" s="20" t="s">
        <v>2940</v>
      </c>
      <c r="D358" s="6" t="s">
        <v>2941</v>
      </c>
      <c r="E358" s="6"/>
      <c r="F358" s="6" t="s">
        <v>1744</v>
      </c>
      <c r="G358" s="6" t="s">
        <v>1743</v>
      </c>
      <c r="H358" s="6" t="str">
        <f t="shared" si="28"/>
        <v>DERBY(P295)</v>
      </c>
      <c r="I358" s="6" t="s">
        <v>112</v>
      </c>
      <c r="J358" s="6"/>
      <c r="K358" s="6"/>
      <c r="L358" s="6" t="s">
        <v>55</v>
      </c>
      <c r="M358" s="6" t="str">
        <f>VLOOKUP(L358, GLOSSARY!$A:$C, 2, FALSE)</f>
        <v>EGYPT ESTATE</v>
      </c>
      <c r="N358" s="6" t="s">
        <v>287</v>
      </c>
      <c r="O358" s="6"/>
      <c r="P358" s="6"/>
      <c r="Q358" s="6"/>
      <c r="R358" s="6"/>
      <c r="S358" s="6"/>
      <c r="T358" s="6"/>
      <c r="U358" s="6"/>
      <c r="V358" s="6"/>
      <c r="W358" s="6"/>
      <c r="X358" s="6"/>
      <c r="Y358" s="6"/>
      <c r="Z358" s="6"/>
      <c r="AA358" s="6"/>
      <c r="AB358" s="6"/>
      <c r="AC358" s="6"/>
      <c r="AD358" s="6"/>
      <c r="AE358" s="6"/>
    </row>
    <row r="359" spans="1:31" ht="165.75" x14ac:dyDescent="0.2">
      <c r="A359" s="6" t="s">
        <v>2915</v>
      </c>
      <c r="B359" s="6" t="s">
        <v>2946</v>
      </c>
      <c r="C359" s="20" t="s">
        <v>2947</v>
      </c>
      <c r="D359" s="6" t="s">
        <v>2948</v>
      </c>
      <c r="E359" s="6"/>
      <c r="F359" s="6" t="s">
        <v>2949</v>
      </c>
      <c r="G359" s="6" t="s">
        <v>2950</v>
      </c>
      <c r="H359" s="6" t="str">
        <f>CONCATENATE(F359," (",G359,")")</f>
        <v>THE OVERSEER
MIRTILLA
MIRTILLA'S DAUGHTER
EGYPT LUCY (P43
P97
P190
P3)</v>
      </c>
      <c r="I359" s="6" t="s">
        <v>859</v>
      </c>
      <c r="J359" s="6"/>
      <c r="K359" s="6"/>
      <c r="L359" s="6" t="s">
        <v>2951</v>
      </c>
      <c r="M359" s="6" t="str">
        <f>VLOOKUP(L359, GLOSSARY!$A:$C, 2, FALSE)</f>
        <v>NORTH AMERICA</v>
      </c>
      <c r="N359" s="6" t="s">
        <v>167</v>
      </c>
      <c r="O359" s="6"/>
      <c r="P359" s="6"/>
      <c r="Q359" s="6"/>
      <c r="R359" s="6"/>
      <c r="S359" s="6"/>
      <c r="T359" s="6"/>
      <c r="U359" s="6"/>
      <c r="V359" s="6"/>
      <c r="W359" s="6"/>
      <c r="X359" s="6"/>
      <c r="Y359" s="6"/>
      <c r="Z359" s="6"/>
      <c r="AA359" s="6"/>
      <c r="AB359" s="6"/>
      <c r="AC359" s="6"/>
      <c r="AD359" s="6"/>
      <c r="AE359" s="6"/>
    </row>
    <row r="360" spans="1:31" ht="25.5" x14ac:dyDescent="0.2">
      <c r="A360" s="6" t="s">
        <v>2952</v>
      </c>
      <c r="B360" s="6" t="s">
        <v>2953</v>
      </c>
      <c r="C360" s="50" t="s">
        <v>2954</v>
      </c>
      <c r="D360" s="6" t="s">
        <v>2955</v>
      </c>
      <c r="E360" s="6"/>
      <c r="F360" s="6" t="s">
        <v>1982</v>
      </c>
      <c r="G360" s="6" t="s">
        <v>1981</v>
      </c>
      <c r="H360" s="6" t="str">
        <f t="shared" ref="H360:H441" si="29">CONCATENATE(F360,"(",G360,")")</f>
        <v>PUNCH(P348)</v>
      </c>
      <c r="I360" s="6" t="s">
        <v>656</v>
      </c>
      <c r="J360" s="6"/>
      <c r="K360" s="6"/>
      <c r="L360" s="6" t="s">
        <v>55</v>
      </c>
      <c r="M360" s="6" t="str">
        <f>VLOOKUP(L360, GLOSSARY!$A:$C, 2, FALSE)</f>
        <v>EGYPT ESTATE</v>
      </c>
      <c r="N360" s="6" t="s">
        <v>287</v>
      </c>
      <c r="O360" s="6"/>
      <c r="P360" s="6"/>
      <c r="Q360" s="6"/>
      <c r="R360" s="6"/>
      <c r="S360" s="6"/>
      <c r="T360" s="6"/>
      <c r="U360" s="6"/>
      <c r="V360" s="6"/>
      <c r="W360" s="6"/>
      <c r="X360" s="6"/>
      <c r="Y360" s="6"/>
      <c r="Z360" s="6"/>
      <c r="AA360" s="6"/>
      <c r="AB360" s="6"/>
      <c r="AC360" s="6"/>
      <c r="AD360" s="6"/>
      <c r="AE360" s="6"/>
    </row>
    <row r="361" spans="1:31" ht="12.75" x14ac:dyDescent="0.2">
      <c r="A361" s="6" t="s">
        <v>2952</v>
      </c>
      <c r="B361" s="6" t="s">
        <v>2953</v>
      </c>
      <c r="C361" s="20" t="s">
        <v>2958</v>
      </c>
      <c r="D361" s="6" t="s">
        <v>2959</v>
      </c>
      <c r="E361" s="6"/>
      <c r="F361" s="6" t="s">
        <v>1982</v>
      </c>
      <c r="G361" s="6" t="s">
        <v>1981</v>
      </c>
      <c r="H361" s="6" t="str">
        <f t="shared" si="29"/>
        <v>PUNCH(P348)</v>
      </c>
      <c r="I361" s="6" t="s">
        <v>656</v>
      </c>
      <c r="J361" s="6"/>
      <c r="K361" s="6"/>
      <c r="L361" s="6" t="s">
        <v>55</v>
      </c>
      <c r="M361" s="6" t="str">
        <f>VLOOKUP(L361, GLOSSARY!$A:$C, 2, FALSE)</f>
        <v>EGYPT ESTATE</v>
      </c>
      <c r="N361" s="6" t="s">
        <v>68</v>
      </c>
      <c r="O361" s="6"/>
      <c r="P361" s="6"/>
      <c r="Q361" s="6"/>
      <c r="R361" s="6"/>
      <c r="S361" s="6"/>
      <c r="T361" s="6"/>
      <c r="U361" s="6"/>
      <c r="V361" s="6"/>
      <c r="W361" s="6"/>
      <c r="X361" s="6"/>
      <c r="Y361" s="6"/>
      <c r="Z361" s="6"/>
      <c r="AA361" s="6"/>
      <c r="AB361" s="6"/>
      <c r="AC361" s="6"/>
      <c r="AD361" s="6"/>
      <c r="AE361" s="6"/>
    </row>
    <row r="362" spans="1:31" ht="38.25" x14ac:dyDescent="0.2">
      <c r="A362" s="6" t="s">
        <v>2962</v>
      </c>
      <c r="B362" s="6" t="s">
        <v>2963</v>
      </c>
      <c r="C362" s="20" t="s">
        <v>2958</v>
      </c>
      <c r="D362" s="6" t="s">
        <v>2966</v>
      </c>
      <c r="E362" s="6"/>
      <c r="F362" s="6" t="s">
        <v>2967</v>
      </c>
      <c r="G362" s="6" t="s">
        <v>2968</v>
      </c>
      <c r="H362" s="6" t="str">
        <f t="shared" si="29"/>
        <v>PORT ROYAL
BENJAMIN(P212
P413)</v>
      </c>
      <c r="I362" s="6" t="s">
        <v>656</v>
      </c>
      <c r="J362" s="6"/>
      <c r="K362" s="6"/>
      <c r="L362" s="6" t="s">
        <v>55</v>
      </c>
      <c r="M362" s="6" t="str">
        <f>VLOOKUP(L362, GLOSSARY!$A:$C, 2, FALSE)</f>
        <v>EGYPT ESTATE</v>
      </c>
      <c r="N362" s="6" t="s">
        <v>68</v>
      </c>
      <c r="O362" s="6"/>
      <c r="P362" s="6"/>
      <c r="Q362" s="6"/>
      <c r="R362" s="6"/>
      <c r="S362" s="6"/>
      <c r="T362" s="6"/>
      <c r="U362" s="6"/>
      <c r="V362" s="6"/>
      <c r="W362" s="6"/>
      <c r="X362" s="6"/>
      <c r="Y362" s="6"/>
      <c r="Z362" s="6"/>
      <c r="AA362" s="6"/>
      <c r="AB362" s="6"/>
      <c r="AC362" s="6"/>
      <c r="AD362" s="6"/>
      <c r="AE362" s="6"/>
    </row>
    <row r="363" spans="1:31" ht="89.25" x14ac:dyDescent="0.2">
      <c r="A363" s="6" t="s">
        <v>2971</v>
      </c>
      <c r="B363" s="6" t="s">
        <v>2963</v>
      </c>
      <c r="C363" s="20" t="s">
        <v>2972</v>
      </c>
      <c r="D363" s="6" t="s">
        <v>2973</v>
      </c>
      <c r="E363" s="6"/>
      <c r="F363" s="6" t="s">
        <v>2974</v>
      </c>
      <c r="G363" s="6" t="s">
        <v>2975</v>
      </c>
      <c r="H363" s="6" t="str">
        <f t="shared" si="29"/>
        <v>AGNES
MOUNTAIN LUCY
JENNY
SAUCY(P124
P30
P104
P420)</v>
      </c>
      <c r="I363" s="6" t="s">
        <v>784</v>
      </c>
      <c r="J363" s="6"/>
      <c r="K363" s="6"/>
      <c r="L363" s="6" t="s">
        <v>55</v>
      </c>
      <c r="M363" s="6" t="str">
        <f>VLOOKUP(L363, GLOSSARY!$A:$C, 2, FALSE)</f>
        <v>EGYPT ESTATE</v>
      </c>
      <c r="N363" s="6" t="s">
        <v>68</v>
      </c>
      <c r="O363" s="6"/>
      <c r="P363" s="6"/>
      <c r="Q363" s="6"/>
      <c r="R363" s="6"/>
      <c r="S363" s="6"/>
      <c r="T363" s="6"/>
      <c r="U363" s="6"/>
      <c r="V363" s="6"/>
      <c r="W363" s="6"/>
      <c r="X363" s="6"/>
      <c r="Y363" s="6"/>
      <c r="Z363" s="6"/>
      <c r="AA363" s="6"/>
      <c r="AB363" s="6"/>
      <c r="AC363" s="6"/>
      <c r="AD363" s="6"/>
      <c r="AE363" s="6"/>
    </row>
    <row r="364" spans="1:31" ht="102" x14ac:dyDescent="0.2">
      <c r="A364" s="6" t="s">
        <v>2962</v>
      </c>
      <c r="B364" s="6" t="s">
        <v>2963</v>
      </c>
      <c r="C364" s="20" t="s">
        <v>2972</v>
      </c>
      <c r="D364" s="6" t="s">
        <v>2978</v>
      </c>
      <c r="E364" s="6"/>
      <c r="F364" s="6" t="s">
        <v>2979</v>
      </c>
      <c r="G364" s="6" t="s">
        <v>2980</v>
      </c>
      <c r="H364" s="6" t="str">
        <f t="shared" si="29"/>
        <v>PORT ROYAL
BENJAMIN
JACKIE
THE OVERSEER
(P212
P413
P102
P43)</v>
      </c>
      <c r="I364" s="6" t="s">
        <v>112</v>
      </c>
      <c r="J364" s="6"/>
      <c r="K364" s="6"/>
      <c r="L364" s="6" t="s">
        <v>55</v>
      </c>
      <c r="M364" s="6" t="str">
        <f>VLOOKUP(L364, GLOSSARY!$A:$C, 2, FALSE)</f>
        <v>EGYPT ESTATE</v>
      </c>
      <c r="N364" s="6" t="s">
        <v>287</v>
      </c>
      <c r="O364" s="6"/>
      <c r="P364" s="6"/>
      <c r="Q364" s="6"/>
      <c r="R364" s="6"/>
      <c r="S364" s="6"/>
      <c r="T364" s="6"/>
      <c r="U364" s="6"/>
      <c r="V364" s="6"/>
      <c r="W364" s="6"/>
      <c r="X364" s="6"/>
      <c r="Y364" s="6"/>
      <c r="Z364" s="6"/>
      <c r="AA364" s="6"/>
      <c r="AB364" s="6"/>
      <c r="AC364" s="6"/>
      <c r="AD364" s="6"/>
      <c r="AE364" s="6"/>
    </row>
    <row r="365" spans="1:31" ht="38.25" x14ac:dyDescent="0.2">
      <c r="A365" s="6" t="s">
        <v>2983</v>
      </c>
      <c r="B365" s="6" t="s">
        <v>2984</v>
      </c>
      <c r="C365" s="20" t="s">
        <v>2985</v>
      </c>
      <c r="D365" s="6" t="s">
        <v>2986</v>
      </c>
      <c r="E365" s="6"/>
      <c r="F365" s="6"/>
      <c r="G365" s="6"/>
      <c r="H365" s="6" t="str">
        <f t="shared" si="29"/>
        <v>()</v>
      </c>
      <c r="I365" s="6" t="s">
        <v>784</v>
      </c>
      <c r="J365" s="6"/>
      <c r="K365" s="6"/>
      <c r="L365" s="6" t="s">
        <v>55</v>
      </c>
      <c r="M365" s="6" t="str">
        <f>VLOOKUP(L365, GLOSSARY!$A:$C, 2, FALSE)</f>
        <v>EGYPT ESTATE</v>
      </c>
      <c r="N365" s="6" t="s">
        <v>68</v>
      </c>
      <c r="O365" s="6"/>
      <c r="P365" s="6"/>
      <c r="Q365" s="6"/>
      <c r="R365" s="6"/>
      <c r="S365" s="6"/>
      <c r="T365" s="6"/>
      <c r="U365" s="6"/>
      <c r="V365" s="6"/>
      <c r="W365" s="6"/>
      <c r="X365" s="6"/>
      <c r="Y365" s="6"/>
      <c r="Z365" s="6"/>
      <c r="AA365" s="6"/>
      <c r="AB365" s="6"/>
      <c r="AC365" s="6"/>
      <c r="AD365" s="6"/>
      <c r="AE365" s="6"/>
    </row>
    <row r="366" spans="1:31" ht="63.75" x14ac:dyDescent="0.2">
      <c r="A366" s="6" t="s">
        <v>1558</v>
      </c>
      <c r="B366" s="6" t="s">
        <v>2984</v>
      </c>
      <c r="C366" s="20" t="s">
        <v>2985</v>
      </c>
      <c r="D366" s="6" t="s">
        <v>2989</v>
      </c>
      <c r="E366" s="6"/>
      <c r="F366" s="6" t="s">
        <v>2990</v>
      </c>
      <c r="G366" s="6" t="s">
        <v>2991</v>
      </c>
      <c r="H366" s="6" t="str">
        <f t="shared" si="29"/>
        <v>THE OVERSEER
ELLIN(P43
P33)</v>
      </c>
      <c r="I366" s="6" t="s">
        <v>409</v>
      </c>
      <c r="J366" s="6"/>
      <c r="K366" s="6"/>
      <c r="L366" s="6" t="s">
        <v>55</v>
      </c>
      <c r="M366" s="6" t="str">
        <f>VLOOKUP(L366, GLOSSARY!$A:$C, 2, FALSE)</f>
        <v>EGYPT ESTATE</v>
      </c>
      <c r="N366" s="6" t="s">
        <v>68</v>
      </c>
      <c r="O366" s="6"/>
      <c r="P366" s="6"/>
      <c r="Q366" s="6"/>
      <c r="R366" s="6"/>
      <c r="S366" s="6"/>
      <c r="T366" s="6"/>
      <c r="U366" s="6"/>
      <c r="V366" s="6"/>
      <c r="W366" s="6"/>
      <c r="X366" s="6"/>
      <c r="Y366" s="6"/>
      <c r="Z366" s="6"/>
      <c r="AA366" s="6"/>
      <c r="AB366" s="6"/>
      <c r="AC366" s="6"/>
      <c r="AD366" s="6"/>
      <c r="AE366" s="6"/>
    </row>
    <row r="367" spans="1:31" ht="25.5" x14ac:dyDescent="0.2">
      <c r="A367" s="6" t="s">
        <v>2799</v>
      </c>
      <c r="B367" s="6" t="s">
        <v>2994</v>
      </c>
      <c r="C367" s="20" t="s">
        <v>2995</v>
      </c>
      <c r="D367" s="6" t="s">
        <v>2996</v>
      </c>
      <c r="E367" s="6"/>
      <c r="F367" s="6" t="s">
        <v>297</v>
      </c>
      <c r="G367" s="6" t="s">
        <v>296</v>
      </c>
      <c r="H367" s="6" t="str">
        <f t="shared" si="29"/>
        <v>JOB(P29)</v>
      </c>
      <c r="I367" s="6" t="s">
        <v>784</v>
      </c>
      <c r="J367" s="6"/>
      <c r="K367" s="6"/>
      <c r="L367" s="6" t="s">
        <v>93</v>
      </c>
      <c r="M367" s="6" t="str">
        <f>VLOOKUP(L367, GLOSSARY!$A:$C, 2, FALSE)</f>
        <v>SALT RIVER ESTATE</v>
      </c>
      <c r="N367" s="6" t="s">
        <v>68</v>
      </c>
      <c r="O367" s="6"/>
      <c r="P367" s="6"/>
      <c r="Q367" s="6"/>
      <c r="R367" s="6"/>
      <c r="S367" s="6"/>
      <c r="T367" s="6"/>
      <c r="U367" s="6"/>
      <c r="V367" s="6"/>
      <c r="W367" s="6"/>
      <c r="X367" s="6"/>
      <c r="Y367" s="6"/>
      <c r="Z367" s="6"/>
      <c r="AA367" s="6"/>
      <c r="AB367" s="6"/>
      <c r="AC367" s="6"/>
      <c r="AD367" s="6"/>
      <c r="AE367" s="6"/>
    </row>
    <row r="368" spans="1:31" ht="38.25" x14ac:dyDescent="0.2">
      <c r="A368" s="6" t="s">
        <v>2998</v>
      </c>
      <c r="B368" s="6" t="s">
        <v>2994</v>
      </c>
      <c r="C368" s="20" t="s">
        <v>2995</v>
      </c>
      <c r="D368" s="6" t="s">
        <v>2999</v>
      </c>
      <c r="E368" s="6"/>
      <c r="F368" s="6" t="s">
        <v>704</v>
      </c>
      <c r="G368" s="6" t="s">
        <v>703</v>
      </c>
      <c r="H368" s="6" t="str">
        <f t="shared" si="29"/>
        <v>JACKIE(P102)</v>
      </c>
      <c r="I368" s="6" t="s">
        <v>656</v>
      </c>
      <c r="J368" s="6"/>
      <c r="K368" s="6"/>
      <c r="L368" s="6" t="s">
        <v>3002</v>
      </c>
      <c r="M368" s="6" t="str">
        <f>VLOOKUP(L368, GLOSSARY!$A:$C, 2, FALSE)</f>
        <v>TOP HILL CANES</v>
      </c>
      <c r="N368" s="6" t="s">
        <v>287</v>
      </c>
      <c r="O368" s="6"/>
      <c r="P368" s="6"/>
      <c r="Q368" s="6"/>
      <c r="R368" s="6"/>
      <c r="S368" s="6"/>
      <c r="T368" s="6"/>
      <c r="U368" s="6"/>
      <c r="V368" s="6"/>
      <c r="W368" s="6"/>
      <c r="X368" s="6"/>
      <c r="Y368" s="6"/>
      <c r="Z368" s="6"/>
      <c r="AA368" s="6"/>
      <c r="AB368" s="6"/>
      <c r="AC368" s="6"/>
      <c r="AD368" s="6"/>
      <c r="AE368" s="6"/>
    </row>
    <row r="369" spans="1:31" ht="63.75" x14ac:dyDescent="0.2">
      <c r="A369" s="6" t="s">
        <v>3004</v>
      </c>
      <c r="B369" s="6" t="s">
        <v>3005</v>
      </c>
      <c r="C369" s="20" t="s">
        <v>3006</v>
      </c>
      <c r="D369" s="6" t="s">
        <v>3007</v>
      </c>
      <c r="E369" s="6"/>
      <c r="F369" s="6" t="s">
        <v>1240</v>
      </c>
      <c r="G369" s="6" t="s">
        <v>3008</v>
      </c>
      <c r="H369" s="6" t="str">
        <f t="shared" si="29"/>
        <v>THE OVERSEER
AMBO(P43
170)</v>
      </c>
      <c r="I369" s="6" t="s">
        <v>957</v>
      </c>
      <c r="J369" s="6"/>
      <c r="K369" s="6"/>
      <c r="L369" s="6" t="s">
        <v>55</v>
      </c>
      <c r="M369" s="6" t="str">
        <f>VLOOKUP(L369, GLOSSARY!$A:$C, 2, FALSE)</f>
        <v>EGYPT ESTATE</v>
      </c>
      <c r="N369" s="6" t="s">
        <v>68</v>
      </c>
      <c r="O369" s="6"/>
      <c r="P369" s="6"/>
      <c r="Q369" s="6"/>
      <c r="R369" s="6"/>
      <c r="S369" s="6"/>
      <c r="T369" s="6"/>
      <c r="U369" s="6"/>
      <c r="V369" s="6"/>
      <c r="W369" s="6"/>
      <c r="X369" s="6"/>
      <c r="Y369" s="6"/>
      <c r="Z369" s="6"/>
      <c r="AA369" s="6"/>
      <c r="AB369" s="6"/>
      <c r="AC369" s="6"/>
      <c r="AD369" s="6"/>
      <c r="AE369" s="6"/>
    </row>
    <row r="370" spans="1:31" ht="12.75" x14ac:dyDescent="0.2">
      <c r="A370" s="6" t="s">
        <v>2998</v>
      </c>
      <c r="B370" s="6" t="s">
        <v>3011</v>
      </c>
      <c r="C370" s="20" t="s">
        <v>3006</v>
      </c>
      <c r="D370" s="6" t="s">
        <v>3013</v>
      </c>
      <c r="E370" s="6"/>
      <c r="F370" s="6" t="s">
        <v>704</v>
      </c>
      <c r="G370" s="6" t="s">
        <v>703</v>
      </c>
      <c r="H370" s="6" t="str">
        <f t="shared" si="29"/>
        <v>JACKIE(P102)</v>
      </c>
      <c r="I370" s="6" t="s">
        <v>656</v>
      </c>
      <c r="J370" s="6"/>
      <c r="K370" s="6"/>
      <c r="L370" s="6" t="s">
        <v>657</v>
      </c>
      <c r="M370" s="6" t="str">
        <f>VLOOKUP(L370, GLOSSARY!$A:$C, 2, FALSE)</f>
        <v>UNKNOWN</v>
      </c>
      <c r="N370" s="6" t="s">
        <v>287</v>
      </c>
      <c r="O370" s="6"/>
      <c r="P370" s="6"/>
      <c r="Q370" s="6"/>
      <c r="R370" s="6"/>
      <c r="S370" s="6"/>
      <c r="T370" s="6"/>
      <c r="U370" s="6"/>
      <c r="V370" s="6"/>
      <c r="W370" s="6"/>
      <c r="X370" s="6"/>
      <c r="Y370" s="6"/>
      <c r="Z370" s="6"/>
      <c r="AA370" s="6"/>
      <c r="AB370" s="6"/>
      <c r="AC370" s="6"/>
      <c r="AD370" s="6"/>
      <c r="AE370" s="6"/>
    </row>
    <row r="371" spans="1:31" ht="51" x14ac:dyDescent="0.2">
      <c r="A371" s="6" t="s">
        <v>3017</v>
      </c>
      <c r="B371" s="6" t="s">
        <v>3018</v>
      </c>
      <c r="C371" s="20" t="s">
        <v>3019</v>
      </c>
      <c r="D371" s="6" t="s">
        <v>3020</v>
      </c>
      <c r="E371" s="6"/>
      <c r="F371" s="6" t="s">
        <v>3021</v>
      </c>
      <c r="G371" s="6" t="s">
        <v>3022</v>
      </c>
      <c r="H371" s="6" t="str">
        <f t="shared" si="29"/>
        <v>HANNAH
HANNAH'S DAUGHTER(P221
P471)</v>
      </c>
      <c r="I371" s="6" t="s">
        <v>96</v>
      </c>
      <c r="J371" s="6"/>
      <c r="K371" s="6"/>
      <c r="L371" s="6" t="s">
        <v>55</v>
      </c>
      <c r="M371" s="6" t="str">
        <f>VLOOKUP(L371, GLOSSARY!$A:$C, 2, FALSE)</f>
        <v>EGYPT ESTATE</v>
      </c>
      <c r="N371" s="6" t="s">
        <v>167</v>
      </c>
      <c r="O371" s="6"/>
      <c r="P371" s="6"/>
      <c r="Q371" s="6"/>
      <c r="R371" s="6"/>
      <c r="S371" s="6"/>
      <c r="T371" s="6"/>
      <c r="U371" s="6"/>
      <c r="V371" s="6"/>
      <c r="W371" s="6"/>
      <c r="X371" s="6"/>
      <c r="Y371" s="6"/>
      <c r="Z371" s="6"/>
      <c r="AA371" s="6"/>
      <c r="AB371" s="6"/>
      <c r="AC371" s="6"/>
      <c r="AD371" s="6"/>
      <c r="AE371" s="6"/>
    </row>
    <row r="372" spans="1:31" ht="51" x14ac:dyDescent="0.2">
      <c r="A372" s="6" t="s">
        <v>3025</v>
      </c>
      <c r="B372" s="6" t="s">
        <v>3026</v>
      </c>
      <c r="C372" s="20" t="s">
        <v>3027</v>
      </c>
      <c r="D372" s="6" t="s">
        <v>3028</v>
      </c>
      <c r="E372" s="6"/>
      <c r="F372" s="6" t="s">
        <v>1059</v>
      </c>
      <c r="G372" s="6" t="s">
        <v>3029</v>
      </c>
      <c r="H372" s="6" t="str">
        <f t="shared" si="29"/>
        <v>THE OVERSEER
PHIBBAH(P43
P7
)</v>
      </c>
      <c r="I372" s="6" t="s">
        <v>409</v>
      </c>
      <c r="J372" s="6"/>
      <c r="K372" s="6"/>
      <c r="L372" s="6" t="s">
        <v>55</v>
      </c>
      <c r="M372" s="6" t="str">
        <f>VLOOKUP(L372, GLOSSARY!$A:$C, 2, FALSE)</f>
        <v>EGYPT ESTATE</v>
      </c>
      <c r="N372" s="6" t="s">
        <v>68</v>
      </c>
      <c r="O372" s="6"/>
      <c r="P372" s="6"/>
      <c r="Q372" s="6"/>
      <c r="R372" s="6"/>
      <c r="S372" s="6"/>
      <c r="T372" s="6"/>
      <c r="U372" s="6"/>
      <c r="V372" s="6"/>
      <c r="W372" s="6"/>
      <c r="X372" s="6"/>
      <c r="Y372" s="6"/>
      <c r="Z372" s="6"/>
      <c r="AA372" s="6"/>
      <c r="AB372" s="6"/>
      <c r="AC372" s="6"/>
      <c r="AD372" s="6"/>
      <c r="AE372" s="6"/>
    </row>
    <row r="373" spans="1:31" ht="89.25" x14ac:dyDescent="0.2">
      <c r="A373" s="6" t="s">
        <v>3033</v>
      </c>
      <c r="B373" s="6" t="s">
        <v>3026</v>
      </c>
      <c r="C373" s="20" t="s">
        <v>3027</v>
      </c>
      <c r="D373" s="6" t="s">
        <v>3034</v>
      </c>
      <c r="E373" s="6"/>
      <c r="F373" s="6" t="s">
        <v>3035</v>
      </c>
      <c r="G373" s="6" t="s">
        <v>3036</v>
      </c>
      <c r="H373" s="6" t="str">
        <f t="shared" si="29"/>
        <v>THE OVERSEER
PHIBBAH
ACCUBAH
MRS. BLAKE(P43
P7
P16
)</v>
      </c>
      <c r="I373" s="6" t="s">
        <v>859</v>
      </c>
      <c r="J373" s="6"/>
      <c r="K373" s="6"/>
      <c r="L373" s="6" t="s">
        <v>3039</v>
      </c>
      <c r="M373" s="6" t="str">
        <f>VLOOKUP(L373, GLOSSARY!$A:$C, 2, FALSE)</f>
        <v>MRS. BLAKE'S</v>
      </c>
      <c r="N373" s="6" t="s">
        <v>167</v>
      </c>
      <c r="O373" s="6"/>
      <c r="P373" s="6"/>
      <c r="Q373" s="6"/>
      <c r="R373" s="6"/>
      <c r="S373" s="6"/>
      <c r="T373" s="6"/>
      <c r="U373" s="6"/>
      <c r="V373" s="6"/>
      <c r="W373" s="6"/>
      <c r="X373" s="6"/>
      <c r="Y373" s="6"/>
      <c r="Z373" s="6"/>
      <c r="AA373" s="6"/>
      <c r="AB373" s="6"/>
      <c r="AC373" s="6"/>
      <c r="AD373" s="6"/>
      <c r="AE373" s="6"/>
    </row>
    <row r="374" spans="1:31" ht="102" x14ac:dyDescent="0.2">
      <c r="A374" s="6" t="s">
        <v>2712</v>
      </c>
      <c r="B374" s="6" t="s">
        <v>3040</v>
      </c>
      <c r="C374" s="20" t="s">
        <v>3041</v>
      </c>
      <c r="D374" s="6" t="s">
        <v>3042</v>
      </c>
      <c r="E374" s="6"/>
      <c r="F374" s="6" t="s">
        <v>3043</v>
      </c>
      <c r="G374" s="6" t="s">
        <v>3044</v>
      </c>
      <c r="H374" s="6" t="str">
        <f t="shared" si="29"/>
        <v>EGYPT
THE OVERSEER(P419
P43)</v>
      </c>
      <c r="I374" s="6" t="s">
        <v>112</v>
      </c>
      <c r="J374" s="6"/>
      <c r="K374" s="6"/>
      <c r="L374" s="6" t="s">
        <v>55</v>
      </c>
      <c r="M374" s="6" t="str">
        <f>VLOOKUP(L374, GLOSSARY!$A:$C, 2, FALSE)</f>
        <v>EGYPT ESTATE</v>
      </c>
      <c r="N374" s="6" t="s">
        <v>167</v>
      </c>
      <c r="O374" s="6"/>
      <c r="P374" s="6"/>
      <c r="Q374" s="6"/>
      <c r="R374" s="6"/>
      <c r="S374" s="6"/>
      <c r="T374" s="6"/>
      <c r="U374" s="6"/>
      <c r="V374" s="6"/>
      <c r="W374" s="6"/>
      <c r="X374" s="6"/>
      <c r="Y374" s="6"/>
      <c r="Z374" s="6"/>
      <c r="AA374" s="6"/>
      <c r="AB374" s="6"/>
      <c r="AC374" s="6"/>
      <c r="AD374" s="6"/>
      <c r="AE374" s="6"/>
    </row>
    <row r="375" spans="1:31" ht="114.75" x14ac:dyDescent="0.2">
      <c r="A375" s="6" t="s">
        <v>3049</v>
      </c>
      <c r="B375" s="6" t="s">
        <v>3040</v>
      </c>
      <c r="C375" s="20" t="s">
        <v>3050</v>
      </c>
      <c r="D375" s="6" t="s">
        <v>3051</v>
      </c>
      <c r="E375" s="6"/>
      <c r="F375" s="6" t="s">
        <v>3052</v>
      </c>
      <c r="G375" s="6" t="s">
        <v>3053</v>
      </c>
      <c r="H375" s="6" t="str">
        <f t="shared" si="29"/>
        <v>NANNY
JACKIE
THE OVERSEER(P425
P102
P43)</v>
      </c>
      <c r="I375" s="6" t="s">
        <v>112</v>
      </c>
      <c r="J375" s="6"/>
      <c r="K375" s="6"/>
      <c r="L375" s="6" t="s">
        <v>55</v>
      </c>
      <c r="M375" s="6" t="str">
        <f>VLOOKUP(L375, GLOSSARY!$A:$C, 2, FALSE)</f>
        <v>EGYPT ESTATE</v>
      </c>
      <c r="N375" s="6" t="s">
        <v>287</v>
      </c>
      <c r="O375" s="6"/>
      <c r="P375" s="6"/>
      <c r="Q375" s="6"/>
      <c r="R375" s="6"/>
      <c r="S375" s="6"/>
      <c r="T375" s="6"/>
      <c r="U375" s="6"/>
      <c r="V375" s="6"/>
      <c r="W375" s="6"/>
      <c r="X375" s="6"/>
      <c r="Y375" s="6"/>
      <c r="Z375" s="6"/>
      <c r="AA375" s="6"/>
      <c r="AB375" s="6"/>
      <c r="AC375" s="6"/>
      <c r="AD375" s="6"/>
      <c r="AE375" s="6"/>
    </row>
    <row r="376" spans="1:31" ht="38.25" x14ac:dyDescent="0.2">
      <c r="A376" s="6" t="s">
        <v>3055</v>
      </c>
      <c r="B376" s="6" t="s">
        <v>3056</v>
      </c>
      <c r="C376" s="20" t="s">
        <v>3058</v>
      </c>
      <c r="D376" s="6" t="s">
        <v>3060</v>
      </c>
      <c r="E376" s="6"/>
      <c r="F376" s="6" t="s">
        <v>3061</v>
      </c>
      <c r="G376" s="6" t="s">
        <v>3062</v>
      </c>
      <c r="H376" s="6" t="str">
        <f t="shared" si="29"/>
        <v>EGYPT SUSANAH
THE OVERSEER(P296
P43)</v>
      </c>
      <c r="I376" s="6" t="s">
        <v>112</v>
      </c>
      <c r="J376" s="6"/>
      <c r="K376" s="6"/>
      <c r="L376" s="6" t="s">
        <v>55</v>
      </c>
      <c r="M376" s="6" t="str">
        <f>VLOOKUP(L376, GLOSSARY!$A:$C, 2, FALSE)</f>
        <v>EGYPT ESTATE</v>
      </c>
      <c r="N376" s="6" t="s">
        <v>68</v>
      </c>
      <c r="O376" s="6"/>
      <c r="P376" s="6"/>
      <c r="Q376" s="6"/>
      <c r="R376" s="6"/>
      <c r="S376" s="6"/>
      <c r="T376" s="6"/>
      <c r="U376" s="6"/>
      <c r="V376" s="6"/>
      <c r="W376" s="6"/>
      <c r="X376" s="6"/>
      <c r="Y376" s="6"/>
      <c r="Z376" s="6"/>
      <c r="AA376" s="6"/>
      <c r="AB376" s="6"/>
      <c r="AC376" s="6"/>
      <c r="AD376" s="6"/>
      <c r="AE376" s="6"/>
    </row>
    <row r="377" spans="1:31" ht="165.75" x14ac:dyDescent="0.2">
      <c r="A377" s="6" t="s">
        <v>3063</v>
      </c>
      <c r="B377" s="6" t="s">
        <v>3064</v>
      </c>
      <c r="C377" s="20" t="s">
        <v>3065</v>
      </c>
      <c r="D377" s="6" t="s">
        <v>3066</v>
      </c>
      <c r="E377" s="6"/>
      <c r="F377" s="6" t="s">
        <v>3067</v>
      </c>
      <c r="G377" s="6" t="s">
        <v>3068</v>
      </c>
      <c r="H377" s="6" t="str">
        <f t="shared" si="29"/>
        <v>THE OVERSEER
EGYPT FIELDHANDS
TONY(P43
P315
P411)</v>
      </c>
      <c r="I377" s="6" t="s">
        <v>578</v>
      </c>
      <c r="J377" s="6"/>
      <c r="K377" s="6"/>
      <c r="L377" s="6" t="s">
        <v>1565</v>
      </c>
      <c r="M377" s="6" t="str">
        <f>VLOOKUP(L377, GLOSSARY!$A:$C, 2, FALSE)</f>
        <v>EGYPT BREADNUT TREE CANE PIECE</v>
      </c>
      <c r="N377" s="6" t="s">
        <v>167</v>
      </c>
      <c r="O377" s="6"/>
      <c r="P377" s="6"/>
      <c r="Q377" s="6"/>
      <c r="R377" s="6"/>
      <c r="S377" s="6"/>
      <c r="T377" s="6"/>
      <c r="U377" s="6"/>
      <c r="V377" s="6"/>
      <c r="W377" s="6"/>
      <c r="X377" s="6"/>
      <c r="Y377" s="6"/>
      <c r="Z377" s="6"/>
      <c r="AA377" s="6"/>
      <c r="AB377" s="6"/>
      <c r="AC377" s="6"/>
      <c r="AD377" s="6"/>
      <c r="AE377" s="6"/>
    </row>
    <row r="378" spans="1:31" ht="306" x14ac:dyDescent="0.2">
      <c r="A378" s="6" t="s">
        <v>3063</v>
      </c>
      <c r="B378" s="6" t="s">
        <v>3071</v>
      </c>
      <c r="C378" s="20" t="s">
        <v>3072</v>
      </c>
      <c r="D378" s="6" t="s">
        <v>3074</v>
      </c>
      <c r="E378" s="6"/>
      <c r="F378" s="6" t="s">
        <v>3076</v>
      </c>
      <c r="G378" s="6" t="s">
        <v>3077</v>
      </c>
      <c r="H378" s="6" t="str">
        <f t="shared" si="29"/>
        <v>THE OVERSEER
JOHN COPE
MR. CUPPAGE
MR. WEECH
EGYPT FIELDHANDS(P43
P44
P495
P202
P315)</v>
      </c>
      <c r="I378" s="6" t="s">
        <v>578</v>
      </c>
      <c r="J378" s="6"/>
      <c r="K378" s="6"/>
      <c r="L378" s="6" t="s">
        <v>3078</v>
      </c>
      <c r="M378" s="6" t="str">
        <f>VLOOKUP(L378, GLOSSARY!$A:$C, 2, FALSE)</f>
        <v>LONGPOND ESTATE</v>
      </c>
      <c r="N378" s="6" t="s">
        <v>167</v>
      </c>
      <c r="O378" s="6"/>
      <c r="P378" s="6"/>
      <c r="Q378" s="6"/>
      <c r="R378" s="6"/>
      <c r="S378" s="6"/>
      <c r="T378" s="6"/>
      <c r="U378" s="6"/>
      <c r="V378" s="6"/>
      <c r="W378" s="6"/>
      <c r="X378" s="6"/>
      <c r="Y378" s="6"/>
      <c r="Z378" s="6"/>
      <c r="AA378" s="6"/>
      <c r="AB378" s="6"/>
      <c r="AC378" s="6"/>
      <c r="AD378" s="6"/>
      <c r="AE378" s="6"/>
    </row>
    <row r="379" spans="1:31" ht="12.75" x14ac:dyDescent="0.2">
      <c r="A379" s="6" t="s">
        <v>3081</v>
      </c>
      <c r="B379" s="6" t="s">
        <v>3082</v>
      </c>
      <c r="C379" s="20" t="s">
        <v>3083</v>
      </c>
      <c r="D379" s="6" t="s">
        <v>3084</v>
      </c>
      <c r="E379" s="6"/>
      <c r="F379" s="6" t="s">
        <v>2601</v>
      </c>
      <c r="G379" s="6" t="s">
        <v>2600</v>
      </c>
      <c r="H379" s="6" t="str">
        <f t="shared" si="29"/>
        <v>SCOTLAND(P483)</v>
      </c>
      <c r="I379" s="6" t="s">
        <v>656</v>
      </c>
      <c r="J379" s="6"/>
      <c r="K379" s="6"/>
      <c r="L379" s="6" t="s">
        <v>55</v>
      </c>
      <c r="M379" s="6" t="str">
        <f>VLOOKUP(L379, GLOSSARY!$A:$C, 2, FALSE)</f>
        <v>EGYPT ESTATE</v>
      </c>
      <c r="N379" s="6" t="s">
        <v>287</v>
      </c>
      <c r="O379" s="6"/>
      <c r="P379" s="6"/>
      <c r="Q379" s="6"/>
      <c r="R379" s="6"/>
      <c r="S379" s="6"/>
      <c r="T379" s="6"/>
      <c r="U379" s="6"/>
      <c r="V379" s="6"/>
      <c r="W379" s="6"/>
      <c r="X379" s="6"/>
      <c r="Y379" s="6"/>
      <c r="Z379" s="6"/>
      <c r="AA379" s="6"/>
      <c r="AB379" s="6"/>
      <c r="AC379" s="6"/>
      <c r="AD379" s="6"/>
      <c r="AE379" s="6"/>
    </row>
    <row r="380" spans="1:31" ht="63.75" x14ac:dyDescent="0.2">
      <c r="A380" s="6" t="s">
        <v>3081</v>
      </c>
      <c r="B380" s="6" t="s">
        <v>3086</v>
      </c>
      <c r="C380" s="20" t="s">
        <v>3087</v>
      </c>
      <c r="D380" s="6" t="s">
        <v>3088</v>
      </c>
      <c r="E380" s="6"/>
      <c r="F380" s="6" t="s">
        <v>3089</v>
      </c>
      <c r="G380" s="6" t="s">
        <v>3090</v>
      </c>
      <c r="H380" s="6" t="str">
        <f t="shared" si="29"/>
        <v>EGYPT
SCOTLAND
THE OVERSEER(P419
P483
P43)</v>
      </c>
      <c r="I380" s="6" t="s">
        <v>112</v>
      </c>
      <c r="J380" s="6"/>
      <c r="K380" s="6"/>
      <c r="L380" s="6" t="s">
        <v>55</v>
      </c>
      <c r="M380" s="6" t="str">
        <f>VLOOKUP(L380, GLOSSARY!$A:$C, 2, FALSE)</f>
        <v>EGYPT ESTATE</v>
      </c>
      <c r="N380" s="6" t="s">
        <v>287</v>
      </c>
      <c r="O380" s="6"/>
      <c r="P380" s="6"/>
      <c r="Q380" s="6"/>
      <c r="R380" s="6"/>
      <c r="S380" s="6"/>
      <c r="T380" s="6"/>
      <c r="U380" s="6"/>
      <c r="V380" s="6"/>
      <c r="W380" s="6"/>
      <c r="X380" s="6"/>
      <c r="Y380" s="6"/>
      <c r="Z380" s="6"/>
      <c r="AA380" s="6"/>
      <c r="AB380" s="6"/>
      <c r="AC380" s="6"/>
      <c r="AD380" s="6"/>
      <c r="AE380" s="6"/>
    </row>
    <row r="381" spans="1:31" ht="25.5" x14ac:dyDescent="0.2">
      <c r="A381" s="6" t="s">
        <v>3017</v>
      </c>
      <c r="B381" s="6" t="s">
        <v>3093</v>
      </c>
      <c r="C381" s="20" t="s">
        <v>3094</v>
      </c>
      <c r="D381" s="6" t="s">
        <v>3097</v>
      </c>
      <c r="E381" s="6"/>
      <c r="F381" s="6" t="s">
        <v>2535</v>
      </c>
      <c r="G381" s="6" t="s">
        <v>2534</v>
      </c>
      <c r="H381" s="6" t="str">
        <f t="shared" si="29"/>
        <v>HANNAH'S DAUGHTER(P471)</v>
      </c>
      <c r="I381" s="6" t="s">
        <v>1068</v>
      </c>
      <c r="J381" s="6"/>
      <c r="K381" s="6"/>
      <c r="L381" s="6" t="s">
        <v>55</v>
      </c>
      <c r="M381" s="6" t="str">
        <f>VLOOKUP(L381, GLOSSARY!$A:$C, 2, FALSE)</f>
        <v>EGYPT ESTATE</v>
      </c>
      <c r="N381" s="6" t="s">
        <v>68</v>
      </c>
      <c r="O381" s="6"/>
      <c r="P381" s="6"/>
      <c r="Q381" s="6"/>
      <c r="R381" s="6"/>
      <c r="S381" s="6"/>
      <c r="T381" s="6"/>
      <c r="U381" s="6"/>
      <c r="V381" s="6"/>
      <c r="W381" s="6"/>
      <c r="X381" s="6"/>
      <c r="Y381" s="6"/>
      <c r="Z381" s="6"/>
      <c r="AA381" s="6"/>
      <c r="AB381" s="6"/>
      <c r="AC381" s="6"/>
      <c r="AD381" s="6"/>
      <c r="AE381" s="6"/>
    </row>
    <row r="382" spans="1:31" ht="63.75" x14ac:dyDescent="0.2">
      <c r="A382" s="6" t="s">
        <v>3100</v>
      </c>
      <c r="B382" s="6" t="s">
        <v>3101</v>
      </c>
      <c r="C382" s="20" t="s">
        <v>3102</v>
      </c>
      <c r="D382" s="6" t="s">
        <v>3103</v>
      </c>
      <c r="E382" s="6"/>
      <c r="F382" s="6" t="s">
        <v>2628</v>
      </c>
      <c r="G382" s="6" t="s">
        <v>3105</v>
      </c>
      <c r="H382" s="6" t="str">
        <f t="shared" si="29"/>
        <v>THE OVERSEER
LINCOLN(P43
P24)</v>
      </c>
      <c r="I382" s="6" t="s">
        <v>578</v>
      </c>
      <c r="J382" s="6"/>
      <c r="K382" s="6"/>
      <c r="L382" s="6" t="s">
        <v>3107</v>
      </c>
      <c r="M382" s="6" t="str">
        <f>VLOOKUP(L382, GLOSSARY!$A:$C, 2, FALSE)</f>
        <v>MR. HALL'S RIVER</v>
      </c>
      <c r="N382" s="6" t="s">
        <v>68</v>
      </c>
      <c r="O382" s="6"/>
      <c r="P382" s="6"/>
      <c r="Q382" s="6"/>
      <c r="R382" s="6"/>
      <c r="S382" s="6"/>
      <c r="T382" s="6"/>
      <c r="U382" s="6"/>
      <c r="V382" s="6"/>
      <c r="W382" s="6"/>
      <c r="X382" s="6"/>
      <c r="Y382" s="6"/>
      <c r="Z382" s="6"/>
      <c r="AA382" s="6"/>
      <c r="AB382" s="6"/>
      <c r="AC382" s="6"/>
      <c r="AD382" s="6"/>
      <c r="AE382" s="6"/>
    </row>
    <row r="383" spans="1:31" ht="12.75" x14ac:dyDescent="0.2">
      <c r="A383" s="6" t="s">
        <v>3081</v>
      </c>
      <c r="B383" s="6" t="s">
        <v>3101</v>
      </c>
      <c r="C383" s="20" t="s">
        <v>3102</v>
      </c>
      <c r="D383" s="6" t="s">
        <v>3110</v>
      </c>
      <c r="E383" s="6"/>
      <c r="F383" s="6" t="s">
        <v>2304</v>
      </c>
      <c r="G383" s="6" t="s">
        <v>2302</v>
      </c>
      <c r="H383" s="6" t="str">
        <f t="shared" si="29"/>
        <v>EGYPT(P419)</v>
      </c>
      <c r="I383" s="6" t="s">
        <v>656</v>
      </c>
      <c r="J383" s="6"/>
      <c r="K383" s="6"/>
      <c r="L383" s="6" t="s">
        <v>55</v>
      </c>
      <c r="M383" s="6" t="str">
        <f>VLOOKUP(L383, GLOSSARY!$A:$C, 2, FALSE)</f>
        <v>EGYPT ESTATE</v>
      </c>
      <c r="N383" s="6" t="s">
        <v>287</v>
      </c>
      <c r="O383" s="6"/>
      <c r="P383" s="6"/>
      <c r="Q383" s="6"/>
      <c r="R383" s="6"/>
      <c r="S383" s="6"/>
      <c r="T383" s="6"/>
      <c r="U383" s="6"/>
      <c r="V383" s="6"/>
      <c r="W383" s="6"/>
      <c r="X383" s="6"/>
      <c r="Y383" s="6"/>
      <c r="Z383" s="6"/>
      <c r="AA383" s="6"/>
      <c r="AB383" s="6"/>
      <c r="AC383" s="6"/>
      <c r="AD383" s="6"/>
      <c r="AE383" s="6"/>
    </row>
    <row r="384" spans="1:31" ht="153" x14ac:dyDescent="0.2">
      <c r="A384" s="6" t="s">
        <v>3113</v>
      </c>
      <c r="B384" s="6" t="s">
        <v>3115</v>
      </c>
      <c r="C384" s="20" t="s">
        <v>3116</v>
      </c>
      <c r="D384" s="6" t="s">
        <v>3117</v>
      </c>
      <c r="E384" s="6"/>
      <c r="F384" s="6" t="s">
        <v>3118</v>
      </c>
      <c r="G384" s="6" t="s">
        <v>3119</v>
      </c>
      <c r="H384" s="6" t="str">
        <f t="shared" si="29"/>
        <v>THE OVERSEER
DIAMOND
JOHN COPE
GEORGE LESLIE(P43
P44
P508
P49)</v>
      </c>
      <c r="I384" s="6" t="s">
        <v>656</v>
      </c>
      <c r="J384" s="6"/>
      <c r="K384" s="6"/>
      <c r="L384" s="6" t="s">
        <v>3120</v>
      </c>
      <c r="M384" s="6" t="str">
        <f>VLOOKUP(L384, GLOSSARY!$A:$C, 2, FALSE)</f>
        <v>RIVER STYX BRIDGE</v>
      </c>
      <c r="N384" s="6" t="s">
        <v>68</v>
      </c>
      <c r="O384" s="6"/>
      <c r="P384" s="6"/>
      <c r="Q384" s="6"/>
      <c r="R384" s="6"/>
      <c r="S384" s="6"/>
      <c r="T384" s="6"/>
      <c r="U384" s="6"/>
      <c r="V384" s="6"/>
      <c r="W384" s="6"/>
      <c r="X384" s="6"/>
      <c r="Y384" s="6"/>
      <c r="Z384" s="6"/>
      <c r="AA384" s="6"/>
      <c r="AB384" s="6"/>
      <c r="AC384" s="6"/>
      <c r="AD384" s="6"/>
      <c r="AE384" s="6"/>
    </row>
    <row r="385" spans="1:31" ht="38.25" x14ac:dyDescent="0.2">
      <c r="A385" s="6" t="s">
        <v>1558</v>
      </c>
      <c r="B385" s="6" t="s">
        <v>3115</v>
      </c>
      <c r="C385" s="20" t="s">
        <v>3123</v>
      </c>
      <c r="D385" s="6" t="s">
        <v>3125</v>
      </c>
      <c r="E385" s="6"/>
      <c r="F385" s="6" t="s">
        <v>48</v>
      </c>
      <c r="G385" s="6" t="s">
        <v>2991</v>
      </c>
      <c r="H385" s="6" t="str">
        <f t="shared" si="29"/>
        <v>THE OVERSEER(P43
P33)</v>
      </c>
      <c r="I385" s="6" t="s">
        <v>409</v>
      </c>
      <c r="J385" s="6"/>
      <c r="K385" s="6"/>
      <c r="L385" s="6" t="s">
        <v>55</v>
      </c>
      <c r="M385" s="6" t="str">
        <f>VLOOKUP(L385, GLOSSARY!$A:$C, 2, FALSE)</f>
        <v>EGYPT ESTATE</v>
      </c>
      <c r="N385" s="6" t="s">
        <v>68</v>
      </c>
      <c r="O385" s="6"/>
      <c r="P385" s="6"/>
      <c r="Q385" s="6"/>
      <c r="R385" s="6"/>
      <c r="S385" s="6"/>
      <c r="T385" s="6"/>
      <c r="U385" s="6"/>
      <c r="V385" s="6"/>
      <c r="W385" s="6"/>
      <c r="X385" s="6"/>
      <c r="Y385" s="6"/>
      <c r="Z385" s="6"/>
      <c r="AA385" s="6"/>
      <c r="AB385" s="6"/>
      <c r="AC385" s="6"/>
      <c r="AD385" s="6"/>
      <c r="AE385" s="6"/>
    </row>
    <row r="386" spans="1:31" ht="51" x14ac:dyDescent="0.2">
      <c r="A386" s="6" t="s">
        <v>2748</v>
      </c>
      <c r="B386" s="6" t="s">
        <v>3128</v>
      </c>
      <c r="C386" s="20" t="s">
        <v>3129</v>
      </c>
      <c r="D386" s="6" t="s">
        <v>3130</v>
      </c>
      <c r="E386" s="6"/>
      <c r="F386" s="6" t="s">
        <v>1227</v>
      </c>
      <c r="G386" s="6" t="s">
        <v>1225</v>
      </c>
      <c r="H386" s="6" t="str">
        <f t="shared" si="29"/>
        <v>LEWIE(P197)</v>
      </c>
      <c r="I386" s="6" t="s">
        <v>656</v>
      </c>
      <c r="J386" s="6"/>
      <c r="K386" s="6"/>
      <c r="L386" s="6" t="s">
        <v>55</v>
      </c>
      <c r="M386" s="6" t="str">
        <f>VLOOKUP(L386, GLOSSARY!$A:$C, 2, FALSE)</f>
        <v>EGYPT ESTATE</v>
      </c>
      <c r="N386" s="6" t="s">
        <v>68</v>
      </c>
      <c r="O386" s="6"/>
      <c r="P386" s="6"/>
      <c r="Q386" s="6"/>
      <c r="R386" s="6"/>
      <c r="S386" s="6"/>
      <c r="T386" s="6"/>
      <c r="U386" s="6"/>
      <c r="V386" s="6"/>
      <c r="W386" s="6"/>
      <c r="X386" s="6"/>
      <c r="Y386" s="6"/>
      <c r="Z386" s="6"/>
      <c r="AA386" s="6"/>
      <c r="AB386" s="6"/>
      <c r="AC386" s="6"/>
      <c r="AD386" s="6"/>
      <c r="AE386" s="6"/>
    </row>
    <row r="387" spans="1:31" ht="76.5" x14ac:dyDescent="0.2">
      <c r="A387" s="6" t="s">
        <v>3135</v>
      </c>
      <c r="B387" s="6" t="s">
        <v>3136</v>
      </c>
      <c r="C387" s="20" t="s">
        <v>3137</v>
      </c>
      <c r="D387" s="6" t="s">
        <v>3138</v>
      </c>
      <c r="E387" s="6"/>
      <c r="F387" s="6" t="s">
        <v>779</v>
      </c>
      <c r="G387" s="6" t="s">
        <v>780</v>
      </c>
      <c r="H387" s="6" t="str">
        <f t="shared" si="29"/>
        <v>EGYPT FIELDHANDS(P315)</v>
      </c>
      <c r="I387" s="6" t="s">
        <v>784</v>
      </c>
      <c r="J387" s="6"/>
      <c r="K387" s="6"/>
      <c r="L387" s="6" t="s">
        <v>3002</v>
      </c>
      <c r="M387" s="6" t="str">
        <f>VLOOKUP(L387, GLOSSARY!$A:$C, 2, FALSE)</f>
        <v>TOP HILL CANES</v>
      </c>
      <c r="N387" s="6" t="s">
        <v>68</v>
      </c>
      <c r="O387" s="6"/>
      <c r="P387" s="6"/>
      <c r="Q387" s="6"/>
      <c r="R387" s="6"/>
      <c r="S387" s="6"/>
      <c r="T387" s="6"/>
      <c r="U387" s="6"/>
      <c r="V387" s="6"/>
      <c r="W387" s="6"/>
      <c r="X387" s="6"/>
      <c r="Y387" s="6"/>
      <c r="Z387" s="6"/>
      <c r="AA387" s="6"/>
      <c r="AB387" s="6"/>
      <c r="AC387" s="6"/>
      <c r="AD387" s="6"/>
      <c r="AE387" s="6"/>
    </row>
    <row r="388" spans="1:31" ht="114.75" x14ac:dyDescent="0.2">
      <c r="A388" s="6" t="s">
        <v>3135</v>
      </c>
      <c r="B388" s="6" t="s">
        <v>3141</v>
      </c>
      <c r="C388" s="20" t="s">
        <v>3143</v>
      </c>
      <c r="D388" s="6" t="s">
        <v>3145</v>
      </c>
      <c r="E388" s="6"/>
      <c r="F388" s="6" t="s">
        <v>779</v>
      </c>
      <c r="G388" s="6" t="s">
        <v>780</v>
      </c>
      <c r="H388" s="6" t="str">
        <f t="shared" si="29"/>
        <v>EGYPT FIELDHANDS(P315)</v>
      </c>
      <c r="I388" s="6" t="s">
        <v>784</v>
      </c>
      <c r="J388" s="6"/>
      <c r="K388" s="6"/>
      <c r="L388" s="6" t="s">
        <v>3002</v>
      </c>
      <c r="M388" s="6" t="str">
        <f>VLOOKUP(L388, GLOSSARY!$A:$C, 2, FALSE)</f>
        <v>TOP HILL CANES</v>
      </c>
      <c r="N388" s="6" t="s">
        <v>3146</v>
      </c>
      <c r="O388" s="6"/>
      <c r="P388" s="6"/>
      <c r="Q388" s="6"/>
      <c r="R388" s="6"/>
      <c r="S388" s="6"/>
      <c r="T388" s="6"/>
      <c r="U388" s="6"/>
      <c r="V388" s="6"/>
      <c r="W388" s="6"/>
      <c r="X388" s="6"/>
      <c r="Y388" s="6"/>
      <c r="Z388" s="6"/>
      <c r="AA388" s="6"/>
      <c r="AB388" s="6"/>
      <c r="AC388" s="6"/>
      <c r="AD388" s="6"/>
      <c r="AE388" s="6"/>
    </row>
    <row r="389" spans="1:31" ht="51" x14ac:dyDescent="0.2">
      <c r="A389" s="6" t="s">
        <v>3135</v>
      </c>
      <c r="B389" s="6" t="s">
        <v>3149</v>
      </c>
      <c r="C389" s="20" t="s">
        <v>3150</v>
      </c>
      <c r="D389" s="6" t="s">
        <v>3151</v>
      </c>
      <c r="E389" s="6"/>
      <c r="F389" s="6" t="s">
        <v>779</v>
      </c>
      <c r="G389" s="6" t="s">
        <v>780</v>
      </c>
      <c r="H389" s="6" t="str">
        <f t="shared" si="29"/>
        <v>EGYPT FIELDHANDS(P315)</v>
      </c>
      <c r="I389" s="6" t="s">
        <v>784</v>
      </c>
      <c r="J389" s="6"/>
      <c r="K389" s="6"/>
      <c r="L389" s="6" t="s">
        <v>55</v>
      </c>
      <c r="M389" s="6" t="str">
        <f>VLOOKUP(L389, GLOSSARY!$A:$C, 2, FALSE)</f>
        <v>EGYPT ESTATE</v>
      </c>
      <c r="N389" s="6" t="s">
        <v>68</v>
      </c>
      <c r="O389" s="6"/>
      <c r="P389" s="6"/>
      <c r="Q389" s="6"/>
      <c r="R389" s="6"/>
      <c r="S389" s="6"/>
      <c r="T389" s="6"/>
      <c r="U389" s="6"/>
      <c r="V389" s="6"/>
      <c r="W389" s="6"/>
      <c r="X389" s="6"/>
      <c r="Y389" s="6"/>
      <c r="Z389" s="6"/>
      <c r="AA389" s="6"/>
      <c r="AB389" s="6"/>
      <c r="AC389" s="6"/>
      <c r="AD389" s="6"/>
      <c r="AE389" s="6"/>
    </row>
    <row r="390" spans="1:31" ht="63.75" x14ac:dyDescent="0.2">
      <c r="A390" s="6" t="s">
        <v>3135</v>
      </c>
      <c r="B390" s="6" t="s">
        <v>3149</v>
      </c>
      <c r="C390" s="20" t="s">
        <v>3156</v>
      </c>
      <c r="D390" s="6" t="s">
        <v>3157</v>
      </c>
      <c r="E390" s="6"/>
      <c r="F390" s="6" t="s">
        <v>779</v>
      </c>
      <c r="G390" s="6" t="s">
        <v>780</v>
      </c>
      <c r="H390" s="6" t="str">
        <f t="shared" si="29"/>
        <v>EGYPT FIELDHANDS(P315)</v>
      </c>
      <c r="I390" s="6" t="s">
        <v>784</v>
      </c>
      <c r="J390" s="6"/>
      <c r="K390" s="6"/>
      <c r="L390" s="6" t="s">
        <v>55</v>
      </c>
      <c r="M390" s="6" t="str">
        <f>VLOOKUP(L390, GLOSSARY!$A:$C, 2, FALSE)</f>
        <v>EGYPT ESTATE</v>
      </c>
      <c r="N390" s="6" t="s">
        <v>68</v>
      </c>
      <c r="O390" s="6"/>
      <c r="P390" s="6"/>
      <c r="Q390" s="6"/>
      <c r="R390" s="6"/>
      <c r="S390" s="6"/>
      <c r="T390" s="6"/>
      <c r="U390" s="6"/>
      <c r="V390" s="6"/>
      <c r="W390" s="6"/>
      <c r="X390" s="6"/>
      <c r="Y390" s="6"/>
      <c r="Z390" s="6"/>
      <c r="AA390" s="6"/>
      <c r="AB390" s="6"/>
      <c r="AC390" s="6"/>
      <c r="AD390" s="6"/>
      <c r="AE390" s="6"/>
    </row>
    <row r="391" spans="1:31" ht="51" x14ac:dyDescent="0.2">
      <c r="A391" s="6" t="s">
        <v>3135</v>
      </c>
      <c r="B391" s="6" t="s">
        <v>3159</v>
      </c>
      <c r="C391" s="20" t="s">
        <v>3162</v>
      </c>
      <c r="D391" s="6" t="s">
        <v>3163</v>
      </c>
      <c r="E391" s="6"/>
      <c r="F391" s="6" t="s">
        <v>779</v>
      </c>
      <c r="G391" s="6" t="s">
        <v>780</v>
      </c>
      <c r="H391" s="6" t="str">
        <f t="shared" si="29"/>
        <v>EGYPT FIELDHANDS(P315)</v>
      </c>
      <c r="I391" s="6" t="s">
        <v>784</v>
      </c>
      <c r="J391" s="6"/>
      <c r="K391" s="6"/>
      <c r="L391" s="6" t="s">
        <v>2841</v>
      </c>
      <c r="M391" s="6" t="str">
        <f>VLOOKUP(L391, GLOSSARY!$A:$C, 2, FALSE)</f>
        <v>EGYPT COFFEE GROUND PIECE</v>
      </c>
      <c r="N391" s="6" t="s">
        <v>68</v>
      </c>
      <c r="O391" s="6"/>
      <c r="P391" s="6"/>
      <c r="Q391" s="6"/>
      <c r="R391" s="6"/>
      <c r="S391" s="6"/>
      <c r="T391" s="6"/>
      <c r="U391" s="6"/>
      <c r="V391" s="6"/>
      <c r="W391" s="6"/>
      <c r="X391" s="6"/>
      <c r="Y391" s="6"/>
      <c r="Z391" s="6"/>
      <c r="AA391" s="6"/>
      <c r="AB391" s="6"/>
      <c r="AC391" s="6"/>
      <c r="AD391" s="6"/>
      <c r="AE391" s="6"/>
    </row>
    <row r="392" spans="1:31" ht="51" x14ac:dyDescent="0.2">
      <c r="A392" s="6" t="s">
        <v>3135</v>
      </c>
      <c r="B392" s="6" t="s">
        <v>3166</v>
      </c>
      <c r="C392" s="20" t="s">
        <v>3167</v>
      </c>
      <c r="D392" s="6" t="s">
        <v>3168</v>
      </c>
      <c r="E392" s="6"/>
      <c r="F392" s="6" t="s">
        <v>779</v>
      </c>
      <c r="G392" s="6" t="s">
        <v>780</v>
      </c>
      <c r="H392" s="6" t="str">
        <f t="shared" si="29"/>
        <v>EGYPT FIELDHANDS(P315)</v>
      </c>
      <c r="I392" s="6" t="s">
        <v>784</v>
      </c>
      <c r="J392" s="6"/>
      <c r="K392" s="6"/>
      <c r="L392" s="6" t="s">
        <v>2841</v>
      </c>
      <c r="M392" s="6" t="str">
        <f>VLOOKUP(L392, GLOSSARY!$A:$C, 2, FALSE)</f>
        <v>EGYPT COFFEE GROUND PIECE</v>
      </c>
      <c r="N392" s="6" t="s">
        <v>68</v>
      </c>
      <c r="O392" s="6"/>
      <c r="P392" s="6"/>
      <c r="Q392" s="6"/>
      <c r="R392" s="6"/>
      <c r="S392" s="6"/>
      <c r="T392" s="6"/>
      <c r="U392" s="6"/>
      <c r="V392" s="6"/>
      <c r="W392" s="6"/>
      <c r="X392" s="6"/>
      <c r="Y392" s="6"/>
      <c r="Z392" s="6"/>
      <c r="AA392" s="6"/>
      <c r="AB392" s="6"/>
      <c r="AC392" s="6"/>
      <c r="AD392" s="6"/>
      <c r="AE392" s="6"/>
    </row>
    <row r="393" spans="1:31" ht="12.75" x14ac:dyDescent="0.2">
      <c r="A393" s="6" t="s">
        <v>3081</v>
      </c>
      <c r="B393" s="6" t="s">
        <v>3166</v>
      </c>
      <c r="C393" s="20" t="s">
        <v>3167</v>
      </c>
      <c r="D393" s="6" t="s">
        <v>3172</v>
      </c>
      <c r="E393" s="6"/>
      <c r="F393" s="6" t="s">
        <v>2304</v>
      </c>
      <c r="G393" s="6" t="s">
        <v>2302</v>
      </c>
      <c r="H393" s="6" t="str">
        <f t="shared" si="29"/>
        <v>EGYPT(P419)</v>
      </c>
      <c r="I393" s="6" t="s">
        <v>656</v>
      </c>
      <c r="J393" s="6"/>
      <c r="K393" s="6"/>
      <c r="L393" s="6" t="s">
        <v>55</v>
      </c>
      <c r="M393" s="6" t="str">
        <f>VLOOKUP(L393, GLOSSARY!$A:$C, 2, FALSE)</f>
        <v>EGYPT ESTATE</v>
      </c>
      <c r="N393" s="6" t="s">
        <v>287</v>
      </c>
      <c r="O393" s="6"/>
      <c r="P393" s="6"/>
      <c r="Q393" s="6"/>
      <c r="R393" s="6"/>
      <c r="S393" s="6"/>
      <c r="T393" s="6"/>
      <c r="U393" s="6"/>
      <c r="V393" s="6"/>
      <c r="W393" s="6"/>
      <c r="X393" s="6"/>
      <c r="Y393" s="6"/>
      <c r="Z393" s="6"/>
      <c r="AA393" s="6"/>
      <c r="AB393" s="6"/>
      <c r="AC393" s="6"/>
      <c r="AD393" s="6"/>
      <c r="AE393" s="6"/>
    </row>
    <row r="394" spans="1:31" ht="76.5" x14ac:dyDescent="0.2">
      <c r="A394" s="6" t="s">
        <v>3135</v>
      </c>
      <c r="B394" s="6" t="s">
        <v>3175</v>
      </c>
      <c r="C394" s="20" t="s">
        <v>3176</v>
      </c>
      <c r="D394" s="6" t="s">
        <v>3177</v>
      </c>
      <c r="E394" s="6"/>
      <c r="F394" s="6" t="s">
        <v>779</v>
      </c>
      <c r="G394" s="6" t="s">
        <v>780</v>
      </c>
      <c r="H394" s="6" t="str">
        <f t="shared" si="29"/>
        <v>EGYPT FIELDHANDS(P315)</v>
      </c>
      <c r="I394" s="6" t="s">
        <v>784</v>
      </c>
      <c r="J394" s="6"/>
      <c r="K394" s="6"/>
      <c r="L394" s="6" t="s">
        <v>55</v>
      </c>
      <c r="M394" s="6" t="str">
        <f>VLOOKUP(L394, GLOSSARY!$A:$C, 2, FALSE)</f>
        <v>EGYPT ESTATE</v>
      </c>
      <c r="N394" s="6" t="s">
        <v>68</v>
      </c>
      <c r="O394" s="6"/>
      <c r="P394" s="6"/>
      <c r="Q394" s="6"/>
      <c r="R394" s="6"/>
      <c r="S394" s="6"/>
      <c r="T394" s="6"/>
      <c r="U394" s="6"/>
      <c r="V394" s="6"/>
      <c r="W394" s="6"/>
      <c r="X394" s="6"/>
      <c r="Y394" s="6"/>
      <c r="Z394" s="6"/>
      <c r="AA394" s="6"/>
      <c r="AB394" s="6"/>
      <c r="AC394" s="6"/>
      <c r="AD394" s="6"/>
      <c r="AE394" s="6"/>
    </row>
    <row r="395" spans="1:31" ht="38.25" x14ac:dyDescent="0.2">
      <c r="A395" s="6" t="s">
        <v>3135</v>
      </c>
      <c r="B395" s="6" t="s">
        <v>3182</v>
      </c>
      <c r="C395" s="20" t="s">
        <v>3183</v>
      </c>
      <c r="D395" s="6" t="s">
        <v>3184</v>
      </c>
      <c r="E395" s="6"/>
      <c r="F395" s="6" t="s">
        <v>779</v>
      </c>
      <c r="G395" s="6" t="s">
        <v>780</v>
      </c>
      <c r="H395" s="6" t="str">
        <f t="shared" si="29"/>
        <v>EGYPT FIELDHANDS(P315)</v>
      </c>
      <c r="I395" s="6" t="s">
        <v>784</v>
      </c>
      <c r="J395" s="6"/>
      <c r="K395" s="6"/>
      <c r="L395" s="6" t="s">
        <v>55</v>
      </c>
      <c r="M395" s="6" t="str">
        <f>VLOOKUP(L395, GLOSSARY!$A:$C, 2, FALSE)</f>
        <v>EGYPT ESTATE</v>
      </c>
      <c r="N395" s="6" t="s">
        <v>68</v>
      </c>
      <c r="O395" s="6"/>
      <c r="P395" s="6"/>
      <c r="Q395" s="6"/>
      <c r="R395" s="6"/>
      <c r="S395" s="6"/>
      <c r="T395" s="6"/>
      <c r="U395" s="6"/>
      <c r="V395" s="6"/>
      <c r="W395" s="6"/>
      <c r="X395" s="6"/>
      <c r="Y395" s="6"/>
      <c r="Z395" s="6"/>
      <c r="AA395" s="6"/>
      <c r="AB395" s="6"/>
      <c r="AC395" s="6"/>
      <c r="AD395" s="6"/>
      <c r="AE395" s="6"/>
    </row>
    <row r="396" spans="1:31" ht="76.5" x14ac:dyDescent="0.2">
      <c r="A396" s="6" t="s">
        <v>3081</v>
      </c>
      <c r="B396" s="6" t="s">
        <v>3186</v>
      </c>
      <c r="C396" s="20" t="s">
        <v>3187</v>
      </c>
      <c r="D396" s="6" t="s">
        <v>3189</v>
      </c>
      <c r="E396" s="6"/>
      <c r="F396" s="6" t="s">
        <v>3191</v>
      </c>
      <c r="G396" s="6" t="s">
        <v>3192</v>
      </c>
      <c r="H396" s="6" t="str">
        <f t="shared" si="29"/>
        <v>EGYPT
JOHN JONES' ENSLAVED PERSON
THE OVERSEER(P419
P496
P43)</v>
      </c>
      <c r="I396" s="6" t="s">
        <v>112</v>
      </c>
      <c r="J396" s="6"/>
      <c r="K396" s="6"/>
      <c r="L396" s="6" t="s">
        <v>55</v>
      </c>
      <c r="M396" s="6" t="str">
        <f>VLOOKUP(L396, GLOSSARY!$A:$C, 2, FALSE)</f>
        <v>EGYPT ESTATE</v>
      </c>
      <c r="N396" s="6" t="s">
        <v>287</v>
      </c>
      <c r="O396" s="6"/>
      <c r="P396" s="6"/>
      <c r="Q396" s="6"/>
      <c r="R396" s="6"/>
      <c r="S396" s="6"/>
      <c r="T396" s="6"/>
      <c r="U396" s="6"/>
      <c r="V396" s="6"/>
      <c r="W396" s="6"/>
      <c r="X396" s="6"/>
      <c r="Y396" s="6"/>
      <c r="Z396" s="6"/>
      <c r="AA396" s="6"/>
      <c r="AB396" s="6"/>
      <c r="AC396" s="6"/>
      <c r="AD396" s="6"/>
      <c r="AE396" s="6"/>
    </row>
    <row r="397" spans="1:31" ht="191.25" x14ac:dyDescent="0.2">
      <c r="A397" s="6" t="s">
        <v>3194</v>
      </c>
      <c r="B397" s="6" t="s">
        <v>3186</v>
      </c>
      <c r="C397" s="20" t="s">
        <v>3195</v>
      </c>
      <c r="D397" s="6" t="s">
        <v>3196</v>
      </c>
      <c r="E397" s="6"/>
      <c r="F397" s="6" t="s">
        <v>3197</v>
      </c>
      <c r="G397" s="6" t="s">
        <v>3198</v>
      </c>
      <c r="H397" s="6" t="str">
        <f t="shared" si="29"/>
        <v>JOHN COPE
MR. MCDONALD(P44
P497
P128
P361
P88
)</v>
      </c>
      <c r="I397" s="6" t="s">
        <v>409</v>
      </c>
      <c r="J397" s="6"/>
      <c r="K397" s="6"/>
      <c r="L397" s="6" t="s">
        <v>55</v>
      </c>
      <c r="M397" s="6" t="str">
        <f>VLOOKUP(L397, GLOSSARY!$A:$C, 2, FALSE)</f>
        <v>EGYPT ESTATE</v>
      </c>
      <c r="N397" s="6" t="s">
        <v>167</v>
      </c>
      <c r="O397" s="6"/>
      <c r="P397" s="6"/>
      <c r="Q397" s="6"/>
      <c r="R397" s="6"/>
      <c r="S397" s="6"/>
      <c r="T397" s="6"/>
      <c r="U397" s="6"/>
      <c r="V397" s="6"/>
      <c r="W397" s="6"/>
      <c r="X397" s="6"/>
      <c r="Y397" s="6"/>
      <c r="Z397" s="6"/>
      <c r="AA397" s="6"/>
      <c r="AB397" s="6"/>
      <c r="AC397" s="6"/>
      <c r="AD397" s="6"/>
      <c r="AE397" s="6"/>
    </row>
    <row r="398" spans="1:31" ht="76.5" x14ac:dyDescent="0.2">
      <c r="A398" s="6" t="s">
        <v>3135</v>
      </c>
      <c r="B398" s="6" t="s">
        <v>3203</v>
      </c>
      <c r="C398" s="20" t="s">
        <v>3204</v>
      </c>
      <c r="D398" s="6" t="s">
        <v>3205</v>
      </c>
      <c r="E398" s="6"/>
      <c r="F398" s="6" t="s">
        <v>779</v>
      </c>
      <c r="G398" s="6" t="s">
        <v>780</v>
      </c>
      <c r="H398" s="6" t="str">
        <f t="shared" si="29"/>
        <v>EGYPT FIELDHANDS(P315)</v>
      </c>
      <c r="I398" s="6" t="s">
        <v>784</v>
      </c>
      <c r="J398" s="6"/>
      <c r="K398" s="6"/>
      <c r="L398" s="6" t="s">
        <v>2841</v>
      </c>
      <c r="M398" s="6" t="str">
        <f>VLOOKUP(L398, GLOSSARY!$A:$C, 2, FALSE)</f>
        <v>EGYPT COFFEE GROUND PIECE</v>
      </c>
      <c r="N398" s="6" t="s">
        <v>68</v>
      </c>
      <c r="O398" s="6"/>
      <c r="P398" s="6"/>
      <c r="Q398" s="6"/>
      <c r="R398" s="6"/>
      <c r="S398" s="6"/>
      <c r="T398" s="6"/>
      <c r="U398" s="6"/>
      <c r="V398" s="6"/>
      <c r="W398" s="6"/>
      <c r="X398" s="6"/>
      <c r="Y398" s="6"/>
      <c r="Z398" s="6"/>
      <c r="AA398" s="6"/>
      <c r="AB398" s="6"/>
      <c r="AC398" s="6"/>
      <c r="AD398" s="6"/>
      <c r="AE398" s="6"/>
    </row>
    <row r="399" spans="1:31" ht="114.75" x14ac:dyDescent="0.2">
      <c r="A399" s="6" t="s">
        <v>3081</v>
      </c>
      <c r="B399" s="6" t="s">
        <v>3203</v>
      </c>
      <c r="C399" s="20" t="s">
        <v>3204</v>
      </c>
      <c r="D399" s="6" t="s">
        <v>3208</v>
      </c>
      <c r="E399" s="6"/>
      <c r="F399" s="6" t="s">
        <v>3209</v>
      </c>
      <c r="G399" s="6" t="s">
        <v>3210</v>
      </c>
      <c r="H399" s="6" t="str">
        <f t="shared" si="29"/>
        <v>EGYPT
MASON QUASHE
THE OVERSEER(P419
P25
P43)</v>
      </c>
      <c r="I399" s="6" t="s">
        <v>112</v>
      </c>
      <c r="J399" s="6"/>
      <c r="K399" s="6"/>
      <c r="L399" s="6" t="s">
        <v>93</v>
      </c>
      <c r="M399" s="6" t="str">
        <f>VLOOKUP(L399, GLOSSARY!$A:$C, 2, FALSE)</f>
        <v>SALT RIVER ESTATE</v>
      </c>
      <c r="N399" s="6" t="s">
        <v>287</v>
      </c>
      <c r="O399" s="6"/>
      <c r="P399" s="6"/>
      <c r="Q399" s="6"/>
      <c r="R399" s="6"/>
      <c r="S399" s="6"/>
      <c r="T399" s="6"/>
      <c r="U399" s="6"/>
      <c r="V399" s="6"/>
      <c r="W399" s="6"/>
      <c r="X399" s="6"/>
      <c r="Y399" s="6"/>
      <c r="Z399" s="6"/>
      <c r="AA399" s="6"/>
      <c r="AB399" s="6"/>
      <c r="AC399" s="6"/>
      <c r="AD399" s="6"/>
      <c r="AE399" s="6"/>
    </row>
    <row r="400" spans="1:31" ht="38.25" x14ac:dyDescent="0.2">
      <c r="A400" s="6" t="s">
        <v>3213</v>
      </c>
      <c r="B400" s="6" t="s">
        <v>3214</v>
      </c>
      <c r="C400" s="20" t="s">
        <v>3215</v>
      </c>
      <c r="D400" s="6" t="s">
        <v>3216</v>
      </c>
      <c r="E400" s="6"/>
      <c r="F400" s="6" t="s">
        <v>3217</v>
      </c>
      <c r="G400" s="6" t="s">
        <v>3218</v>
      </c>
      <c r="H400" s="6" t="str">
        <f t="shared" si="29"/>
        <v>MASON QUASHE
AMBO(P25
P170)</v>
      </c>
      <c r="I400" s="6" t="s">
        <v>784</v>
      </c>
      <c r="J400" s="6"/>
      <c r="K400" s="6"/>
      <c r="L400" s="6" t="s">
        <v>55</v>
      </c>
      <c r="M400" s="6" t="str">
        <f>VLOOKUP(L400, GLOSSARY!$A:$C, 2, FALSE)</f>
        <v>EGYPT ESTATE</v>
      </c>
      <c r="N400" s="6" t="s">
        <v>68</v>
      </c>
      <c r="O400" s="6"/>
      <c r="P400" s="6"/>
      <c r="Q400" s="6"/>
      <c r="R400" s="6"/>
      <c r="S400" s="6"/>
      <c r="T400" s="6"/>
      <c r="U400" s="6"/>
      <c r="V400" s="6"/>
      <c r="W400" s="6"/>
      <c r="X400" s="6"/>
      <c r="Y400" s="6"/>
      <c r="Z400" s="6"/>
      <c r="AA400" s="6"/>
      <c r="AB400" s="6"/>
      <c r="AC400" s="6"/>
      <c r="AD400" s="6"/>
      <c r="AE400" s="6"/>
    </row>
    <row r="401" spans="1:31" ht="63.75" x14ac:dyDescent="0.2">
      <c r="A401" s="6" t="s">
        <v>3135</v>
      </c>
      <c r="B401" s="6" t="s">
        <v>3214</v>
      </c>
      <c r="C401" s="20" t="s">
        <v>3215</v>
      </c>
      <c r="D401" s="6" t="s">
        <v>3221</v>
      </c>
      <c r="E401" s="6"/>
      <c r="F401" s="6" t="s">
        <v>779</v>
      </c>
      <c r="G401" s="6" t="s">
        <v>780</v>
      </c>
      <c r="H401" s="6" t="str">
        <f t="shared" si="29"/>
        <v>EGYPT FIELDHANDS(P315)</v>
      </c>
      <c r="I401" s="6" t="s">
        <v>784</v>
      </c>
      <c r="J401" s="6"/>
      <c r="K401" s="6"/>
      <c r="L401" s="6" t="s">
        <v>3223</v>
      </c>
      <c r="M401" s="6" t="s">
        <v>3224</v>
      </c>
      <c r="N401" s="6" t="s">
        <v>287</v>
      </c>
      <c r="O401" s="6"/>
      <c r="P401" s="6"/>
      <c r="Q401" s="6"/>
      <c r="R401" s="6"/>
      <c r="S401" s="6"/>
      <c r="T401" s="6"/>
      <c r="U401" s="6"/>
      <c r="V401" s="6"/>
      <c r="W401" s="6"/>
      <c r="X401" s="6"/>
      <c r="Y401" s="6"/>
      <c r="Z401" s="6"/>
      <c r="AA401" s="6"/>
      <c r="AB401" s="6"/>
      <c r="AC401" s="6"/>
      <c r="AD401" s="6"/>
      <c r="AE401" s="6"/>
    </row>
    <row r="402" spans="1:31" ht="114.75" x14ac:dyDescent="0.2">
      <c r="A402" s="6" t="s">
        <v>3194</v>
      </c>
      <c r="B402" s="6" t="s">
        <v>3214</v>
      </c>
      <c r="C402" s="20" t="s">
        <v>3215</v>
      </c>
      <c r="D402" s="6" t="s">
        <v>3225</v>
      </c>
      <c r="E402" s="6"/>
      <c r="F402" s="6" t="s">
        <v>3227</v>
      </c>
      <c r="G402" s="6" t="s">
        <v>3228</v>
      </c>
      <c r="H402" s="6" t="str">
        <f t="shared" si="29"/>
        <v>EGYPT SUSANAH
MAZARINE
JOHN COPE
MOLLY COPE
LITTLE PHIBBAH(P296
P123
P44
P45
P325)</v>
      </c>
      <c r="I402" s="6" t="s">
        <v>112</v>
      </c>
      <c r="J402" s="6"/>
      <c r="K402" s="6"/>
      <c r="L402" s="6" t="s">
        <v>55</v>
      </c>
      <c r="M402" s="6" t="str">
        <f>VLOOKUP(L402, GLOSSARY!$A:$C, 2, FALSE)</f>
        <v>EGYPT ESTATE</v>
      </c>
      <c r="N402" s="6" t="s">
        <v>167</v>
      </c>
      <c r="O402" s="6"/>
      <c r="P402" s="6"/>
      <c r="Q402" s="6"/>
      <c r="R402" s="6"/>
      <c r="S402" s="6"/>
      <c r="T402" s="6"/>
      <c r="U402" s="6"/>
      <c r="V402" s="6"/>
      <c r="W402" s="6"/>
      <c r="X402" s="6"/>
      <c r="Y402" s="6"/>
      <c r="Z402" s="6"/>
      <c r="AA402" s="6"/>
      <c r="AB402" s="6"/>
      <c r="AC402" s="6"/>
      <c r="AD402" s="6"/>
      <c r="AE402" s="6"/>
    </row>
    <row r="403" spans="1:31" ht="89.25" x14ac:dyDescent="0.2">
      <c r="A403" s="6" t="s">
        <v>3135</v>
      </c>
      <c r="B403" s="6" t="s">
        <v>3214</v>
      </c>
      <c r="C403" s="20" t="s">
        <v>3230</v>
      </c>
      <c r="D403" s="6" t="s">
        <v>3231</v>
      </c>
      <c r="E403" s="6"/>
      <c r="F403" s="6" t="s">
        <v>779</v>
      </c>
      <c r="G403" s="6" t="s">
        <v>780</v>
      </c>
      <c r="H403" s="6" t="str">
        <f t="shared" si="29"/>
        <v>EGYPT FIELDHANDS(P315)</v>
      </c>
      <c r="I403" s="6" t="s">
        <v>784</v>
      </c>
      <c r="J403" s="6"/>
      <c r="K403" s="6"/>
      <c r="L403" s="6" t="s">
        <v>2909</v>
      </c>
      <c r="M403" s="6" t="s">
        <v>3233</v>
      </c>
      <c r="N403" s="6" t="s">
        <v>287</v>
      </c>
      <c r="O403" s="6"/>
      <c r="P403" s="6"/>
      <c r="Q403" s="6"/>
      <c r="R403" s="6"/>
      <c r="S403" s="6"/>
      <c r="T403" s="6"/>
      <c r="U403" s="6"/>
      <c r="V403" s="6"/>
      <c r="W403" s="6"/>
      <c r="X403" s="6"/>
      <c r="Y403" s="6"/>
      <c r="Z403" s="6"/>
      <c r="AA403" s="6"/>
      <c r="AB403" s="6"/>
      <c r="AC403" s="6"/>
      <c r="AD403" s="6"/>
      <c r="AE403" s="6"/>
    </row>
    <row r="404" spans="1:31" ht="89.25" x14ac:dyDescent="0.2">
      <c r="A404" s="6" t="s">
        <v>3135</v>
      </c>
      <c r="B404" s="6" t="s">
        <v>3214</v>
      </c>
      <c r="C404" s="20" t="s">
        <v>3234</v>
      </c>
      <c r="D404" s="6" t="s">
        <v>3236</v>
      </c>
      <c r="E404" s="6"/>
      <c r="F404" s="6" t="s">
        <v>779</v>
      </c>
      <c r="G404" s="6" t="s">
        <v>780</v>
      </c>
      <c r="H404" s="6" t="str">
        <f t="shared" si="29"/>
        <v>EGYPT FIELDHANDS(P315)</v>
      </c>
      <c r="I404" s="6" t="s">
        <v>784</v>
      </c>
      <c r="J404" s="6"/>
      <c r="K404" s="6"/>
      <c r="L404" s="6" t="s">
        <v>2909</v>
      </c>
      <c r="M404" s="6" t="str">
        <f>VLOOKUP(L404, GLOSSARY!$A:$C, 2, FALSE)</f>
        <v>EGYPT OLD SHEEP PEN PIECE</v>
      </c>
      <c r="N404" s="6" t="s">
        <v>68</v>
      </c>
      <c r="O404" s="6"/>
      <c r="P404" s="6"/>
      <c r="Q404" s="6"/>
      <c r="R404" s="6"/>
      <c r="S404" s="6"/>
      <c r="T404" s="6"/>
      <c r="U404" s="6"/>
      <c r="V404" s="6"/>
      <c r="W404" s="6"/>
      <c r="X404" s="6"/>
      <c r="Y404" s="6"/>
      <c r="Z404" s="6"/>
      <c r="AA404" s="6"/>
      <c r="AB404" s="6"/>
      <c r="AC404" s="6"/>
      <c r="AD404" s="6"/>
      <c r="AE404" s="6"/>
    </row>
    <row r="405" spans="1:31" ht="114.75" x14ac:dyDescent="0.2">
      <c r="A405" s="6" t="s">
        <v>3135</v>
      </c>
      <c r="B405" s="6" t="s">
        <v>3238</v>
      </c>
      <c r="C405" s="20" t="s">
        <v>3239</v>
      </c>
      <c r="D405" s="6" t="s">
        <v>3240</v>
      </c>
      <c r="E405" s="6"/>
      <c r="F405" s="6" t="s">
        <v>779</v>
      </c>
      <c r="G405" s="6" t="s">
        <v>780</v>
      </c>
      <c r="H405" s="6" t="str">
        <f t="shared" si="29"/>
        <v>EGYPT FIELDHANDS(P315)</v>
      </c>
      <c r="I405" s="6" t="s">
        <v>784</v>
      </c>
      <c r="J405" s="6"/>
      <c r="K405" s="6"/>
      <c r="L405" s="6" t="s">
        <v>3241</v>
      </c>
      <c r="M405" s="6" t="s">
        <v>3242</v>
      </c>
      <c r="N405" s="6" t="s">
        <v>287</v>
      </c>
      <c r="O405" s="6"/>
      <c r="P405" s="6"/>
      <c r="Q405" s="6"/>
      <c r="R405" s="6"/>
      <c r="S405" s="6"/>
      <c r="T405" s="6"/>
      <c r="U405" s="6"/>
      <c r="V405" s="6"/>
      <c r="W405" s="6"/>
      <c r="X405" s="6"/>
      <c r="Y405" s="6"/>
      <c r="Z405" s="6"/>
      <c r="AA405" s="6"/>
      <c r="AB405" s="6"/>
      <c r="AC405" s="6"/>
      <c r="AD405" s="6"/>
      <c r="AE405" s="6"/>
    </row>
    <row r="406" spans="1:31" ht="63.75" x14ac:dyDescent="0.2">
      <c r="A406" s="6" t="s">
        <v>3135</v>
      </c>
      <c r="B406" s="6" t="s">
        <v>3238</v>
      </c>
      <c r="C406" s="20" t="s">
        <v>3245</v>
      </c>
      <c r="D406" s="6" t="s">
        <v>3246</v>
      </c>
      <c r="E406" s="6"/>
      <c r="F406" s="6" t="s">
        <v>779</v>
      </c>
      <c r="G406" s="6" t="s">
        <v>780</v>
      </c>
      <c r="H406" s="6" t="str">
        <f t="shared" si="29"/>
        <v>EGYPT FIELDHANDS(P315)</v>
      </c>
      <c r="I406" s="6" t="s">
        <v>784</v>
      </c>
      <c r="J406" s="6"/>
      <c r="K406" s="6"/>
      <c r="L406" s="6" t="s">
        <v>3247</v>
      </c>
      <c r="M406" s="6" t="s">
        <v>3248</v>
      </c>
      <c r="N406" s="6" t="s">
        <v>287</v>
      </c>
      <c r="O406" s="6"/>
      <c r="P406" s="6"/>
      <c r="Q406" s="6"/>
      <c r="R406" s="6"/>
      <c r="S406" s="6"/>
      <c r="T406" s="6"/>
      <c r="U406" s="6"/>
      <c r="V406" s="6"/>
      <c r="W406" s="6"/>
      <c r="X406" s="6"/>
      <c r="Y406" s="6"/>
      <c r="Z406" s="6"/>
      <c r="AA406" s="6"/>
      <c r="AB406" s="6"/>
      <c r="AC406" s="6"/>
      <c r="AD406" s="6"/>
      <c r="AE406" s="6"/>
    </row>
    <row r="407" spans="1:31" ht="25.5" x14ac:dyDescent="0.2">
      <c r="A407" s="6" t="s">
        <v>3135</v>
      </c>
      <c r="B407" s="6" t="s">
        <v>3251</v>
      </c>
      <c r="C407" s="20" t="s">
        <v>3252</v>
      </c>
      <c r="D407" s="6" t="s">
        <v>3253</v>
      </c>
      <c r="E407" s="6"/>
      <c r="F407" s="6" t="s">
        <v>779</v>
      </c>
      <c r="G407" s="6" t="s">
        <v>780</v>
      </c>
      <c r="H407" s="6" t="str">
        <f t="shared" si="29"/>
        <v>EGYPT FIELDHANDS(P315)</v>
      </c>
      <c r="I407" s="6" t="s">
        <v>784</v>
      </c>
      <c r="J407" s="6"/>
      <c r="K407" s="6"/>
      <c r="L407" s="6" t="s">
        <v>55</v>
      </c>
      <c r="M407" s="6" t="str">
        <f>VLOOKUP(L407, GLOSSARY!$A:$C, 2, FALSE)</f>
        <v>EGYPT ESTATE</v>
      </c>
      <c r="N407" s="6" t="s">
        <v>287</v>
      </c>
      <c r="O407" s="6"/>
      <c r="P407" s="6"/>
      <c r="Q407" s="6"/>
      <c r="R407" s="6"/>
      <c r="S407" s="6"/>
      <c r="T407" s="6"/>
      <c r="U407" s="6"/>
      <c r="V407" s="6"/>
      <c r="W407" s="6"/>
      <c r="X407" s="6"/>
      <c r="Y407" s="6"/>
      <c r="Z407" s="6"/>
      <c r="AA407" s="6"/>
      <c r="AB407" s="6"/>
      <c r="AC407" s="6"/>
      <c r="AD407" s="6"/>
      <c r="AE407" s="6"/>
    </row>
    <row r="408" spans="1:31" ht="140.25" x14ac:dyDescent="0.2">
      <c r="A408" s="6" t="s">
        <v>3135</v>
      </c>
      <c r="B408" s="6" t="s">
        <v>3251</v>
      </c>
      <c r="C408" s="20" t="s">
        <v>3255</v>
      </c>
      <c r="D408" s="6" t="s">
        <v>3256</v>
      </c>
      <c r="E408" s="6"/>
      <c r="F408" s="6" t="s">
        <v>779</v>
      </c>
      <c r="G408" s="6" t="s">
        <v>780</v>
      </c>
      <c r="H408" s="6" t="str">
        <f t="shared" si="29"/>
        <v>EGYPT FIELDHANDS(P315)</v>
      </c>
      <c r="I408" s="6" t="s">
        <v>784</v>
      </c>
      <c r="J408" s="6"/>
      <c r="K408" s="6"/>
      <c r="L408" s="6" t="s">
        <v>55</v>
      </c>
      <c r="M408" s="6" t="str">
        <f>VLOOKUP(L408, GLOSSARY!$A:$C, 2, FALSE)</f>
        <v>EGYPT ESTATE</v>
      </c>
      <c r="N408" s="6" t="s">
        <v>287</v>
      </c>
      <c r="O408" s="6"/>
      <c r="P408" s="6"/>
      <c r="Q408" s="6"/>
      <c r="R408" s="6"/>
      <c r="S408" s="6"/>
      <c r="T408" s="6"/>
      <c r="U408" s="6"/>
      <c r="V408" s="6"/>
      <c r="W408" s="6"/>
      <c r="X408" s="6"/>
      <c r="Y408" s="6"/>
      <c r="Z408" s="6"/>
      <c r="AA408" s="6"/>
      <c r="AB408" s="6"/>
      <c r="AC408" s="6"/>
      <c r="AD408" s="6"/>
      <c r="AE408" s="6"/>
    </row>
    <row r="409" spans="1:31" ht="63.75" x14ac:dyDescent="0.2">
      <c r="A409" s="6" t="s">
        <v>3081</v>
      </c>
      <c r="B409" s="6" t="s">
        <v>3258</v>
      </c>
      <c r="C409" s="20" t="s">
        <v>3255</v>
      </c>
      <c r="D409" s="6" t="s">
        <v>3259</v>
      </c>
      <c r="E409" s="6"/>
      <c r="F409" s="6" t="s">
        <v>3260</v>
      </c>
      <c r="G409" s="6" t="s">
        <v>3261</v>
      </c>
      <c r="H409" s="6" t="str">
        <f t="shared" si="29"/>
        <v>THE OVERSEER
EGYPT
QUACOO(P43
P419
P298)</v>
      </c>
      <c r="I409" s="6" t="s">
        <v>112</v>
      </c>
      <c r="J409" s="6"/>
      <c r="K409" s="6"/>
      <c r="L409" s="6" t="s">
        <v>55</v>
      </c>
      <c r="M409" s="6" t="str">
        <f>VLOOKUP(L409, GLOSSARY!$A:$C, 2, FALSE)</f>
        <v>EGYPT ESTATE</v>
      </c>
      <c r="N409" s="6" t="s">
        <v>287</v>
      </c>
      <c r="O409" s="6"/>
      <c r="P409" s="6"/>
      <c r="Q409" s="6"/>
      <c r="R409" s="6"/>
      <c r="S409" s="6"/>
      <c r="T409" s="6"/>
      <c r="U409" s="6"/>
      <c r="V409" s="6"/>
      <c r="W409" s="6"/>
      <c r="X409" s="6"/>
      <c r="Y409" s="6"/>
      <c r="Z409" s="6"/>
      <c r="AA409" s="6"/>
      <c r="AB409" s="6"/>
      <c r="AC409" s="6"/>
      <c r="AD409" s="6"/>
      <c r="AE409" s="6"/>
    </row>
    <row r="410" spans="1:31" ht="102" x14ac:dyDescent="0.2">
      <c r="A410" s="6" t="s">
        <v>3264</v>
      </c>
      <c r="B410" s="6" t="s">
        <v>3258</v>
      </c>
      <c r="C410" s="20" t="s">
        <v>3255</v>
      </c>
      <c r="D410" s="6" t="s">
        <v>3265</v>
      </c>
      <c r="E410" s="6"/>
      <c r="F410" s="6" t="s">
        <v>3266</v>
      </c>
      <c r="G410" s="6" t="s">
        <v>3267</v>
      </c>
      <c r="H410" s="6" t="str">
        <f t="shared" si="29"/>
        <v>THE OVERSEER
GENTLEMAN BY STYX BRIDGE(P43
P509)</v>
      </c>
      <c r="I410" s="6" t="s">
        <v>248</v>
      </c>
      <c r="J410" s="6"/>
      <c r="K410" s="6"/>
      <c r="L410" s="6" t="s">
        <v>3120</v>
      </c>
      <c r="M410" s="6" t="str">
        <f>VLOOKUP(L410, GLOSSARY!$A:$C, 2, FALSE)</f>
        <v>RIVER STYX BRIDGE</v>
      </c>
      <c r="N410" s="6" t="s">
        <v>167</v>
      </c>
      <c r="O410" s="6"/>
      <c r="P410" s="6"/>
      <c r="Q410" s="6"/>
      <c r="R410" s="6"/>
      <c r="S410" s="6"/>
      <c r="T410" s="6"/>
      <c r="U410" s="6"/>
      <c r="V410" s="6"/>
      <c r="W410" s="6"/>
      <c r="X410" s="6"/>
      <c r="Y410" s="6"/>
      <c r="Z410" s="6"/>
      <c r="AA410" s="6"/>
      <c r="AB410" s="6"/>
      <c r="AC410" s="6"/>
      <c r="AD410" s="6"/>
      <c r="AE410" s="6"/>
    </row>
    <row r="411" spans="1:31" ht="178.5" x14ac:dyDescent="0.2">
      <c r="A411" s="6" t="s">
        <v>3135</v>
      </c>
      <c r="B411" s="6" t="s">
        <v>3270</v>
      </c>
      <c r="C411" s="20" t="s">
        <v>3271</v>
      </c>
      <c r="D411" s="6" t="s">
        <v>3272</v>
      </c>
      <c r="E411" s="6"/>
      <c r="F411" s="6" t="s">
        <v>779</v>
      </c>
      <c r="G411" s="6" t="s">
        <v>780</v>
      </c>
      <c r="H411" s="6" t="str">
        <f t="shared" si="29"/>
        <v>EGYPT FIELDHANDS(P315)</v>
      </c>
      <c r="I411" s="6" t="s">
        <v>784</v>
      </c>
      <c r="J411" s="6"/>
      <c r="K411" s="6"/>
      <c r="L411" s="6" t="s">
        <v>55</v>
      </c>
      <c r="M411" s="6" t="str">
        <f>VLOOKUP(L411, GLOSSARY!$A:$C, 2, FALSE)</f>
        <v>EGYPT ESTATE</v>
      </c>
      <c r="N411" s="6" t="s">
        <v>287</v>
      </c>
      <c r="O411" s="6"/>
      <c r="P411" s="6"/>
      <c r="Q411" s="6"/>
      <c r="R411" s="6"/>
      <c r="S411" s="6"/>
      <c r="T411" s="6"/>
      <c r="U411" s="6"/>
      <c r="V411" s="6"/>
      <c r="W411" s="6"/>
      <c r="X411" s="6"/>
      <c r="Y411" s="6"/>
      <c r="Z411" s="6"/>
      <c r="AA411" s="6"/>
      <c r="AB411" s="6"/>
      <c r="AC411" s="6"/>
      <c r="AD411" s="6"/>
      <c r="AE411" s="6"/>
    </row>
    <row r="412" spans="1:31" ht="63.75" x14ac:dyDescent="0.2">
      <c r="A412" s="6" t="s">
        <v>3274</v>
      </c>
      <c r="B412" s="6" t="s">
        <v>3275</v>
      </c>
      <c r="C412" s="20" t="s">
        <v>3277</v>
      </c>
      <c r="D412" s="6" t="s">
        <v>3278</v>
      </c>
      <c r="E412" s="6"/>
      <c r="F412" s="6" t="s">
        <v>3279</v>
      </c>
      <c r="G412" s="6" t="s">
        <v>3280</v>
      </c>
      <c r="H412" s="6" t="str">
        <f t="shared" si="29"/>
        <v>PHIBBAH
MOLLY COPE
MOUNTAIN LUCY(P45
P30
P7)</v>
      </c>
      <c r="I412" s="6" t="s">
        <v>1678</v>
      </c>
      <c r="J412" s="6"/>
      <c r="K412" s="6"/>
      <c r="L412" s="6" t="s">
        <v>55</v>
      </c>
      <c r="M412" s="6" t="str">
        <f>VLOOKUP(L412, GLOSSARY!$A:$C, 2, FALSE)</f>
        <v>EGYPT ESTATE</v>
      </c>
      <c r="N412" s="6"/>
      <c r="O412" s="6"/>
      <c r="P412" s="6"/>
      <c r="Q412" s="6"/>
      <c r="R412" s="6"/>
      <c r="S412" s="6"/>
      <c r="T412" s="6"/>
      <c r="U412" s="6"/>
      <c r="V412" s="6"/>
      <c r="W412" s="6"/>
      <c r="X412" s="6"/>
      <c r="Y412" s="6"/>
      <c r="Z412" s="6"/>
      <c r="AA412" s="6"/>
      <c r="AB412" s="6"/>
      <c r="AC412" s="6"/>
      <c r="AD412" s="6"/>
      <c r="AE412" s="6"/>
    </row>
    <row r="413" spans="1:31" ht="76.5" x14ac:dyDescent="0.2">
      <c r="A413" s="6" t="s">
        <v>3274</v>
      </c>
      <c r="B413" s="6" t="s">
        <v>3275</v>
      </c>
      <c r="C413" s="20" t="s">
        <v>3277</v>
      </c>
      <c r="D413" s="6" t="s">
        <v>3282</v>
      </c>
      <c r="E413" s="6"/>
      <c r="F413" s="6" t="s">
        <v>3283</v>
      </c>
      <c r="G413" s="6" t="s">
        <v>3284</v>
      </c>
      <c r="H413" s="6" t="str">
        <f t="shared" si="29"/>
        <v>MOUNTAIN LUCY
PLATO
JENNY(P30
P104
P208)</v>
      </c>
      <c r="I413" s="6" t="s">
        <v>96</v>
      </c>
      <c r="J413" s="6"/>
      <c r="K413" s="6"/>
      <c r="L413" s="6" t="s">
        <v>2937</v>
      </c>
      <c r="M413" s="6" t="str">
        <f>VLOOKUP(L413, GLOSSARY!$A:$C, 2, FALSE)</f>
        <v>JENNY'S HOUSE</v>
      </c>
      <c r="N413" s="6" t="s">
        <v>68</v>
      </c>
      <c r="O413" s="6"/>
      <c r="P413" s="6"/>
      <c r="Q413" s="6"/>
      <c r="R413" s="6"/>
      <c r="S413" s="6"/>
      <c r="T413" s="6"/>
      <c r="U413" s="6"/>
      <c r="V413" s="6"/>
      <c r="W413" s="6"/>
      <c r="X413" s="6"/>
      <c r="Y413" s="6"/>
      <c r="Z413" s="6"/>
      <c r="AA413" s="6"/>
      <c r="AB413" s="6"/>
      <c r="AC413" s="6"/>
      <c r="AD413" s="6"/>
      <c r="AE413" s="6"/>
    </row>
    <row r="414" spans="1:31" ht="38.25" x14ac:dyDescent="0.2">
      <c r="A414" s="6" t="s">
        <v>2867</v>
      </c>
      <c r="B414" s="6" t="s">
        <v>3285</v>
      </c>
      <c r="C414" s="20" t="s">
        <v>3277</v>
      </c>
      <c r="D414" s="6" t="s">
        <v>3286</v>
      </c>
      <c r="E414" s="6"/>
      <c r="F414" s="6" t="s">
        <v>3287</v>
      </c>
      <c r="G414" s="6" t="s">
        <v>3288</v>
      </c>
      <c r="H414" s="6" t="str">
        <f t="shared" si="29"/>
        <v>CAPTAIN GILLBRAITH
JOHN HUTT(P422
P51)</v>
      </c>
      <c r="I414" s="6" t="s">
        <v>859</v>
      </c>
      <c r="J414" s="6"/>
      <c r="K414" s="6"/>
      <c r="L414" s="6" t="s">
        <v>55</v>
      </c>
      <c r="M414" s="6" t="str">
        <f>VLOOKUP(L414, GLOSSARY!$A:$C, 2, FALSE)</f>
        <v>EGYPT ESTATE</v>
      </c>
      <c r="N414" s="6" t="s">
        <v>167</v>
      </c>
      <c r="O414" s="6"/>
      <c r="P414" s="6"/>
      <c r="Q414" s="6"/>
      <c r="R414" s="6"/>
      <c r="S414" s="6"/>
      <c r="T414" s="6"/>
      <c r="U414" s="6"/>
      <c r="V414" s="6"/>
      <c r="W414" s="6"/>
      <c r="X414" s="6"/>
      <c r="Y414" s="6"/>
      <c r="Z414" s="6"/>
      <c r="AA414" s="6"/>
      <c r="AB414" s="6"/>
      <c r="AC414" s="6"/>
      <c r="AD414" s="6"/>
      <c r="AE414" s="6"/>
    </row>
    <row r="415" spans="1:31" ht="140.25" x14ac:dyDescent="0.2">
      <c r="A415" s="6" t="s">
        <v>3135</v>
      </c>
      <c r="B415" s="6" t="s">
        <v>3289</v>
      </c>
      <c r="C415" s="20" t="s">
        <v>3290</v>
      </c>
      <c r="D415" s="6" t="s">
        <v>3291</v>
      </c>
      <c r="E415" s="6"/>
      <c r="F415" s="6" t="s">
        <v>779</v>
      </c>
      <c r="G415" s="6" t="s">
        <v>780</v>
      </c>
      <c r="H415" s="6" t="str">
        <f t="shared" si="29"/>
        <v>EGYPT FIELDHANDS(P315)</v>
      </c>
      <c r="I415" s="6" t="s">
        <v>784</v>
      </c>
      <c r="J415" s="6"/>
      <c r="K415" s="6"/>
      <c r="L415" s="6" t="s">
        <v>3292</v>
      </c>
      <c r="M415" s="6" t="s">
        <v>3293</v>
      </c>
      <c r="N415" s="6" t="s">
        <v>287</v>
      </c>
      <c r="O415" s="6"/>
      <c r="P415" s="6"/>
      <c r="Q415" s="6"/>
      <c r="R415" s="6"/>
      <c r="S415" s="6"/>
      <c r="T415" s="6"/>
      <c r="U415" s="6"/>
      <c r="V415" s="6"/>
      <c r="W415" s="6"/>
      <c r="X415" s="6"/>
      <c r="Y415" s="6"/>
      <c r="Z415" s="6"/>
      <c r="AA415" s="6"/>
      <c r="AB415" s="6"/>
      <c r="AC415" s="6"/>
      <c r="AD415" s="6"/>
      <c r="AE415" s="6"/>
    </row>
    <row r="416" spans="1:31" ht="38.25" x14ac:dyDescent="0.2">
      <c r="A416" s="6" t="s">
        <v>3294</v>
      </c>
      <c r="B416" s="6" t="s">
        <v>3289</v>
      </c>
      <c r="C416" s="20" t="s">
        <v>3290</v>
      </c>
      <c r="D416" s="6" t="s">
        <v>3295</v>
      </c>
      <c r="E416" s="6"/>
      <c r="F416" s="6" t="s">
        <v>3296</v>
      </c>
      <c r="G416" s="6"/>
      <c r="H416" s="6" t="str">
        <f t="shared" si="29"/>
        <v>THE OVERSEER
EGYPT FIELDHANDS()</v>
      </c>
      <c r="I416" s="6" t="s">
        <v>248</v>
      </c>
      <c r="J416" s="6"/>
      <c r="K416" s="6"/>
      <c r="L416" s="6" t="s">
        <v>55</v>
      </c>
      <c r="M416" s="6" t="str">
        <f>VLOOKUP(L416, GLOSSARY!$A:$C, 2, FALSE)</f>
        <v>EGYPT ESTATE</v>
      </c>
      <c r="N416" s="6" t="s">
        <v>68</v>
      </c>
      <c r="O416" s="6"/>
      <c r="P416" s="6"/>
      <c r="Q416" s="6"/>
      <c r="R416" s="6"/>
      <c r="S416" s="6"/>
      <c r="T416" s="6"/>
      <c r="U416" s="6"/>
      <c r="V416" s="6"/>
      <c r="W416" s="6"/>
      <c r="X416" s="6"/>
      <c r="Y416" s="6"/>
      <c r="Z416" s="6"/>
      <c r="AA416" s="6"/>
      <c r="AB416" s="6"/>
      <c r="AC416" s="6"/>
      <c r="AD416" s="6"/>
      <c r="AE416" s="6"/>
    </row>
    <row r="417" spans="1:31" ht="76.5" x14ac:dyDescent="0.2">
      <c r="A417" s="6" t="s">
        <v>3135</v>
      </c>
      <c r="B417" s="6" t="s">
        <v>3297</v>
      </c>
      <c r="C417" s="20" t="s">
        <v>3298</v>
      </c>
      <c r="D417" s="6" t="s">
        <v>3299</v>
      </c>
      <c r="E417" s="6"/>
      <c r="F417" s="6" t="s">
        <v>779</v>
      </c>
      <c r="G417" s="6" t="s">
        <v>780</v>
      </c>
      <c r="H417" s="6" t="str">
        <f t="shared" si="29"/>
        <v>EGYPT FIELDHANDS(P315)</v>
      </c>
      <c r="I417" s="6" t="s">
        <v>784</v>
      </c>
      <c r="J417" s="6"/>
      <c r="K417" s="6"/>
      <c r="L417" s="6" t="s">
        <v>3300</v>
      </c>
      <c r="M417" s="6" t="s">
        <v>3301</v>
      </c>
      <c r="N417" s="6" t="s">
        <v>287</v>
      </c>
      <c r="O417" s="6"/>
      <c r="P417" s="6"/>
      <c r="Q417" s="6"/>
      <c r="R417" s="6"/>
      <c r="S417" s="6"/>
      <c r="T417" s="6"/>
      <c r="U417" s="6"/>
      <c r="V417" s="6"/>
      <c r="W417" s="6"/>
      <c r="X417" s="6"/>
      <c r="Y417" s="6"/>
      <c r="Z417" s="6"/>
      <c r="AA417" s="6"/>
      <c r="AB417" s="6"/>
      <c r="AC417" s="6"/>
      <c r="AD417" s="6"/>
      <c r="AE417" s="6"/>
    </row>
    <row r="418" spans="1:31" ht="63.75" x14ac:dyDescent="0.2">
      <c r="A418" s="6" t="s">
        <v>3135</v>
      </c>
      <c r="B418" s="6" t="s">
        <v>3297</v>
      </c>
      <c r="C418" s="20" t="s">
        <v>3302</v>
      </c>
      <c r="D418" s="6" t="s">
        <v>3303</v>
      </c>
      <c r="E418" s="6"/>
      <c r="F418" s="6" t="s">
        <v>779</v>
      </c>
      <c r="G418" s="6" t="s">
        <v>780</v>
      </c>
      <c r="H418" s="6" t="str">
        <f t="shared" si="29"/>
        <v>EGYPT FIELDHANDS(P315)</v>
      </c>
      <c r="I418" s="6" t="s">
        <v>784</v>
      </c>
      <c r="J418" s="6"/>
      <c r="K418" s="6"/>
      <c r="L418" s="6" t="s">
        <v>3300</v>
      </c>
      <c r="M418" s="6" t="s">
        <v>3301</v>
      </c>
      <c r="N418" s="6" t="s">
        <v>287</v>
      </c>
      <c r="O418" s="6"/>
      <c r="P418" s="6"/>
      <c r="Q418" s="6"/>
      <c r="R418" s="6"/>
      <c r="S418" s="6"/>
      <c r="T418" s="6"/>
      <c r="U418" s="6"/>
      <c r="V418" s="6"/>
      <c r="W418" s="6"/>
      <c r="X418" s="6"/>
      <c r="Y418" s="6"/>
      <c r="Z418" s="6"/>
      <c r="AA418" s="6"/>
      <c r="AB418" s="6"/>
      <c r="AC418" s="6"/>
      <c r="AD418" s="6"/>
      <c r="AE418" s="6"/>
    </row>
    <row r="419" spans="1:31" ht="63.75" x14ac:dyDescent="0.2">
      <c r="A419" s="6" t="s">
        <v>3304</v>
      </c>
      <c r="B419" s="6" t="s">
        <v>3297</v>
      </c>
      <c r="C419" s="20" t="s">
        <v>3302</v>
      </c>
      <c r="D419" s="6" t="s">
        <v>3305</v>
      </c>
      <c r="E419" s="6"/>
      <c r="F419" s="6" t="s">
        <v>3306</v>
      </c>
      <c r="G419" s="6" t="s">
        <v>3307</v>
      </c>
      <c r="H419" s="6" t="str">
        <f t="shared" si="29"/>
        <v>VIOLET
MOUNTAIN LUCY
MOUNTAIN LUCY'S CHILD (1756)(P117
P30)</v>
      </c>
      <c r="I419" s="6" t="s">
        <v>1047</v>
      </c>
      <c r="J419" s="6"/>
      <c r="K419" s="6"/>
      <c r="L419" s="6" t="s">
        <v>55</v>
      </c>
      <c r="M419" s="6" t="str">
        <f>VLOOKUP(L419, GLOSSARY!$A:$C, 2, FALSE)</f>
        <v>EGYPT ESTATE</v>
      </c>
      <c r="N419" s="6" t="s">
        <v>68</v>
      </c>
      <c r="O419" s="6"/>
      <c r="P419" s="6"/>
      <c r="Q419" s="6"/>
      <c r="R419" s="6"/>
      <c r="S419" s="6"/>
      <c r="T419" s="6"/>
      <c r="U419" s="6"/>
      <c r="V419" s="6"/>
      <c r="W419" s="6"/>
      <c r="X419" s="6"/>
      <c r="Y419" s="6"/>
      <c r="Z419" s="6"/>
      <c r="AA419" s="6"/>
      <c r="AB419" s="6"/>
      <c r="AC419" s="6"/>
      <c r="AD419" s="6"/>
      <c r="AE419" s="6"/>
    </row>
    <row r="420" spans="1:31" ht="114.75" x14ac:dyDescent="0.2">
      <c r="A420" s="6" t="s">
        <v>3135</v>
      </c>
      <c r="B420" s="6" t="s">
        <v>3297</v>
      </c>
      <c r="C420" s="20" t="s">
        <v>3308</v>
      </c>
      <c r="D420" s="6" t="s">
        <v>3309</v>
      </c>
      <c r="E420" s="6"/>
      <c r="F420" s="6" t="s">
        <v>779</v>
      </c>
      <c r="G420" s="6" t="s">
        <v>780</v>
      </c>
      <c r="H420" s="6" t="str">
        <f t="shared" si="29"/>
        <v>EGYPT FIELDHANDS(P315)</v>
      </c>
      <c r="I420" s="6" t="s">
        <v>784</v>
      </c>
      <c r="J420" s="6"/>
      <c r="K420" s="6"/>
      <c r="L420" s="6" t="s">
        <v>3310</v>
      </c>
      <c r="M420" s="6" t="s">
        <v>3311</v>
      </c>
      <c r="N420" s="6" t="s">
        <v>68</v>
      </c>
      <c r="O420" s="6"/>
      <c r="P420" s="6"/>
      <c r="Q420" s="6"/>
      <c r="R420" s="6"/>
      <c r="S420" s="6"/>
      <c r="T420" s="6"/>
      <c r="U420" s="6"/>
      <c r="V420" s="6"/>
      <c r="W420" s="6"/>
      <c r="X420" s="6"/>
      <c r="Y420" s="6"/>
      <c r="Z420" s="6"/>
      <c r="AA420" s="6"/>
      <c r="AB420" s="6"/>
      <c r="AC420" s="6"/>
      <c r="AD420" s="6"/>
      <c r="AE420" s="6"/>
    </row>
    <row r="421" spans="1:31" ht="114.75" x14ac:dyDescent="0.2">
      <c r="A421" s="6" t="s">
        <v>3135</v>
      </c>
      <c r="B421" s="6" t="s">
        <v>3312</v>
      </c>
      <c r="C421" s="20" t="s">
        <v>3313</v>
      </c>
      <c r="D421" s="6" t="s">
        <v>3314</v>
      </c>
      <c r="E421" s="6"/>
      <c r="F421" s="6" t="s">
        <v>779</v>
      </c>
      <c r="G421" s="6" t="s">
        <v>780</v>
      </c>
      <c r="H421" s="6" t="str">
        <f t="shared" si="29"/>
        <v>EGYPT FIELDHANDS(P315)</v>
      </c>
      <c r="I421" s="6" t="s">
        <v>784</v>
      </c>
      <c r="J421" s="6"/>
      <c r="K421" s="6"/>
      <c r="L421" s="6" t="s">
        <v>3310</v>
      </c>
      <c r="M421" s="6" t="s">
        <v>3311</v>
      </c>
      <c r="N421" s="6" t="s">
        <v>68</v>
      </c>
      <c r="O421" s="6"/>
      <c r="P421" s="6"/>
      <c r="Q421" s="6"/>
      <c r="R421" s="6"/>
      <c r="S421" s="6"/>
      <c r="T421" s="6"/>
      <c r="U421" s="6"/>
      <c r="V421" s="6"/>
      <c r="W421" s="6"/>
      <c r="X421" s="6"/>
      <c r="Y421" s="6"/>
      <c r="Z421" s="6"/>
      <c r="AA421" s="6"/>
      <c r="AB421" s="6"/>
      <c r="AC421" s="6"/>
      <c r="AD421" s="6"/>
      <c r="AE421" s="6"/>
    </row>
    <row r="422" spans="1:31" ht="38.25" x14ac:dyDescent="0.2">
      <c r="A422" s="6" t="s">
        <v>3135</v>
      </c>
      <c r="B422" s="6" t="s">
        <v>3312</v>
      </c>
      <c r="C422" s="20" t="s">
        <v>3315</v>
      </c>
      <c r="D422" s="6" t="s">
        <v>3316</v>
      </c>
      <c r="E422" s="6"/>
      <c r="F422" s="6" t="s">
        <v>779</v>
      </c>
      <c r="G422" s="6" t="s">
        <v>780</v>
      </c>
      <c r="H422" s="6" t="str">
        <f t="shared" si="29"/>
        <v>EGYPT FIELDHANDS(P315)</v>
      </c>
      <c r="I422" s="6" t="s">
        <v>784</v>
      </c>
      <c r="J422" s="6"/>
      <c r="K422" s="6"/>
      <c r="L422" s="6" t="s">
        <v>1565</v>
      </c>
      <c r="M422" s="6" t="str">
        <f>VLOOKUP(L422, GLOSSARY!$A:$C, 2, FALSE)</f>
        <v>EGYPT BREADNUT TREE CANE PIECE</v>
      </c>
      <c r="N422" s="6" t="s">
        <v>68</v>
      </c>
      <c r="O422" s="6"/>
      <c r="P422" s="6"/>
      <c r="Q422" s="6"/>
      <c r="R422" s="6"/>
      <c r="S422" s="6"/>
      <c r="T422" s="6"/>
      <c r="U422" s="6"/>
      <c r="V422" s="6"/>
      <c r="W422" s="6"/>
      <c r="X422" s="6"/>
      <c r="Y422" s="6"/>
      <c r="Z422" s="6"/>
      <c r="AA422" s="6"/>
      <c r="AB422" s="6"/>
      <c r="AC422" s="6"/>
      <c r="AD422" s="6"/>
      <c r="AE422" s="6"/>
    </row>
    <row r="423" spans="1:31" ht="25.5" x14ac:dyDescent="0.2">
      <c r="A423" s="6" t="s">
        <v>3135</v>
      </c>
      <c r="B423" s="6" t="s">
        <v>3317</v>
      </c>
      <c r="C423" s="20" t="s">
        <v>3318</v>
      </c>
      <c r="D423" s="6" t="s">
        <v>3319</v>
      </c>
      <c r="E423" s="6"/>
      <c r="F423" s="6" t="s">
        <v>779</v>
      </c>
      <c r="G423" s="6" t="s">
        <v>780</v>
      </c>
      <c r="H423" s="6" t="str">
        <f t="shared" si="29"/>
        <v>EGYPT FIELDHANDS(P315)</v>
      </c>
      <c r="I423" s="6" t="s">
        <v>784</v>
      </c>
      <c r="J423" s="6"/>
      <c r="K423" s="6"/>
      <c r="L423" s="6" t="s">
        <v>2849</v>
      </c>
      <c r="M423" s="6" t="str">
        <f>VLOOKUP(L423, GLOSSARY!$A:$C, 2, FALSE)</f>
        <v>EGYPT POTATO PIECE</v>
      </c>
      <c r="N423" s="6" t="s">
        <v>68</v>
      </c>
      <c r="O423" s="6"/>
      <c r="P423" s="6"/>
      <c r="Q423" s="6"/>
      <c r="R423" s="6"/>
      <c r="S423" s="6"/>
      <c r="T423" s="6"/>
      <c r="U423" s="6"/>
      <c r="V423" s="6"/>
      <c r="W423" s="6"/>
      <c r="X423" s="6"/>
      <c r="Y423" s="6"/>
      <c r="Z423" s="6"/>
      <c r="AA423" s="6"/>
      <c r="AB423" s="6"/>
      <c r="AC423" s="6"/>
      <c r="AD423" s="6"/>
      <c r="AE423" s="6"/>
    </row>
    <row r="424" spans="1:31" ht="409.5" x14ac:dyDescent="0.2">
      <c r="A424" s="6" t="s">
        <v>3320</v>
      </c>
      <c r="B424" s="6" t="s">
        <v>3321</v>
      </c>
      <c r="C424" s="20" t="s">
        <v>3322</v>
      </c>
      <c r="D424" s="6" t="s">
        <v>3323</v>
      </c>
      <c r="E424" s="6"/>
      <c r="F424" s="6" t="s">
        <v>3324</v>
      </c>
      <c r="G424" s="6" t="s">
        <v>3325</v>
      </c>
      <c r="H424" s="6" t="str">
        <f t="shared" si="29"/>
        <v>THE OVERSEER
THOMAS TRINDAL
DR. SMITH
MR. COPE
JACKIE
THE CONSTABLE
OLD DORRENT
HOMER JACKSON
MR. STONES(P43
P44
P102
P437
P438
P439
P440)</v>
      </c>
      <c r="I424" s="6" t="s">
        <v>248</v>
      </c>
      <c r="J424" s="6"/>
      <c r="K424" s="6"/>
      <c r="L424" s="6" t="s">
        <v>3023</v>
      </c>
      <c r="M424" s="6" t="str">
        <f>VLOOKUP(L424, GLOSSARY!$A:$C, 2, FALSE)</f>
        <v>SAVANNA LA MAR COURTHOUSE</v>
      </c>
      <c r="N424" s="6" t="s">
        <v>287</v>
      </c>
      <c r="O424" s="6"/>
      <c r="P424" s="6"/>
      <c r="Q424" s="6"/>
      <c r="R424" s="6"/>
      <c r="S424" s="6"/>
      <c r="T424" s="6"/>
      <c r="U424" s="6"/>
      <c r="V424" s="6"/>
      <c r="W424" s="6"/>
      <c r="X424" s="6"/>
      <c r="Y424" s="6"/>
      <c r="Z424" s="6"/>
      <c r="AA424" s="6"/>
      <c r="AB424" s="6"/>
      <c r="AC424" s="6"/>
      <c r="AD424" s="6"/>
      <c r="AE424" s="6"/>
    </row>
    <row r="425" spans="1:31" ht="25.5" x14ac:dyDescent="0.2">
      <c r="A425" s="6" t="s">
        <v>2774</v>
      </c>
      <c r="B425" s="6" t="s">
        <v>3326</v>
      </c>
      <c r="C425" s="20" t="s">
        <v>3322</v>
      </c>
      <c r="D425" s="6" t="s">
        <v>3327</v>
      </c>
      <c r="E425" s="6"/>
      <c r="F425" s="6" t="s">
        <v>269</v>
      </c>
      <c r="G425" s="6" t="s">
        <v>268</v>
      </c>
      <c r="H425" s="6" t="str">
        <f t="shared" si="29"/>
        <v>LINCOLN(P24)</v>
      </c>
      <c r="I425" s="6" t="s">
        <v>198</v>
      </c>
      <c r="J425" s="6"/>
      <c r="K425" s="6"/>
      <c r="L425" s="6" t="s">
        <v>55</v>
      </c>
      <c r="M425" s="6" t="str">
        <f>VLOOKUP(L425, GLOSSARY!$A:$C, 2, FALSE)</f>
        <v>EGYPT ESTATE</v>
      </c>
      <c r="N425" s="6" t="s">
        <v>68</v>
      </c>
      <c r="O425" s="6"/>
      <c r="P425" s="6"/>
      <c r="Q425" s="6"/>
      <c r="R425" s="6"/>
      <c r="S425" s="6"/>
      <c r="T425" s="6"/>
      <c r="U425" s="6"/>
      <c r="V425" s="6"/>
      <c r="W425" s="6"/>
      <c r="X425" s="6"/>
      <c r="Y425" s="6"/>
      <c r="Z425" s="6"/>
      <c r="AA425" s="6"/>
      <c r="AB425" s="6"/>
      <c r="AC425" s="6"/>
      <c r="AD425" s="6"/>
      <c r="AE425" s="6"/>
    </row>
    <row r="426" spans="1:31" ht="102" x14ac:dyDescent="0.2">
      <c r="A426" s="6" t="s">
        <v>3135</v>
      </c>
      <c r="B426" s="6" t="s">
        <v>3317</v>
      </c>
      <c r="C426" s="20" t="s">
        <v>3322</v>
      </c>
      <c r="D426" s="6" t="s">
        <v>3328</v>
      </c>
      <c r="E426" s="6"/>
      <c r="F426" s="6" t="s">
        <v>779</v>
      </c>
      <c r="G426" s="6" t="s">
        <v>780</v>
      </c>
      <c r="H426" s="6" t="str">
        <f t="shared" si="29"/>
        <v>EGYPT FIELDHANDS(P315)</v>
      </c>
      <c r="I426" s="6" t="s">
        <v>784</v>
      </c>
      <c r="J426" s="6"/>
      <c r="K426" s="6"/>
      <c r="L426" s="6" t="s">
        <v>2849</v>
      </c>
      <c r="M426" s="6" t="str">
        <f>VLOOKUP(L426, GLOSSARY!$A:$C, 2, FALSE)</f>
        <v>EGYPT POTATO PIECE</v>
      </c>
      <c r="N426" s="6" t="s">
        <v>68</v>
      </c>
      <c r="O426" s="6"/>
      <c r="P426" s="6"/>
      <c r="Q426" s="6"/>
      <c r="R426" s="6"/>
      <c r="S426" s="6"/>
      <c r="T426" s="6"/>
      <c r="U426" s="6"/>
      <c r="V426" s="6"/>
      <c r="W426" s="6"/>
      <c r="X426" s="6"/>
      <c r="Y426" s="6"/>
      <c r="Z426" s="6"/>
      <c r="AA426" s="6"/>
      <c r="AB426" s="6"/>
      <c r="AC426" s="6"/>
      <c r="AD426" s="6"/>
      <c r="AE426" s="6"/>
    </row>
    <row r="427" spans="1:31" ht="63.75" x14ac:dyDescent="0.2">
      <c r="A427" s="6" t="s">
        <v>2712</v>
      </c>
      <c r="B427" s="6" t="s">
        <v>3326</v>
      </c>
      <c r="C427" s="20" t="s">
        <v>3329</v>
      </c>
      <c r="D427" s="6" t="s">
        <v>3330</v>
      </c>
      <c r="E427" s="6"/>
      <c r="F427" s="6" t="s">
        <v>3331</v>
      </c>
      <c r="G427" s="6" t="s">
        <v>3332</v>
      </c>
      <c r="H427" s="6" t="str">
        <f t="shared" si="29"/>
        <v>DERBY
PORT ROYAL
THE OVERSEER(P43
P295
P212)</v>
      </c>
      <c r="I427" s="6" t="s">
        <v>112</v>
      </c>
      <c r="J427" s="6"/>
      <c r="K427" s="6"/>
      <c r="L427" s="6" t="s">
        <v>55</v>
      </c>
      <c r="M427" s="6" t="str">
        <f>VLOOKUP(L427, GLOSSARY!$A:$C, 2, FALSE)</f>
        <v>EGYPT ESTATE</v>
      </c>
      <c r="N427" s="6" t="s">
        <v>68</v>
      </c>
      <c r="O427" s="6"/>
      <c r="P427" s="6"/>
      <c r="Q427" s="6"/>
      <c r="R427" s="6"/>
      <c r="S427" s="6"/>
      <c r="T427" s="6"/>
      <c r="U427" s="6"/>
      <c r="V427" s="6"/>
      <c r="W427" s="6"/>
      <c r="X427" s="6"/>
      <c r="Y427" s="6"/>
      <c r="Z427" s="6"/>
      <c r="AA427" s="6"/>
      <c r="AB427" s="6"/>
      <c r="AC427" s="6"/>
      <c r="AD427" s="6"/>
      <c r="AE427" s="6"/>
    </row>
    <row r="428" spans="1:31" ht="153" x14ac:dyDescent="0.2">
      <c r="A428" s="6" t="s">
        <v>3135</v>
      </c>
      <c r="B428" s="6" t="s">
        <v>3326</v>
      </c>
      <c r="C428" s="20" t="s">
        <v>3329</v>
      </c>
      <c r="D428" s="6" t="s">
        <v>3333</v>
      </c>
      <c r="E428" s="6"/>
      <c r="F428" s="6" t="s">
        <v>3334</v>
      </c>
      <c r="G428" s="6" t="s">
        <v>3335</v>
      </c>
      <c r="H428" s="6" t="str">
        <f t="shared" si="29"/>
        <v>CYRUS
EGYPT FIELDHANDS(P210
P315)</v>
      </c>
      <c r="I428" s="6" t="s">
        <v>784</v>
      </c>
      <c r="J428" s="6"/>
      <c r="K428" s="6"/>
      <c r="L428" s="6" t="s">
        <v>3336</v>
      </c>
      <c r="M428" s="6" t="s">
        <v>3337</v>
      </c>
      <c r="N428" s="6" t="s">
        <v>287</v>
      </c>
      <c r="O428" s="6"/>
      <c r="P428" s="6"/>
      <c r="Q428" s="6"/>
      <c r="R428" s="6"/>
      <c r="S428" s="6"/>
      <c r="T428" s="6"/>
      <c r="U428" s="6"/>
      <c r="V428" s="6"/>
      <c r="W428" s="6"/>
      <c r="X428" s="6"/>
      <c r="Y428" s="6"/>
      <c r="Z428" s="6"/>
      <c r="AA428" s="6"/>
      <c r="AB428" s="6"/>
      <c r="AC428" s="6"/>
      <c r="AD428" s="6"/>
      <c r="AE428" s="6"/>
    </row>
    <row r="429" spans="1:31" ht="38.25" x14ac:dyDescent="0.2">
      <c r="A429" s="6" t="s">
        <v>3135</v>
      </c>
      <c r="B429" s="6" t="s">
        <v>3338</v>
      </c>
      <c r="C429" s="20" t="s">
        <v>3339</v>
      </c>
      <c r="D429" s="6" t="s">
        <v>3340</v>
      </c>
      <c r="E429" s="6"/>
      <c r="F429" s="6" t="s">
        <v>779</v>
      </c>
      <c r="G429" s="6" t="s">
        <v>780</v>
      </c>
      <c r="H429" s="6" t="str">
        <f t="shared" si="29"/>
        <v>EGYPT FIELDHANDS(P315)</v>
      </c>
      <c r="I429" s="6" t="s">
        <v>784</v>
      </c>
      <c r="J429" s="6"/>
      <c r="K429" s="6"/>
      <c r="L429" s="6" t="s">
        <v>2841</v>
      </c>
      <c r="M429" s="6" t="s">
        <v>2842</v>
      </c>
      <c r="N429" s="6" t="s">
        <v>68</v>
      </c>
      <c r="O429" s="6"/>
      <c r="P429" s="6"/>
      <c r="Q429" s="6"/>
      <c r="R429" s="6"/>
      <c r="S429" s="6"/>
      <c r="T429" s="6"/>
      <c r="U429" s="6"/>
      <c r="V429" s="6"/>
      <c r="W429" s="6"/>
      <c r="X429" s="6"/>
      <c r="Y429" s="6"/>
      <c r="Z429" s="6"/>
      <c r="AA429" s="6"/>
      <c r="AB429" s="6"/>
      <c r="AC429" s="6"/>
      <c r="AD429" s="6"/>
      <c r="AE429" s="6"/>
    </row>
    <row r="430" spans="1:31" ht="63.75" x14ac:dyDescent="0.2">
      <c r="A430" s="6" t="s">
        <v>3341</v>
      </c>
      <c r="B430" s="6" t="s">
        <v>3342</v>
      </c>
      <c r="C430" s="20" t="s">
        <v>3343</v>
      </c>
      <c r="D430" s="6" t="s">
        <v>3344</v>
      </c>
      <c r="E430" s="6"/>
      <c r="F430" s="6" t="s">
        <v>3345</v>
      </c>
      <c r="G430" s="6" t="s">
        <v>3346</v>
      </c>
      <c r="H430" s="6" t="str">
        <f t="shared" si="29"/>
        <v>AGNES
OLD PHIBBAH
THE OVERSEER(P124
P96
P43)</v>
      </c>
      <c r="I430" s="6" t="s">
        <v>96</v>
      </c>
      <c r="J430" s="6"/>
      <c r="K430" s="6"/>
      <c r="L430" s="6" t="s">
        <v>55</v>
      </c>
      <c r="M430" s="6" t="str">
        <f>VLOOKUP(L430, GLOSSARY!$A:$C, 2, FALSE)</f>
        <v>EGYPT ESTATE</v>
      </c>
      <c r="N430" s="6" t="s">
        <v>167</v>
      </c>
      <c r="O430" s="6"/>
      <c r="P430" s="6"/>
      <c r="Q430" s="6"/>
      <c r="R430" s="6"/>
      <c r="S430" s="6"/>
      <c r="T430" s="6"/>
      <c r="U430" s="6"/>
      <c r="V430" s="6"/>
      <c r="W430" s="6"/>
      <c r="X430" s="6"/>
      <c r="Y430" s="6"/>
      <c r="Z430" s="6"/>
      <c r="AA430" s="6"/>
      <c r="AB430" s="6"/>
      <c r="AC430" s="6"/>
      <c r="AD430" s="6"/>
      <c r="AE430" s="6"/>
    </row>
    <row r="431" spans="1:31" ht="63.75" x14ac:dyDescent="0.2">
      <c r="A431" s="6" t="s">
        <v>3347</v>
      </c>
      <c r="B431" s="6" t="s">
        <v>3342</v>
      </c>
      <c r="C431" s="20" t="s">
        <v>3343</v>
      </c>
      <c r="D431" s="6" t="s">
        <v>3348</v>
      </c>
      <c r="E431" s="6"/>
      <c r="F431" s="6" t="s">
        <v>48</v>
      </c>
      <c r="G431" s="6" t="s">
        <v>50</v>
      </c>
      <c r="H431" s="6" t="str">
        <f t="shared" si="29"/>
        <v>THE OVERSEER(P43)</v>
      </c>
      <c r="I431" s="6" t="s">
        <v>26</v>
      </c>
      <c r="J431" s="6"/>
      <c r="K431" s="6"/>
      <c r="L431" s="6" t="s">
        <v>55</v>
      </c>
      <c r="M431" s="6" t="str">
        <f>VLOOKUP(L431, GLOSSARY!$A:$C, 2, FALSE)</f>
        <v>EGYPT ESTATE</v>
      </c>
      <c r="N431" s="6" t="s">
        <v>287</v>
      </c>
      <c r="O431" s="6"/>
      <c r="P431" s="6"/>
      <c r="Q431" s="6"/>
      <c r="R431" s="6"/>
      <c r="S431" s="6"/>
      <c r="T431" s="6"/>
      <c r="U431" s="6"/>
      <c r="V431" s="6"/>
      <c r="W431" s="6"/>
      <c r="X431" s="6"/>
      <c r="Y431" s="6"/>
      <c r="Z431" s="6"/>
      <c r="AA431" s="6"/>
      <c r="AB431" s="6"/>
      <c r="AC431" s="6"/>
      <c r="AD431" s="6"/>
      <c r="AE431" s="6"/>
    </row>
    <row r="432" spans="1:31" ht="38.25" x14ac:dyDescent="0.2">
      <c r="A432" s="6" t="s">
        <v>3341</v>
      </c>
      <c r="B432" s="6" t="s">
        <v>3349</v>
      </c>
      <c r="C432" s="20" t="s">
        <v>3350</v>
      </c>
      <c r="D432" s="6" t="s">
        <v>3351</v>
      </c>
      <c r="E432" s="6"/>
      <c r="F432" s="6" t="s">
        <v>3352</v>
      </c>
      <c r="G432" s="6" t="s">
        <v>3353</v>
      </c>
      <c r="H432" s="6" t="str">
        <f t="shared" si="29"/>
        <v>AGNES
AGNES' CHILD(P124
P421)</v>
      </c>
      <c r="I432" s="6" t="s">
        <v>1068</v>
      </c>
      <c r="J432" s="6"/>
      <c r="K432" s="6"/>
      <c r="L432" s="6" t="s">
        <v>55</v>
      </c>
      <c r="M432" s="6" t="str">
        <f>VLOOKUP(L432, GLOSSARY!$A:$C, 2, FALSE)</f>
        <v>EGYPT ESTATE</v>
      </c>
      <c r="N432" s="6" t="s">
        <v>167</v>
      </c>
      <c r="O432" s="6"/>
      <c r="P432" s="6"/>
      <c r="Q432" s="6"/>
      <c r="R432" s="6"/>
      <c r="S432" s="6"/>
      <c r="T432" s="6"/>
      <c r="U432" s="6"/>
      <c r="V432" s="6"/>
      <c r="W432" s="6"/>
      <c r="X432" s="6"/>
      <c r="Y432" s="6"/>
      <c r="Z432" s="6"/>
      <c r="AA432" s="6"/>
      <c r="AB432" s="6"/>
      <c r="AC432" s="6"/>
      <c r="AD432" s="6"/>
      <c r="AE432" s="6"/>
    </row>
    <row r="433" spans="1:31" ht="38.25" x14ac:dyDescent="0.2">
      <c r="A433" s="6" t="s">
        <v>3081</v>
      </c>
      <c r="B433" s="6" t="s">
        <v>3354</v>
      </c>
      <c r="C433" s="20" t="s">
        <v>3355</v>
      </c>
      <c r="D433" s="6" t="s">
        <v>3356</v>
      </c>
      <c r="E433" s="6"/>
      <c r="F433" s="6" t="s">
        <v>3357</v>
      </c>
      <c r="G433" s="6" t="s">
        <v>3358</v>
      </c>
      <c r="H433" s="6" t="str">
        <f t="shared" si="29"/>
        <v>EGYPT
QUACOO(P419
P298)</v>
      </c>
      <c r="I433" s="6" t="s">
        <v>656</v>
      </c>
      <c r="J433" s="6"/>
      <c r="K433" s="6"/>
      <c r="L433" s="6" t="s">
        <v>657</v>
      </c>
      <c r="M433" s="6" t="str">
        <f>VLOOKUP(L433, GLOSSARY!$A:$C, 2, FALSE)</f>
        <v>UNKNOWN</v>
      </c>
      <c r="N433" s="6" t="s">
        <v>287</v>
      </c>
      <c r="O433" s="6"/>
      <c r="P433" s="6"/>
      <c r="Q433" s="6"/>
      <c r="R433" s="6"/>
      <c r="S433" s="6"/>
      <c r="T433" s="6"/>
      <c r="U433" s="6"/>
      <c r="V433" s="6"/>
      <c r="W433" s="6"/>
      <c r="X433" s="6"/>
      <c r="Y433" s="6"/>
      <c r="Z433" s="6"/>
      <c r="AA433" s="6"/>
      <c r="AB433" s="6"/>
      <c r="AC433" s="6"/>
      <c r="AD433" s="6"/>
      <c r="AE433" s="6"/>
    </row>
    <row r="434" spans="1:31" ht="51" x14ac:dyDescent="0.2">
      <c r="A434" s="6" t="s">
        <v>3359</v>
      </c>
      <c r="B434" s="6" t="s">
        <v>3360</v>
      </c>
      <c r="C434" s="20" t="s">
        <v>3361</v>
      </c>
      <c r="D434" s="6" t="s">
        <v>3362</v>
      </c>
      <c r="E434" s="6"/>
      <c r="F434" s="6" t="s">
        <v>2725</v>
      </c>
      <c r="G434" s="6" t="s">
        <v>2724</v>
      </c>
      <c r="H434" s="6" t="str">
        <f t="shared" si="29"/>
        <v>ARMED ENSLAVED PEOPLE(P510)</v>
      </c>
      <c r="I434" s="6" t="s">
        <v>248</v>
      </c>
      <c r="J434" s="6"/>
      <c r="K434" s="6"/>
      <c r="L434" s="6" t="s">
        <v>55</v>
      </c>
      <c r="M434" s="6" t="str">
        <f>VLOOKUP(L434, GLOSSARY!$A:$C, 2, FALSE)</f>
        <v>EGYPT ESTATE</v>
      </c>
      <c r="N434" s="6" t="s">
        <v>68</v>
      </c>
      <c r="O434" s="6"/>
      <c r="P434" s="6"/>
      <c r="Q434" s="6"/>
      <c r="R434" s="6"/>
      <c r="S434" s="6"/>
      <c r="T434" s="6"/>
      <c r="U434" s="6"/>
      <c r="V434" s="6"/>
      <c r="W434" s="6"/>
      <c r="X434" s="6"/>
      <c r="Y434" s="6"/>
      <c r="Z434" s="6"/>
      <c r="AA434" s="6"/>
      <c r="AB434" s="6"/>
      <c r="AC434" s="6"/>
      <c r="AD434" s="6"/>
      <c r="AE434" s="6"/>
    </row>
    <row r="435" spans="1:31" ht="89.25" x14ac:dyDescent="0.2">
      <c r="A435" s="6" t="s">
        <v>3004</v>
      </c>
      <c r="B435" s="6" t="s">
        <v>3363</v>
      </c>
      <c r="C435" s="20" t="s">
        <v>3364</v>
      </c>
      <c r="D435" s="6" t="s">
        <v>3365</v>
      </c>
      <c r="E435" s="6"/>
      <c r="F435" s="6" t="s">
        <v>3366</v>
      </c>
      <c r="G435" s="6" t="s">
        <v>3367</v>
      </c>
      <c r="H435" s="6" t="str">
        <f t="shared" si="29"/>
        <v>EGYPT QUASHE
AMBO
PHIBBAH
THE OVERSEER(P284
P170
P7
P43)</v>
      </c>
      <c r="I435" s="6" t="s">
        <v>957</v>
      </c>
      <c r="J435" s="6"/>
      <c r="K435" s="6"/>
      <c r="L435" s="6" t="s">
        <v>55</v>
      </c>
      <c r="M435" s="6" t="str">
        <f>VLOOKUP(L435, GLOSSARY!$A:$C, 2, FALSE)</f>
        <v>EGYPT ESTATE</v>
      </c>
      <c r="N435" s="6" t="s">
        <v>68</v>
      </c>
      <c r="O435" s="6"/>
      <c r="P435" s="6"/>
      <c r="Q435" s="6"/>
      <c r="R435" s="6"/>
      <c r="S435" s="6"/>
      <c r="T435" s="6"/>
      <c r="U435" s="6"/>
      <c r="V435" s="6"/>
      <c r="W435" s="6"/>
      <c r="X435" s="6"/>
      <c r="Y435" s="6"/>
      <c r="Z435" s="6"/>
      <c r="AA435" s="6"/>
      <c r="AB435" s="6"/>
      <c r="AC435" s="6"/>
      <c r="AD435" s="6"/>
      <c r="AE435" s="6"/>
    </row>
    <row r="436" spans="1:31" ht="267.75" x14ac:dyDescent="0.2">
      <c r="A436" s="6" t="s">
        <v>3368</v>
      </c>
      <c r="B436" s="6" t="s">
        <v>3369</v>
      </c>
      <c r="C436" s="20" t="s">
        <v>3364</v>
      </c>
      <c r="D436" s="6" t="s">
        <v>3370</v>
      </c>
      <c r="E436" s="6"/>
      <c r="F436" s="6" t="s">
        <v>3371</v>
      </c>
      <c r="G436" s="6" t="s">
        <v>3372</v>
      </c>
      <c r="H436" s="6" t="str">
        <f t="shared" si="29"/>
        <v>THE OVERSEER
JOHN COPE
(P43
P44)</v>
      </c>
      <c r="I436" s="6" t="s">
        <v>759</v>
      </c>
      <c r="J436" s="6"/>
      <c r="K436" s="6"/>
      <c r="L436" s="6" t="s">
        <v>55</v>
      </c>
      <c r="M436" s="6" t="str">
        <f>VLOOKUP(L436, GLOSSARY!$A:$C, 2, FALSE)</f>
        <v>EGYPT ESTATE</v>
      </c>
      <c r="N436" s="6" t="s">
        <v>287</v>
      </c>
      <c r="O436" s="6"/>
      <c r="P436" s="6"/>
      <c r="Q436" s="6"/>
      <c r="R436" s="6"/>
      <c r="S436" s="6"/>
      <c r="T436" s="6"/>
      <c r="U436" s="6"/>
      <c r="V436" s="6"/>
      <c r="W436" s="6"/>
      <c r="X436" s="6"/>
      <c r="Y436" s="6"/>
      <c r="Z436" s="6"/>
      <c r="AA436" s="6"/>
      <c r="AB436" s="6"/>
      <c r="AC436" s="6"/>
      <c r="AD436" s="6"/>
      <c r="AE436" s="6"/>
    </row>
    <row r="437" spans="1:31" ht="25.5" x14ac:dyDescent="0.2">
      <c r="A437" s="6" t="s">
        <v>3274</v>
      </c>
      <c r="B437" s="6" t="s">
        <v>3373</v>
      </c>
      <c r="C437" s="20" t="s">
        <v>3374</v>
      </c>
      <c r="D437" s="6" t="s">
        <v>3375</v>
      </c>
      <c r="E437" s="6"/>
      <c r="F437" s="6" t="s">
        <v>300</v>
      </c>
      <c r="G437" s="6" t="s">
        <v>299</v>
      </c>
      <c r="H437" s="6" t="str">
        <f t="shared" si="29"/>
        <v>MOUNTAIN LUCY(P30)</v>
      </c>
      <c r="I437" s="6" t="s">
        <v>784</v>
      </c>
      <c r="J437" s="6"/>
      <c r="K437" s="6"/>
      <c r="L437" s="6" t="s">
        <v>55</v>
      </c>
      <c r="M437" s="6" t="str">
        <f>VLOOKUP(L437, GLOSSARY!$A:$C, 2, FALSE)</f>
        <v>EGYPT ESTATE</v>
      </c>
      <c r="N437" s="6" t="s">
        <v>68</v>
      </c>
      <c r="O437" s="6"/>
      <c r="P437" s="6"/>
      <c r="Q437" s="6"/>
      <c r="R437" s="6"/>
      <c r="S437" s="6"/>
      <c r="T437" s="6"/>
      <c r="U437" s="6"/>
      <c r="V437" s="6"/>
      <c r="W437" s="6"/>
      <c r="X437" s="6"/>
      <c r="Y437" s="6"/>
      <c r="Z437" s="6"/>
      <c r="AA437" s="6"/>
      <c r="AB437" s="6"/>
      <c r="AC437" s="6"/>
      <c r="AD437" s="6"/>
      <c r="AE437" s="6"/>
    </row>
    <row r="438" spans="1:31" ht="38.25" x14ac:dyDescent="0.2">
      <c r="A438" s="6" t="s">
        <v>3376</v>
      </c>
      <c r="B438" s="6" t="s">
        <v>3377</v>
      </c>
      <c r="C438" s="20" t="s">
        <v>3378</v>
      </c>
      <c r="D438" s="6" t="s">
        <v>3379</v>
      </c>
      <c r="E438" s="6"/>
      <c r="F438" s="6" t="s">
        <v>48</v>
      </c>
      <c r="G438" s="6" t="s">
        <v>50</v>
      </c>
      <c r="H438" s="6" t="str">
        <f t="shared" si="29"/>
        <v>THE OVERSEER(P43)</v>
      </c>
      <c r="I438" s="6" t="s">
        <v>533</v>
      </c>
      <c r="J438" s="6"/>
      <c r="K438" s="6"/>
      <c r="L438" s="6" t="s">
        <v>55</v>
      </c>
      <c r="M438" s="6" t="str">
        <f>VLOOKUP(L438, GLOSSARY!$A:$C, 2, FALSE)</f>
        <v>EGYPT ESTATE</v>
      </c>
      <c r="N438" s="6" t="s">
        <v>287</v>
      </c>
      <c r="O438" s="6"/>
      <c r="P438" s="6"/>
      <c r="Q438" s="6"/>
      <c r="R438" s="6"/>
      <c r="S438" s="6"/>
      <c r="T438" s="6"/>
      <c r="U438" s="6"/>
      <c r="V438" s="6"/>
      <c r="W438" s="6"/>
      <c r="X438" s="6"/>
      <c r="Y438" s="6"/>
      <c r="Z438" s="6"/>
      <c r="AA438" s="6"/>
      <c r="AB438" s="6"/>
      <c r="AC438" s="6"/>
      <c r="AD438" s="6"/>
      <c r="AE438" s="6"/>
    </row>
    <row r="439" spans="1:31" ht="25.5" x14ac:dyDescent="0.2">
      <c r="A439" s="6" t="s">
        <v>3376</v>
      </c>
      <c r="B439" s="6" t="s">
        <v>3377</v>
      </c>
      <c r="C439" s="20" t="s">
        <v>3380</v>
      </c>
      <c r="D439" s="6" t="s">
        <v>3381</v>
      </c>
      <c r="E439" s="6"/>
      <c r="F439" s="6" t="s">
        <v>48</v>
      </c>
      <c r="G439" s="6" t="s">
        <v>50</v>
      </c>
      <c r="H439" s="6" t="str">
        <f t="shared" si="29"/>
        <v>THE OVERSEER(P43)</v>
      </c>
      <c r="I439" s="6" t="s">
        <v>533</v>
      </c>
      <c r="J439" s="6"/>
      <c r="K439" s="6"/>
      <c r="L439" s="6" t="s">
        <v>55</v>
      </c>
      <c r="M439" s="6" t="str">
        <f>VLOOKUP(L439, GLOSSARY!$A:$C, 2, FALSE)</f>
        <v>EGYPT ESTATE</v>
      </c>
      <c r="N439" s="6" t="s">
        <v>287</v>
      </c>
      <c r="O439" s="6"/>
      <c r="P439" s="6"/>
      <c r="Q439" s="6"/>
      <c r="R439" s="6"/>
      <c r="S439" s="6"/>
      <c r="T439" s="6"/>
      <c r="U439" s="6"/>
      <c r="V439" s="6"/>
      <c r="W439" s="6"/>
      <c r="X439" s="6"/>
      <c r="Y439" s="6"/>
      <c r="Z439" s="6"/>
      <c r="AA439" s="6"/>
      <c r="AB439" s="6"/>
      <c r="AC439" s="6"/>
      <c r="AD439" s="6"/>
      <c r="AE439" s="6"/>
    </row>
    <row r="440" spans="1:31" ht="25.5" x14ac:dyDescent="0.2">
      <c r="A440" s="6" t="s">
        <v>2712</v>
      </c>
      <c r="B440" s="6" t="s">
        <v>3377</v>
      </c>
      <c r="C440" s="20" t="s">
        <v>3382</v>
      </c>
      <c r="D440" s="6" t="s">
        <v>3383</v>
      </c>
      <c r="E440" s="6"/>
      <c r="F440" s="6" t="s">
        <v>2019</v>
      </c>
      <c r="G440" s="6" t="s">
        <v>2017</v>
      </c>
      <c r="H440" s="6" t="str">
        <f t="shared" si="29"/>
        <v>HECTOR(P358)</v>
      </c>
      <c r="I440" s="6" t="s">
        <v>656</v>
      </c>
      <c r="J440" s="6"/>
      <c r="K440" s="6"/>
      <c r="L440" s="6" t="s">
        <v>55</v>
      </c>
      <c r="M440" s="6" t="str">
        <f>VLOOKUP(L440, GLOSSARY!$A:$C, 2, FALSE)</f>
        <v>EGYPT ESTATE</v>
      </c>
      <c r="N440" s="6" t="s">
        <v>287</v>
      </c>
      <c r="O440" s="6"/>
      <c r="P440" s="6"/>
      <c r="Q440" s="6"/>
      <c r="R440" s="6"/>
      <c r="S440" s="6"/>
      <c r="T440" s="6"/>
      <c r="U440" s="6"/>
      <c r="V440" s="6"/>
      <c r="W440" s="6"/>
      <c r="X440" s="6"/>
      <c r="Y440" s="6"/>
      <c r="Z440" s="6"/>
      <c r="AA440" s="6"/>
      <c r="AB440" s="6"/>
      <c r="AC440" s="6"/>
      <c r="AD440" s="6"/>
      <c r="AE440" s="6"/>
    </row>
    <row r="441" spans="1:31" ht="25.5" x14ac:dyDescent="0.2">
      <c r="A441" s="6" t="s">
        <v>3376</v>
      </c>
      <c r="B441" s="6" t="s">
        <v>3377</v>
      </c>
      <c r="C441" s="20" t="s">
        <v>3382</v>
      </c>
      <c r="D441" s="6" t="s">
        <v>3384</v>
      </c>
      <c r="E441" s="6"/>
      <c r="F441" s="6" t="s">
        <v>48</v>
      </c>
      <c r="G441" s="6" t="s">
        <v>50</v>
      </c>
      <c r="H441" s="6" t="str">
        <f t="shared" si="29"/>
        <v>THE OVERSEER(P43)</v>
      </c>
      <c r="I441" s="6" t="s">
        <v>533</v>
      </c>
      <c r="J441" s="6"/>
      <c r="K441" s="6"/>
      <c r="L441" s="6" t="s">
        <v>55</v>
      </c>
      <c r="M441" s="6" t="str">
        <f>VLOOKUP(L441, GLOSSARY!$A:$C, 2, FALSE)</f>
        <v>EGYPT ESTATE</v>
      </c>
      <c r="N441" s="6" t="s">
        <v>167</v>
      </c>
      <c r="O441" s="6"/>
      <c r="P441" s="6"/>
      <c r="Q441" s="6"/>
      <c r="R441" s="6"/>
      <c r="S441" s="6"/>
      <c r="T441" s="6"/>
      <c r="U441" s="6"/>
      <c r="V441" s="6"/>
      <c r="W441" s="6"/>
      <c r="X441" s="6"/>
      <c r="Y441" s="6"/>
      <c r="Z441" s="6"/>
      <c r="AA441" s="6"/>
      <c r="AB441" s="6"/>
      <c r="AC441" s="6"/>
      <c r="AD441" s="6"/>
      <c r="AE441" s="6"/>
    </row>
    <row r="442" spans="1:31" ht="114.75" x14ac:dyDescent="0.2">
      <c r="A442" s="6" t="s">
        <v>3385</v>
      </c>
      <c r="B442" s="6" t="s">
        <v>3386</v>
      </c>
      <c r="C442" s="20" t="s">
        <v>3387</v>
      </c>
      <c r="D442" s="6" t="s">
        <v>3388</v>
      </c>
      <c r="E442" s="6"/>
      <c r="F442" s="6" t="s">
        <v>3389</v>
      </c>
      <c r="G442" s="6" t="s">
        <v>3390</v>
      </c>
      <c r="H442" s="6" t="str">
        <f>CONCATENATE(F442," (",G442,")")</f>
        <v>ROSE
NANCY
THE PLANTER (P187
P8
P44)</v>
      </c>
      <c r="I442" s="6" t="s">
        <v>784</v>
      </c>
      <c r="J442" s="6"/>
      <c r="K442" s="6"/>
      <c r="L442" s="6" t="s">
        <v>55</v>
      </c>
      <c r="M442" s="6" t="str">
        <f>VLOOKUP(L442, GLOSSARY!$A:$C, 2, FALSE)</f>
        <v>EGYPT ESTATE</v>
      </c>
      <c r="N442" s="6" t="s">
        <v>68</v>
      </c>
      <c r="O442" s="6"/>
      <c r="P442" s="6"/>
      <c r="Q442" s="6"/>
      <c r="R442" s="6"/>
      <c r="S442" s="6"/>
      <c r="T442" s="6"/>
      <c r="U442" s="6"/>
      <c r="V442" s="6"/>
      <c r="W442" s="6"/>
      <c r="X442" s="6"/>
      <c r="Y442" s="6"/>
      <c r="Z442" s="6"/>
      <c r="AA442" s="6"/>
      <c r="AB442" s="6"/>
      <c r="AC442" s="6"/>
      <c r="AD442" s="6"/>
      <c r="AE442" s="6"/>
    </row>
    <row r="443" spans="1:31" ht="63.75" x14ac:dyDescent="0.2">
      <c r="A443" s="6" t="s">
        <v>3391</v>
      </c>
      <c r="B443" s="6" t="s">
        <v>3386</v>
      </c>
      <c r="C443" s="20" t="s">
        <v>3387</v>
      </c>
      <c r="D443" s="6" t="s">
        <v>3392</v>
      </c>
      <c r="E443" s="6"/>
      <c r="F443" s="6" t="s">
        <v>3393</v>
      </c>
      <c r="G443" s="6" t="s">
        <v>3394</v>
      </c>
      <c r="H443" s="6" t="str">
        <f t="shared" ref="H443:H551" si="30">CONCATENATE(F443,"(",G443,")")</f>
        <v>ROSE
NANCY
JOHN COPE(P187
P8
P44)</v>
      </c>
      <c r="I443" s="6" t="s">
        <v>2607</v>
      </c>
      <c r="J443" s="6"/>
      <c r="K443" s="6"/>
      <c r="L443" s="6" t="s">
        <v>55</v>
      </c>
      <c r="M443" s="6" t="str">
        <f>VLOOKUP(L443, GLOSSARY!$A:$C, 2, FALSE)</f>
        <v>EGYPT ESTATE</v>
      </c>
      <c r="N443" s="6" t="s">
        <v>68</v>
      </c>
      <c r="O443" s="6"/>
      <c r="P443" s="6"/>
      <c r="Q443" s="6"/>
      <c r="R443" s="6"/>
      <c r="S443" s="6"/>
      <c r="T443" s="6"/>
      <c r="U443" s="6"/>
      <c r="V443" s="6"/>
      <c r="W443" s="6"/>
      <c r="X443" s="6"/>
      <c r="Y443" s="6"/>
      <c r="Z443" s="6"/>
      <c r="AA443" s="6"/>
      <c r="AB443" s="6"/>
      <c r="AC443" s="6"/>
      <c r="AD443" s="6"/>
      <c r="AE443" s="6"/>
    </row>
    <row r="444" spans="1:31" ht="25.5" x14ac:dyDescent="0.2">
      <c r="A444" s="6" t="s">
        <v>3376</v>
      </c>
      <c r="B444" s="6" t="s">
        <v>3386</v>
      </c>
      <c r="C444" s="20" t="s">
        <v>3387</v>
      </c>
      <c r="D444" s="6" t="s">
        <v>3395</v>
      </c>
      <c r="E444" s="6"/>
      <c r="F444" s="6" t="s">
        <v>48</v>
      </c>
      <c r="G444" s="6" t="s">
        <v>50</v>
      </c>
      <c r="H444" s="6" t="str">
        <f t="shared" si="30"/>
        <v>THE OVERSEER(P43)</v>
      </c>
      <c r="I444" s="6" t="s">
        <v>533</v>
      </c>
      <c r="J444" s="6"/>
      <c r="K444" s="6"/>
      <c r="L444" s="6" t="s">
        <v>55</v>
      </c>
      <c r="M444" s="6" t="str">
        <f>VLOOKUP(L444, GLOSSARY!$A:$C, 2, FALSE)</f>
        <v>EGYPT ESTATE</v>
      </c>
      <c r="N444" s="6" t="s">
        <v>287</v>
      </c>
      <c r="O444" s="6"/>
      <c r="P444" s="6"/>
      <c r="Q444" s="6"/>
      <c r="R444" s="6"/>
      <c r="S444" s="6"/>
      <c r="T444" s="6"/>
      <c r="U444" s="6"/>
      <c r="V444" s="6"/>
      <c r="W444" s="6"/>
      <c r="X444" s="6"/>
      <c r="Y444" s="6"/>
      <c r="Z444" s="6"/>
      <c r="AA444" s="6"/>
      <c r="AB444" s="6"/>
      <c r="AC444" s="6"/>
      <c r="AD444" s="6"/>
      <c r="AE444" s="6"/>
    </row>
    <row r="445" spans="1:31" ht="409.5" x14ac:dyDescent="0.2">
      <c r="A445" s="6" t="s">
        <v>3385</v>
      </c>
      <c r="B445" s="6" t="s">
        <v>3386</v>
      </c>
      <c r="C445" s="20" t="s">
        <v>3396</v>
      </c>
      <c r="D445" s="6" t="s">
        <v>3397</v>
      </c>
      <c r="E445" s="6"/>
      <c r="F445" s="6" t="s">
        <v>3398</v>
      </c>
      <c r="G445" s="6" t="s">
        <v>3399</v>
      </c>
      <c r="H445" s="6" t="str">
        <f t="shared" si="30"/>
        <v>HAZAT
CHARLES
TOBY
HECTOR
EGYPT MOLIA
AGNES
MOUNTAIN LUCY
VIOLET
MOUNTAIN LUCY'S CHILD
LITTLE QUASHE [DRIVER]
ROSE
NANCY
MORRIS
CLOE
CLARA
LITTLE MIMBER
MR. OGILBY
ACCUBAH
MR. BLAKE'S DOLL(P87
P302
P375
P358
P116
P124
P30
P117
P359
P187
P8
P226
P101
P129
P80
P16
P160
P479)</v>
      </c>
      <c r="I445" s="6" t="s">
        <v>784</v>
      </c>
      <c r="J445" s="6"/>
      <c r="K445" s="6"/>
      <c r="L445" s="6" t="s">
        <v>2849</v>
      </c>
      <c r="M445" s="6" t="str">
        <f>VLOOKUP(L445, GLOSSARY!$A:$C, 2, FALSE)</f>
        <v>EGYPT POTATO PIECE</v>
      </c>
      <c r="N445" s="6"/>
      <c r="O445" s="6"/>
      <c r="P445" s="6"/>
      <c r="Q445" s="6"/>
      <c r="R445" s="6"/>
      <c r="S445" s="6"/>
      <c r="T445" s="6"/>
      <c r="U445" s="6"/>
      <c r="V445" s="6"/>
      <c r="W445" s="6"/>
      <c r="X445" s="6"/>
      <c r="Y445" s="6"/>
      <c r="Z445" s="6"/>
      <c r="AA445" s="6"/>
      <c r="AB445" s="6"/>
      <c r="AC445" s="6"/>
      <c r="AD445" s="6"/>
      <c r="AE445" s="6"/>
    </row>
    <row r="446" spans="1:31" ht="409.5" x14ac:dyDescent="0.2">
      <c r="A446" s="6" t="s">
        <v>3385</v>
      </c>
      <c r="B446" s="6" t="s">
        <v>3400</v>
      </c>
      <c r="C446" s="20" t="s">
        <v>3396</v>
      </c>
      <c r="D446" s="6" t="s">
        <v>3397</v>
      </c>
      <c r="E446" s="6"/>
      <c r="F446" s="6" t="s">
        <v>3398</v>
      </c>
      <c r="G446" s="6" t="s">
        <v>3399</v>
      </c>
      <c r="H446" s="6" t="str">
        <f t="shared" si="30"/>
        <v>HAZAT
CHARLES
TOBY
HECTOR
EGYPT MOLIA
AGNES
MOUNTAIN LUCY
VIOLET
MOUNTAIN LUCY'S CHILD
LITTLE QUASHE [DRIVER]
ROSE
NANCY
MORRIS
CLOE
CLARA
LITTLE MIMBER
MR. OGILBY
ACCUBAH
MR. BLAKE'S DOLL(P87
P302
P375
P358
P116
P124
P30
P117
P359
P187
P8
P226
P101
P129
P80
P16
P160
P479)</v>
      </c>
      <c r="I446" s="6" t="s">
        <v>533</v>
      </c>
      <c r="J446" s="6"/>
      <c r="K446" s="6"/>
      <c r="L446" s="6" t="s">
        <v>1695</v>
      </c>
      <c r="M446" s="6" t="str">
        <f>VLOOKUP(L446, GLOSSARY!$A:$C, 2, FALSE)</f>
        <v>EGYPT ESTATE HOTHOUSE</v>
      </c>
      <c r="N446" s="6" t="s">
        <v>68</v>
      </c>
      <c r="O446" s="6"/>
      <c r="P446" s="6"/>
      <c r="Q446" s="6"/>
      <c r="R446" s="6"/>
      <c r="S446" s="6"/>
      <c r="T446" s="6"/>
      <c r="U446" s="6"/>
      <c r="V446" s="6"/>
      <c r="W446" s="6"/>
      <c r="X446" s="6"/>
      <c r="Y446" s="6"/>
      <c r="Z446" s="6"/>
      <c r="AA446" s="6"/>
      <c r="AB446" s="6"/>
      <c r="AC446" s="6"/>
      <c r="AD446" s="6"/>
      <c r="AE446" s="6"/>
    </row>
    <row r="447" spans="1:31" ht="51" x14ac:dyDescent="0.2">
      <c r="A447" s="6" t="s">
        <v>3376</v>
      </c>
      <c r="B447" s="6" t="s">
        <v>3401</v>
      </c>
      <c r="C447" s="20" t="s">
        <v>3402</v>
      </c>
      <c r="D447" s="6" t="s">
        <v>3403</v>
      </c>
      <c r="E447" s="6"/>
      <c r="F447" s="6" t="s">
        <v>48</v>
      </c>
      <c r="G447" s="6" t="s">
        <v>50</v>
      </c>
      <c r="H447" s="6" t="str">
        <f t="shared" si="30"/>
        <v>THE OVERSEER(P43)</v>
      </c>
      <c r="I447" s="6" t="s">
        <v>533</v>
      </c>
      <c r="J447" s="6"/>
      <c r="K447" s="6"/>
      <c r="L447" s="6" t="s">
        <v>55</v>
      </c>
      <c r="M447" s="6" t="str">
        <f>VLOOKUP(L447, GLOSSARY!$A:$C, 2, FALSE)</f>
        <v>EGYPT ESTATE</v>
      </c>
      <c r="N447" s="6" t="s">
        <v>287</v>
      </c>
      <c r="O447" s="6"/>
      <c r="P447" s="6"/>
      <c r="Q447" s="6"/>
      <c r="R447" s="6"/>
      <c r="S447" s="6"/>
      <c r="T447" s="6"/>
      <c r="U447" s="6"/>
      <c r="V447" s="6"/>
      <c r="W447" s="6"/>
      <c r="X447" s="6"/>
      <c r="Y447" s="6"/>
      <c r="Z447" s="6"/>
      <c r="AA447" s="6"/>
      <c r="AB447" s="6"/>
      <c r="AC447" s="6"/>
      <c r="AD447" s="6"/>
      <c r="AE447" s="6"/>
    </row>
    <row r="448" spans="1:31" ht="25.5" x14ac:dyDescent="0.2">
      <c r="A448" s="6" t="s">
        <v>3376</v>
      </c>
      <c r="B448" s="6" t="s">
        <v>3401</v>
      </c>
      <c r="C448" s="20" t="s">
        <v>3404</v>
      </c>
      <c r="D448" s="6" t="s">
        <v>3405</v>
      </c>
      <c r="E448" s="6"/>
      <c r="F448" s="6" t="s">
        <v>48</v>
      </c>
      <c r="G448" s="6" t="s">
        <v>50</v>
      </c>
      <c r="H448" s="6" t="str">
        <f t="shared" si="30"/>
        <v>THE OVERSEER(P43)</v>
      </c>
      <c r="I448" s="6" t="s">
        <v>533</v>
      </c>
      <c r="J448" s="6"/>
      <c r="K448" s="6"/>
      <c r="L448" s="6" t="s">
        <v>55</v>
      </c>
      <c r="M448" s="6" t="str">
        <f>VLOOKUP(L448, GLOSSARY!$A:$C, 2, FALSE)</f>
        <v>EGYPT ESTATE</v>
      </c>
      <c r="N448" s="6" t="s">
        <v>287</v>
      </c>
      <c r="O448" s="6"/>
      <c r="P448" s="6"/>
      <c r="Q448" s="6"/>
      <c r="R448" s="6"/>
      <c r="S448" s="6"/>
      <c r="T448" s="6"/>
      <c r="U448" s="6"/>
      <c r="V448" s="6"/>
      <c r="W448" s="6"/>
      <c r="X448" s="6"/>
      <c r="Y448" s="6"/>
      <c r="Z448" s="6"/>
      <c r="AA448" s="6"/>
      <c r="AB448" s="6"/>
      <c r="AC448" s="6"/>
      <c r="AD448" s="6"/>
      <c r="AE448" s="6"/>
    </row>
    <row r="449" spans="1:31" ht="12.75" x14ac:dyDescent="0.2">
      <c r="A449" s="6" t="s">
        <v>3376</v>
      </c>
      <c r="B449" s="6" t="s">
        <v>3401</v>
      </c>
      <c r="C449" s="20" t="s">
        <v>3406</v>
      </c>
      <c r="D449" s="6" t="s">
        <v>3407</v>
      </c>
      <c r="E449" s="6"/>
      <c r="F449" s="6" t="s">
        <v>48</v>
      </c>
      <c r="G449" s="6" t="s">
        <v>50</v>
      </c>
      <c r="H449" s="6" t="str">
        <f t="shared" si="30"/>
        <v>THE OVERSEER(P43)</v>
      </c>
      <c r="I449" s="6" t="s">
        <v>533</v>
      </c>
      <c r="J449" s="6"/>
      <c r="K449" s="6"/>
      <c r="L449" s="6" t="s">
        <v>55</v>
      </c>
      <c r="M449" s="6" t="str">
        <f>VLOOKUP(L449, GLOSSARY!$A:$C, 2, FALSE)</f>
        <v>EGYPT ESTATE</v>
      </c>
      <c r="N449" s="6" t="s">
        <v>3408</v>
      </c>
      <c r="O449" s="6"/>
      <c r="P449" s="6"/>
      <c r="Q449" s="6"/>
      <c r="R449" s="6"/>
      <c r="S449" s="6"/>
      <c r="T449" s="6"/>
      <c r="U449" s="6"/>
      <c r="V449" s="6"/>
      <c r="W449" s="6"/>
      <c r="X449" s="6"/>
      <c r="Y449" s="6"/>
      <c r="Z449" s="6"/>
      <c r="AA449" s="6"/>
      <c r="AB449" s="6"/>
      <c r="AC449" s="6"/>
      <c r="AD449" s="6"/>
      <c r="AE449" s="6"/>
    </row>
    <row r="450" spans="1:31" ht="38.25" x14ac:dyDescent="0.2">
      <c r="A450" s="6" t="s">
        <v>3081</v>
      </c>
      <c r="B450" s="6" t="s">
        <v>3401</v>
      </c>
      <c r="C450" s="20" t="s">
        <v>3409</v>
      </c>
      <c r="D450" s="6" t="s">
        <v>3410</v>
      </c>
      <c r="E450" s="6"/>
      <c r="F450" s="6" t="s">
        <v>3357</v>
      </c>
      <c r="G450" s="6" t="s">
        <v>3358</v>
      </c>
      <c r="H450" s="6" t="str">
        <f t="shared" si="30"/>
        <v>EGYPT
QUACOO(P419
P298)</v>
      </c>
      <c r="I450" s="6" t="s">
        <v>656</v>
      </c>
      <c r="J450" s="6"/>
      <c r="K450" s="6"/>
      <c r="L450" s="6" t="s">
        <v>657</v>
      </c>
      <c r="M450" s="6" t="str">
        <f>VLOOKUP(L450, GLOSSARY!$A:$C, 2, FALSE)</f>
        <v>UNKNOWN</v>
      </c>
      <c r="N450" s="6" t="s">
        <v>287</v>
      </c>
      <c r="O450" s="6"/>
      <c r="P450" s="6"/>
      <c r="Q450" s="6"/>
      <c r="R450" s="6"/>
      <c r="S450" s="6"/>
      <c r="T450" s="6"/>
      <c r="U450" s="6"/>
      <c r="V450" s="6"/>
      <c r="W450" s="6"/>
      <c r="X450" s="6"/>
      <c r="Y450" s="6"/>
      <c r="Z450" s="6"/>
      <c r="AA450" s="6"/>
      <c r="AB450" s="6"/>
      <c r="AC450" s="6"/>
      <c r="AD450" s="6"/>
      <c r="AE450" s="6"/>
    </row>
    <row r="451" spans="1:31" ht="25.5" x14ac:dyDescent="0.2">
      <c r="A451" s="6" t="s">
        <v>3376</v>
      </c>
      <c r="B451" s="6" t="s">
        <v>3401</v>
      </c>
      <c r="C451" s="20" t="s">
        <v>3409</v>
      </c>
      <c r="D451" s="6" t="s">
        <v>3411</v>
      </c>
      <c r="E451" s="6"/>
      <c r="F451" s="6" t="s">
        <v>48</v>
      </c>
      <c r="G451" s="6" t="s">
        <v>50</v>
      </c>
      <c r="H451" s="6" t="str">
        <f t="shared" si="30"/>
        <v>THE OVERSEER(P43)</v>
      </c>
      <c r="I451" s="6" t="s">
        <v>533</v>
      </c>
      <c r="J451" s="6"/>
      <c r="K451" s="6"/>
      <c r="L451" s="6" t="s">
        <v>55</v>
      </c>
      <c r="M451" s="6" t="str">
        <f>VLOOKUP(L451, GLOSSARY!$A:$C, 2, FALSE)</f>
        <v>EGYPT ESTATE</v>
      </c>
      <c r="N451" s="6" t="s">
        <v>287</v>
      </c>
      <c r="O451" s="6"/>
      <c r="P451" s="6"/>
      <c r="Q451" s="6"/>
      <c r="R451" s="6"/>
      <c r="S451" s="6"/>
      <c r="T451" s="6"/>
      <c r="U451" s="6"/>
      <c r="V451" s="6"/>
      <c r="W451" s="6"/>
      <c r="X451" s="6"/>
      <c r="Y451" s="6"/>
      <c r="Z451" s="6"/>
      <c r="AA451" s="6"/>
      <c r="AB451" s="6"/>
      <c r="AC451" s="6"/>
      <c r="AD451" s="6"/>
      <c r="AE451" s="6"/>
    </row>
    <row r="452" spans="1:31" ht="127.5" x14ac:dyDescent="0.2">
      <c r="A452" s="6" t="s">
        <v>3081</v>
      </c>
      <c r="B452" s="6" t="s">
        <v>3412</v>
      </c>
      <c r="C452" s="20" t="s">
        <v>3413</v>
      </c>
      <c r="D452" s="6" t="s">
        <v>3414</v>
      </c>
      <c r="E452" s="6"/>
      <c r="F452" s="6" t="s">
        <v>3415</v>
      </c>
      <c r="G452" s="6" t="s">
        <v>3416</v>
      </c>
      <c r="H452" s="6" t="str">
        <f t="shared" si="30"/>
        <v>EGYPT
QUACOO
HECTOR
BECK
MASON QUASHE
THE OVERSEER(P419
P298
P358
P361
P25)</v>
      </c>
      <c r="I452" s="6" t="s">
        <v>656</v>
      </c>
      <c r="J452" s="6"/>
      <c r="K452" s="6"/>
      <c r="L452" s="6" t="s">
        <v>657</v>
      </c>
      <c r="M452" s="6" t="str">
        <f>VLOOKUP(L452, GLOSSARY!$A:$C, 2, FALSE)</f>
        <v>UNKNOWN</v>
      </c>
      <c r="N452" s="6" t="s">
        <v>287</v>
      </c>
      <c r="O452" s="6"/>
      <c r="P452" s="6"/>
      <c r="Q452" s="6"/>
      <c r="R452" s="6"/>
      <c r="S452" s="6"/>
      <c r="T452" s="6"/>
      <c r="U452" s="6"/>
      <c r="V452" s="6"/>
      <c r="W452" s="6"/>
      <c r="X452" s="6"/>
      <c r="Y452" s="6"/>
      <c r="Z452" s="6"/>
      <c r="AA452" s="6"/>
      <c r="AB452" s="6"/>
      <c r="AC452" s="6"/>
      <c r="AD452" s="6"/>
      <c r="AE452" s="6"/>
    </row>
    <row r="453" spans="1:31" ht="127.5" x14ac:dyDescent="0.2">
      <c r="A453" s="6" t="s">
        <v>3081</v>
      </c>
      <c r="B453" s="6" t="s">
        <v>3417</v>
      </c>
      <c r="C453" s="20" t="s">
        <v>3418</v>
      </c>
      <c r="D453" s="6" t="s">
        <v>3419</v>
      </c>
      <c r="E453" s="6"/>
      <c r="F453" s="6" t="s">
        <v>3420</v>
      </c>
      <c r="G453" s="6" t="s">
        <v>3416</v>
      </c>
      <c r="H453" s="6" t="str">
        <f t="shared" si="30"/>
        <v>HECTOR
MASON QUASHE
BECK
EGYPT
QUACOO
THE OVERSEER(P419
P298
P358
P361
P25)</v>
      </c>
      <c r="I453" s="6" t="s">
        <v>112</v>
      </c>
      <c r="J453" s="6"/>
      <c r="K453" s="6"/>
      <c r="L453" s="6" t="s">
        <v>55</v>
      </c>
      <c r="M453" s="6" t="str">
        <f>VLOOKUP(L453, GLOSSARY!$A:$C, 2, FALSE)</f>
        <v>EGYPT ESTATE</v>
      </c>
      <c r="N453" s="6" t="s">
        <v>287</v>
      </c>
      <c r="O453" s="6"/>
      <c r="P453" s="6"/>
      <c r="Q453" s="6"/>
      <c r="R453" s="6"/>
      <c r="S453" s="6"/>
      <c r="T453" s="6"/>
      <c r="U453" s="6"/>
      <c r="V453" s="6"/>
      <c r="W453" s="6"/>
      <c r="X453" s="6"/>
      <c r="Y453" s="6"/>
      <c r="Z453" s="6"/>
      <c r="AA453" s="6"/>
      <c r="AB453" s="6"/>
      <c r="AC453" s="6"/>
      <c r="AD453" s="6"/>
      <c r="AE453" s="6"/>
    </row>
    <row r="454" spans="1:31" ht="114.75" x14ac:dyDescent="0.2">
      <c r="A454" s="6" t="s">
        <v>3081</v>
      </c>
      <c r="B454" s="6" t="s">
        <v>3417</v>
      </c>
      <c r="C454" s="20" t="s">
        <v>3421</v>
      </c>
      <c r="D454" s="6" t="s">
        <v>3422</v>
      </c>
      <c r="E454" s="6"/>
      <c r="F454" s="6" t="s">
        <v>3423</v>
      </c>
      <c r="G454" s="6" t="s">
        <v>3424</v>
      </c>
      <c r="H454" s="6" t="str">
        <f t="shared" si="30"/>
        <v>QUAW
OLD SHARPER
EGYPT
QUACOO
THE OVERSEER(P380
P74
P419
P298
P43)</v>
      </c>
      <c r="I454" s="6" t="s">
        <v>112</v>
      </c>
      <c r="J454" s="6"/>
      <c r="K454" s="6"/>
      <c r="L454" s="6" t="s">
        <v>55</v>
      </c>
      <c r="M454" s="6" t="str">
        <f>VLOOKUP(L454, GLOSSARY!$A:$C, 2, FALSE)</f>
        <v>EGYPT ESTATE</v>
      </c>
      <c r="N454" s="6" t="s">
        <v>287</v>
      </c>
      <c r="O454" s="6"/>
      <c r="P454" s="6"/>
      <c r="Q454" s="6"/>
      <c r="R454" s="6"/>
      <c r="S454" s="6"/>
      <c r="T454" s="6"/>
      <c r="U454" s="6"/>
      <c r="V454" s="6"/>
      <c r="W454" s="6"/>
      <c r="X454" s="6"/>
      <c r="Y454" s="6"/>
      <c r="Z454" s="6"/>
      <c r="AA454" s="6"/>
      <c r="AB454" s="6"/>
      <c r="AC454" s="6"/>
      <c r="AD454" s="6"/>
      <c r="AE454" s="6"/>
    </row>
    <row r="455" spans="1:31" ht="63.75" x14ac:dyDescent="0.2">
      <c r="A455" s="6" t="s">
        <v>3081</v>
      </c>
      <c r="B455" s="6" t="s">
        <v>3425</v>
      </c>
      <c r="C455" s="20" t="s">
        <v>3426</v>
      </c>
      <c r="D455" s="6" t="s">
        <v>3427</v>
      </c>
      <c r="E455" s="6"/>
      <c r="F455" s="6" t="s">
        <v>3428</v>
      </c>
      <c r="G455" s="6" t="s">
        <v>3429</v>
      </c>
      <c r="H455" s="6" t="str">
        <f t="shared" si="30"/>
        <v>EGYPT
QUACOO
HOPE(P419
P298
P373)</v>
      </c>
      <c r="I455" s="6" t="s">
        <v>656</v>
      </c>
      <c r="J455" s="6"/>
      <c r="K455" s="6"/>
      <c r="L455" s="6" t="s">
        <v>657</v>
      </c>
      <c r="M455" s="6" t="str">
        <f>VLOOKUP(L455, GLOSSARY!$A:$C, 2, FALSE)</f>
        <v>UNKNOWN</v>
      </c>
      <c r="N455" s="6" t="s">
        <v>287</v>
      </c>
      <c r="O455" s="6"/>
      <c r="P455" s="6"/>
      <c r="Q455" s="6"/>
      <c r="R455" s="6"/>
      <c r="S455" s="6"/>
      <c r="T455" s="6"/>
      <c r="U455" s="6"/>
      <c r="V455" s="6"/>
      <c r="W455" s="6"/>
      <c r="X455" s="6"/>
      <c r="Y455" s="6"/>
      <c r="Z455" s="6"/>
      <c r="AA455" s="6"/>
      <c r="AB455" s="6"/>
      <c r="AC455" s="6"/>
      <c r="AD455" s="6"/>
      <c r="AE455" s="6"/>
    </row>
    <row r="456" spans="1:31" ht="63.75" x14ac:dyDescent="0.2">
      <c r="A456" s="6" t="s">
        <v>3081</v>
      </c>
      <c r="B456" s="6" t="s">
        <v>3430</v>
      </c>
      <c r="C456" s="20" t="s">
        <v>3431</v>
      </c>
      <c r="D456" s="6" t="s">
        <v>3432</v>
      </c>
      <c r="E456" s="6"/>
      <c r="F456" s="6" t="s">
        <v>3433</v>
      </c>
      <c r="G456" s="6" t="s">
        <v>3434</v>
      </c>
      <c r="H456" s="6" t="str">
        <f t="shared" si="30"/>
        <v>DANIEL
EGYPT
QUACOO(P42
P419
P298)</v>
      </c>
      <c r="I456" s="6" t="s">
        <v>656</v>
      </c>
      <c r="J456" s="6"/>
      <c r="K456" s="6"/>
      <c r="L456" s="6" t="s">
        <v>55</v>
      </c>
      <c r="M456" s="6" t="str">
        <f>VLOOKUP(L456, GLOSSARY!$A:$C, 2, FALSE)</f>
        <v>EGYPT ESTATE</v>
      </c>
      <c r="N456" s="6" t="s">
        <v>287</v>
      </c>
      <c r="O456" s="6"/>
      <c r="P456" s="6"/>
      <c r="Q456" s="6"/>
      <c r="R456" s="6"/>
      <c r="S456" s="6"/>
      <c r="T456" s="6"/>
      <c r="U456" s="6"/>
      <c r="V456" s="6"/>
      <c r="W456" s="6"/>
      <c r="X456" s="6"/>
      <c r="Y456" s="6"/>
      <c r="Z456" s="6"/>
      <c r="AA456" s="6"/>
      <c r="AB456" s="6"/>
      <c r="AC456" s="6"/>
      <c r="AD456" s="6"/>
      <c r="AE456" s="6"/>
    </row>
    <row r="457" spans="1:31" ht="12.75" x14ac:dyDescent="0.2">
      <c r="A457" s="6" t="s">
        <v>3435</v>
      </c>
      <c r="B457" s="6" t="s">
        <v>3430</v>
      </c>
      <c r="C457" s="20" t="s">
        <v>3436</v>
      </c>
      <c r="D457" s="6" t="s">
        <v>3437</v>
      </c>
      <c r="E457" s="6"/>
      <c r="F457" s="6" t="s">
        <v>1982</v>
      </c>
      <c r="G457" s="6" t="s">
        <v>1981</v>
      </c>
      <c r="H457" s="6" t="str">
        <f t="shared" si="30"/>
        <v>PUNCH(P348)</v>
      </c>
      <c r="I457" s="6" t="s">
        <v>656</v>
      </c>
      <c r="J457" s="6"/>
      <c r="K457" s="6"/>
      <c r="L457" s="6" t="s">
        <v>657</v>
      </c>
      <c r="M457" s="6" t="str">
        <f>VLOOKUP(L457, GLOSSARY!$A:$C, 2, FALSE)</f>
        <v>UNKNOWN</v>
      </c>
      <c r="N457" s="6" t="s">
        <v>287</v>
      </c>
      <c r="O457" s="6"/>
      <c r="P457" s="6"/>
      <c r="Q457" s="6"/>
      <c r="R457" s="6"/>
      <c r="S457" s="6"/>
      <c r="T457" s="6"/>
      <c r="U457" s="6"/>
      <c r="V457" s="6"/>
      <c r="W457" s="6"/>
      <c r="X457" s="6"/>
      <c r="Y457" s="6"/>
      <c r="Z457" s="6"/>
      <c r="AA457" s="6"/>
      <c r="AB457" s="6"/>
      <c r="AC457" s="6"/>
      <c r="AD457" s="6"/>
      <c r="AE457" s="6"/>
    </row>
    <row r="458" spans="1:31" ht="25.5" x14ac:dyDescent="0.2">
      <c r="A458" s="6" t="s">
        <v>3081</v>
      </c>
      <c r="B458" s="6" t="s">
        <v>3438</v>
      </c>
      <c r="C458" s="20" t="s">
        <v>3439</v>
      </c>
      <c r="D458" s="6" t="s">
        <v>3440</v>
      </c>
      <c r="E458" s="6"/>
      <c r="F458" s="6" t="s">
        <v>2304</v>
      </c>
      <c r="G458" s="6" t="s">
        <v>2302</v>
      </c>
      <c r="H458" s="6" t="str">
        <f t="shared" si="30"/>
        <v>EGYPT(P419)</v>
      </c>
      <c r="I458" s="6" t="s">
        <v>112</v>
      </c>
      <c r="J458" s="6"/>
      <c r="K458" s="6"/>
      <c r="L458" s="6" t="s">
        <v>55</v>
      </c>
      <c r="M458" s="6" t="str">
        <f>VLOOKUP(L458, GLOSSARY!$A:$C, 2, FALSE)</f>
        <v>EGYPT ESTATE</v>
      </c>
      <c r="N458" s="6" t="s">
        <v>287</v>
      </c>
      <c r="O458" s="6"/>
      <c r="P458" s="6"/>
      <c r="Q458" s="6"/>
      <c r="R458" s="6"/>
      <c r="S458" s="6"/>
      <c r="T458" s="6"/>
      <c r="U458" s="6"/>
      <c r="V458" s="6"/>
      <c r="W458" s="6"/>
      <c r="X458" s="6"/>
      <c r="Y458" s="6"/>
      <c r="Z458" s="6"/>
      <c r="AA458" s="6"/>
      <c r="AB458" s="6"/>
      <c r="AC458" s="6"/>
      <c r="AD458" s="6"/>
      <c r="AE458" s="6"/>
    </row>
    <row r="459" spans="1:31" ht="38.25" x14ac:dyDescent="0.2">
      <c r="A459" s="6" t="s">
        <v>3435</v>
      </c>
      <c r="B459" s="6" t="s">
        <v>3441</v>
      </c>
      <c r="C459" s="20" t="s">
        <v>3442</v>
      </c>
      <c r="D459" s="6" t="s">
        <v>3443</v>
      </c>
      <c r="E459" s="6"/>
      <c r="F459" s="6" t="s">
        <v>3444</v>
      </c>
      <c r="G459" s="6" t="s">
        <v>3445</v>
      </c>
      <c r="H459" s="6" t="str">
        <f t="shared" si="30"/>
        <v>OLD SHARPER
PUNCH(P74
P348)</v>
      </c>
      <c r="I459" s="6" t="s">
        <v>656</v>
      </c>
      <c r="J459" s="6"/>
      <c r="K459" s="6"/>
      <c r="L459" s="6" t="s">
        <v>55</v>
      </c>
      <c r="M459" s="6" t="str">
        <f>VLOOKUP(L459, GLOSSARY!$A:$C, 2, FALSE)</f>
        <v>EGYPT ESTATE</v>
      </c>
      <c r="N459" s="6" t="s">
        <v>287</v>
      </c>
      <c r="O459" s="6"/>
      <c r="P459" s="6"/>
      <c r="Q459" s="6"/>
      <c r="R459" s="6"/>
      <c r="S459" s="6"/>
      <c r="T459" s="6"/>
      <c r="U459" s="6"/>
      <c r="V459" s="6"/>
      <c r="W459" s="6"/>
      <c r="X459" s="6"/>
      <c r="Y459" s="6"/>
      <c r="Z459" s="6"/>
      <c r="AA459" s="6"/>
      <c r="AB459" s="6"/>
      <c r="AC459" s="6"/>
      <c r="AD459" s="6"/>
      <c r="AE459" s="6"/>
    </row>
    <row r="460" spans="1:31" ht="178.5" x14ac:dyDescent="0.2">
      <c r="A460" s="6" t="s">
        <v>3446</v>
      </c>
      <c r="B460" s="6" t="s">
        <v>3441</v>
      </c>
      <c r="C460" s="20" t="s">
        <v>3442</v>
      </c>
      <c r="D460" s="6" t="s">
        <v>3447</v>
      </c>
      <c r="E460" s="6"/>
      <c r="F460" s="6" t="s">
        <v>743</v>
      </c>
      <c r="G460" s="6" t="s">
        <v>742</v>
      </c>
      <c r="H460" s="6" t="str">
        <f t="shared" si="30"/>
        <v>RICHARD HUNGERFORD(P111)</v>
      </c>
      <c r="I460" s="6" t="s">
        <v>248</v>
      </c>
      <c r="J460" s="6"/>
      <c r="K460" s="6"/>
      <c r="L460" s="6" t="s">
        <v>55</v>
      </c>
      <c r="M460" s="6" t="str">
        <f>VLOOKUP(L460, GLOSSARY!$A:$C, 2, FALSE)</f>
        <v>EGYPT ESTATE</v>
      </c>
      <c r="N460" s="6" t="s">
        <v>287</v>
      </c>
      <c r="O460" s="6"/>
      <c r="P460" s="6"/>
      <c r="Q460" s="6"/>
      <c r="R460" s="6"/>
      <c r="S460" s="6"/>
      <c r="T460" s="6"/>
      <c r="U460" s="6"/>
      <c r="V460" s="6"/>
      <c r="W460" s="6"/>
      <c r="X460" s="6"/>
      <c r="Y460" s="6"/>
      <c r="Z460" s="6"/>
      <c r="AA460" s="6"/>
      <c r="AB460" s="6"/>
      <c r="AC460" s="6"/>
      <c r="AD460" s="6"/>
      <c r="AE460" s="6"/>
    </row>
    <row r="461" spans="1:31" ht="127.5" x14ac:dyDescent="0.2">
      <c r="A461" s="6" t="s">
        <v>3448</v>
      </c>
      <c r="B461" s="6" t="s">
        <v>3449</v>
      </c>
      <c r="C461" s="20" t="s">
        <v>3450</v>
      </c>
      <c r="D461" s="6" t="s">
        <v>3451</v>
      </c>
      <c r="E461" s="6"/>
      <c r="F461" s="6" t="s">
        <v>3452</v>
      </c>
      <c r="G461" s="6" t="s">
        <v>3453</v>
      </c>
      <c r="H461" s="6" t="str">
        <f t="shared" si="30"/>
        <v>QUACOO
CHARLES
JOE
MOUNTAIN SUSANAH
MR. MOULD'S HAZAT(P298
P302
P299
P424
P254)</v>
      </c>
      <c r="I461" s="6" t="s">
        <v>656</v>
      </c>
      <c r="J461" s="6"/>
      <c r="K461" s="6"/>
      <c r="L461" s="6" t="s">
        <v>657</v>
      </c>
      <c r="M461" s="6" t="str">
        <f>VLOOKUP(L461, GLOSSARY!$A:$C, 2, FALSE)</f>
        <v>UNKNOWN</v>
      </c>
      <c r="N461" s="6" t="s">
        <v>287</v>
      </c>
      <c r="O461" s="6"/>
      <c r="P461" s="6"/>
      <c r="Q461" s="6"/>
      <c r="R461" s="6"/>
      <c r="S461" s="6"/>
      <c r="T461" s="6"/>
      <c r="U461" s="6"/>
      <c r="V461" s="6"/>
      <c r="W461" s="6"/>
      <c r="X461" s="6"/>
      <c r="Y461" s="6"/>
      <c r="Z461" s="6"/>
      <c r="AA461" s="6"/>
      <c r="AB461" s="6"/>
      <c r="AC461" s="6"/>
      <c r="AD461" s="6"/>
      <c r="AE461" s="6"/>
    </row>
    <row r="462" spans="1:31" ht="25.5" x14ac:dyDescent="0.2">
      <c r="A462" s="6" t="s">
        <v>3385</v>
      </c>
      <c r="B462" s="6" t="s">
        <v>3454</v>
      </c>
      <c r="C462" s="20" t="s">
        <v>3455</v>
      </c>
      <c r="D462" s="6" t="s">
        <v>3456</v>
      </c>
      <c r="E462" s="6"/>
      <c r="F462" s="6" t="s">
        <v>2418</v>
      </c>
      <c r="G462" s="6" t="s">
        <v>591</v>
      </c>
      <c r="H462" s="6" t="str">
        <f t="shared" si="30"/>
        <v>DAVIE [NANCY'S SON](P446)</v>
      </c>
      <c r="I462" s="6" t="s">
        <v>1068</v>
      </c>
      <c r="J462" s="6"/>
      <c r="K462" s="6"/>
      <c r="L462" s="6" t="s">
        <v>55</v>
      </c>
      <c r="M462" s="6" t="str">
        <f>VLOOKUP(L462, GLOSSARY!$A:$C, 2, FALSE)</f>
        <v>EGYPT ESTATE</v>
      </c>
      <c r="N462" s="6" t="s">
        <v>167</v>
      </c>
      <c r="O462" s="6"/>
      <c r="P462" s="6"/>
      <c r="Q462" s="6"/>
      <c r="R462" s="6"/>
      <c r="S462" s="6"/>
      <c r="T462" s="6"/>
      <c r="U462" s="6"/>
      <c r="V462" s="6"/>
      <c r="W462" s="6"/>
      <c r="X462" s="6"/>
      <c r="Y462" s="6"/>
      <c r="Z462" s="6"/>
      <c r="AA462" s="6"/>
      <c r="AB462" s="6"/>
      <c r="AC462" s="6"/>
      <c r="AD462" s="6"/>
      <c r="AE462" s="6"/>
    </row>
    <row r="463" spans="1:31" ht="114.75" x14ac:dyDescent="0.2">
      <c r="A463" s="6" t="s">
        <v>3448</v>
      </c>
      <c r="B463" s="6" t="s">
        <v>3454</v>
      </c>
      <c r="C463" s="20" t="s">
        <v>3457</v>
      </c>
      <c r="D463" s="6" t="s">
        <v>3458</v>
      </c>
      <c r="E463" s="6"/>
      <c r="F463" s="6" t="s">
        <v>3459</v>
      </c>
      <c r="G463" s="6" t="s">
        <v>3460</v>
      </c>
      <c r="H463" s="6" t="str">
        <f t="shared" si="30"/>
        <v>PORT ROYAL
QUAW
PARADISE DOVER
THE OVERSEER
PLATO(P212
P380
P494
P43
P208)</v>
      </c>
      <c r="I463" s="6" t="s">
        <v>656</v>
      </c>
      <c r="J463" s="6"/>
      <c r="K463" s="6"/>
      <c r="L463" s="6" t="s">
        <v>55</v>
      </c>
      <c r="M463" s="6" t="str">
        <f>VLOOKUP(L463, GLOSSARY!$A:$C, 2, FALSE)</f>
        <v>EGYPT ESTATE</v>
      </c>
      <c r="N463" s="6" t="s">
        <v>68</v>
      </c>
      <c r="O463" s="6"/>
      <c r="P463" s="6"/>
      <c r="Q463" s="6"/>
      <c r="R463" s="6"/>
      <c r="S463" s="6"/>
      <c r="T463" s="6"/>
      <c r="U463" s="6"/>
      <c r="V463" s="6"/>
      <c r="W463" s="6"/>
      <c r="X463" s="6"/>
      <c r="Y463" s="6"/>
      <c r="Z463" s="6"/>
      <c r="AA463" s="6"/>
      <c r="AB463" s="6"/>
      <c r="AC463" s="6"/>
      <c r="AD463" s="6"/>
      <c r="AE463" s="6"/>
    </row>
    <row r="464" spans="1:31" ht="63.75" x14ac:dyDescent="0.2">
      <c r="A464" s="6" t="s">
        <v>3448</v>
      </c>
      <c r="B464" s="6" t="s">
        <v>3461</v>
      </c>
      <c r="C464" s="20" t="s">
        <v>3462</v>
      </c>
      <c r="D464" s="6" t="s">
        <v>3463</v>
      </c>
      <c r="E464" s="6"/>
      <c r="F464" s="6" t="s">
        <v>3464</v>
      </c>
      <c r="G464" s="6" t="s">
        <v>3465</v>
      </c>
      <c r="H464" s="6" t="str">
        <f t="shared" si="30"/>
        <v>PARADISE DOVER
PLATO
QUAW(P494
P208
P380)</v>
      </c>
      <c r="I464" s="6" t="s">
        <v>656</v>
      </c>
      <c r="J464" s="6"/>
      <c r="K464" s="6"/>
      <c r="L464" s="6" t="s">
        <v>55</v>
      </c>
      <c r="M464" s="6" t="str">
        <f>VLOOKUP(L464, GLOSSARY!$A:$C, 2, FALSE)</f>
        <v>EGYPT ESTATE</v>
      </c>
      <c r="N464" s="6" t="s">
        <v>167</v>
      </c>
      <c r="O464" s="6"/>
      <c r="P464" s="6"/>
      <c r="Q464" s="6"/>
      <c r="R464" s="6"/>
      <c r="S464" s="6"/>
      <c r="T464" s="6"/>
      <c r="U464" s="6"/>
      <c r="V464" s="6"/>
      <c r="W464" s="6"/>
      <c r="X464" s="6"/>
      <c r="Y464" s="6"/>
      <c r="Z464" s="6"/>
      <c r="AA464" s="6"/>
      <c r="AB464" s="6"/>
      <c r="AC464" s="6"/>
      <c r="AD464" s="6"/>
      <c r="AE464" s="6"/>
    </row>
    <row r="465" spans="1:31" ht="38.25" x14ac:dyDescent="0.2">
      <c r="A465" s="6" t="s">
        <v>3448</v>
      </c>
      <c r="B465" s="6" t="s">
        <v>3461</v>
      </c>
      <c r="C465" s="20" t="s">
        <v>3466</v>
      </c>
      <c r="D465" s="6" t="s">
        <v>3467</v>
      </c>
      <c r="E465" s="6"/>
      <c r="F465" s="6" t="s">
        <v>3468</v>
      </c>
      <c r="G465" s="6" t="s">
        <v>3469</v>
      </c>
      <c r="H465" s="6" t="str">
        <f t="shared" si="30"/>
        <v>PLATO
PARADISE DOVER(P208
P494)</v>
      </c>
      <c r="I465" s="6" t="s">
        <v>656</v>
      </c>
      <c r="J465" s="6"/>
      <c r="K465" s="6"/>
      <c r="L465" s="6" t="s">
        <v>657</v>
      </c>
      <c r="M465" s="6" t="str">
        <f>VLOOKUP(L465, GLOSSARY!$A:$C, 2, FALSE)</f>
        <v>UNKNOWN</v>
      </c>
      <c r="N465" s="6" t="s">
        <v>287</v>
      </c>
      <c r="O465" s="6"/>
      <c r="P465" s="6"/>
      <c r="Q465" s="6"/>
      <c r="R465" s="6"/>
      <c r="S465" s="6"/>
      <c r="T465" s="6"/>
      <c r="U465" s="6"/>
      <c r="V465" s="6"/>
      <c r="W465" s="6"/>
      <c r="X465" s="6"/>
      <c r="Y465" s="6"/>
      <c r="Z465" s="6"/>
      <c r="AA465" s="6"/>
      <c r="AB465" s="6"/>
      <c r="AC465" s="6"/>
      <c r="AD465" s="6"/>
      <c r="AE465" s="6"/>
    </row>
    <row r="466" spans="1:31" ht="38.25" x14ac:dyDescent="0.2">
      <c r="A466" s="6" t="s">
        <v>3470</v>
      </c>
      <c r="B466" s="6" t="s">
        <v>3461</v>
      </c>
      <c r="C466" s="20" t="s">
        <v>3471</v>
      </c>
      <c r="D466" s="6" t="s">
        <v>3472</v>
      </c>
      <c r="E466" s="6"/>
      <c r="F466" s="6" t="s">
        <v>3473</v>
      </c>
      <c r="G466" s="6" t="s">
        <v>3474</v>
      </c>
      <c r="H466" s="6" t="str">
        <f t="shared" si="30"/>
        <v>THE OVERSEER
EGYPT LUCY(P43
P3)</v>
      </c>
      <c r="I466" s="6" t="s">
        <v>439</v>
      </c>
      <c r="J466" s="6"/>
      <c r="K466" s="6"/>
      <c r="L466" s="6" t="s">
        <v>55</v>
      </c>
      <c r="M466" s="6" t="str">
        <f>VLOOKUP(L466, GLOSSARY!$A:$C, 2, FALSE)</f>
        <v>EGYPT ESTATE</v>
      </c>
      <c r="N466" s="6" t="s">
        <v>68</v>
      </c>
      <c r="O466" s="6"/>
      <c r="P466" s="6"/>
      <c r="Q466" s="6"/>
      <c r="R466" s="6"/>
      <c r="S466" s="6"/>
      <c r="T466" s="6"/>
      <c r="U466" s="6"/>
      <c r="V466" s="6"/>
      <c r="W466" s="6"/>
      <c r="X466" s="6"/>
      <c r="Y466" s="6"/>
      <c r="Z466" s="6"/>
      <c r="AA466" s="6"/>
      <c r="AB466" s="6"/>
      <c r="AC466" s="6"/>
      <c r="AD466" s="6"/>
      <c r="AE466" s="6"/>
    </row>
    <row r="467" spans="1:31" ht="204" x14ac:dyDescent="0.2">
      <c r="A467" s="6" t="s">
        <v>3448</v>
      </c>
      <c r="B467" s="6" t="s">
        <v>3475</v>
      </c>
      <c r="C467" s="20" t="s">
        <v>3476</v>
      </c>
      <c r="D467" s="6" t="s">
        <v>3477</v>
      </c>
      <c r="E467" s="6"/>
      <c r="F467" s="6" t="s">
        <v>3478</v>
      </c>
      <c r="G467" s="6" t="s">
        <v>3479</v>
      </c>
      <c r="H467" s="6" t="str">
        <f t="shared" si="30"/>
        <v>PORT ROYAL
JACKIE
THE OVERSEER
QUACOO
HECTOR
PARADISE DOVER
PLATO(P212
P102
P43
P298
P358
P208
P494)</v>
      </c>
      <c r="I467" s="6" t="s">
        <v>656</v>
      </c>
      <c r="J467" s="6"/>
      <c r="K467" s="6"/>
      <c r="L467" s="6" t="s">
        <v>55</v>
      </c>
      <c r="M467" s="6" t="str">
        <f>VLOOKUP(L467, GLOSSARY!$A:$C, 2, FALSE)</f>
        <v>EGYPT ESTATE</v>
      </c>
      <c r="N467" s="6" t="s">
        <v>68</v>
      </c>
      <c r="O467" s="6"/>
      <c r="P467" s="6"/>
      <c r="Q467" s="6"/>
      <c r="R467" s="6"/>
      <c r="S467" s="6"/>
      <c r="T467" s="6"/>
      <c r="U467" s="6"/>
      <c r="V467" s="6"/>
      <c r="W467" s="6"/>
      <c r="X467" s="6"/>
      <c r="Y467" s="6"/>
      <c r="Z467" s="6"/>
      <c r="AA467" s="6"/>
      <c r="AB467" s="6"/>
      <c r="AC467" s="6"/>
      <c r="AD467" s="6"/>
      <c r="AE467" s="6"/>
    </row>
    <row r="468" spans="1:31" ht="204" x14ac:dyDescent="0.2">
      <c r="A468" s="6" t="s">
        <v>3448</v>
      </c>
      <c r="B468" s="6" t="s">
        <v>3475</v>
      </c>
      <c r="C468" s="20" t="s">
        <v>3476</v>
      </c>
      <c r="D468" s="6" t="s">
        <v>3477</v>
      </c>
      <c r="E468" s="6"/>
      <c r="F468" s="6" t="s">
        <v>3478</v>
      </c>
      <c r="G468" s="6" t="s">
        <v>3479</v>
      </c>
      <c r="H468" s="6" t="str">
        <f t="shared" si="30"/>
        <v>PORT ROYAL
JACKIE
THE OVERSEER
QUACOO
HECTOR
PARADISE DOVER
PLATO(P212
P102
P43
P298
P358
P208
P494)</v>
      </c>
      <c r="I468" s="6" t="s">
        <v>112</v>
      </c>
      <c r="J468" s="6"/>
      <c r="K468" s="6"/>
      <c r="L468" s="6" t="s">
        <v>55</v>
      </c>
      <c r="M468" s="6" t="str">
        <f>VLOOKUP(L468, GLOSSARY!$A:$C, 2, FALSE)</f>
        <v>EGYPT ESTATE</v>
      </c>
      <c r="N468" s="6" t="s">
        <v>68</v>
      </c>
      <c r="O468" s="6"/>
      <c r="P468" s="6"/>
      <c r="Q468" s="6"/>
      <c r="R468" s="6"/>
      <c r="S468" s="6"/>
      <c r="T468" s="6"/>
      <c r="U468" s="6"/>
      <c r="V468" s="6"/>
      <c r="W468" s="6"/>
      <c r="X468" s="6"/>
      <c r="Y468" s="6"/>
      <c r="Z468" s="6"/>
      <c r="AA468" s="6"/>
      <c r="AB468" s="6"/>
      <c r="AC468" s="6"/>
      <c r="AD468" s="6"/>
      <c r="AE468" s="6"/>
    </row>
    <row r="469" spans="1:31" ht="12.75" x14ac:dyDescent="0.2">
      <c r="A469" s="6" t="s">
        <v>3385</v>
      </c>
      <c r="B469" s="6" t="s">
        <v>3475</v>
      </c>
      <c r="C469" s="20" t="s">
        <v>3480</v>
      </c>
      <c r="D469" s="6" t="s">
        <v>3481</v>
      </c>
      <c r="E469" s="6"/>
      <c r="F469" s="6" t="s">
        <v>114</v>
      </c>
      <c r="G469" s="6" t="s">
        <v>191</v>
      </c>
      <c r="H469" s="6" t="str">
        <f t="shared" si="30"/>
        <v>NANCY(P16)</v>
      </c>
      <c r="I469" s="6" t="s">
        <v>1068</v>
      </c>
      <c r="J469" s="6"/>
      <c r="K469" s="6"/>
      <c r="L469" s="6" t="s">
        <v>55</v>
      </c>
      <c r="M469" s="6" t="str">
        <f>VLOOKUP(L469, GLOSSARY!$A:$C, 2, FALSE)</f>
        <v>EGYPT ESTATE</v>
      </c>
      <c r="N469" s="6" t="s">
        <v>167</v>
      </c>
      <c r="O469" s="6"/>
      <c r="P469" s="6"/>
      <c r="Q469" s="6"/>
      <c r="R469" s="6"/>
      <c r="S469" s="6"/>
      <c r="T469" s="6"/>
      <c r="U469" s="6"/>
      <c r="V469" s="6"/>
      <c r="W469" s="6"/>
      <c r="X469" s="6"/>
      <c r="Y469" s="6"/>
      <c r="Z469" s="6"/>
      <c r="AA469" s="6"/>
      <c r="AB469" s="6"/>
      <c r="AC469" s="6"/>
      <c r="AD469" s="6"/>
      <c r="AE469" s="6"/>
    </row>
    <row r="470" spans="1:31" ht="63.75" x14ac:dyDescent="0.2">
      <c r="A470" s="6" t="s">
        <v>3482</v>
      </c>
      <c r="B470" s="6" t="s">
        <v>3475</v>
      </c>
      <c r="C470" s="20" t="s">
        <v>3480</v>
      </c>
      <c r="D470" s="6" t="s">
        <v>3483</v>
      </c>
      <c r="E470" s="6"/>
      <c r="F470" s="6" t="s">
        <v>2560</v>
      </c>
      <c r="G470" s="6" t="s">
        <v>2559</v>
      </c>
      <c r="H470" s="6" t="str">
        <f t="shared" si="30"/>
        <v>PHILLIS(P475)</v>
      </c>
      <c r="I470" s="6" t="s">
        <v>112</v>
      </c>
      <c r="J470" s="6"/>
      <c r="K470" s="6"/>
      <c r="L470" s="6" t="s">
        <v>55</v>
      </c>
      <c r="M470" s="6" t="str">
        <f>VLOOKUP(L470, GLOSSARY!$A:$C, 2, FALSE)</f>
        <v>EGYPT ESTATE</v>
      </c>
      <c r="N470" s="6" t="s">
        <v>167</v>
      </c>
      <c r="O470" s="6"/>
      <c r="P470" s="6"/>
      <c r="Q470" s="6"/>
      <c r="R470" s="6"/>
      <c r="S470" s="6"/>
      <c r="T470" s="6"/>
      <c r="U470" s="6"/>
      <c r="V470" s="6"/>
      <c r="W470" s="6"/>
      <c r="X470" s="6"/>
      <c r="Y470" s="6"/>
      <c r="Z470" s="6"/>
      <c r="AA470" s="6"/>
      <c r="AB470" s="6"/>
      <c r="AC470" s="6"/>
      <c r="AD470" s="6"/>
      <c r="AE470" s="6"/>
    </row>
    <row r="471" spans="1:31" ht="38.25" x14ac:dyDescent="0.2">
      <c r="A471" s="6" t="s">
        <v>3385</v>
      </c>
      <c r="B471" s="6" t="s">
        <v>3484</v>
      </c>
      <c r="C471" s="20" t="s">
        <v>3485</v>
      </c>
      <c r="D471" s="6" t="s">
        <v>3486</v>
      </c>
      <c r="E471" s="6"/>
      <c r="F471" s="6" t="s">
        <v>114</v>
      </c>
      <c r="G471" s="6" t="s">
        <v>191</v>
      </c>
      <c r="H471" s="6" t="str">
        <f t="shared" si="30"/>
        <v>NANCY(P16)</v>
      </c>
      <c r="I471" s="6" t="s">
        <v>1068</v>
      </c>
      <c r="J471" s="6"/>
      <c r="K471" s="6"/>
      <c r="L471" s="6" t="s">
        <v>55</v>
      </c>
      <c r="M471" s="6" t="str">
        <f>VLOOKUP(L471, GLOSSARY!$A:$C, 2, FALSE)</f>
        <v>EGYPT ESTATE</v>
      </c>
      <c r="N471" s="6" t="s">
        <v>287</v>
      </c>
      <c r="O471" s="6"/>
      <c r="P471" s="6"/>
      <c r="Q471" s="6"/>
      <c r="R471" s="6"/>
      <c r="S471" s="6"/>
      <c r="T471" s="6"/>
      <c r="U471" s="6"/>
      <c r="V471" s="6"/>
      <c r="W471" s="6"/>
      <c r="X471" s="6"/>
      <c r="Y471" s="6"/>
      <c r="Z471" s="6"/>
      <c r="AA471" s="6"/>
      <c r="AB471" s="6"/>
      <c r="AC471" s="6"/>
      <c r="AD471" s="6"/>
      <c r="AE471" s="6"/>
    </row>
    <row r="472" spans="1:31" ht="114.75" x14ac:dyDescent="0.2">
      <c r="A472" s="6" t="s">
        <v>3448</v>
      </c>
      <c r="B472" s="6" t="s">
        <v>3484</v>
      </c>
      <c r="C472" s="20" t="s">
        <v>3485</v>
      </c>
      <c r="D472" s="6" t="s">
        <v>3487</v>
      </c>
      <c r="E472" s="6"/>
      <c r="F472" s="6" t="s">
        <v>3488</v>
      </c>
      <c r="G472" s="6" t="s">
        <v>3489</v>
      </c>
      <c r="H472" s="6" t="str">
        <f t="shared" si="30"/>
        <v>PUNCH
MR. MOULD'S HAZAT
CHARLES
PLATO
DOVER(P348
P424
P302
P208
P494)</v>
      </c>
      <c r="I472" s="6" t="s">
        <v>656</v>
      </c>
      <c r="J472" s="6"/>
      <c r="K472" s="6"/>
      <c r="L472" s="6" t="s">
        <v>657</v>
      </c>
      <c r="M472" s="6" t="str">
        <f>VLOOKUP(L472, GLOSSARY!$A:$C, 2, FALSE)</f>
        <v>UNKNOWN</v>
      </c>
      <c r="N472" s="6" t="s">
        <v>287</v>
      </c>
      <c r="O472" s="6"/>
      <c r="P472" s="6"/>
      <c r="Q472" s="6"/>
      <c r="R472" s="6"/>
      <c r="S472" s="6"/>
      <c r="T472" s="6"/>
      <c r="U472" s="6"/>
      <c r="V472" s="6"/>
      <c r="W472" s="6"/>
      <c r="X472" s="6"/>
      <c r="Y472" s="6"/>
      <c r="Z472" s="6"/>
      <c r="AA472" s="6"/>
      <c r="AB472" s="6"/>
      <c r="AC472" s="6"/>
      <c r="AD472" s="6"/>
      <c r="AE472" s="6"/>
    </row>
    <row r="473" spans="1:31" ht="38.25" x14ac:dyDescent="0.2">
      <c r="A473" s="6" t="s">
        <v>3448</v>
      </c>
      <c r="B473" s="6" t="s">
        <v>3490</v>
      </c>
      <c r="C473" s="20" t="s">
        <v>3491</v>
      </c>
      <c r="D473" s="6" t="s">
        <v>3492</v>
      </c>
      <c r="E473" s="6"/>
      <c r="F473" s="6" t="s">
        <v>3468</v>
      </c>
      <c r="G473" s="6" t="s">
        <v>3469</v>
      </c>
      <c r="H473" s="6" t="str">
        <f t="shared" si="30"/>
        <v>PLATO
PARADISE DOVER(P208
P494)</v>
      </c>
      <c r="I473" s="6" t="s">
        <v>656</v>
      </c>
      <c r="J473" s="6"/>
      <c r="K473" s="6"/>
      <c r="L473" s="6" t="s">
        <v>657</v>
      </c>
      <c r="M473" s="6" t="str">
        <f>VLOOKUP(L473, GLOSSARY!$A:$C, 2, FALSE)</f>
        <v>UNKNOWN</v>
      </c>
      <c r="N473" s="6" t="s">
        <v>287</v>
      </c>
      <c r="O473" s="6"/>
      <c r="P473" s="6"/>
      <c r="Q473" s="6"/>
      <c r="R473" s="6"/>
      <c r="S473" s="6"/>
      <c r="T473" s="6"/>
      <c r="U473" s="6"/>
      <c r="V473" s="6"/>
      <c r="W473" s="6"/>
      <c r="X473" s="6"/>
      <c r="Y473" s="6"/>
      <c r="Z473" s="6"/>
      <c r="AA473" s="6"/>
      <c r="AB473" s="6"/>
      <c r="AC473" s="6"/>
      <c r="AD473" s="6"/>
      <c r="AE473" s="6"/>
    </row>
    <row r="474" spans="1:31" ht="38.25" x14ac:dyDescent="0.2">
      <c r="A474" s="6" t="s">
        <v>3448</v>
      </c>
      <c r="B474" s="6" t="s">
        <v>3490</v>
      </c>
      <c r="C474" s="20" t="s">
        <v>3493</v>
      </c>
      <c r="D474" s="6" t="s">
        <v>3494</v>
      </c>
      <c r="E474" s="6"/>
      <c r="F474" s="6" t="s">
        <v>3468</v>
      </c>
      <c r="G474" s="6" t="s">
        <v>3469</v>
      </c>
      <c r="H474" s="6" t="str">
        <f t="shared" si="30"/>
        <v>PLATO
PARADISE DOVER(P208
P494)</v>
      </c>
      <c r="I474" s="6" t="s">
        <v>656</v>
      </c>
      <c r="J474" s="6"/>
      <c r="K474" s="6"/>
      <c r="L474" s="6" t="s">
        <v>657</v>
      </c>
      <c r="M474" s="6" t="str">
        <f>VLOOKUP(L474, GLOSSARY!$A:$C, 2, FALSE)</f>
        <v>UNKNOWN</v>
      </c>
      <c r="N474" s="6" t="s">
        <v>287</v>
      </c>
      <c r="O474" s="6"/>
      <c r="P474" s="6"/>
      <c r="Q474" s="6"/>
      <c r="R474" s="6"/>
      <c r="S474" s="6"/>
      <c r="T474" s="6"/>
      <c r="U474" s="6"/>
      <c r="V474" s="6"/>
      <c r="W474" s="6"/>
      <c r="X474" s="6"/>
      <c r="Y474" s="6"/>
      <c r="Z474" s="6"/>
      <c r="AA474" s="6"/>
      <c r="AB474" s="6"/>
      <c r="AC474" s="6"/>
      <c r="AD474" s="6"/>
      <c r="AE474" s="6"/>
    </row>
    <row r="475" spans="1:31" ht="38.25" x14ac:dyDescent="0.2">
      <c r="A475" s="6" t="s">
        <v>3495</v>
      </c>
      <c r="B475" s="6" t="s">
        <v>3496</v>
      </c>
      <c r="C475" s="20" t="s">
        <v>3497</v>
      </c>
      <c r="D475" s="6" t="s">
        <v>3498</v>
      </c>
      <c r="E475" s="6"/>
      <c r="F475" s="6" t="s">
        <v>2990</v>
      </c>
      <c r="G475" s="6" t="s">
        <v>2991</v>
      </c>
      <c r="H475" s="6" t="str">
        <f t="shared" si="30"/>
        <v>THE OVERSEER
ELLIN(P43
P33)</v>
      </c>
      <c r="I475" s="6" t="s">
        <v>409</v>
      </c>
      <c r="J475" s="6"/>
      <c r="K475" s="6"/>
      <c r="L475" s="6" t="s">
        <v>2841</v>
      </c>
      <c r="M475" s="6" t="str">
        <f>VLOOKUP(L475, GLOSSARY!$A:$C, 2, FALSE)</f>
        <v>EGYPT COFFEE GROUND PIECE</v>
      </c>
      <c r="N475" s="6" t="s">
        <v>68</v>
      </c>
      <c r="O475" s="6"/>
      <c r="P475" s="6"/>
      <c r="Q475" s="6"/>
      <c r="R475" s="6"/>
      <c r="S475" s="6"/>
      <c r="T475" s="6"/>
      <c r="U475" s="6"/>
      <c r="V475" s="6"/>
      <c r="W475" s="6"/>
      <c r="X475" s="6"/>
      <c r="Y475" s="6"/>
      <c r="Z475" s="6"/>
      <c r="AA475" s="6"/>
      <c r="AB475" s="6"/>
      <c r="AC475" s="6"/>
      <c r="AD475" s="6"/>
      <c r="AE475" s="6"/>
    </row>
    <row r="476" spans="1:31" ht="165.75" x14ac:dyDescent="0.2">
      <c r="A476" s="6" t="s">
        <v>3448</v>
      </c>
      <c r="B476" s="6" t="s">
        <v>3490</v>
      </c>
      <c r="C476" s="20" t="s">
        <v>3497</v>
      </c>
      <c r="D476" s="6" t="s">
        <v>3499</v>
      </c>
      <c r="E476" s="6"/>
      <c r="F476" s="6" t="s">
        <v>3500</v>
      </c>
      <c r="G476" s="6" t="s">
        <v>3501</v>
      </c>
      <c r="H476" s="6" t="str">
        <f t="shared" si="30"/>
        <v>PUNCH
QUACOO
HECTOR
JOE
THE OVERSEER
PARADISE DOVER
PLATO(P348
P298
P358
P299
P43
P208
P494)</v>
      </c>
      <c r="I476" s="6" t="s">
        <v>112</v>
      </c>
      <c r="J476" s="6"/>
      <c r="K476" s="6"/>
      <c r="L476" s="6" t="s">
        <v>55</v>
      </c>
      <c r="M476" s="6" t="str">
        <f>VLOOKUP(L476, GLOSSARY!$A:$C, 2, FALSE)</f>
        <v>EGYPT ESTATE</v>
      </c>
      <c r="N476" s="6" t="s">
        <v>287</v>
      </c>
      <c r="O476" s="6"/>
      <c r="P476" s="6"/>
      <c r="Q476" s="6"/>
      <c r="R476" s="6"/>
      <c r="S476" s="6"/>
      <c r="T476" s="6"/>
      <c r="U476" s="6"/>
      <c r="V476" s="6"/>
      <c r="W476" s="6"/>
      <c r="X476" s="6"/>
      <c r="Y476" s="6"/>
      <c r="Z476" s="6"/>
      <c r="AA476" s="6"/>
      <c r="AB476" s="6"/>
      <c r="AC476" s="6"/>
      <c r="AD476" s="6"/>
      <c r="AE476" s="6"/>
    </row>
    <row r="477" spans="1:31" ht="165.75" x14ac:dyDescent="0.2">
      <c r="A477" s="6" t="s">
        <v>3448</v>
      </c>
      <c r="B477" s="6" t="s">
        <v>3490</v>
      </c>
      <c r="C477" s="20" t="s">
        <v>3497</v>
      </c>
      <c r="D477" s="6" t="s">
        <v>3499</v>
      </c>
      <c r="E477" s="6"/>
      <c r="F477" s="6" t="s">
        <v>3500</v>
      </c>
      <c r="G477" s="6" t="s">
        <v>3501</v>
      </c>
      <c r="H477" s="6" t="str">
        <f t="shared" si="30"/>
        <v>PUNCH
QUACOO
HECTOR
JOE
THE OVERSEER
PARADISE DOVER
PLATO(P348
P298
P358
P299
P43
P208
P494)</v>
      </c>
      <c r="I477" s="6" t="s">
        <v>656</v>
      </c>
      <c r="J477" s="6"/>
      <c r="K477" s="6"/>
      <c r="L477" s="6" t="s">
        <v>657</v>
      </c>
      <c r="M477" s="6" t="str">
        <f>VLOOKUP(L477, GLOSSARY!$A:$C, 2, FALSE)</f>
        <v>UNKNOWN</v>
      </c>
      <c r="N477" s="6" t="s">
        <v>287</v>
      </c>
      <c r="O477" s="6"/>
      <c r="P477" s="6"/>
      <c r="Q477" s="6"/>
      <c r="R477" s="6"/>
      <c r="S477" s="6"/>
      <c r="T477" s="6"/>
      <c r="U477" s="6"/>
      <c r="V477" s="6"/>
      <c r="W477" s="6"/>
      <c r="X477" s="6"/>
      <c r="Y477" s="6"/>
      <c r="Z477" s="6"/>
      <c r="AA477" s="6"/>
      <c r="AB477" s="6"/>
      <c r="AC477" s="6"/>
      <c r="AD477" s="6"/>
      <c r="AE477" s="6"/>
    </row>
    <row r="478" spans="1:31" ht="76.5" x14ac:dyDescent="0.2">
      <c r="A478" s="6" t="s">
        <v>3482</v>
      </c>
      <c r="B478" s="6" t="s">
        <v>3496</v>
      </c>
      <c r="C478" s="20" t="s">
        <v>3502</v>
      </c>
      <c r="D478" s="6" t="s">
        <v>3503</v>
      </c>
      <c r="E478" s="6"/>
      <c r="F478" s="6" t="s">
        <v>3504</v>
      </c>
      <c r="G478" s="6" t="s">
        <v>3505</v>
      </c>
      <c r="H478" s="6" t="str">
        <f t="shared" si="30"/>
        <v>PHILLIS
HECTOR
LONDON
DERBY(P475
P358
P295)</v>
      </c>
      <c r="I478" s="6" t="s">
        <v>112</v>
      </c>
      <c r="J478" s="6"/>
      <c r="K478" s="6"/>
      <c r="L478" s="6" t="s">
        <v>55</v>
      </c>
      <c r="M478" s="6" t="str">
        <f>VLOOKUP(L478, GLOSSARY!$A:$C, 2, FALSE)</f>
        <v>EGYPT ESTATE</v>
      </c>
      <c r="N478" s="6" t="s">
        <v>287</v>
      </c>
      <c r="O478" s="6"/>
      <c r="P478" s="6"/>
      <c r="Q478" s="6"/>
      <c r="R478" s="6"/>
      <c r="S478" s="6"/>
      <c r="T478" s="6"/>
      <c r="U478" s="6"/>
      <c r="V478" s="6"/>
      <c r="W478" s="6"/>
      <c r="X478" s="6"/>
      <c r="Y478" s="6"/>
      <c r="Z478" s="6"/>
      <c r="AA478" s="6"/>
      <c r="AB478" s="6"/>
      <c r="AC478" s="6"/>
      <c r="AD478" s="6"/>
      <c r="AE478" s="6"/>
    </row>
    <row r="479" spans="1:31" ht="153" x14ac:dyDescent="0.2">
      <c r="A479" s="6" t="s">
        <v>3448</v>
      </c>
      <c r="B479" s="6" t="s">
        <v>3506</v>
      </c>
      <c r="C479" s="20" t="s">
        <v>3507</v>
      </c>
      <c r="D479" s="6" t="s">
        <v>3508</v>
      </c>
      <c r="E479" s="6"/>
      <c r="F479" s="6" t="s">
        <v>3509</v>
      </c>
      <c r="G479" s="6" t="s">
        <v>3510</v>
      </c>
      <c r="H479" s="6" t="str">
        <f t="shared" si="30"/>
        <v>PLATO
MR. MOULD'S HAZAT
THE OVERSEER(P208
P424
P43)</v>
      </c>
      <c r="I479" s="6" t="s">
        <v>112</v>
      </c>
      <c r="J479" s="6"/>
      <c r="K479" s="6"/>
      <c r="L479" s="6" t="s">
        <v>55</v>
      </c>
      <c r="M479" s="6" t="str">
        <f>VLOOKUP(L479, GLOSSARY!$A:$C, 2, FALSE)</f>
        <v>EGYPT ESTATE</v>
      </c>
      <c r="N479" s="6" t="s">
        <v>287</v>
      </c>
      <c r="O479" s="6"/>
      <c r="P479" s="6"/>
      <c r="Q479" s="6"/>
      <c r="R479" s="6"/>
      <c r="S479" s="6"/>
      <c r="T479" s="6"/>
      <c r="U479" s="6"/>
      <c r="V479" s="6"/>
      <c r="W479" s="6"/>
      <c r="X479" s="6"/>
      <c r="Y479" s="6"/>
      <c r="Z479" s="6"/>
      <c r="AA479" s="6"/>
      <c r="AB479" s="6"/>
      <c r="AC479" s="6"/>
      <c r="AD479" s="6"/>
      <c r="AE479" s="6"/>
    </row>
    <row r="480" spans="1:31" ht="153" x14ac:dyDescent="0.2">
      <c r="A480" s="6" t="s">
        <v>3448</v>
      </c>
      <c r="B480" s="6" t="s">
        <v>3511</v>
      </c>
      <c r="C480" s="20" t="s">
        <v>3512</v>
      </c>
      <c r="D480" s="6" t="s">
        <v>3513</v>
      </c>
      <c r="E480" s="6"/>
      <c r="F480" s="6" t="s">
        <v>3514</v>
      </c>
      <c r="G480" s="6" t="s">
        <v>1743</v>
      </c>
      <c r="H480" s="6" t="str">
        <f t="shared" si="30"/>
        <v>DERBY
(P295)</v>
      </c>
      <c r="I480" s="6" t="s">
        <v>112</v>
      </c>
      <c r="J480" s="6"/>
      <c r="K480" s="6"/>
      <c r="L480" s="6" t="s">
        <v>55</v>
      </c>
      <c r="M480" s="6" t="str">
        <f>VLOOKUP(L480, GLOSSARY!$A:$C, 2, FALSE)</f>
        <v>EGYPT ESTATE</v>
      </c>
      <c r="N480" s="6" t="s">
        <v>68</v>
      </c>
      <c r="O480" s="6"/>
      <c r="P480" s="6"/>
      <c r="Q480" s="6"/>
      <c r="R480" s="6"/>
      <c r="S480" s="6"/>
      <c r="T480" s="6"/>
      <c r="U480" s="6"/>
      <c r="V480" s="6"/>
      <c r="W480" s="6"/>
      <c r="X480" s="6"/>
      <c r="Y480" s="6"/>
      <c r="Z480" s="6"/>
      <c r="AA480" s="6"/>
      <c r="AB480" s="6"/>
      <c r="AC480" s="6"/>
      <c r="AD480" s="6"/>
      <c r="AE480" s="6"/>
    </row>
    <row r="481" spans="1:31" ht="114.75" x14ac:dyDescent="0.2">
      <c r="A481" s="6" t="s">
        <v>3448</v>
      </c>
      <c r="B481" s="6" t="s">
        <v>3515</v>
      </c>
      <c r="C481" s="20" t="s">
        <v>3516</v>
      </c>
      <c r="D481" s="6" t="s">
        <v>3517</v>
      </c>
      <c r="E481" s="6"/>
      <c r="F481" s="6" t="s">
        <v>3518</v>
      </c>
      <c r="G481" s="6" t="s">
        <v>3519</v>
      </c>
      <c r="H481" s="6" t="str">
        <f t="shared" si="30"/>
        <v>QUACOO
MR. FOOT'S QUACOO
HOPE
ACHILLES
THE OVERSEER(P298
P498
P373
P192
P43)</v>
      </c>
      <c r="I481" s="6" t="s">
        <v>656</v>
      </c>
      <c r="J481" s="6"/>
      <c r="K481" s="6"/>
      <c r="L481" s="6" t="s">
        <v>55</v>
      </c>
      <c r="M481" s="6" t="str">
        <f>VLOOKUP(L481, GLOSSARY!$A:$C, 2, FALSE)</f>
        <v>EGYPT ESTATE</v>
      </c>
      <c r="N481" s="6" t="s">
        <v>287</v>
      </c>
      <c r="O481" s="6"/>
      <c r="P481" s="6"/>
      <c r="Q481" s="6"/>
      <c r="R481" s="6"/>
      <c r="S481" s="6"/>
      <c r="T481" s="6"/>
      <c r="U481" s="6"/>
      <c r="V481" s="6"/>
      <c r="W481" s="6"/>
      <c r="X481" s="6"/>
      <c r="Y481" s="6"/>
      <c r="Z481" s="6"/>
      <c r="AA481" s="6"/>
      <c r="AB481" s="6"/>
      <c r="AC481" s="6"/>
      <c r="AD481" s="6"/>
      <c r="AE481" s="6"/>
    </row>
    <row r="482" spans="1:31" ht="76.5" x14ac:dyDescent="0.2">
      <c r="A482" s="6" t="s">
        <v>3448</v>
      </c>
      <c r="B482" s="6" t="s">
        <v>3520</v>
      </c>
      <c r="C482" s="20" t="s">
        <v>3521</v>
      </c>
      <c r="D482" s="6" t="s">
        <v>3522</v>
      </c>
      <c r="E482" s="6"/>
      <c r="F482" s="6" t="s">
        <v>3523</v>
      </c>
      <c r="G482" s="6" t="s">
        <v>3524</v>
      </c>
      <c r="H482" s="6" t="str">
        <f t="shared" si="30"/>
        <v>QUACOO
MR. MOULD'S HAZAT
THE OVERSEER(P298
P424
P43)</v>
      </c>
      <c r="I482" s="6" t="s">
        <v>112</v>
      </c>
      <c r="J482" s="6"/>
      <c r="K482" s="6"/>
      <c r="L482" s="6" t="s">
        <v>55</v>
      </c>
      <c r="M482" s="6" t="str">
        <f>VLOOKUP(L482, GLOSSARY!$A:$C, 2, FALSE)</f>
        <v>EGYPT ESTATE</v>
      </c>
      <c r="N482" s="6" t="s">
        <v>287</v>
      </c>
      <c r="O482" s="6"/>
      <c r="P482" s="6"/>
      <c r="Q482" s="6"/>
      <c r="R482" s="6"/>
      <c r="S482" s="6"/>
      <c r="T482" s="6"/>
      <c r="U482" s="6"/>
      <c r="V482" s="6"/>
      <c r="W482" s="6"/>
      <c r="X482" s="6"/>
      <c r="Y482" s="6"/>
      <c r="Z482" s="6"/>
      <c r="AA482" s="6"/>
      <c r="AB482" s="6"/>
      <c r="AC482" s="6"/>
      <c r="AD482" s="6"/>
      <c r="AE482" s="6"/>
    </row>
    <row r="483" spans="1:31" ht="114.75" x14ac:dyDescent="0.2">
      <c r="A483" s="6" t="s">
        <v>3482</v>
      </c>
      <c r="B483" s="6" t="s">
        <v>3520</v>
      </c>
      <c r="C483" s="20" t="s">
        <v>3525</v>
      </c>
      <c r="D483" s="6" t="s">
        <v>3526</v>
      </c>
      <c r="E483" s="6"/>
      <c r="F483" s="6" t="s">
        <v>3527</v>
      </c>
      <c r="G483" s="6" t="s">
        <v>3528</v>
      </c>
      <c r="H483" s="6" t="str">
        <f t="shared" si="30"/>
        <v>THE OVERSEER
EGYPT SUSANAH
LITTLE LYDDE
MOUNTAIN SUSANAH(P43
P254
P296
P255)</v>
      </c>
      <c r="I483" s="6" t="s">
        <v>409</v>
      </c>
      <c r="J483" s="6"/>
      <c r="K483" s="6"/>
      <c r="L483" s="6" t="s">
        <v>3529</v>
      </c>
      <c r="M483" s="6" t="s">
        <v>3530</v>
      </c>
      <c r="N483" s="6" t="s">
        <v>287</v>
      </c>
      <c r="O483" s="6"/>
      <c r="P483" s="6"/>
      <c r="Q483" s="6"/>
      <c r="R483" s="6"/>
      <c r="S483" s="6"/>
      <c r="T483" s="6"/>
      <c r="U483" s="6"/>
      <c r="V483" s="6"/>
      <c r="W483" s="6"/>
      <c r="X483" s="6"/>
      <c r="Y483" s="6"/>
      <c r="Z483" s="6"/>
      <c r="AA483" s="6"/>
      <c r="AB483" s="6"/>
      <c r="AC483" s="6"/>
      <c r="AD483" s="6"/>
      <c r="AE483" s="6"/>
    </row>
    <row r="484" spans="1:31" ht="38.25" x14ac:dyDescent="0.2">
      <c r="A484" s="6" t="s">
        <v>3531</v>
      </c>
      <c r="B484" s="6" t="s">
        <v>3520</v>
      </c>
      <c r="C484" s="20" t="s">
        <v>3532</v>
      </c>
      <c r="D484" s="6" t="s">
        <v>3533</v>
      </c>
      <c r="E484" s="6"/>
      <c r="F484" s="6"/>
      <c r="G484" s="6"/>
      <c r="H484" s="6" t="str">
        <f t="shared" si="30"/>
        <v>()</v>
      </c>
      <c r="I484" s="6" t="s">
        <v>248</v>
      </c>
      <c r="J484" s="6"/>
      <c r="K484" s="6"/>
      <c r="L484" s="6" t="s">
        <v>3023</v>
      </c>
      <c r="M484" s="6" t="str">
        <f>VLOOKUP(L484, GLOSSARY!$A:$C, 2, FALSE)</f>
        <v>SAVANNA LA MAR COURTHOUSE</v>
      </c>
      <c r="N484" s="6" t="s">
        <v>68</v>
      </c>
      <c r="O484" s="6"/>
      <c r="P484" s="6"/>
      <c r="Q484" s="6"/>
      <c r="R484" s="6"/>
      <c r="S484" s="6"/>
      <c r="T484" s="6"/>
      <c r="U484" s="6"/>
      <c r="V484" s="6"/>
      <c r="W484" s="6"/>
      <c r="X484" s="6"/>
      <c r="Y484" s="6"/>
      <c r="Z484" s="6"/>
      <c r="AA484" s="6"/>
      <c r="AB484" s="6"/>
      <c r="AC484" s="6"/>
      <c r="AD484" s="6"/>
      <c r="AE484" s="6"/>
    </row>
    <row r="485" spans="1:31" ht="63.75" x14ac:dyDescent="0.2">
      <c r="A485" s="6" t="s">
        <v>3534</v>
      </c>
      <c r="B485" s="6" t="s">
        <v>3535</v>
      </c>
      <c r="C485" s="20" t="s">
        <v>3536</v>
      </c>
      <c r="D485" s="6" t="s">
        <v>3537</v>
      </c>
      <c r="E485" s="6"/>
      <c r="F485" s="6" t="s">
        <v>3538</v>
      </c>
      <c r="G485" s="6" t="s">
        <v>3539</v>
      </c>
      <c r="H485" s="6" t="str">
        <f t="shared" si="30"/>
        <v>HAZARD [MR. WATT'S]
THE OVERSEER(P499
P43)</v>
      </c>
      <c r="I485" s="6" t="s">
        <v>112</v>
      </c>
      <c r="J485" s="6"/>
      <c r="K485" s="6"/>
      <c r="L485" s="6" t="s">
        <v>55</v>
      </c>
      <c r="M485" s="6" t="str">
        <f>VLOOKUP(L485, GLOSSARY!$A:$C, 2, FALSE)</f>
        <v>EGYPT ESTATE</v>
      </c>
      <c r="N485" s="6" t="s">
        <v>167</v>
      </c>
      <c r="O485" s="6"/>
      <c r="P485" s="6"/>
      <c r="Q485" s="6"/>
      <c r="R485" s="6"/>
      <c r="S485" s="6"/>
      <c r="T485" s="6"/>
      <c r="U485" s="6"/>
      <c r="V485" s="6"/>
      <c r="W485" s="6"/>
      <c r="X485" s="6"/>
      <c r="Y485" s="6"/>
      <c r="Z485" s="6"/>
      <c r="AA485" s="6"/>
      <c r="AB485" s="6"/>
      <c r="AC485" s="6"/>
      <c r="AD485" s="6"/>
      <c r="AE485" s="6"/>
    </row>
    <row r="486" spans="1:31" ht="12.75" x14ac:dyDescent="0.2">
      <c r="A486" s="6" t="s">
        <v>3540</v>
      </c>
      <c r="B486" s="6" t="s">
        <v>3541</v>
      </c>
      <c r="C486" s="20" t="s">
        <v>3542</v>
      </c>
      <c r="D486" s="6" t="s">
        <v>3543</v>
      </c>
      <c r="E486" s="6"/>
      <c r="F486" s="6" t="s">
        <v>1764</v>
      </c>
      <c r="G486" s="6" t="s">
        <v>1763</v>
      </c>
      <c r="H486" s="6" t="str">
        <f t="shared" si="30"/>
        <v>JOE(P299)</v>
      </c>
      <c r="I486" s="6" t="s">
        <v>656</v>
      </c>
      <c r="J486" s="6"/>
      <c r="K486" s="6"/>
      <c r="L486" s="6" t="s">
        <v>657</v>
      </c>
      <c r="M486" s="6" t="str">
        <f>VLOOKUP(L486, GLOSSARY!$A:$C, 2, FALSE)</f>
        <v>UNKNOWN</v>
      </c>
      <c r="N486" s="6" t="s">
        <v>287</v>
      </c>
      <c r="O486" s="6"/>
      <c r="P486" s="6"/>
      <c r="Q486" s="6"/>
      <c r="R486" s="6"/>
      <c r="S486" s="6"/>
      <c r="T486" s="6"/>
      <c r="U486" s="6"/>
      <c r="V486" s="6"/>
      <c r="W486" s="6"/>
      <c r="X486" s="6"/>
      <c r="Y486" s="6"/>
      <c r="Z486" s="6"/>
      <c r="AA486" s="6"/>
      <c r="AB486" s="6"/>
      <c r="AC486" s="6"/>
      <c r="AD486" s="6"/>
      <c r="AE486" s="6"/>
    </row>
    <row r="487" spans="1:31" ht="51" x14ac:dyDescent="0.2">
      <c r="A487" s="6" t="s">
        <v>3544</v>
      </c>
      <c r="B487" s="6" t="s">
        <v>3541</v>
      </c>
      <c r="C487" s="20" t="s">
        <v>3545</v>
      </c>
      <c r="D487" s="6" t="s">
        <v>3546</v>
      </c>
      <c r="E487" s="6"/>
      <c r="F487" s="6" t="s">
        <v>3547</v>
      </c>
      <c r="G487" s="6" t="s">
        <v>1777</v>
      </c>
      <c r="H487" s="6" t="str">
        <f t="shared" si="30"/>
        <v>THE OVERSEER
WANGA(P43
P27)</v>
      </c>
      <c r="I487" s="6" t="s">
        <v>409</v>
      </c>
      <c r="J487" s="6"/>
      <c r="K487" s="6"/>
      <c r="L487" s="6" t="s">
        <v>2841</v>
      </c>
      <c r="M487" s="6" t="str">
        <f>VLOOKUP(L487, GLOSSARY!$A:$C, 2, FALSE)</f>
        <v>EGYPT COFFEE GROUND PIECE</v>
      </c>
      <c r="N487" s="6" t="s">
        <v>68</v>
      </c>
      <c r="O487" s="6"/>
      <c r="P487" s="6"/>
      <c r="Q487" s="6"/>
      <c r="R487" s="6"/>
      <c r="S487" s="6"/>
      <c r="T487" s="6"/>
      <c r="U487" s="6"/>
      <c r="V487" s="6"/>
      <c r="W487" s="6"/>
      <c r="X487" s="6"/>
      <c r="Y487" s="6"/>
      <c r="Z487" s="6"/>
      <c r="AA487" s="6"/>
      <c r="AB487" s="6"/>
      <c r="AC487" s="6"/>
      <c r="AD487" s="6"/>
      <c r="AE487" s="6"/>
    </row>
    <row r="488" spans="1:31" ht="63.75" x14ac:dyDescent="0.2">
      <c r="A488" s="6" t="s">
        <v>3540</v>
      </c>
      <c r="B488" s="6" t="s">
        <v>3548</v>
      </c>
      <c r="C488" s="20" t="s">
        <v>3549</v>
      </c>
      <c r="D488" s="6" t="s">
        <v>3550</v>
      </c>
      <c r="E488" s="6"/>
      <c r="F488" s="6" t="s">
        <v>3551</v>
      </c>
      <c r="G488" s="6" t="s">
        <v>3552</v>
      </c>
      <c r="H488" s="6" t="str">
        <f t="shared" si="30"/>
        <v>ACHILLES
JOE(P299
P192)</v>
      </c>
      <c r="I488" s="6" t="s">
        <v>656</v>
      </c>
      <c r="J488" s="6"/>
      <c r="K488" s="6"/>
      <c r="L488" s="6" t="s">
        <v>657</v>
      </c>
      <c r="M488" s="6" t="str">
        <f>VLOOKUP(L488, GLOSSARY!$A:$C, 2, FALSE)</f>
        <v>UNKNOWN</v>
      </c>
      <c r="N488" s="6" t="s">
        <v>287</v>
      </c>
      <c r="O488" s="6"/>
      <c r="P488" s="6"/>
      <c r="Q488" s="6"/>
      <c r="R488" s="6"/>
      <c r="S488" s="6"/>
      <c r="T488" s="6"/>
      <c r="U488" s="6"/>
      <c r="V488" s="6"/>
      <c r="W488" s="6"/>
      <c r="X488" s="6"/>
      <c r="Y488" s="6"/>
      <c r="Z488" s="6"/>
      <c r="AA488" s="6"/>
      <c r="AB488" s="6"/>
      <c r="AC488" s="6"/>
      <c r="AD488" s="6"/>
      <c r="AE488" s="6"/>
    </row>
    <row r="489" spans="1:31" ht="63.75" x14ac:dyDescent="0.2">
      <c r="A489" s="6" t="s">
        <v>3553</v>
      </c>
      <c r="B489" s="6" t="s">
        <v>3548</v>
      </c>
      <c r="C489" s="20" t="s">
        <v>3554</v>
      </c>
      <c r="D489" s="6" t="s">
        <v>3555</v>
      </c>
      <c r="E489" s="6"/>
      <c r="F489" s="6" t="s">
        <v>3556</v>
      </c>
      <c r="G489" s="6" t="s">
        <v>3557</v>
      </c>
      <c r="H489" s="6" t="str">
        <f t="shared" si="30"/>
        <v>MR. WEECH
JOHN COPE
MOLLY COPE(P44
P45
P202)</v>
      </c>
      <c r="I489" s="6" t="s">
        <v>409</v>
      </c>
      <c r="J489" s="6"/>
      <c r="K489" s="6"/>
      <c r="L489" s="6" t="s">
        <v>55</v>
      </c>
      <c r="M489" s="6" t="str">
        <f>VLOOKUP(L489, GLOSSARY!$A:$C, 2, FALSE)</f>
        <v>EGYPT ESTATE</v>
      </c>
      <c r="N489" s="6" t="s">
        <v>167</v>
      </c>
      <c r="O489" s="6"/>
      <c r="P489" s="6"/>
      <c r="Q489" s="6"/>
      <c r="R489" s="6"/>
      <c r="S489" s="6"/>
      <c r="T489" s="6"/>
      <c r="U489" s="6"/>
      <c r="V489" s="6"/>
      <c r="W489" s="6"/>
      <c r="X489" s="6"/>
      <c r="Y489" s="6"/>
      <c r="Z489" s="6"/>
      <c r="AA489" s="6"/>
      <c r="AB489" s="6"/>
      <c r="AC489" s="6"/>
      <c r="AD489" s="6"/>
      <c r="AE489" s="6"/>
    </row>
    <row r="490" spans="1:31" ht="63.75" x14ac:dyDescent="0.2">
      <c r="A490" s="6" t="s">
        <v>3558</v>
      </c>
      <c r="B490" s="6" t="s">
        <v>3548</v>
      </c>
      <c r="C490" s="20" t="s">
        <v>3554</v>
      </c>
      <c r="D490" s="6" t="s">
        <v>3559</v>
      </c>
      <c r="E490" s="6"/>
      <c r="F490" s="6" t="s">
        <v>3560</v>
      </c>
      <c r="G490" s="6" t="s">
        <v>3561</v>
      </c>
      <c r="H490" s="6" t="str">
        <f t="shared" si="30"/>
        <v>EGYPT
LONDON
THE OVERSEER(P419
P249
P43)</v>
      </c>
      <c r="I490" s="6" t="s">
        <v>656</v>
      </c>
      <c r="J490" s="6"/>
      <c r="K490" s="6"/>
      <c r="L490" s="6" t="s">
        <v>55</v>
      </c>
      <c r="M490" s="6" t="str">
        <f>VLOOKUP(L490, GLOSSARY!$A:$C, 2, FALSE)</f>
        <v>EGYPT ESTATE</v>
      </c>
      <c r="N490" s="6" t="s">
        <v>68</v>
      </c>
      <c r="O490" s="6"/>
      <c r="P490" s="6"/>
      <c r="Q490" s="6"/>
      <c r="R490" s="6"/>
      <c r="S490" s="6"/>
      <c r="T490" s="6"/>
      <c r="U490" s="6"/>
      <c r="V490" s="6"/>
      <c r="W490" s="6"/>
      <c r="X490" s="6"/>
      <c r="Y490" s="6"/>
      <c r="Z490" s="6"/>
      <c r="AA490" s="6"/>
      <c r="AB490" s="6"/>
      <c r="AC490" s="6"/>
      <c r="AD490" s="6"/>
      <c r="AE490" s="6"/>
    </row>
    <row r="491" spans="1:31" ht="38.25" x14ac:dyDescent="0.2">
      <c r="A491" s="6" t="s">
        <v>3562</v>
      </c>
      <c r="B491" s="6" t="s">
        <v>3563</v>
      </c>
      <c r="C491" s="20" t="s">
        <v>3564</v>
      </c>
      <c r="D491" s="6" t="s">
        <v>3565</v>
      </c>
      <c r="E491" s="6"/>
      <c r="F491" s="6" t="s">
        <v>3566</v>
      </c>
      <c r="G491" s="6" t="s">
        <v>3567</v>
      </c>
      <c r="H491" s="6" t="str">
        <f t="shared" si="30"/>
        <v>BEASTLY
ROSE(P423
P187)</v>
      </c>
      <c r="I491" s="6" t="s">
        <v>112</v>
      </c>
      <c r="J491" s="6"/>
      <c r="K491" s="6"/>
      <c r="L491" s="6" t="s">
        <v>55</v>
      </c>
      <c r="M491" s="6" t="str">
        <f>VLOOKUP(L491, GLOSSARY!$A:$C, 2, FALSE)</f>
        <v>EGYPT ESTATE</v>
      </c>
      <c r="N491" s="6" t="s">
        <v>68</v>
      </c>
      <c r="O491" s="6"/>
      <c r="P491" s="6"/>
      <c r="Q491" s="6"/>
      <c r="R491" s="6"/>
      <c r="S491" s="6"/>
      <c r="T491" s="6"/>
      <c r="U491" s="6"/>
      <c r="V491" s="6"/>
      <c r="W491" s="6"/>
      <c r="X491" s="6"/>
      <c r="Y491" s="6"/>
      <c r="Z491" s="6"/>
      <c r="AA491" s="6"/>
      <c r="AB491" s="6"/>
      <c r="AC491" s="6"/>
      <c r="AD491" s="6"/>
      <c r="AE491" s="6"/>
    </row>
    <row r="492" spans="1:31" ht="38.25" x14ac:dyDescent="0.2">
      <c r="A492" s="6" t="s">
        <v>3558</v>
      </c>
      <c r="B492" s="6" t="s">
        <v>3568</v>
      </c>
      <c r="C492" s="20" t="s">
        <v>3569</v>
      </c>
      <c r="D492" s="6" t="s">
        <v>3570</v>
      </c>
      <c r="E492" s="6"/>
      <c r="F492" s="6" t="s">
        <v>2304</v>
      </c>
      <c r="G492" s="6" t="s">
        <v>2302</v>
      </c>
      <c r="H492" s="6" t="str">
        <f t="shared" si="30"/>
        <v>EGYPT(P419)</v>
      </c>
      <c r="I492" s="6" t="s">
        <v>112</v>
      </c>
      <c r="J492" s="6"/>
      <c r="K492" s="6"/>
      <c r="L492" s="6" t="s">
        <v>55</v>
      </c>
      <c r="M492" s="6" t="str">
        <f>VLOOKUP(L492, GLOSSARY!$A:$C, 2, FALSE)</f>
        <v>EGYPT ESTATE</v>
      </c>
      <c r="N492" s="6" t="s">
        <v>287</v>
      </c>
      <c r="O492" s="6"/>
      <c r="P492" s="6"/>
      <c r="Q492" s="6"/>
      <c r="R492" s="6"/>
      <c r="S492" s="6"/>
      <c r="T492" s="6"/>
      <c r="U492" s="6"/>
      <c r="V492" s="6"/>
      <c r="W492" s="6"/>
      <c r="X492" s="6"/>
      <c r="Y492" s="6"/>
      <c r="Z492" s="6"/>
      <c r="AA492" s="6"/>
      <c r="AB492" s="6"/>
      <c r="AC492" s="6"/>
      <c r="AD492" s="6"/>
      <c r="AE492" s="6"/>
    </row>
    <row r="493" spans="1:31" ht="38.25" x14ac:dyDescent="0.2">
      <c r="A493" s="6" t="s">
        <v>3540</v>
      </c>
      <c r="B493" s="6" t="s">
        <v>3568</v>
      </c>
      <c r="C493" s="20" t="s">
        <v>3569</v>
      </c>
      <c r="D493" s="6" t="s">
        <v>3571</v>
      </c>
      <c r="E493" s="6"/>
      <c r="F493" s="6" t="s">
        <v>3551</v>
      </c>
      <c r="G493" s="6" t="s">
        <v>3552</v>
      </c>
      <c r="H493" s="6" t="str">
        <f t="shared" si="30"/>
        <v>ACHILLES
JOE(P299
P192)</v>
      </c>
      <c r="I493" s="6" t="s">
        <v>112</v>
      </c>
      <c r="J493" s="6"/>
      <c r="K493" s="6"/>
      <c r="L493" s="6" t="s">
        <v>55</v>
      </c>
      <c r="M493" s="6" t="str">
        <f>VLOOKUP(L493, GLOSSARY!$A:$C, 2, FALSE)</f>
        <v>EGYPT ESTATE</v>
      </c>
      <c r="N493" s="6" t="s">
        <v>287</v>
      </c>
      <c r="O493" s="6"/>
      <c r="P493" s="6"/>
      <c r="Q493" s="6"/>
      <c r="R493" s="6"/>
      <c r="S493" s="6"/>
      <c r="T493" s="6"/>
      <c r="U493" s="6"/>
      <c r="V493" s="6"/>
      <c r="W493" s="6"/>
      <c r="X493" s="6"/>
      <c r="Y493" s="6"/>
      <c r="Z493" s="6"/>
      <c r="AA493" s="6"/>
      <c r="AB493" s="6"/>
      <c r="AC493" s="6"/>
      <c r="AD493" s="6"/>
      <c r="AE493" s="6"/>
    </row>
    <row r="494" spans="1:31" ht="63.75" x14ac:dyDescent="0.2">
      <c r="A494" s="6" t="s">
        <v>3558</v>
      </c>
      <c r="B494" s="6" t="s">
        <v>3572</v>
      </c>
      <c r="C494" s="20" t="s">
        <v>3573</v>
      </c>
      <c r="D494" s="6" t="s">
        <v>3574</v>
      </c>
      <c r="E494" s="6"/>
      <c r="F494" s="6" t="s">
        <v>3575</v>
      </c>
      <c r="G494" s="6" t="s">
        <v>3576</v>
      </c>
      <c r="H494" s="6" t="str">
        <f t="shared" si="30"/>
        <v>LONDON
EGYPT
THE OVERSEER(P249
P419
P43)</v>
      </c>
      <c r="I494" s="6" t="s">
        <v>112</v>
      </c>
      <c r="J494" s="6"/>
      <c r="K494" s="6"/>
      <c r="L494" s="6" t="s">
        <v>55</v>
      </c>
      <c r="M494" s="6" t="str">
        <f>VLOOKUP(L494, GLOSSARY!$A:$C, 2, FALSE)</f>
        <v>EGYPT ESTATE</v>
      </c>
      <c r="N494" s="6"/>
      <c r="O494" s="6"/>
      <c r="P494" s="6"/>
      <c r="Q494" s="6"/>
      <c r="R494" s="6"/>
      <c r="S494" s="6"/>
      <c r="T494" s="6"/>
      <c r="U494" s="6"/>
      <c r="V494" s="6"/>
      <c r="W494" s="6"/>
      <c r="X494" s="6"/>
      <c r="Y494" s="6"/>
      <c r="Z494" s="6"/>
      <c r="AA494" s="6"/>
      <c r="AB494" s="6"/>
      <c r="AC494" s="6"/>
      <c r="AD494" s="6"/>
      <c r="AE494" s="6"/>
    </row>
    <row r="495" spans="1:31" ht="51" x14ac:dyDescent="0.2">
      <c r="A495" s="6" t="s">
        <v>3577</v>
      </c>
      <c r="B495" s="6" t="s">
        <v>3572</v>
      </c>
      <c r="C495" s="20" t="s">
        <v>3578</v>
      </c>
      <c r="D495" s="6" t="s">
        <v>3579</v>
      </c>
      <c r="E495" s="6"/>
      <c r="F495" s="6" t="s">
        <v>3580</v>
      </c>
      <c r="G495" s="6" t="s">
        <v>3581</v>
      </c>
      <c r="H495" s="6" t="str">
        <f t="shared" si="30"/>
        <v>JOHN COPE
EGYPT FIELDHANDS(P315
P44)</v>
      </c>
      <c r="I495" s="6" t="s">
        <v>784</v>
      </c>
      <c r="J495" s="6"/>
      <c r="K495" s="6"/>
      <c r="L495" s="6" t="s">
        <v>55</v>
      </c>
      <c r="M495" s="6" t="str">
        <f>VLOOKUP(L495, GLOSSARY!$A:$C, 2, FALSE)</f>
        <v>EGYPT ESTATE</v>
      </c>
      <c r="N495" s="6" t="s">
        <v>287</v>
      </c>
      <c r="O495" s="6"/>
      <c r="P495" s="6"/>
      <c r="Q495" s="6"/>
      <c r="R495" s="6"/>
      <c r="S495" s="6"/>
      <c r="T495" s="6"/>
      <c r="U495" s="6"/>
      <c r="V495" s="6"/>
      <c r="W495" s="6"/>
      <c r="X495" s="6"/>
      <c r="Y495" s="6"/>
      <c r="Z495" s="6"/>
      <c r="AA495" s="6"/>
      <c r="AB495" s="6"/>
      <c r="AC495" s="6"/>
      <c r="AD495" s="6"/>
      <c r="AE495" s="6"/>
    </row>
    <row r="496" spans="1:31" ht="63.75" x14ac:dyDescent="0.2">
      <c r="A496" s="6" t="s">
        <v>3495</v>
      </c>
      <c r="B496" s="6" t="s">
        <v>3582</v>
      </c>
      <c r="C496" s="20" t="s">
        <v>3583</v>
      </c>
      <c r="D496" s="6" t="s">
        <v>3584</v>
      </c>
      <c r="E496" s="6"/>
      <c r="F496" s="6" t="s">
        <v>2990</v>
      </c>
      <c r="G496" s="6" t="s">
        <v>2991</v>
      </c>
      <c r="H496" s="6" t="str">
        <f t="shared" si="30"/>
        <v>THE OVERSEER
ELLIN(P43
P33)</v>
      </c>
      <c r="I496" s="6" t="s">
        <v>409</v>
      </c>
      <c r="J496" s="6"/>
      <c r="K496" s="6"/>
      <c r="L496" s="6" t="s">
        <v>2913</v>
      </c>
      <c r="M496" s="6" t="str">
        <f>VLOOKUP(L496, GLOSSARY!$A:$C, 2, FALSE)</f>
        <v>EGYPT MARL PITT PIECE</v>
      </c>
      <c r="N496" s="6" t="s">
        <v>167</v>
      </c>
      <c r="O496" s="6"/>
      <c r="P496" s="6"/>
      <c r="Q496" s="6"/>
      <c r="R496" s="6"/>
      <c r="S496" s="6"/>
      <c r="T496" s="6"/>
      <c r="U496" s="6"/>
      <c r="V496" s="6"/>
      <c r="W496" s="6"/>
      <c r="X496" s="6"/>
      <c r="Y496" s="6"/>
      <c r="Z496" s="6"/>
      <c r="AA496" s="6"/>
      <c r="AB496" s="6"/>
      <c r="AC496" s="6"/>
      <c r="AD496" s="6"/>
      <c r="AE496" s="6"/>
    </row>
    <row r="497" spans="1:31" ht="25.5" x14ac:dyDescent="0.2">
      <c r="A497" s="6" t="s">
        <v>3585</v>
      </c>
      <c r="B497" s="6" t="s">
        <v>3586</v>
      </c>
      <c r="C497" s="20" t="s">
        <v>3587</v>
      </c>
      <c r="D497" s="6" t="s">
        <v>3588</v>
      </c>
      <c r="E497" s="6"/>
      <c r="F497" s="6" t="s">
        <v>48</v>
      </c>
      <c r="G497" s="6" t="s">
        <v>50</v>
      </c>
      <c r="H497" s="6" t="str">
        <f t="shared" si="30"/>
        <v>THE OVERSEER(P43)</v>
      </c>
      <c r="I497" s="6" t="s">
        <v>533</v>
      </c>
      <c r="J497" s="6"/>
      <c r="K497" s="6"/>
      <c r="L497" s="6" t="s">
        <v>55</v>
      </c>
      <c r="M497" s="6" t="str">
        <f>VLOOKUP(L497, GLOSSARY!$A:$C, 2, FALSE)</f>
        <v>EGYPT ESTATE</v>
      </c>
      <c r="N497" s="6" t="s">
        <v>167</v>
      </c>
      <c r="O497" s="6"/>
      <c r="P497" s="6"/>
      <c r="Q497" s="6"/>
      <c r="R497" s="6"/>
      <c r="S497" s="6"/>
      <c r="T497" s="6"/>
      <c r="U497" s="6"/>
      <c r="V497" s="6"/>
      <c r="W497" s="6"/>
      <c r="X497" s="6"/>
      <c r="Y497" s="6"/>
      <c r="Z497" s="6"/>
      <c r="AA497" s="6"/>
      <c r="AB497" s="6"/>
      <c r="AC497" s="6"/>
      <c r="AD497" s="6"/>
      <c r="AE497" s="6"/>
    </row>
    <row r="498" spans="1:31" ht="38.25" x14ac:dyDescent="0.2">
      <c r="A498" s="6" t="s">
        <v>3558</v>
      </c>
      <c r="B498" s="6" t="s">
        <v>3589</v>
      </c>
      <c r="C498" s="20" t="s">
        <v>3590</v>
      </c>
      <c r="D498" s="6" t="s">
        <v>3591</v>
      </c>
      <c r="E498" s="6"/>
      <c r="F498" s="6" t="s">
        <v>2304</v>
      </c>
      <c r="G498" s="6" t="s">
        <v>2302</v>
      </c>
      <c r="H498" s="6" t="str">
        <f t="shared" si="30"/>
        <v>EGYPT(P419)</v>
      </c>
      <c r="I498" s="6" t="s">
        <v>1068</v>
      </c>
      <c r="J498" s="6"/>
      <c r="K498" s="6"/>
      <c r="L498" s="6" t="s">
        <v>1695</v>
      </c>
      <c r="M498" s="6" t="str">
        <f>VLOOKUP(L498, GLOSSARY!$A:$C, 2, FALSE)</f>
        <v>EGYPT ESTATE HOTHOUSE</v>
      </c>
      <c r="N498" s="6" t="s">
        <v>68</v>
      </c>
      <c r="O498" s="6"/>
      <c r="P498" s="6"/>
      <c r="Q498" s="6"/>
      <c r="R498" s="6"/>
      <c r="S498" s="6"/>
      <c r="T498" s="6"/>
      <c r="U498" s="6"/>
      <c r="V498" s="6"/>
      <c r="W498" s="6"/>
      <c r="X498" s="6"/>
      <c r="Y498" s="6"/>
      <c r="Z498" s="6"/>
      <c r="AA498" s="6"/>
      <c r="AB498" s="6"/>
      <c r="AC498" s="6"/>
      <c r="AD498" s="6"/>
      <c r="AE498" s="6"/>
    </row>
    <row r="499" spans="1:31" ht="38.25" x14ac:dyDescent="0.2">
      <c r="A499" s="6" t="s">
        <v>3592</v>
      </c>
      <c r="B499" s="6" t="s">
        <v>3593</v>
      </c>
      <c r="C499" s="20" t="s">
        <v>3594</v>
      </c>
      <c r="D499" s="6" t="s">
        <v>3595</v>
      </c>
      <c r="E499" s="6"/>
      <c r="F499" s="6"/>
      <c r="G499" s="6"/>
      <c r="H499" s="6" t="str">
        <f t="shared" si="30"/>
        <v>()</v>
      </c>
      <c r="I499" s="6" t="s">
        <v>26</v>
      </c>
      <c r="J499" s="6"/>
      <c r="K499" s="6"/>
      <c r="L499" s="6" t="s">
        <v>785</v>
      </c>
      <c r="M499" s="6" t="str">
        <f>VLOOKUP(L499, GLOSSARY!$A:$C, 2, FALSE)</f>
        <v>EGYPT ESTATE</v>
      </c>
      <c r="N499" s="6" t="s">
        <v>68</v>
      </c>
      <c r="O499" s="6"/>
      <c r="P499" s="6"/>
      <c r="Q499" s="6"/>
      <c r="R499" s="6"/>
      <c r="S499" s="6"/>
      <c r="T499" s="6"/>
      <c r="U499" s="6"/>
      <c r="V499" s="6"/>
      <c r="W499" s="6"/>
      <c r="X499" s="6"/>
      <c r="Y499" s="6"/>
      <c r="Z499" s="6"/>
      <c r="AA499" s="6"/>
      <c r="AB499" s="6"/>
      <c r="AC499" s="6"/>
      <c r="AD499" s="6"/>
      <c r="AE499" s="6"/>
    </row>
    <row r="500" spans="1:31" ht="153" x14ac:dyDescent="0.2">
      <c r="A500" s="6" t="s">
        <v>3585</v>
      </c>
      <c r="B500" s="6" t="s">
        <v>3596</v>
      </c>
      <c r="C500" s="20" t="s">
        <v>3597</v>
      </c>
      <c r="D500" s="6" t="s">
        <v>3598</v>
      </c>
      <c r="E500" s="6"/>
      <c r="F500" s="6" t="s">
        <v>3599</v>
      </c>
      <c r="G500" s="6" t="s">
        <v>3600</v>
      </c>
      <c r="H500" s="6" t="str">
        <f t="shared" si="30"/>
        <v>THE OVERSEER
DR. GORSE
COBENNA(P493
P43
P228)</v>
      </c>
      <c r="I500" s="6" t="s">
        <v>533</v>
      </c>
      <c r="J500" s="6"/>
      <c r="K500" s="6"/>
      <c r="L500" s="6" t="s">
        <v>55</v>
      </c>
      <c r="M500" s="6" t="str">
        <f>VLOOKUP(L500, GLOSSARY!$A:$C, 2, FALSE)</f>
        <v>EGYPT ESTATE</v>
      </c>
      <c r="N500" s="6" t="s">
        <v>167</v>
      </c>
      <c r="O500" s="6"/>
      <c r="P500" s="6"/>
      <c r="Q500" s="6"/>
      <c r="R500" s="6"/>
      <c r="S500" s="6"/>
      <c r="T500" s="6"/>
      <c r="U500" s="6"/>
      <c r="V500" s="6"/>
      <c r="W500" s="6"/>
      <c r="X500" s="6"/>
      <c r="Y500" s="6"/>
      <c r="Z500" s="6"/>
      <c r="AA500" s="6"/>
      <c r="AB500" s="6"/>
      <c r="AC500" s="6"/>
      <c r="AD500" s="6"/>
      <c r="AE500" s="6"/>
    </row>
    <row r="501" spans="1:31" ht="12.75" x14ac:dyDescent="0.2">
      <c r="A501" s="6" t="s">
        <v>3601</v>
      </c>
      <c r="B501" s="6" t="s">
        <v>3602</v>
      </c>
      <c r="C501" s="20" t="s">
        <v>3603</v>
      </c>
      <c r="D501" s="6" t="s">
        <v>3604</v>
      </c>
      <c r="E501" s="6"/>
      <c r="F501" s="6" t="s">
        <v>2112</v>
      </c>
      <c r="G501" s="6" t="s">
        <v>2111</v>
      </c>
      <c r="H501" s="6" t="str">
        <f t="shared" si="30"/>
        <v>QUAW(P380)</v>
      </c>
      <c r="I501" s="6" t="s">
        <v>656</v>
      </c>
      <c r="J501" s="6"/>
      <c r="K501" s="6"/>
      <c r="L501" s="6" t="s">
        <v>657</v>
      </c>
      <c r="M501" s="6" t="str">
        <f>VLOOKUP(L501, GLOSSARY!$A:$C, 2, FALSE)</f>
        <v>UNKNOWN</v>
      </c>
      <c r="N501" s="6" t="s">
        <v>167</v>
      </c>
      <c r="O501" s="6"/>
      <c r="P501" s="6"/>
      <c r="Q501" s="6"/>
      <c r="R501" s="6"/>
      <c r="S501" s="6"/>
      <c r="T501" s="6"/>
      <c r="U501" s="6"/>
      <c r="V501" s="6"/>
      <c r="W501" s="6"/>
      <c r="X501" s="6"/>
      <c r="Y501" s="6"/>
      <c r="Z501" s="6"/>
      <c r="AA501" s="6"/>
      <c r="AB501" s="6"/>
      <c r="AC501" s="6"/>
      <c r="AD501" s="6"/>
      <c r="AE501" s="6"/>
    </row>
    <row r="502" spans="1:31" ht="89.25" x14ac:dyDescent="0.2">
      <c r="A502" s="6" t="s">
        <v>3540</v>
      </c>
      <c r="B502" s="6" t="s">
        <v>3605</v>
      </c>
      <c r="C502" s="20" t="s">
        <v>3606</v>
      </c>
      <c r="D502" s="6" t="s">
        <v>3607</v>
      </c>
      <c r="E502" s="6"/>
      <c r="F502" s="6" t="s">
        <v>3608</v>
      </c>
      <c r="G502" s="6" t="s">
        <v>3609</v>
      </c>
      <c r="H502" s="6" t="str">
        <f t="shared" si="30"/>
        <v>HECTOR
JOE
POMONOA [MR. WATT'S]
THE OVERSEER(P358
P299
P500
P43)</v>
      </c>
      <c r="I502" s="6" t="s">
        <v>112</v>
      </c>
      <c r="J502" s="6"/>
      <c r="K502" s="6"/>
      <c r="L502" s="6" t="s">
        <v>55</v>
      </c>
      <c r="M502" s="6" t="str">
        <f>VLOOKUP(L502, GLOSSARY!$A:$C, 2, FALSE)</f>
        <v>EGYPT ESTATE</v>
      </c>
      <c r="N502" s="6" t="s">
        <v>287</v>
      </c>
      <c r="O502" s="6"/>
      <c r="P502" s="6"/>
      <c r="Q502" s="6"/>
      <c r="R502" s="6"/>
      <c r="S502" s="6"/>
      <c r="T502" s="6"/>
      <c r="U502" s="6"/>
      <c r="V502" s="6"/>
      <c r="W502" s="6"/>
      <c r="X502" s="6"/>
      <c r="Y502" s="6"/>
      <c r="Z502" s="6"/>
      <c r="AA502" s="6"/>
      <c r="AB502" s="6"/>
      <c r="AC502" s="6"/>
      <c r="AD502" s="6"/>
      <c r="AE502" s="6"/>
    </row>
    <row r="503" spans="1:31" ht="140.25" x14ac:dyDescent="0.2">
      <c r="A503" s="6" t="s">
        <v>3610</v>
      </c>
      <c r="B503" s="6" t="s">
        <v>3611</v>
      </c>
      <c r="C503" s="20" t="s">
        <v>3612</v>
      </c>
      <c r="D503" s="6" t="s">
        <v>3613</v>
      </c>
      <c r="E503" s="6"/>
      <c r="F503" s="6" t="s">
        <v>3614</v>
      </c>
      <c r="G503" s="6" t="s">
        <v>3615</v>
      </c>
      <c r="H503" s="6" t="str">
        <f t="shared" si="30"/>
        <v>CHRISHEA
ABIGAIL
ELLIN
BECK
THE OVERSEER
HAZMAT(P126
P118
P33
P361
P43
P501)</v>
      </c>
      <c r="I503" s="6" t="s">
        <v>112</v>
      </c>
      <c r="J503" s="6"/>
      <c r="K503" s="6"/>
      <c r="L503" s="6" t="s">
        <v>55</v>
      </c>
      <c r="M503" s="6" t="str">
        <f>VLOOKUP(L503, GLOSSARY!$A:$C, 2, FALSE)</f>
        <v>EGYPT ESTATE</v>
      </c>
      <c r="N503" s="6" t="s">
        <v>287</v>
      </c>
      <c r="O503" s="6"/>
      <c r="P503" s="6"/>
      <c r="Q503" s="6"/>
      <c r="R503" s="6"/>
      <c r="S503" s="6"/>
      <c r="T503" s="6"/>
      <c r="U503" s="6"/>
      <c r="V503" s="6"/>
      <c r="W503" s="6"/>
      <c r="X503" s="6"/>
      <c r="Y503" s="6"/>
      <c r="Z503" s="6"/>
      <c r="AA503" s="6"/>
      <c r="AB503" s="6"/>
      <c r="AC503" s="6"/>
      <c r="AD503" s="6"/>
      <c r="AE503" s="6"/>
    </row>
    <row r="504" spans="1:31" ht="51" x14ac:dyDescent="0.2">
      <c r="A504" s="6" t="s">
        <v>3616</v>
      </c>
      <c r="B504" s="6" t="s">
        <v>3611</v>
      </c>
      <c r="C504" s="20" t="s">
        <v>3617</v>
      </c>
      <c r="D504" s="6" t="s">
        <v>3618</v>
      </c>
      <c r="E504" s="6"/>
      <c r="F504" s="6" t="s">
        <v>399</v>
      </c>
      <c r="G504" s="6" t="s">
        <v>397</v>
      </c>
      <c r="H504" s="6" t="str">
        <f t="shared" si="30"/>
        <v>JOHN COPE(P44)</v>
      </c>
      <c r="I504" s="6" t="s">
        <v>112</v>
      </c>
      <c r="J504" s="6"/>
      <c r="K504" s="6"/>
      <c r="L504" s="6" t="s">
        <v>914</v>
      </c>
      <c r="M504" s="6" t="str">
        <f>VLOOKUP(L504, GLOSSARY!$A:$C, 2, FALSE)</f>
        <v>EGYPT ESTATE NEGROE HOUSES</v>
      </c>
      <c r="N504" s="6" t="s">
        <v>167</v>
      </c>
      <c r="O504" s="6"/>
      <c r="P504" s="6"/>
      <c r="Q504" s="6"/>
      <c r="R504" s="6"/>
      <c r="S504" s="6"/>
      <c r="T504" s="6"/>
      <c r="U504" s="6"/>
      <c r="V504" s="6"/>
      <c r="W504" s="6"/>
      <c r="X504" s="6"/>
      <c r="Y504" s="6"/>
      <c r="Z504" s="6"/>
      <c r="AA504" s="6"/>
      <c r="AB504" s="6"/>
      <c r="AC504" s="6"/>
      <c r="AD504" s="6"/>
      <c r="AE504" s="6"/>
    </row>
    <row r="505" spans="1:31" ht="102" x14ac:dyDescent="0.2">
      <c r="A505" s="6" t="s">
        <v>3616</v>
      </c>
      <c r="B505" s="6" t="s">
        <v>3619</v>
      </c>
      <c r="C505" s="20" t="s">
        <v>3620</v>
      </c>
      <c r="D505" s="6" t="s">
        <v>3621</v>
      </c>
      <c r="E505" s="6"/>
      <c r="F505" s="6" t="s">
        <v>3622</v>
      </c>
      <c r="G505" s="6" t="s">
        <v>3623</v>
      </c>
      <c r="H505" s="6" t="str">
        <f t="shared" si="30"/>
        <v>JOHN COPE
MOLLY COPE
DR. GORSE
EGYPT SUSANAH(P44
P45
P228
P296
)</v>
      </c>
      <c r="I505" s="6" t="s">
        <v>409</v>
      </c>
      <c r="J505" s="6"/>
      <c r="K505" s="6"/>
      <c r="L505" s="6" t="s">
        <v>55</v>
      </c>
      <c r="M505" s="6" t="str">
        <f>VLOOKUP(L505, GLOSSARY!$A:$C, 2, FALSE)</f>
        <v>EGYPT ESTATE</v>
      </c>
      <c r="N505" s="6" t="s">
        <v>167</v>
      </c>
      <c r="O505" s="6"/>
      <c r="P505" s="6"/>
      <c r="Q505" s="6"/>
      <c r="R505" s="6"/>
      <c r="S505" s="6"/>
      <c r="T505" s="6"/>
      <c r="U505" s="6"/>
      <c r="V505" s="6"/>
      <c r="W505" s="6"/>
      <c r="X505" s="6"/>
      <c r="Y505" s="6"/>
      <c r="Z505" s="6"/>
      <c r="AA505" s="6"/>
      <c r="AB505" s="6"/>
      <c r="AC505" s="6"/>
      <c r="AD505" s="6"/>
      <c r="AE505" s="6"/>
    </row>
    <row r="506" spans="1:31" ht="102" x14ac:dyDescent="0.2">
      <c r="A506" s="6" t="s">
        <v>3616</v>
      </c>
      <c r="B506" s="6" t="s">
        <v>3619</v>
      </c>
      <c r="C506" s="20" t="s">
        <v>3620</v>
      </c>
      <c r="D506" s="6" t="s">
        <v>3621</v>
      </c>
      <c r="E506" s="6"/>
      <c r="F506" s="6" t="s">
        <v>3622</v>
      </c>
      <c r="G506" s="6" t="s">
        <v>3623</v>
      </c>
      <c r="H506" s="6" t="str">
        <f t="shared" si="30"/>
        <v>JOHN COPE
MOLLY COPE
DR. GORSE
EGYPT SUSANAH(P44
P45
P228
P296
)</v>
      </c>
      <c r="I506" s="6" t="s">
        <v>533</v>
      </c>
      <c r="J506" s="6"/>
      <c r="K506" s="6"/>
      <c r="L506" s="6" t="s">
        <v>55</v>
      </c>
      <c r="M506" s="6" t="str">
        <f>VLOOKUP(L506, GLOSSARY!$A:$C, 2, FALSE)</f>
        <v>EGYPT ESTATE</v>
      </c>
      <c r="N506" s="6" t="s">
        <v>167</v>
      </c>
      <c r="O506" s="6"/>
      <c r="P506" s="6"/>
      <c r="Q506" s="6"/>
      <c r="R506" s="6"/>
      <c r="S506" s="6"/>
      <c r="T506" s="6"/>
      <c r="U506" s="6"/>
      <c r="V506" s="6"/>
      <c r="W506" s="6"/>
      <c r="X506" s="6"/>
      <c r="Y506" s="6"/>
      <c r="Z506" s="6"/>
      <c r="AA506" s="6"/>
      <c r="AB506" s="6"/>
      <c r="AC506" s="6"/>
      <c r="AD506" s="6"/>
      <c r="AE506" s="6"/>
    </row>
    <row r="507" spans="1:31" ht="102" x14ac:dyDescent="0.2">
      <c r="A507" s="6" t="s">
        <v>3540</v>
      </c>
      <c r="B507" s="6" t="s">
        <v>3624</v>
      </c>
      <c r="C507" s="20" t="s">
        <v>3625</v>
      </c>
      <c r="D507" s="6" t="s">
        <v>3626</v>
      </c>
      <c r="E507" s="6"/>
      <c r="F507" s="6" t="s">
        <v>3627</v>
      </c>
      <c r="G507" s="6" t="s">
        <v>3628</v>
      </c>
      <c r="H507" s="6" t="str">
        <f t="shared" si="30"/>
        <v>JOE
ZACHARY
THE OVERSEER(P299
P477
P43)</v>
      </c>
      <c r="I507" s="6" t="s">
        <v>1068</v>
      </c>
      <c r="J507" s="6"/>
      <c r="K507" s="6"/>
      <c r="L507" s="6" t="s">
        <v>55</v>
      </c>
      <c r="M507" s="6" t="str">
        <f>VLOOKUP(L507, GLOSSARY!$A:$C, 2, FALSE)</f>
        <v>EGYPT ESTATE</v>
      </c>
      <c r="N507" s="6" t="s">
        <v>167</v>
      </c>
      <c r="O507" s="6"/>
      <c r="P507" s="6"/>
      <c r="Q507" s="6"/>
      <c r="R507" s="6"/>
      <c r="S507" s="6"/>
      <c r="T507" s="6"/>
      <c r="U507" s="6"/>
      <c r="V507" s="6"/>
      <c r="W507" s="6"/>
      <c r="X507" s="6"/>
      <c r="Y507" s="6"/>
      <c r="Z507" s="6"/>
      <c r="AA507" s="6"/>
      <c r="AB507" s="6"/>
      <c r="AC507" s="6"/>
      <c r="AD507" s="6"/>
      <c r="AE507" s="6"/>
    </row>
    <row r="508" spans="1:31" ht="25.5" x14ac:dyDescent="0.2">
      <c r="A508" s="6" t="s">
        <v>3629</v>
      </c>
      <c r="B508" s="6" t="s">
        <v>3624</v>
      </c>
      <c r="C508" s="20" t="s">
        <v>3630</v>
      </c>
      <c r="D508" s="6" t="s">
        <v>3631</v>
      </c>
      <c r="E508" s="6"/>
      <c r="F508" s="6" t="s">
        <v>779</v>
      </c>
      <c r="G508" s="6" t="s">
        <v>780</v>
      </c>
      <c r="H508" s="6" t="str">
        <f t="shared" si="30"/>
        <v>EGYPT FIELDHANDS(P315)</v>
      </c>
      <c r="I508" s="6" t="s">
        <v>784</v>
      </c>
      <c r="J508" s="6"/>
      <c r="K508" s="6"/>
      <c r="L508" s="6" t="s">
        <v>2881</v>
      </c>
      <c r="M508" s="6" t="str">
        <f>VLOOKUP(L508, GLOSSARY!$A:$C, 2, FALSE)</f>
        <v>EGYPT OLD SCOTCHGRASS PIECE</v>
      </c>
      <c r="N508" s="6" t="s">
        <v>68</v>
      </c>
      <c r="O508" s="6"/>
      <c r="P508" s="6"/>
      <c r="Q508" s="6"/>
      <c r="R508" s="6"/>
      <c r="S508" s="6"/>
      <c r="T508" s="6"/>
      <c r="U508" s="6"/>
      <c r="V508" s="6"/>
      <c r="W508" s="6"/>
      <c r="X508" s="6"/>
      <c r="Y508" s="6"/>
      <c r="Z508" s="6"/>
      <c r="AA508" s="6"/>
      <c r="AB508" s="6"/>
      <c r="AC508" s="6"/>
      <c r="AD508" s="6"/>
      <c r="AE508" s="6"/>
    </row>
    <row r="509" spans="1:31" ht="38.25" x14ac:dyDescent="0.2">
      <c r="A509" s="6" t="s">
        <v>3632</v>
      </c>
      <c r="B509" s="6" t="s">
        <v>3633</v>
      </c>
      <c r="C509" s="20" t="s">
        <v>3634</v>
      </c>
      <c r="D509" s="6" t="s">
        <v>3635</v>
      </c>
      <c r="E509" s="6"/>
      <c r="F509" s="6"/>
      <c r="G509" s="6"/>
      <c r="H509" s="6" t="str">
        <f t="shared" si="30"/>
        <v>()</v>
      </c>
      <c r="I509" s="6" t="s">
        <v>869</v>
      </c>
      <c r="J509" s="6"/>
      <c r="K509" s="6"/>
      <c r="L509" s="6" t="s">
        <v>55</v>
      </c>
      <c r="M509" s="6" t="str">
        <f>VLOOKUP(L509, GLOSSARY!$A:$C, 2, FALSE)</f>
        <v>EGYPT ESTATE</v>
      </c>
      <c r="N509" s="6" t="s">
        <v>167</v>
      </c>
      <c r="O509" s="6"/>
      <c r="P509" s="6"/>
      <c r="Q509" s="6"/>
      <c r="R509" s="6"/>
      <c r="S509" s="6"/>
      <c r="T509" s="6"/>
      <c r="U509" s="6"/>
      <c r="V509" s="6"/>
      <c r="W509" s="6"/>
      <c r="X509" s="6"/>
      <c r="Y509" s="6"/>
      <c r="Z509" s="6"/>
      <c r="AA509" s="6"/>
      <c r="AB509" s="6"/>
      <c r="AC509" s="6"/>
      <c r="AD509" s="6"/>
      <c r="AE509" s="6"/>
    </row>
    <row r="510" spans="1:31" ht="89.25" x14ac:dyDescent="0.2">
      <c r="A510" s="6" t="s">
        <v>3629</v>
      </c>
      <c r="B510" s="6" t="s">
        <v>3633</v>
      </c>
      <c r="C510" s="20" t="s">
        <v>3634</v>
      </c>
      <c r="D510" s="6" t="s">
        <v>3636</v>
      </c>
      <c r="E510" s="6"/>
      <c r="F510" s="6" t="s">
        <v>3637</v>
      </c>
      <c r="G510" s="6" t="s">
        <v>3638</v>
      </c>
      <c r="H510" s="6" t="str">
        <f t="shared" si="30"/>
        <v>EGYPT FIELDHANDS
EGYPT COFFEE(P315
P353)</v>
      </c>
      <c r="I510" s="6" t="s">
        <v>784</v>
      </c>
      <c r="J510" s="6"/>
      <c r="K510" s="6"/>
      <c r="L510" s="6" t="s">
        <v>2839</v>
      </c>
      <c r="M510" s="6" t="str">
        <f>VLOOKUP(L510, GLOSSARY!$A:$C, 2, FALSE)</f>
        <v>EGYPT OLD NEGROE GROUND CANE PIECE</v>
      </c>
      <c r="N510" s="6" t="s">
        <v>68</v>
      </c>
      <c r="O510" s="6"/>
      <c r="P510" s="6"/>
      <c r="Q510" s="6"/>
      <c r="R510" s="6"/>
      <c r="S510" s="6"/>
      <c r="T510" s="6"/>
      <c r="U510" s="6"/>
      <c r="V510" s="6"/>
      <c r="W510" s="6"/>
      <c r="X510" s="6"/>
      <c r="Y510" s="6"/>
      <c r="Z510" s="6"/>
      <c r="AA510" s="6"/>
      <c r="AB510" s="6"/>
      <c r="AC510" s="6"/>
      <c r="AD510" s="6"/>
      <c r="AE510" s="6"/>
    </row>
    <row r="511" spans="1:31" ht="25.5" x14ac:dyDescent="0.2">
      <c r="A511" s="6" t="s">
        <v>2799</v>
      </c>
      <c r="B511" s="6" t="s">
        <v>3639</v>
      </c>
      <c r="C511" s="20" t="s">
        <v>3640</v>
      </c>
      <c r="D511" s="6" t="s">
        <v>3641</v>
      </c>
      <c r="E511" s="6"/>
      <c r="F511" s="6" t="s">
        <v>297</v>
      </c>
      <c r="G511" s="6" t="s">
        <v>296</v>
      </c>
      <c r="H511" s="6" t="str">
        <f t="shared" si="30"/>
        <v>JOB(P29)</v>
      </c>
      <c r="I511" s="6" t="s">
        <v>784</v>
      </c>
      <c r="J511" s="6"/>
      <c r="K511" s="6"/>
      <c r="L511" s="6" t="s">
        <v>55</v>
      </c>
      <c r="M511" s="6" t="str">
        <f>VLOOKUP(L511, GLOSSARY!$A:$C, 2, FALSE)</f>
        <v>EGYPT ESTATE</v>
      </c>
      <c r="N511" s="6" t="s">
        <v>68</v>
      </c>
      <c r="O511" s="6"/>
      <c r="P511" s="6"/>
      <c r="Q511" s="6"/>
      <c r="R511" s="6"/>
      <c r="S511" s="6"/>
      <c r="T511" s="6"/>
      <c r="U511" s="6"/>
      <c r="V511" s="6"/>
      <c r="W511" s="6"/>
      <c r="X511" s="6"/>
      <c r="Y511" s="6"/>
      <c r="Z511" s="6"/>
      <c r="AA511" s="6"/>
      <c r="AB511" s="6"/>
      <c r="AC511" s="6"/>
      <c r="AD511" s="6"/>
      <c r="AE511" s="6"/>
    </row>
    <row r="512" spans="1:31" ht="191.25" x14ac:dyDescent="0.2">
      <c r="A512" s="6" t="s">
        <v>3642</v>
      </c>
      <c r="B512" s="6" t="s">
        <v>3639</v>
      </c>
      <c r="C512" s="20" t="s">
        <v>3640</v>
      </c>
      <c r="D512" s="6" t="s">
        <v>3643</v>
      </c>
      <c r="E512" s="6"/>
      <c r="F512" s="6" t="s">
        <v>3644</v>
      </c>
      <c r="G512" s="6" t="s">
        <v>3645</v>
      </c>
      <c r="H512" s="6" t="str">
        <f t="shared" si="30"/>
        <v>HECTOR
QUACOO
HAZAT
COFFEE
LEWIE
JACKIE
PLATO
PORT ROYAL(P358
P298
P424
P353
P357
P102
P208
P212)</v>
      </c>
      <c r="I512" s="6" t="s">
        <v>656</v>
      </c>
      <c r="J512" s="6"/>
      <c r="K512" s="6"/>
      <c r="L512" s="6" t="s">
        <v>55</v>
      </c>
      <c r="M512" s="6" t="str">
        <f>VLOOKUP(L512, GLOSSARY!$A:$C, 2, FALSE)</f>
        <v>EGYPT ESTATE</v>
      </c>
      <c r="N512" s="6" t="s">
        <v>287</v>
      </c>
      <c r="O512" s="6"/>
      <c r="P512" s="6"/>
      <c r="Q512" s="6"/>
      <c r="R512" s="6"/>
      <c r="S512" s="6"/>
      <c r="T512" s="6"/>
      <c r="U512" s="6"/>
      <c r="V512" s="6"/>
      <c r="W512" s="6"/>
      <c r="X512" s="6"/>
      <c r="Y512" s="6"/>
      <c r="Z512" s="6"/>
      <c r="AA512" s="6"/>
      <c r="AB512" s="6"/>
      <c r="AC512" s="6"/>
      <c r="AD512" s="6"/>
      <c r="AE512" s="6"/>
    </row>
    <row r="513" spans="1:31" ht="51" x14ac:dyDescent="0.2">
      <c r="A513" s="6" t="s">
        <v>3646</v>
      </c>
      <c r="B513" s="6" t="s">
        <v>3647</v>
      </c>
      <c r="C513" s="20" t="s">
        <v>3648</v>
      </c>
      <c r="D513" s="6" t="s">
        <v>3649</v>
      </c>
      <c r="E513" s="6"/>
      <c r="F513" s="6" t="s">
        <v>3650</v>
      </c>
      <c r="G513" s="6" t="s">
        <v>3651</v>
      </c>
      <c r="H513" s="6" t="str">
        <f t="shared" si="30"/>
        <v>THE OVERSEER
JOB(P43
P29
)</v>
      </c>
      <c r="I513" s="6" t="s">
        <v>784</v>
      </c>
      <c r="J513" s="6"/>
      <c r="K513" s="6"/>
      <c r="L513" s="6" t="s">
        <v>55</v>
      </c>
      <c r="M513" s="6" t="str">
        <f>VLOOKUP(L513, GLOSSARY!$A:$C, 2, FALSE)</f>
        <v>EGYPT ESTATE</v>
      </c>
      <c r="N513" s="6" t="s">
        <v>68</v>
      </c>
      <c r="O513" s="6"/>
      <c r="P513" s="6"/>
      <c r="Q513" s="6"/>
      <c r="R513" s="6"/>
      <c r="S513" s="6"/>
      <c r="T513" s="6"/>
      <c r="U513" s="6"/>
      <c r="V513" s="6"/>
      <c r="W513" s="6"/>
      <c r="X513" s="6"/>
      <c r="Y513" s="6"/>
      <c r="Z513" s="6"/>
      <c r="AA513" s="6"/>
      <c r="AB513" s="6"/>
      <c r="AC513" s="6"/>
      <c r="AD513" s="6"/>
      <c r="AE513" s="6"/>
    </row>
    <row r="514" spans="1:31" ht="51" x14ac:dyDescent="0.2">
      <c r="A514" s="6" t="s">
        <v>3642</v>
      </c>
      <c r="B514" s="6" t="s">
        <v>3639</v>
      </c>
      <c r="C514" s="20" t="s">
        <v>3648</v>
      </c>
      <c r="D514" s="6" t="s">
        <v>3652</v>
      </c>
      <c r="E514" s="6"/>
      <c r="F514" s="6" t="s">
        <v>3653</v>
      </c>
      <c r="G514" s="6" t="s">
        <v>3654</v>
      </c>
      <c r="H514" s="6" t="str">
        <f t="shared" si="30"/>
        <v>HECTOR
EGYPT FIELDHANDS(P358
P315)</v>
      </c>
      <c r="I514" s="6" t="s">
        <v>656</v>
      </c>
      <c r="J514" s="6"/>
      <c r="K514" s="6"/>
      <c r="L514" s="6" t="s">
        <v>55</v>
      </c>
      <c r="M514" s="6" t="str">
        <f>VLOOKUP(L514, GLOSSARY!$A:$C, 2, FALSE)</f>
        <v>EGYPT ESTATE</v>
      </c>
      <c r="N514" s="6" t="s">
        <v>68</v>
      </c>
      <c r="O514" s="6"/>
      <c r="P514" s="6"/>
      <c r="Q514" s="6"/>
      <c r="R514" s="6"/>
      <c r="S514" s="6"/>
      <c r="T514" s="6"/>
      <c r="U514" s="6"/>
      <c r="V514" s="6"/>
      <c r="W514" s="6"/>
      <c r="X514" s="6"/>
      <c r="Y514" s="6"/>
      <c r="Z514" s="6"/>
      <c r="AA514" s="6"/>
      <c r="AB514" s="6"/>
      <c r="AC514" s="6"/>
      <c r="AD514" s="6"/>
      <c r="AE514" s="6"/>
    </row>
    <row r="515" spans="1:31" ht="165.75" x14ac:dyDescent="0.2">
      <c r="A515" s="6" t="s">
        <v>3642</v>
      </c>
      <c r="B515" s="6" t="s">
        <v>3647</v>
      </c>
      <c r="C515" s="20" t="s">
        <v>3655</v>
      </c>
      <c r="D515" s="6" t="s">
        <v>3656</v>
      </c>
      <c r="E515" s="6"/>
      <c r="F515" s="6" t="s">
        <v>3657</v>
      </c>
      <c r="G515" s="6" t="s">
        <v>3658</v>
      </c>
      <c r="H515" s="6" t="str">
        <f t="shared" si="30"/>
        <v>ABIGAIL
QUAW
HAZARD
QUACOO
PARADISE DOVER
PLATO
PUNCH(P118
P380
P499
P298
P494
P208
P348)</v>
      </c>
      <c r="I515" s="6" t="s">
        <v>656</v>
      </c>
      <c r="J515" s="6"/>
      <c r="K515" s="6"/>
      <c r="L515" s="6" t="s">
        <v>657</v>
      </c>
      <c r="M515" s="6" t="str">
        <f>VLOOKUP(L515, GLOSSARY!$A:$C, 2, FALSE)</f>
        <v>UNKNOWN</v>
      </c>
      <c r="N515" s="6" t="s">
        <v>287</v>
      </c>
      <c r="O515" s="6"/>
      <c r="P515" s="6"/>
      <c r="Q515" s="6"/>
      <c r="R515" s="6"/>
      <c r="S515" s="6"/>
      <c r="T515" s="6"/>
      <c r="U515" s="6"/>
      <c r="V515" s="6"/>
      <c r="W515" s="6"/>
      <c r="X515" s="6"/>
      <c r="Y515" s="6"/>
      <c r="Z515" s="6"/>
      <c r="AA515" s="6"/>
      <c r="AB515" s="6"/>
      <c r="AC515" s="6"/>
      <c r="AD515" s="6"/>
      <c r="AE515" s="6"/>
    </row>
    <row r="516" spans="1:31" ht="25.5" x14ac:dyDescent="0.2">
      <c r="A516" s="6" t="s">
        <v>2867</v>
      </c>
      <c r="B516" s="6" t="s">
        <v>3659</v>
      </c>
      <c r="C516" s="20" t="s">
        <v>3660</v>
      </c>
      <c r="D516" s="6" t="s">
        <v>3661</v>
      </c>
      <c r="E516" s="6"/>
      <c r="F516" s="6" t="s">
        <v>2880</v>
      </c>
      <c r="G516" s="6" t="s">
        <v>451</v>
      </c>
      <c r="H516" s="6" t="str">
        <f t="shared" si="30"/>
        <v>JOHN HUTT(P51)</v>
      </c>
      <c r="I516" s="6" t="s">
        <v>859</v>
      </c>
      <c r="J516" s="6"/>
      <c r="K516" s="6"/>
      <c r="L516" s="6" t="s">
        <v>55</v>
      </c>
      <c r="M516" s="6">
        <v>1</v>
      </c>
      <c r="N516" s="6" t="s">
        <v>167</v>
      </c>
      <c r="O516" s="6"/>
      <c r="P516" s="6"/>
      <c r="Q516" s="6"/>
      <c r="R516" s="6"/>
      <c r="S516" s="6"/>
      <c r="T516" s="6"/>
      <c r="U516" s="6"/>
      <c r="V516" s="6"/>
      <c r="W516" s="6"/>
      <c r="X516" s="6"/>
      <c r="Y516" s="6"/>
      <c r="Z516" s="6"/>
      <c r="AA516" s="6"/>
      <c r="AB516" s="6"/>
      <c r="AC516" s="6"/>
      <c r="AD516" s="6"/>
      <c r="AE516" s="6"/>
    </row>
    <row r="517" spans="1:31" ht="63.75" x14ac:dyDescent="0.2">
      <c r="A517" s="6" t="s">
        <v>3662</v>
      </c>
      <c r="B517" s="6" t="s">
        <v>3663</v>
      </c>
      <c r="C517" s="20" t="s">
        <v>3664</v>
      </c>
      <c r="D517" s="6" t="s">
        <v>3665</v>
      </c>
      <c r="E517" s="6"/>
      <c r="F517" s="6" t="s">
        <v>3666</v>
      </c>
      <c r="G517" s="6" t="s">
        <v>3667</v>
      </c>
      <c r="H517" s="6" t="str">
        <f t="shared" si="30"/>
        <v>SAM MATTHEWS
AMBO(P170
P79)</v>
      </c>
      <c r="I517" s="6" t="s">
        <v>139</v>
      </c>
      <c r="J517" s="6"/>
      <c r="K517" s="6"/>
      <c r="L517" s="6" t="s">
        <v>2956</v>
      </c>
      <c r="M517" s="6" t="str">
        <f>VLOOKUP(L517, GLOSSARY!$A:$C, 2, FALSE)</f>
        <v>PARADISE MOUNTAIN</v>
      </c>
      <c r="N517" s="6" t="s">
        <v>68</v>
      </c>
      <c r="O517" s="6"/>
      <c r="P517" s="6"/>
      <c r="Q517" s="6"/>
      <c r="R517" s="6"/>
      <c r="S517" s="6"/>
      <c r="T517" s="6"/>
      <c r="U517" s="6"/>
      <c r="V517" s="6"/>
      <c r="W517" s="6"/>
      <c r="X517" s="6"/>
      <c r="Y517" s="6"/>
      <c r="Z517" s="6"/>
      <c r="AA517" s="6"/>
      <c r="AB517" s="6"/>
      <c r="AC517" s="6"/>
      <c r="AD517" s="6"/>
      <c r="AE517" s="6"/>
    </row>
    <row r="518" spans="1:31" ht="63.75" x14ac:dyDescent="0.2">
      <c r="A518" s="6" t="s">
        <v>3642</v>
      </c>
      <c r="B518" s="6" t="s">
        <v>3668</v>
      </c>
      <c r="C518" s="20" t="s">
        <v>3664</v>
      </c>
      <c r="D518" s="6" t="s">
        <v>3669</v>
      </c>
      <c r="E518" s="6"/>
      <c r="F518" s="6" t="s">
        <v>3670</v>
      </c>
      <c r="G518" s="6" t="s">
        <v>3671</v>
      </c>
      <c r="H518" s="6" t="str">
        <f t="shared" si="30"/>
        <v>PARADISE DOVER
PLATO
COFFEE(P494
P208
P353)</v>
      </c>
      <c r="I518" s="6" t="s">
        <v>656</v>
      </c>
      <c r="J518" s="6"/>
      <c r="K518" s="6"/>
      <c r="L518" s="6" t="s">
        <v>55</v>
      </c>
      <c r="M518" s="6" t="str">
        <f>VLOOKUP(L518, GLOSSARY!$A:$C, 2, FALSE)</f>
        <v>EGYPT ESTATE</v>
      </c>
      <c r="N518" s="6" t="s">
        <v>68</v>
      </c>
      <c r="O518" s="6"/>
      <c r="P518" s="6"/>
      <c r="Q518" s="6"/>
      <c r="R518" s="6"/>
      <c r="S518" s="6"/>
      <c r="T518" s="6"/>
      <c r="U518" s="6"/>
      <c r="V518" s="6"/>
      <c r="W518" s="6"/>
      <c r="X518" s="6"/>
      <c r="Y518" s="6"/>
      <c r="Z518" s="6"/>
      <c r="AA518" s="6"/>
      <c r="AB518" s="6"/>
      <c r="AC518" s="6"/>
      <c r="AD518" s="6"/>
      <c r="AE518" s="6"/>
    </row>
    <row r="519" spans="1:31" ht="89.25" x14ac:dyDescent="0.2">
      <c r="A519" s="6" t="s">
        <v>3662</v>
      </c>
      <c r="B519" s="6" t="s">
        <v>3672</v>
      </c>
      <c r="C519" s="20" t="s">
        <v>3673</v>
      </c>
      <c r="D519" s="6" t="s">
        <v>3674</v>
      </c>
      <c r="E519" s="6"/>
      <c r="F519" s="6" t="s">
        <v>3666</v>
      </c>
      <c r="G519" s="6" t="s">
        <v>3667</v>
      </c>
      <c r="H519" s="6" t="str">
        <f t="shared" si="30"/>
        <v>SAM MATTHEWS
AMBO(P170
P79)</v>
      </c>
      <c r="I519" s="6" t="s">
        <v>139</v>
      </c>
      <c r="J519" s="6"/>
      <c r="K519" s="6"/>
      <c r="L519" s="6" t="s">
        <v>55</v>
      </c>
      <c r="M519" s="6" t="str">
        <f>VLOOKUP(L519, GLOSSARY!$A:$C, 2, FALSE)</f>
        <v>EGYPT ESTATE</v>
      </c>
      <c r="N519" s="6" t="s">
        <v>167</v>
      </c>
      <c r="O519" s="6"/>
      <c r="P519" s="6"/>
      <c r="Q519" s="6"/>
      <c r="R519" s="6"/>
      <c r="S519" s="6"/>
      <c r="T519" s="6"/>
      <c r="U519" s="6"/>
      <c r="V519" s="6"/>
      <c r="W519" s="6"/>
      <c r="X519" s="6"/>
      <c r="Y519" s="6"/>
      <c r="Z519" s="6"/>
      <c r="AA519" s="6"/>
      <c r="AB519" s="6"/>
      <c r="AC519" s="6"/>
      <c r="AD519" s="6"/>
      <c r="AE519" s="6"/>
    </row>
    <row r="520" spans="1:31" ht="140.25" x14ac:dyDescent="0.2">
      <c r="A520" s="6" t="s">
        <v>3642</v>
      </c>
      <c r="B520" s="6" t="s">
        <v>3675</v>
      </c>
      <c r="C520" s="20" t="s">
        <v>3676</v>
      </c>
      <c r="D520" s="6" t="s">
        <v>3677</v>
      </c>
      <c r="E520" s="6"/>
      <c r="F520" s="6" t="s">
        <v>3678</v>
      </c>
      <c r="G520" s="6" t="s">
        <v>3679</v>
      </c>
      <c r="H520" s="6" t="str">
        <f t="shared" si="30"/>
        <v>PARADISE DOVER
PLATO
COFFEE
ABIGAIL
QUAW
QUACOO(P494
P208
P353
P118
P380
P298)</v>
      </c>
      <c r="I520" s="6" t="s">
        <v>656</v>
      </c>
      <c r="J520" s="6"/>
      <c r="K520" s="6"/>
      <c r="L520" s="6" t="s">
        <v>55</v>
      </c>
      <c r="M520" s="6" t="str">
        <f>VLOOKUP(L520, GLOSSARY!$A:$C, 2, FALSE)</f>
        <v>EGYPT ESTATE</v>
      </c>
      <c r="N520" s="6" t="s">
        <v>287</v>
      </c>
      <c r="O520" s="6"/>
      <c r="P520" s="6"/>
      <c r="Q520" s="6"/>
      <c r="R520" s="6"/>
      <c r="S520" s="6"/>
      <c r="T520" s="6"/>
      <c r="U520" s="6"/>
      <c r="V520" s="6"/>
      <c r="W520" s="6"/>
      <c r="X520" s="6"/>
      <c r="Y520" s="6"/>
      <c r="Z520" s="6"/>
      <c r="AA520" s="6"/>
      <c r="AB520" s="6"/>
      <c r="AC520" s="6"/>
      <c r="AD520" s="6"/>
      <c r="AE520" s="6"/>
    </row>
    <row r="521" spans="1:31" ht="76.5" x14ac:dyDescent="0.2">
      <c r="A521" s="6" t="s">
        <v>3680</v>
      </c>
      <c r="B521" s="6" t="s">
        <v>3681</v>
      </c>
      <c r="C521" s="20" t="s">
        <v>3682</v>
      </c>
      <c r="D521" s="6" t="s">
        <v>3683</v>
      </c>
      <c r="E521" s="6"/>
      <c r="F521" s="6" t="s">
        <v>3684</v>
      </c>
      <c r="G521" s="6" t="s">
        <v>3685</v>
      </c>
      <c r="H521" s="6" t="str">
        <f t="shared" si="30"/>
        <v>SARAH BENNETT
WILLIAM CUNNINGHAM(P50
P259)</v>
      </c>
      <c r="I521" s="6" t="s">
        <v>248</v>
      </c>
      <c r="J521" s="6"/>
      <c r="K521" s="6"/>
      <c r="L521" s="6" t="s">
        <v>445</v>
      </c>
      <c r="M521" s="6" t="str">
        <f>VLOOKUP(L521, GLOSSARY!$A:$C, 2, FALSE)</f>
        <v>MRS. SARAH BENNETT'S</v>
      </c>
      <c r="N521" s="6" t="s">
        <v>68</v>
      </c>
      <c r="O521" s="6"/>
      <c r="P521" s="6"/>
      <c r="Q521" s="6"/>
      <c r="R521" s="6"/>
      <c r="S521" s="6"/>
      <c r="T521" s="6"/>
      <c r="U521" s="6"/>
      <c r="V521" s="6"/>
      <c r="W521" s="6"/>
      <c r="X521" s="6"/>
      <c r="Y521" s="6"/>
      <c r="Z521" s="6"/>
      <c r="AA521" s="6"/>
      <c r="AB521" s="6"/>
      <c r="AC521" s="6"/>
      <c r="AD521" s="6"/>
      <c r="AE521" s="6"/>
    </row>
    <row r="522" spans="1:31" ht="76.5" x14ac:dyDescent="0.2">
      <c r="A522" s="6" t="s">
        <v>3686</v>
      </c>
      <c r="B522" s="6" t="s">
        <v>3687</v>
      </c>
      <c r="C522" s="20" t="s">
        <v>3688</v>
      </c>
      <c r="D522" s="6" t="s">
        <v>3689</v>
      </c>
      <c r="E522" s="6"/>
      <c r="F522" s="6" t="s">
        <v>48</v>
      </c>
      <c r="G522" s="6" t="s">
        <v>50</v>
      </c>
      <c r="H522" s="6" t="str">
        <f t="shared" si="30"/>
        <v>THE OVERSEER(P43)</v>
      </c>
      <c r="I522" s="6" t="s">
        <v>533</v>
      </c>
      <c r="J522" s="6"/>
      <c r="K522" s="6"/>
      <c r="L522" s="6" t="s">
        <v>55</v>
      </c>
      <c r="M522" s="6" t="str">
        <f>VLOOKUP(L522, GLOSSARY!$A:$C, 2, FALSE)</f>
        <v>EGYPT ESTATE</v>
      </c>
      <c r="N522" s="6" t="s">
        <v>287</v>
      </c>
      <c r="O522" s="6"/>
      <c r="P522" s="6"/>
      <c r="Q522" s="6"/>
      <c r="R522" s="6"/>
      <c r="S522" s="6"/>
      <c r="T522" s="6"/>
      <c r="U522" s="6"/>
      <c r="V522" s="6"/>
      <c r="W522" s="6"/>
      <c r="X522" s="6"/>
      <c r="Y522" s="6"/>
      <c r="Z522" s="6"/>
      <c r="AA522" s="6"/>
      <c r="AB522" s="6"/>
      <c r="AC522" s="6"/>
      <c r="AD522" s="6"/>
      <c r="AE522" s="6"/>
    </row>
    <row r="523" spans="1:31" ht="114.75" x14ac:dyDescent="0.2">
      <c r="A523" s="6" t="s">
        <v>3642</v>
      </c>
      <c r="B523" s="6" t="s">
        <v>3690</v>
      </c>
      <c r="C523" s="20" t="s">
        <v>3691</v>
      </c>
      <c r="D523" s="6" t="s">
        <v>3692</v>
      </c>
      <c r="E523" s="6"/>
      <c r="F523" s="6" t="s">
        <v>3693</v>
      </c>
      <c r="G523" s="6" t="s">
        <v>3694</v>
      </c>
      <c r="H523" s="6" t="str">
        <f t="shared" si="30"/>
        <v>COFFEE
PLATO
PARADISE DOVER
HAZAT
QUACOO(P494
P208
P353
P424
P298)</v>
      </c>
      <c r="I523" s="6" t="s">
        <v>656</v>
      </c>
      <c r="J523" s="6"/>
      <c r="K523" s="6"/>
      <c r="L523" s="6" t="s">
        <v>55</v>
      </c>
      <c r="M523" s="6" t="str">
        <f>VLOOKUP(L523, GLOSSARY!$A:$C, 2, FALSE)</f>
        <v>EGYPT ESTATE</v>
      </c>
      <c r="N523" s="6" t="s">
        <v>287</v>
      </c>
      <c r="O523" s="6"/>
      <c r="P523" s="6"/>
      <c r="Q523" s="6"/>
      <c r="R523" s="6"/>
      <c r="S523" s="6"/>
      <c r="T523" s="6"/>
      <c r="U523" s="6"/>
      <c r="V523" s="6"/>
      <c r="W523" s="6"/>
      <c r="X523" s="6"/>
      <c r="Y523" s="6"/>
      <c r="Z523" s="6"/>
      <c r="AA523" s="6"/>
      <c r="AB523" s="6"/>
      <c r="AC523" s="6"/>
      <c r="AD523" s="6"/>
      <c r="AE523" s="6"/>
    </row>
    <row r="524" spans="1:31" ht="76.5" x14ac:dyDescent="0.2">
      <c r="A524" s="6" t="s">
        <v>3695</v>
      </c>
      <c r="B524" s="6" t="s">
        <v>3696</v>
      </c>
      <c r="C524" s="20" t="s">
        <v>3697</v>
      </c>
      <c r="D524" s="6" t="s">
        <v>3698</v>
      </c>
      <c r="E524" s="6"/>
      <c r="F524" s="6"/>
      <c r="G524" s="6"/>
      <c r="H524" s="6" t="str">
        <f t="shared" si="30"/>
        <v>()</v>
      </c>
      <c r="I524" s="6" t="s">
        <v>26</v>
      </c>
      <c r="J524" s="6"/>
      <c r="K524" s="6"/>
      <c r="L524" s="6" t="s">
        <v>55</v>
      </c>
      <c r="M524" s="6" t="str">
        <f>VLOOKUP(L524, GLOSSARY!$A:$C, 2, FALSE)</f>
        <v>EGYPT ESTATE</v>
      </c>
      <c r="N524" s="6" t="s">
        <v>287</v>
      </c>
      <c r="O524" s="6"/>
      <c r="P524" s="6"/>
      <c r="Q524" s="6"/>
      <c r="R524" s="6"/>
      <c r="S524" s="6"/>
      <c r="T524" s="6"/>
      <c r="U524" s="6"/>
      <c r="V524" s="6"/>
      <c r="W524" s="6"/>
      <c r="X524" s="6"/>
      <c r="Y524" s="6"/>
      <c r="Z524" s="6"/>
      <c r="AA524" s="6"/>
      <c r="AB524" s="6"/>
      <c r="AC524" s="6"/>
      <c r="AD524" s="6"/>
      <c r="AE524" s="6"/>
    </row>
    <row r="525" spans="1:31" ht="25.5" x14ac:dyDescent="0.2">
      <c r="A525" s="6" t="s">
        <v>3686</v>
      </c>
      <c r="B525" s="6" t="s">
        <v>3699</v>
      </c>
      <c r="C525" s="25" t="s">
        <v>3700</v>
      </c>
      <c r="D525" s="6" t="s">
        <v>3701</v>
      </c>
      <c r="E525" s="6"/>
      <c r="F525" s="6" t="s">
        <v>48</v>
      </c>
      <c r="G525" s="6" t="s">
        <v>50</v>
      </c>
      <c r="H525" s="6" t="str">
        <f t="shared" si="30"/>
        <v>THE OVERSEER(P43)</v>
      </c>
      <c r="I525" s="6" t="s">
        <v>533</v>
      </c>
      <c r="J525" s="6"/>
      <c r="K525" s="6"/>
      <c r="L525" s="6" t="s">
        <v>55</v>
      </c>
      <c r="M525" s="6" t="str">
        <f>VLOOKUP(L525, GLOSSARY!$A:$C, 2, FALSE)</f>
        <v>EGYPT ESTATE</v>
      </c>
      <c r="N525" s="6" t="s">
        <v>287</v>
      </c>
      <c r="O525" s="6"/>
      <c r="P525" s="6"/>
      <c r="Q525" s="6"/>
      <c r="R525" s="6"/>
      <c r="S525" s="6"/>
      <c r="T525" s="6"/>
      <c r="U525" s="6"/>
      <c r="V525" s="6"/>
      <c r="W525" s="6"/>
      <c r="X525" s="6"/>
      <c r="Y525" s="6"/>
      <c r="Z525" s="6"/>
      <c r="AA525" s="6"/>
      <c r="AB525" s="6"/>
      <c r="AC525" s="6"/>
      <c r="AD525" s="6"/>
      <c r="AE525" s="6"/>
    </row>
    <row r="526" spans="1:31" ht="76.5" x14ac:dyDescent="0.2">
      <c r="A526" s="6" t="s">
        <v>3695</v>
      </c>
      <c r="B526" s="6" t="s">
        <v>3696</v>
      </c>
      <c r="C526" s="20" t="s">
        <v>3702</v>
      </c>
      <c r="D526" s="6" t="s">
        <v>3703</v>
      </c>
      <c r="E526" s="6"/>
      <c r="F526" s="6"/>
      <c r="G526" s="6"/>
      <c r="H526" s="6" t="str">
        <f t="shared" si="30"/>
        <v>()</v>
      </c>
      <c r="I526" s="6" t="s">
        <v>26</v>
      </c>
      <c r="J526" s="6"/>
      <c r="K526" s="6"/>
      <c r="L526" s="6" t="s">
        <v>55</v>
      </c>
      <c r="M526" s="6" t="str">
        <f>VLOOKUP(L526, GLOSSARY!$A:$C, 2, FALSE)</f>
        <v>EGYPT ESTATE</v>
      </c>
      <c r="N526" s="6" t="s">
        <v>287</v>
      </c>
      <c r="O526" s="6"/>
      <c r="P526" s="6"/>
      <c r="Q526" s="6"/>
      <c r="R526" s="6"/>
      <c r="S526" s="6"/>
      <c r="T526" s="6"/>
      <c r="U526" s="6"/>
      <c r="V526" s="6"/>
      <c r="W526" s="6"/>
      <c r="X526" s="6"/>
      <c r="Y526" s="6"/>
      <c r="Z526" s="6"/>
      <c r="AA526" s="6"/>
      <c r="AB526" s="6"/>
      <c r="AC526" s="6"/>
      <c r="AD526" s="6"/>
      <c r="AE526" s="6"/>
    </row>
    <row r="527" spans="1:31" ht="25.5" x14ac:dyDescent="0.2">
      <c r="A527" s="6" t="s">
        <v>3704</v>
      </c>
      <c r="B527" s="6" t="s">
        <v>3699</v>
      </c>
      <c r="C527" s="20" t="s">
        <v>3705</v>
      </c>
      <c r="D527" s="6" t="s">
        <v>3706</v>
      </c>
      <c r="E527" s="6"/>
      <c r="F527" s="6" t="s">
        <v>48</v>
      </c>
      <c r="G527" s="6" t="s">
        <v>50</v>
      </c>
      <c r="H527" s="6" t="str">
        <f t="shared" si="30"/>
        <v>THE OVERSEER(P43)</v>
      </c>
      <c r="I527" s="6" t="s">
        <v>533</v>
      </c>
      <c r="J527" s="6"/>
      <c r="K527" s="6"/>
      <c r="L527" s="6" t="s">
        <v>55</v>
      </c>
      <c r="M527" s="6" t="str">
        <f>VLOOKUP(L527, GLOSSARY!$A:$C, 2, FALSE)</f>
        <v>EGYPT ESTATE</v>
      </c>
      <c r="N527" s="6" t="s">
        <v>68</v>
      </c>
      <c r="O527" s="6"/>
      <c r="P527" s="6"/>
      <c r="Q527" s="6"/>
      <c r="R527" s="6"/>
      <c r="S527" s="6"/>
      <c r="T527" s="6"/>
      <c r="U527" s="6"/>
      <c r="V527" s="6"/>
      <c r="W527" s="6"/>
      <c r="X527" s="6"/>
      <c r="Y527" s="6"/>
      <c r="Z527" s="6"/>
      <c r="AA527" s="6"/>
      <c r="AB527" s="6"/>
      <c r="AC527" s="6"/>
      <c r="AD527" s="6"/>
      <c r="AE527" s="6"/>
    </row>
    <row r="528" spans="1:31" ht="51" x14ac:dyDescent="0.2">
      <c r="A528" s="6" t="s">
        <v>3695</v>
      </c>
      <c r="B528" s="6" t="s">
        <v>3707</v>
      </c>
      <c r="C528" s="20" t="s">
        <v>3705</v>
      </c>
      <c r="D528" s="6" t="s">
        <v>3708</v>
      </c>
      <c r="E528" s="6"/>
      <c r="F528" s="6"/>
      <c r="G528" s="6"/>
      <c r="H528" s="6" t="str">
        <f t="shared" si="30"/>
        <v>()</v>
      </c>
      <c r="I528" s="6" t="s">
        <v>26</v>
      </c>
      <c r="J528" s="6"/>
      <c r="K528" s="6"/>
      <c r="L528" s="6" t="s">
        <v>55</v>
      </c>
      <c r="M528" s="6" t="str">
        <f>VLOOKUP(L528, GLOSSARY!$A:$C, 2, FALSE)</f>
        <v>EGYPT ESTATE</v>
      </c>
      <c r="N528" s="6" t="s">
        <v>287</v>
      </c>
      <c r="O528" s="6"/>
      <c r="P528" s="6"/>
      <c r="Q528" s="6"/>
      <c r="R528" s="6"/>
      <c r="S528" s="6"/>
      <c r="T528" s="6"/>
      <c r="U528" s="6"/>
      <c r="V528" s="6"/>
      <c r="W528" s="6"/>
      <c r="X528" s="6"/>
      <c r="Y528" s="6"/>
      <c r="Z528" s="6"/>
      <c r="AA528" s="6"/>
      <c r="AB528" s="6"/>
      <c r="AC528" s="6"/>
      <c r="AD528" s="6"/>
      <c r="AE528" s="6"/>
    </row>
    <row r="529" spans="1:31" ht="89.25" x14ac:dyDescent="0.2">
      <c r="A529" s="6" t="s">
        <v>3686</v>
      </c>
      <c r="B529" s="6" t="s">
        <v>3699</v>
      </c>
      <c r="C529" s="20" t="s">
        <v>3709</v>
      </c>
      <c r="D529" s="6" t="s">
        <v>3710</v>
      </c>
      <c r="E529" s="6"/>
      <c r="F529" s="6" t="s">
        <v>48</v>
      </c>
      <c r="G529" s="6" t="s">
        <v>50</v>
      </c>
      <c r="H529" s="6" t="str">
        <f t="shared" si="30"/>
        <v>THE OVERSEER(P43)</v>
      </c>
      <c r="I529" s="6" t="s">
        <v>533</v>
      </c>
      <c r="J529" s="6"/>
      <c r="K529" s="6"/>
      <c r="L529" s="6" t="s">
        <v>55</v>
      </c>
      <c r="M529" s="6" t="str">
        <f>VLOOKUP(L529, GLOSSARY!$A:$C, 2, FALSE)</f>
        <v>EGYPT ESTATE</v>
      </c>
      <c r="N529" s="6" t="s">
        <v>167</v>
      </c>
      <c r="O529" s="6"/>
      <c r="P529" s="6"/>
      <c r="Q529" s="6"/>
      <c r="R529" s="6"/>
      <c r="S529" s="6"/>
      <c r="T529" s="6"/>
      <c r="U529" s="6"/>
      <c r="V529" s="6"/>
      <c r="W529" s="6"/>
      <c r="X529" s="6"/>
      <c r="Y529" s="6"/>
      <c r="Z529" s="6"/>
      <c r="AA529" s="6"/>
      <c r="AB529" s="6"/>
      <c r="AC529" s="6"/>
      <c r="AD529" s="6"/>
      <c r="AE529" s="6"/>
    </row>
    <row r="530" spans="1:31" ht="76.5" x14ac:dyDescent="0.2">
      <c r="A530" s="6" t="s">
        <v>3695</v>
      </c>
      <c r="B530" s="6" t="s">
        <v>3707</v>
      </c>
      <c r="C530" s="20" t="s">
        <v>3709</v>
      </c>
      <c r="D530" s="6" t="s">
        <v>3711</v>
      </c>
      <c r="E530" s="6"/>
      <c r="F530" s="6"/>
      <c r="G530" s="6"/>
      <c r="H530" s="6" t="str">
        <f t="shared" si="30"/>
        <v>()</v>
      </c>
      <c r="I530" s="6" t="s">
        <v>26</v>
      </c>
      <c r="J530" s="6"/>
      <c r="K530" s="6"/>
      <c r="L530" s="6" t="s">
        <v>55</v>
      </c>
      <c r="M530" s="6" t="str">
        <f>VLOOKUP(L530, GLOSSARY!$A:$C, 2, FALSE)</f>
        <v>EGYPT ESTATE</v>
      </c>
      <c r="N530" s="6" t="s">
        <v>287</v>
      </c>
      <c r="O530" s="6"/>
      <c r="P530" s="6"/>
      <c r="Q530" s="6"/>
      <c r="R530" s="6"/>
      <c r="S530" s="6"/>
      <c r="T530" s="6"/>
      <c r="U530" s="6"/>
      <c r="V530" s="6"/>
      <c r="W530" s="6"/>
      <c r="X530" s="6"/>
      <c r="Y530" s="6"/>
      <c r="Z530" s="6"/>
      <c r="AA530" s="6"/>
      <c r="AB530" s="6"/>
      <c r="AC530" s="6"/>
      <c r="AD530" s="6"/>
      <c r="AE530" s="6"/>
    </row>
    <row r="531" spans="1:31" ht="63.75" x14ac:dyDescent="0.2">
      <c r="A531" s="6" t="s">
        <v>3686</v>
      </c>
      <c r="B531" s="6" t="s">
        <v>3699</v>
      </c>
      <c r="C531" s="20" t="s">
        <v>3712</v>
      </c>
      <c r="D531" s="6" t="s">
        <v>3713</v>
      </c>
      <c r="E531" s="6"/>
      <c r="F531" s="6" t="s">
        <v>48</v>
      </c>
      <c r="G531" s="6" t="s">
        <v>50</v>
      </c>
      <c r="H531" s="6" t="str">
        <f t="shared" si="30"/>
        <v>THE OVERSEER(P43)</v>
      </c>
      <c r="I531" s="6" t="s">
        <v>533</v>
      </c>
      <c r="J531" s="6"/>
      <c r="K531" s="6"/>
      <c r="L531" s="6" t="s">
        <v>55</v>
      </c>
      <c r="M531" s="6" t="str">
        <f>VLOOKUP(L531, GLOSSARY!$A:$C, 2, FALSE)</f>
        <v>EGYPT ESTATE</v>
      </c>
      <c r="N531" s="6" t="s">
        <v>287</v>
      </c>
      <c r="O531" s="6"/>
      <c r="P531" s="6"/>
      <c r="Q531" s="6"/>
      <c r="R531" s="6"/>
      <c r="S531" s="6"/>
      <c r="T531" s="6"/>
      <c r="U531" s="6"/>
      <c r="V531" s="6"/>
      <c r="W531" s="6"/>
      <c r="X531" s="6"/>
      <c r="Y531" s="6"/>
      <c r="Z531" s="6"/>
      <c r="AA531" s="6"/>
      <c r="AB531" s="6"/>
      <c r="AC531" s="6"/>
      <c r="AD531" s="6"/>
      <c r="AE531" s="6"/>
    </row>
    <row r="532" spans="1:31" ht="25.5" x14ac:dyDescent="0.2">
      <c r="A532" s="6" t="s">
        <v>3695</v>
      </c>
      <c r="B532" s="6" t="s">
        <v>3707</v>
      </c>
      <c r="C532" s="20" t="s">
        <v>3712</v>
      </c>
      <c r="D532" s="6" t="s">
        <v>3714</v>
      </c>
      <c r="E532" s="6"/>
      <c r="F532" s="6"/>
      <c r="G532" s="6"/>
      <c r="H532" s="6" t="str">
        <f t="shared" si="30"/>
        <v>()</v>
      </c>
      <c r="I532" s="6" t="s">
        <v>26</v>
      </c>
      <c r="J532" s="6"/>
      <c r="K532" s="6"/>
      <c r="L532" s="6" t="s">
        <v>55</v>
      </c>
      <c r="M532" s="6" t="str">
        <f>VLOOKUP(L532, GLOSSARY!$A:$C, 2, FALSE)</f>
        <v>EGYPT ESTATE</v>
      </c>
      <c r="N532" s="6" t="s">
        <v>287</v>
      </c>
      <c r="O532" s="6"/>
      <c r="P532" s="6"/>
      <c r="Q532" s="6"/>
      <c r="R532" s="6"/>
      <c r="S532" s="6"/>
      <c r="T532" s="6"/>
      <c r="U532" s="6"/>
      <c r="V532" s="6"/>
      <c r="W532" s="6"/>
      <c r="X532" s="6"/>
      <c r="Y532" s="6"/>
      <c r="Z532" s="6"/>
      <c r="AA532" s="6"/>
      <c r="AB532" s="6"/>
      <c r="AC532" s="6"/>
      <c r="AD532" s="6"/>
      <c r="AE532" s="6"/>
    </row>
    <row r="533" spans="1:31" ht="25.5" x14ac:dyDescent="0.2">
      <c r="A533" s="6" t="s">
        <v>3695</v>
      </c>
      <c r="B533" s="6" t="s">
        <v>3715</v>
      </c>
      <c r="C533" s="20" t="s">
        <v>3716</v>
      </c>
      <c r="D533" s="6" t="s">
        <v>3717</v>
      </c>
      <c r="E533" s="6"/>
      <c r="F533" s="6" t="s">
        <v>779</v>
      </c>
      <c r="G533" s="6" t="s">
        <v>780</v>
      </c>
      <c r="H533" s="6" t="str">
        <f t="shared" si="30"/>
        <v>EGYPT FIELDHANDS(P315)</v>
      </c>
      <c r="I533" s="6" t="s">
        <v>248</v>
      </c>
      <c r="J533" s="6"/>
      <c r="K533" s="6"/>
      <c r="L533" s="6" t="s">
        <v>186</v>
      </c>
      <c r="M533" s="6" t="str">
        <f>VLOOKUP(L533, GLOSSARY!$A:$C, 2, FALSE)</f>
        <v xml:space="preserve">WILDERNESS </v>
      </c>
      <c r="N533" s="6" t="s">
        <v>287</v>
      </c>
      <c r="O533" s="6"/>
      <c r="P533" s="6"/>
      <c r="Q533" s="6"/>
      <c r="R533" s="6"/>
      <c r="S533" s="6"/>
      <c r="T533" s="6"/>
      <c r="U533" s="6"/>
      <c r="V533" s="6"/>
      <c r="W533" s="6"/>
      <c r="X533" s="6"/>
      <c r="Y533" s="6"/>
      <c r="Z533" s="6"/>
      <c r="AA533" s="6"/>
      <c r="AB533" s="6"/>
      <c r="AC533" s="6"/>
      <c r="AD533" s="6"/>
      <c r="AE533" s="6"/>
    </row>
    <row r="534" spans="1:31" ht="89.25" x14ac:dyDescent="0.2">
      <c r="A534" s="6" t="s">
        <v>3686</v>
      </c>
      <c r="B534" s="6" t="s">
        <v>3715</v>
      </c>
      <c r="C534" s="20" t="s">
        <v>3716</v>
      </c>
      <c r="D534" s="6" t="s">
        <v>3718</v>
      </c>
      <c r="E534" s="6"/>
      <c r="F534" s="6" t="s">
        <v>48</v>
      </c>
      <c r="G534" s="6" t="s">
        <v>50</v>
      </c>
      <c r="H534" s="6" t="str">
        <f t="shared" si="30"/>
        <v>THE OVERSEER(P43)</v>
      </c>
      <c r="I534" s="6" t="s">
        <v>533</v>
      </c>
      <c r="J534" s="6"/>
      <c r="K534" s="6"/>
      <c r="L534" s="6" t="s">
        <v>55</v>
      </c>
      <c r="M534" s="6" t="str">
        <f>VLOOKUP(L534, GLOSSARY!$A:$C, 2, FALSE)</f>
        <v>EGYPT ESTATE</v>
      </c>
      <c r="N534" s="6" t="s">
        <v>287</v>
      </c>
      <c r="O534" s="6"/>
      <c r="P534" s="6"/>
      <c r="Q534" s="6"/>
      <c r="R534" s="6"/>
      <c r="S534" s="6"/>
      <c r="T534" s="6"/>
      <c r="U534" s="6"/>
      <c r="V534" s="6"/>
      <c r="W534" s="6"/>
      <c r="X534" s="6"/>
      <c r="Y534" s="6"/>
      <c r="Z534" s="6"/>
      <c r="AA534" s="6"/>
      <c r="AB534" s="6"/>
      <c r="AC534" s="6"/>
      <c r="AD534" s="6"/>
      <c r="AE534" s="6"/>
    </row>
    <row r="535" spans="1:31" ht="38.25" x14ac:dyDescent="0.2">
      <c r="A535" s="6" t="s">
        <v>3695</v>
      </c>
      <c r="B535" s="6" t="s">
        <v>3707</v>
      </c>
      <c r="C535" s="20" t="s">
        <v>3716</v>
      </c>
      <c r="D535" s="6" t="s">
        <v>3719</v>
      </c>
      <c r="E535" s="6"/>
      <c r="F535" s="6"/>
      <c r="G535" s="6"/>
      <c r="H535" s="6" t="str">
        <f t="shared" si="30"/>
        <v>()</v>
      </c>
      <c r="I535" s="6" t="s">
        <v>26</v>
      </c>
      <c r="J535" s="6"/>
      <c r="K535" s="6"/>
      <c r="L535" s="6" t="s">
        <v>55</v>
      </c>
      <c r="M535" s="6" t="str">
        <f>VLOOKUP(L535, GLOSSARY!$A:$C, 2, FALSE)</f>
        <v>EGYPT ESTATE</v>
      </c>
      <c r="N535" s="6" t="s">
        <v>287</v>
      </c>
      <c r="O535" s="6"/>
      <c r="P535" s="6"/>
      <c r="Q535" s="6"/>
      <c r="R535" s="6"/>
      <c r="S535" s="6"/>
      <c r="T535" s="6"/>
      <c r="U535" s="6"/>
      <c r="V535" s="6"/>
      <c r="W535" s="6"/>
      <c r="X535" s="6"/>
      <c r="Y535" s="6"/>
      <c r="Z535" s="6"/>
      <c r="AA535" s="6"/>
      <c r="AB535" s="6"/>
      <c r="AC535" s="6"/>
      <c r="AD535" s="6"/>
      <c r="AE535" s="6"/>
    </row>
    <row r="536" spans="1:31" ht="102" x14ac:dyDescent="0.2">
      <c r="A536" s="6" t="s">
        <v>3686</v>
      </c>
      <c r="B536" s="6" t="s">
        <v>3720</v>
      </c>
      <c r="C536" s="20" t="s">
        <v>3721</v>
      </c>
      <c r="D536" s="6" t="s">
        <v>3722</v>
      </c>
      <c r="E536" s="6"/>
      <c r="F536" s="6" t="s">
        <v>48</v>
      </c>
      <c r="G536" s="6" t="s">
        <v>50</v>
      </c>
      <c r="H536" s="6" t="str">
        <f t="shared" si="30"/>
        <v>THE OVERSEER(P43)</v>
      </c>
      <c r="I536" s="6" t="s">
        <v>533</v>
      </c>
      <c r="J536" s="6"/>
      <c r="K536" s="6"/>
      <c r="L536" s="6" t="s">
        <v>55</v>
      </c>
      <c r="M536" s="6" t="str">
        <f>VLOOKUP(L536, GLOSSARY!$A:$C, 2, FALSE)</f>
        <v>EGYPT ESTATE</v>
      </c>
      <c r="N536" s="6"/>
      <c r="O536" s="6"/>
      <c r="P536" s="6"/>
      <c r="Q536" s="6"/>
      <c r="R536" s="6"/>
      <c r="S536" s="6"/>
      <c r="T536" s="6"/>
      <c r="U536" s="6"/>
      <c r="V536" s="6"/>
      <c r="W536" s="6"/>
      <c r="X536" s="6"/>
      <c r="Y536" s="6"/>
      <c r="Z536" s="6"/>
      <c r="AA536" s="6"/>
      <c r="AB536" s="6"/>
      <c r="AC536" s="6"/>
      <c r="AD536" s="6"/>
      <c r="AE536" s="6"/>
    </row>
    <row r="537" spans="1:31" ht="76.5" x14ac:dyDescent="0.2">
      <c r="A537" s="6" t="s">
        <v>3686</v>
      </c>
      <c r="B537" s="6" t="s">
        <v>3720</v>
      </c>
      <c r="C537" s="20" t="s">
        <v>3723</v>
      </c>
      <c r="D537" s="6" t="s">
        <v>3724</v>
      </c>
      <c r="E537" s="6"/>
      <c r="F537" s="6" t="s">
        <v>48</v>
      </c>
      <c r="G537" s="6" t="s">
        <v>50</v>
      </c>
      <c r="H537" s="6" t="str">
        <f t="shared" si="30"/>
        <v>THE OVERSEER(P43)</v>
      </c>
      <c r="I537" s="6" t="s">
        <v>533</v>
      </c>
      <c r="J537" s="6"/>
      <c r="K537" s="6"/>
      <c r="L537" s="6" t="s">
        <v>55</v>
      </c>
      <c r="M537" s="6" t="str">
        <f>VLOOKUP(L537, GLOSSARY!$A:$C, 2, FALSE)</f>
        <v>EGYPT ESTATE</v>
      </c>
      <c r="N537" s="6" t="s">
        <v>167</v>
      </c>
      <c r="O537" s="6"/>
      <c r="P537" s="6"/>
      <c r="Q537" s="6"/>
      <c r="R537" s="6"/>
      <c r="S537" s="6"/>
      <c r="T537" s="6"/>
      <c r="U537" s="6"/>
      <c r="V537" s="6"/>
      <c r="W537" s="6"/>
      <c r="X537" s="6"/>
      <c r="Y537" s="6"/>
      <c r="Z537" s="6"/>
      <c r="AA537" s="6"/>
      <c r="AB537" s="6"/>
      <c r="AC537" s="6"/>
      <c r="AD537" s="6"/>
      <c r="AE537" s="6"/>
    </row>
    <row r="538" spans="1:31" ht="76.5" x14ac:dyDescent="0.2">
      <c r="A538" s="6" t="s">
        <v>3686</v>
      </c>
      <c r="B538" s="6" t="s">
        <v>3725</v>
      </c>
      <c r="C538" s="20" t="s">
        <v>3726</v>
      </c>
      <c r="D538" s="6" t="s">
        <v>3727</v>
      </c>
      <c r="E538" s="6"/>
      <c r="F538" s="6" t="s">
        <v>48</v>
      </c>
      <c r="G538" s="6" t="s">
        <v>50</v>
      </c>
      <c r="H538" s="6" t="str">
        <f t="shared" si="30"/>
        <v>THE OVERSEER(P43)</v>
      </c>
      <c r="I538" s="6" t="s">
        <v>533</v>
      </c>
      <c r="J538" s="6"/>
      <c r="K538" s="6"/>
      <c r="L538" s="6" t="s">
        <v>55</v>
      </c>
      <c r="M538" s="6" t="str">
        <f>VLOOKUP(L538, GLOSSARY!$A:$C, 2, FALSE)</f>
        <v>EGYPT ESTATE</v>
      </c>
      <c r="N538" s="6" t="s">
        <v>287</v>
      </c>
      <c r="O538" s="6"/>
      <c r="P538" s="6"/>
      <c r="Q538" s="6"/>
      <c r="R538" s="6"/>
      <c r="S538" s="6"/>
      <c r="T538" s="6"/>
      <c r="U538" s="6"/>
      <c r="V538" s="6"/>
      <c r="W538" s="6"/>
      <c r="X538" s="6"/>
      <c r="Y538" s="6"/>
      <c r="Z538" s="6"/>
      <c r="AA538" s="6"/>
      <c r="AB538" s="6"/>
      <c r="AC538" s="6"/>
      <c r="AD538" s="6"/>
      <c r="AE538" s="6"/>
    </row>
    <row r="539" spans="1:31" ht="38.25" x14ac:dyDescent="0.2">
      <c r="A539" s="6" t="s">
        <v>3704</v>
      </c>
      <c r="B539" s="6" t="s">
        <v>3725</v>
      </c>
      <c r="C539" s="20" t="s">
        <v>3728</v>
      </c>
      <c r="D539" s="6" t="s">
        <v>3729</v>
      </c>
      <c r="E539" s="6"/>
      <c r="F539" s="6" t="s">
        <v>48</v>
      </c>
      <c r="G539" s="6" t="s">
        <v>50</v>
      </c>
      <c r="H539" s="6" t="str">
        <f t="shared" si="30"/>
        <v>THE OVERSEER(P43)</v>
      </c>
      <c r="I539" s="6" t="s">
        <v>533</v>
      </c>
      <c r="J539" s="6"/>
      <c r="K539" s="6"/>
      <c r="L539" s="6" t="s">
        <v>55</v>
      </c>
      <c r="M539" s="6" t="str">
        <f>VLOOKUP(L539, GLOSSARY!$A:$C, 2, FALSE)</f>
        <v>EGYPT ESTATE</v>
      </c>
      <c r="N539" s="6" t="s">
        <v>167</v>
      </c>
      <c r="O539" s="6"/>
      <c r="P539" s="6"/>
      <c r="Q539" s="6"/>
      <c r="R539" s="6"/>
      <c r="S539" s="6"/>
      <c r="T539" s="6"/>
      <c r="U539" s="6"/>
      <c r="V539" s="6"/>
      <c r="W539" s="6"/>
      <c r="X539" s="6"/>
      <c r="Y539" s="6"/>
      <c r="Z539" s="6"/>
      <c r="AA539" s="6"/>
      <c r="AB539" s="6"/>
      <c r="AC539" s="6"/>
      <c r="AD539" s="6"/>
      <c r="AE539" s="6"/>
    </row>
    <row r="540" spans="1:31" ht="63.75" x14ac:dyDescent="0.2">
      <c r="A540" s="6" t="s">
        <v>3686</v>
      </c>
      <c r="B540" s="6" t="s">
        <v>3725</v>
      </c>
      <c r="C540" s="20" t="s">
        <v>3730</v>
      </c>
      <c r="D540" s="6" t="s">
        <v>3731</v>
      </c>
      <c r="E540" s="6"/>
      <c r="F540" s="6" t="s">
        <v>48</v>
      </c>
      <c r="G540" s="6" t="s">
        <v>50</v>
      </c>
      <c r="H540" s="6" t="str">
        <f t="shared" si="30"/>
        <v>THE OVERSEER(P43)</v>
      </c>
      <c r="I540" s="6" t="s">
        <v>533</v>
      </c>
      <c r="J540" s="6"/>
      <c r="K540" s="6"/>
      <c r="L540" s="6" t="s">
        <v>55</v>
      </c>
      <c r="M540" s="6" t="str">
        <f>VLOOKUP(L540, GLOSSARY!$A:$C, 2, FALSE)</f>
        <v>EGYPT ESTATE</v>
      </c>
      <c r="N540" s="6" t="s">
        <v>167</v>
      </c>
      <c r="O540" s="6"/>
      <c r="P540" s="6"/>
      <c r="Q540" s="6"/>
      <c r="R540" s="6"/>
      <c r="S540" s="6"/>
      <c r="T540" s="6"/>
      <c r="U540" s="6"/>
      <c r="V540" s="6"/>
      <c r="W540" s="6"/>
      <c r="X540" s="6"/>
      <c r="Y540" s="6"/>
      <c r="Z540" s="6"/>
      <c r="AA540" s="6"/>
      <c r="AB540" s="6"/>
      <c r="AC540" s="6"/>
      <c r="AD540" s="6"/>
      <c r="AE540" s="6"/>
    </row>
    <row r="541" spans="1:31" ht="25.5" x14ac:dyDescent="0.2">
      <c r="A541" s="6" t="s">
        <v>3686</v>
      </c>
      <c r="B541" s="6" t="s">
        <v>3725</v>
      </c>
      <c r="C541" s="20" t="s">
        <v>3732</v>
      </c>
      <c r="D541" s="6" t="s">
        <v>3733</v>
      </c>
      <c r="E541" s="6"/>
      <c r="F541" s="6" t="s">
        <v>48</v>
      </c>
      <c r="G541" s="6" t="s">
        <v>50</v>
      </c>
      <c r="H541" s="6" t="str">
        <f t="shared" si="30"/>
        <v>THE OVERSEER(P43)</v>
      </c>
      <c r="I541" s="6" t="s">
        <v>533</v>
      </c>
      <c r="J541" s="6"/>
      <c r="K541" s="6"/>
      <c r="L541" s="6" t="s">
        <v>55</v>
      </c>
      <c r="M541" s="6" t="str">
        <f>VLOOKUP(L541, GLOSSARY!$A:$C, 2, FALSE)</f>
        <v>EGYPT ESTATE</v>
      </c>
      <c r="N541" s="6" t="s">
        <v>167</v>
      </c>
      <c r="O541" s="6"/>
      <c r="P541" s="6"/>
      <c r="Q541" s="6"/>
      <c r="R541" s="6"/>
      <c r="S541" s="6"/>
      <c r="T541" s="6"/>
      <c r="U541" s="6"/>
      <c r="V541" s="6"/>
      <c r="W541" s="6"/>
      <c r="X541" s="6"/>
      <c r="Y541" s="6"/>
      <c r="Z541" s="6"/>
      <c r="AA541" s="6"/>
      <c r="AB541" s="6"/>
      <c r="AC541" s="6"/>
      <c r="AD541" s="6"/>
      <c r="AE541" s="6"/>
    </row>
    <row r="542" spans="1:31" ht="25.5" x14ac:dyDescent="0.2">
      <c r="A542" s="6" t="s">
        <v>3686</v>
      </c>
      <c r="B542" s="6" t="s">
        <v>3725</v>
      </c>
      <c r="C542" s="20" t="s">
        <v>3734</v>
      </c>
      <c r="D542" s="6" t="s">
        <v>3735</v>
      </c>
      <c r="E542" s="6"/>
      <c r="F542" s="6" t="s">
        <v>48</v>
      </c>
      <c r="G542" s="6" t="s">
        <v>50</v>
      </c>
      <c r="H542" s="6" t="str">
        <f t="shared" si="30"/>
        <v>THE OVERSEER(P43)</v>
      </c>
      <c r="I542" s="6" t="s">
        <v>533</v>
      </c>
      <c r="J542" s="6"/>
      <c r="K542" s="6"/>
      <c r="L542" s="6" t="s">
        <v>55</v>
      </c>
      <c r="M542" s="6" t="str">
        <f>VLOOKUP(L542, GLOSSARY!$A:$C, 2, FALSE)</f>
        <v>EGYPT ESTATE</v>
      </c>
      <c r="N542" s="6" t="s">
        <v>167</v>
      </c>
      <c r="O542" s="6"/>
      <c r="P542" s="6"/>
      <c r="Q542" s="6"/>
      <c r="R542" s="6"/>
      <c r="S542" s="6"/>
      <c r="T542" s="6"/>
      <c r="U542" s="6"/>
      <c r="V542" s="6"/>
      <c r="W542" s="6"/>
      <c r="X542" s="6"/>
      <c r="Y542" s="6"/>
      <c r="Z542" s="6"/>
      <c r="AA542" s="6"/>
      <c r="AB542" s="6"/>
      <c r="AC542" s="6"/>
      <c r="AD542" s="6"/>
      <c r="AE542" s="6"/>
    </row>
    <row r="543" spans="1:31" ht="38.25" x14ac:dyDescent="0.2">
      <c r="A543" s="6" t="s">
        <v>3736</v>
      </c>
      <c r="B543" s="6" t="s">
        <v>3725</v>
      </c>
      <c r="C543" s="20" t="s">
        <v>3734</v>
      </c>
      <c r="D543" s="6" t="s">
        <v>3737</v>
      </c>
      <c r="E543" s="6"/>
      <c r="F543" s="6" t="s">
        <v>3738</v>
      </c>
      <c r="G543" s="6" t="s">
        <v>3739</v>
      </c>
      <c r="H543" s="6" t="str">
        <f t="shared" si="30"/>
        <v>THE OVERSEER
ACHILLES(P43
P192)</v>
      </c>
      <c r="I543" s="6" t="s">
        <v>112</v>
      </c>
      <c r="J543" s="6"/>
      <c r="K543" s="6"/>
      <c r="L543" s="6" t="s">
        <v>55</v>
      </c>
      <c r="M543" s="6" t="str">
        <f>VLOOKUP(L543, GLOSSARY!$A:$C, 2, FALSE)</f>
        <v>EGYPT ESTATE</v>
      </c>
      <c r="N543" s="6" t="s">
        <v>287</v>
      </c>
      <c r="O543" s="6"/>
      <c r="P543" s="6"/>
      <c r="Q543" s="6"/>
      <c r="R543" s="6"/>
      <c r="S543" s="6"/>
      <c r="T543" s="6"/>
      <c r="U543" s="6"/>
      <c r="V543" s="6"/>
      <c r="W543" s="6"/>
      <c r="X543" s="6"/>
      <c r="Y543" s="6"/>
      <c r="Z543" s="6"/>
      <c r="AA543" s="6"/>
      <c r="AB543" s="6"/>
      <c r="AC543" s="6"/>
      <c r="AD543" s="6"/>
      <c r="AE543" s="6"/>
    </row>
    <row r="544" spans="1:31" ht="38.25" x14ac:dyDescent="0.2">
      <c r="A544" s="6" t="s">
        <v>3686</v>
      </c>
      <c r="B544" s="6" t="s">
        <v>3740</v>
      </c>
      <c r="C544" s="20" t="s">
        <v>3741</v>
      </c>
      <c r="D544" s="6" t="s">
        <v>3742</v>
      </c>
      <c r="E544" s="6"/>
      <c r="F544" s="6" t="s">
        <v>1059</v>
      </c>
      <c r="G544" s="6" t="s">
        <v>1060</v>
      </c>
      <c r="H544" s="6" t="str">
        <f t="shared" si="30"/>
        <v>THE OVERSEER
PHIBBAH(P43
P7)</v>
      </c>
      <c r="I544" s="6" t="s">
        <v>409</v>
      </c>
      <c r="J544" s="6"/>
      <c r="K544" s="6"/>
      <c r="L544" s="6" t="s">
        <v>785</v>
      </c>
      <c r="M544" s="6" t="str">
        <f>VLOOKUP(L544, GLOSSARY!$A:$C, 2, FALSE)</f>
        <v>EGYPT ESTATE</v>
      </c>
      <c r="N544" s="6" t="s">
        <v>167</v>
      </c>
      <c r="O544" s="6"/>
      <c r="P544" s="6"/>
      <c r="Q544" s="6"/>
      <c r="R544" s="6"/>
      <c r="S544" s="6"/>
      <c r="T544" s="6"/>
      <c r="U544" s="6"/>
      <c r="V544" s="6"/>
      <c r="W544" s="6"/>
      <c r="X544" s="6"/>
      <c r="Y544" s="6"/>
      <c r="Z544" s="6"/>
      <c r="AA544" s="6"/>
      <c r="AB544" s="6"/>
      <c r="AC544" s="6"/>
      <c r="AD544" s="6"/>
      <c r="AE544" s="6"/>
    </row>
    <row r="545" spans="1:31" ht="25.5" x14ac:dyDescent="0.2">
      <c r="A545" s="6" t="s">
        <v>3686</v>
      </c>
      <c r="B545" s="6" t="s">
        <v>3740</v>
      </c>
      <c r="C545" s="20" t="s">
        <v>3743</v>
      </c>
      <c r="D545" s="6" t="s">
        <v>3744</v>
      </c>
      <c r="E545" s="6"/>
      <c r="F545" s="6" t="s">
        <v>48</v>
      </c>
      <c r="G545" s="6" t="s">
        <v>50</v>
      </c>
      <c r="H545" s="6" t="str">
        <f t="shared" si="30"/>
        <v>THE OVERSEER(P43)</v>
      </c>
      <c r="I545" s="6" t="s">
        <v>533</v>
      </c>
      <c r="J545" s="6"/>
      <c r="K545" s="6"/>
      <c r="L545" s="6" t="s">
        <v>55</v>
      </c>
      <c r="M545" s="6" t="str">
        <f>VLOOKUP(L545, GLOSSARY!$A:$C, 2, FALSE)</f>
        <v>EGYPT ESTATE</v>
      </c>
      <c r="N545" s="6" t="s">
        <v>167</v>
      </c>
      <c r="O545" s="6"/>
      <c r="P545" s="6"/>
      <c r="Q545" s="6"/>
      <c r="R545" s="6"/>
      <c r="S545" s="6"/>
      <c r="T545" s="6"/>
      <c r="U545" s="6"/>
      <c r="V545" s="6"/>
      <c r="W545" s="6"/>
      <c r="X545" s="6"/>
      <c r="Y545" s="6"/>
      <c r="Z545" s="6"/>
      <c r="AA545" s="6"/>
      <c r="AB545" s="6"/>
      <c r="AC545" s="6"/>
      <c r="AD545" s="6"/>
      <c r="AE545" s="6"/>
    </row>
    <row r="546" spans="1:31" ht="25.5" x14ac:dyDescent="0.2">
      <c r="A546" s="6" t="s">
        <v>3686</v>
      </c>
      <c r="B546" s="6" t="s">
        <v>3740</v>
      </c>
      <c r="C546" s="20" t="s">
        <v>3745</v>
      </c>
      <c r="D546" s="6" t="s">
        <v>3746</v>
      </c>
      <c r="E546" s="6"/>
      <c r="F546" s="6" t="s">
        <v>48</v>
      </c>
      <c r="G546" s="6" t="s">
        <v>50</v>
      </c>
      <c r="H546" s="6" t="str">
        <f t="shared" si="30"/>
        <v>THE OVERSEER(P43)</v>
      </c>
      <c r="I546" s="6" t="s">
        <v>533</v>
      </c>
      <c r="J546" s="6"/>
      <c r="K546" s="6"/>
      <c r="L546" s="6" t="s">
        <v>55</v>
      </c>
      <c r="M546" s="6" t="str">
        <f>VLOOKUP(L546, GLOSSARY!$A:$C, 2, FALSE)</f>
        <v>EGYPT ESTATE</v>
      </c>
      <c r="N546" s="6" t="s">
        <v>167</v>
      </c>
      <c r="O546" s="6"/>
      <c r="P546" s="6"/>
      <c r="Q546" s="6"/>
      <c r="R546" s="6"/>
      <c r="S546" s="6"/>
      <c r="T546" s="6"/>
      <c r="U546" s="6"/>
      <c r="V546" s="6"/>
      <c r="W546" s="6"/>
      <c r="X546" s="6"/>
      <c r="Y546" s="6"/>
      <c r="Z546" s="6"/>
      <c r="AA546" s="6"/>
      <c r="AB546" s="6"/>
      <c r="AC546" s="6"/>
      <c r="AD546" s="6"/>
      <c r="AE546" s="6"/>
    </row>
    <row r="547" spans="1:31" ht="76.5" x14ac:dyDescent="0.2">
      <c r="A547" s="6" t="s">
        <v>3747</v>
      </c>
      <c r="B547" s="6" t="s">
        <v>3748</v>
      </c>
      <c r="C547" s="20" t="s">
        <v>3749</v>
      </c>
      <c r="D547" s="6" t="s">
        <v>3750</v>
      </c>
      <c r="E547" s="6"/>
      <c r="F547" s="6" t="s">
        <v>779</v>
      </c>
      <c r="G547" s="6" t="s">
        <v>780</v>
      </c>
      <c r="H547" s="6" t="str">
        <f t="shared" si="30"/>
        <v>EGYPT FIELDHANDS(P315)</v>
      </c>
      <c r="I547" s="6" t="s">
        <v>26</v>
      </c>
      <c r="J547" s="6"/>
      <c r="K547" s="6"/>
      <c r="L547" s="6" t="s">
        <v>55</v>
      </c>
      <c r="M547" s="6" t="str">
        <f>VLOOKUP(L547, GLOSSARY!$A:$C, 2, FALSE)</f>
        <v>EGYPT ESTATE</v>
      </c>
      <c r="N547" s="6" t="s">
        <v>287</v>
      </c>
      <c r="O547" s="6"/>
      <c r="P547" s="6"/>
      <c r="Q547" s="6"/>
      <c r="R547" s="6"/>
      <c r="S547" s="6"/>
      <c r="T547" s="6"/>
      <c r="U547" s="6"/>
      <c r="V547" s="6"/>
      <c r="W547" s="6"/>
      <c r="X547" s="6"/>
      <c r="Y547" s="6"/>
      <c r="Z547" s="6"/>
      <c r="AA547" s="6"/>
      <c r="AB547" s="6"/>
      <c r="AC547" s="6"/>
      <c r="AD547" s="6"/>
      <c r="AE547" s="6"/>
    </row>
    <row r="548" spans="1:31" ht="51" x14ac:dyDescent="0.2">
      <c r="A548" s="6" t="s">
        <v>3751</v>
      </c>
      <c r="B548" s="6" t="s">
        <v>3752</v>
      </c>
      <c r="C548" s="20" t="s">
        <v>3749</v>
      </c>
      <c r="D548" s="6" t="s">
        <v>3753</v>
      </c>
      <c r="E548" s="6"/>
      <c r="F548" s="6" t="s">
        <v>3754</v>
      </c>
      <c r="G548" s="6" t="s">
        <v>3755</v>
      </c>
      <c r="H548" s="6" t="str">
        <f t="shared" si="30"/>
        <v>THE OVERSEER
EGYPT SUSANNAH(P43
P296)</v>
      </c>
      <c r="I548" s="6" t="s">
        <v>409</v>
      </c>
      <c r="J548" s="6"/>
      <c r="K548" s="6"/>
      <c r="L548" s="6" t="s">
        <v>55</v>
      </c>
      <c r="M548" s="6" t="str">
        <f>VLOOKUP(L548, GLOSSARY!$A:$C, 2, FALSE)</f>
        <v>EGYPT ESTATE</v>
      </c>
      <c r="N548" s="6" t="s">
        <v>68</v>
      </c>
      <c r="O548" s="6"/>
      <c r="P548" s="6"/>
      <c r="Q548" s="6"/>
      <c r="R548" s="6"/>
      <c r="S548" s="6"/>
      <c r="T548" s="6"/>
      <c r="U548" s="6"/>
      <c r="V548" s="6"/>
      <c r="W548" s="6"/>
      <c r="X548" s="6"/>
      <c r="Y548" s="6"/>
      <c r="Z548" s="6"/>
      <c r="AA548" s="6"/>
      <c r="AB548" s="6"/>
      <c r="AC548" s="6"/>
      <c r="AD548" s="6"/>
      <c r="AE548" s="6"/>
    </row>
    <row r="549" spans="1:31" ht="25.5" x14ac:dyDescent="0.2">
      <c r="A549" s="6" t="s">
        <v>3756</v>
      </c>
      <c r="B549" s="6" t="s">
        <v>3757</v>
      </c>
      <c r="C549" s="20" t="s">
        <v>3749</v>
      </c>
      <c r="D549" s="6" t="s">
        <v>3758</v>
      </c>
      <c r="E549" s="6"/>
      <c r="F549" s="6" t="s">
        <v>273</v>
      </c>
      <c r="G549" s="6" t="s">
        <v>272</v>
      </c>
      <c r="H549" s="6" t="str">
        <f t="shared" si="30"/>
        <v>MASON QUASHE(P25)</v>
      </c>
      <c r="I549" s="6" t="s">
        <v>784</v>
      </c>
      <c r="J549" s="6"/>
      <c r="K549" s="6"/>
      <c r="L549" s="6" t="s">
        <v>55</v>
      </c>
      <c r="M549" s="6" t="str">
        <f>VLOOKUP(L549, GLOSSARY!$A:$C, 2, FALSE)</f>
        <v>EGYPT ESTATE</v>
      </c>
      <c r="N549" s="6" t="s">
        <v>287</v>
      </c>
      <c r="O549" s="6"/>
      <c r="P549" s="6"/>
      <c r="Q549" s="6"/>
      <c r="R549" s="6"/>
      <c r="S549" s="6"/>
      <c r="T549" s="6"/>
      <c r="U549" s="6"/>
      <c r="V549" s="6"/>
      <c r="W549" s="6"/>
      <c r="X549" s="6"/>
      <c r="Y549" s="6"/>
      <c r="Z549" s="6"/>
      <c r="AA549" s="6"/>
      <c r="AB549" s="6"/>
      <c r="AC549" s="6"/>
      <c r="AD549" s="6"/>
      <c r="AE549" s="6"/>
    </row>
    <row r="550" spans="1:31" ht="12.75" x14ac:dyDescent="0.2">
      <c r="A550" s="6" t="s">
        <v>3759</v>
      </c>
      <c r="B550" s="6" t="s">
        <v>3757</v>
      </c>
      <c r="C550" s="20" t="s">
        <v>3749</v>
      </c>
      <c r="D550" s="6" t="s">
        <v>3760</v>
      </c>
      <c r="E550" s="6"/>
      <c r="F550" s="6" t="s">
        <v>1294</v>
      </c>
      <c r="G550" s="6" t="s">
        <v>1293</v>
      </c>
      <c r="H550" s="6" t="str">
        <f t="shared" si="30"/>
        <v>PLATO(P208)</v>
      </c>
      <c r="I550" s="6" t="s">
        <v>248</v>
      </c>
      <c r="J550" s="6"/>
      <c r="K550" s="6"/>
      <c r="L550" s="6" t="s">
        <v>55</v>
      </c>
      <c r="M550" s="6" t="str">
        <f>VLOOKUP(L550, GLOSSARY!$A:$C, 2, FALSE)</f>
        <v>EGYPT ESTATE</v>
      </c>
      <c r="N550" s="6" t="s">
        <v>68</v>
      </c>
      <c r="O550" s="6"/>
      <c r="P550" s="6"/>
      <c r="Q550" s="6"/>
      <c r="R550" s="6"/>
      <c r="S550" s="6"/>
      <c r="T550" s="6"/>
      <c r="U550" s="6"/>
      <c r="V550" s="6"/>
      <c r="W550" s="6"/>
      <c r="X550" s="6"/>
      <c r="Y550" s="6"/>
      <c r="Z550" s="6"/>
      <c r="AA550" s="6"/>
      <c r="AB550" s="6"/>
      <c r="AC550" s="6"/>
      <c r="AD550" s="6"/>
      <c r="AE550" s="6"/>
    </row>
    <row r="551" spans="1:31" ht="12.75" x14ac:dyDescent="0.2">
      <c r="A551" s="6" t="s">
        <v>3759</v>
      </c>
      <c r="B551" s="6" t="s">
        <v>3757</v>
      </c>
      <c r="C551" s="20" t="s">
        <v>3749</v>
      </c>
      <c r="D551" s="6" t="s">
        <v>3761</v>
      </c>
      <c r="E551" s="6"/>
      <c r="F551" s="6" t="s">
        <v>280</v>
      </c>
      <c r="G551" s="6" t="s">
        <v>137</v>
      </c>
      <c r="H551" s="6" t="str">
        <f t="shared" si="30"/>
        <v>WANGA(P27)</v>
      </c>
      <c r="I551" s="6" t="s">
        <v>656</v>
      </c>
      <c r="J551" s="6"/>
      <c r="K551" s="6"/>
      <c r="L551" s="6" t="s">
        <v>657</v>
      </c>
      <c r="M551" s="6" t="str">
        <f>VLOOKUP(L551, GLOSSARY!$A:$C, 2, FALSE)</f>
        <v>UNKNOWN</v>
      </c>
      <c r="N551" s="6" t="s">
        <v>287</v>
      </c>
      <c r="O551" s="6"/>
      <c r="P551" s="6"/>
      <c r="Q551" s="6"/>
      <c r="R551" s="6"/>
      <c r="S551" s="6"/>
      <c r="T551" s="6"/>
      <c r="U551" s="6"/>
      <c r="V551" s="6"/>
      <c r="W551" s="6"/>
      <c r="X551" s="6"/>
      <c r="Y551" s="6"/>
      <c r="Z551" s="6"/>
      <c r="AA551" s="6"/>
      <c r="AB551" s="6"/>
      <c r="AC551" s="6"/>
      <c r="AD551" s="6"/>
      <c r="AE551" s="6"/>
    </row>
    <row r="552" spans="1:31" ht="25.5" x14ac:dyDescent="0.2">
      <c r="A552" s="6" t="s">
        <v>3686</v>
      </c>
      <c r="B552" s="6" t="s">
        <v>3757</v>
      </c>
      <c r="C552" s="20" t="s">
        <v>3762</v>
      </c>
      <c r="D552" s="6" t="s">
        <v>3763</v>
      </c>
      <c r="E552" s="6"/>
      <c r="F552" s="6" t="s">
        <v>1059</v>
      </c>
      <c r="G552" s="6" t="s">
        <v>1060</v>
      </c>
      <c r="H552" s="6" t="s">
        <v>3764</v>
      </c>
      <c r="I552" s="6" t="s">
        <v>409</v>
      </c>
      <c r="J552" s="6"/>
      <c r="K552" s="6"/>
      <c r="L552" s="6"/>
      <c r="M552" s="6"/>
      <c r="N552" s="6"/>
      <c r="O552" s="6"/>
      <c r="P552" s="6"/>
      <c r="Q552" s="6"/>
      <c r="R552" s="6"/>
      <c r="S552" s="6"/>
      <c r="T552" s="6"/>
      <c r="U552" s="6"/>
      <c r="V552" s="6"/>
      <c r="W552" s="6"/>
      <c r="X552" s="6"/>
      <c r="Y552" s="6"/>
      <c r="Z552" s="6"/>
      <c r="AA552" s="6"/>
      <c r="AB552" s="6"/>
      <c r="AC552" s="6"/>
      <c r="AD552" s="6"/>
      <c r="AE552" s="6"/>
    </row>
    <row r="553" spans="1:31" ht="51" x14ac:dyDescent="0.2">
      <c r="A553" s="6" t="s">
        <v>3765</v>
      </c>
      <c r="B553" s="6" t="s">
        <v>3757</v>
      </c>
      <c r="C553" s="20" t="s">
        <v>3766</v>
      </c>
      <c r="D553" s="6" t="s">
        <v>3767</v>
      </c>
      <c r="E553" s="6"/>
      <c r="F553" s="6" t="s">
        <v>3768</v>
      </c>
      <c r="G553" s="6" t="s">
        <v>3769</v>
      </c>
      <c r="H553" s="6" t="str">
        <f t="shared" ref="H553:H558" si="31">CONCATENATE(F553,"(",G553,")")</f>
        <v>THE OVERSEER
ROSANNA(P43
P115)</v>
      </c>
      <c r="I553" s="6" t="s">
        <v>409</v>
      </c>
      <c r="J553" s="6"/>
      <c r="K553" s="6"/>
      <c r="L553" s="6" t="s">
        <v>55</v>
      </c>
      <c r="M553" s="6" t="str">
        <f>VLOOKUP(L553, GLOSSARY!$A:$C, 2, FALSE)</f>
        <v>EGYPT ESTATE</v>
      </c>
      <c r="N553" s="6" t="s">
        <v>68</v>
      </c>
      <c r="O553" s="6"/>
      <c r="P553" s="6"/>
      <c r="Q553" s="6"/>
      <c r="R553" s="6"/>
      <c r="S553" s="6"/>
      <c r="T553" s="6"/>
      <c r="U553" s="6"/>
      <c r="V553" s="6"/>
      <c r="W553" s="6"/>
      <c r="X553" s="6"/>
      <c r="Y553" s="6"/>
      <c r="Z553" s="6"/>
      <c r="AA553" s="6"/>
      <c r="AB553" s="6"/>
      <c r="AC553" s="6"/>
      <c r="AD553" s="6"/>
      <c r="AE553" s="6"/>
    </row>
    <row r="554" spans="1:31" ht="127.5" x14ac:dyDescent="0.2">
      <c r="A554" s="6" t="s">
        <v>3642</v>
      </c>
      <c r="B554" s="6" t="s">
        <v>3770</v>
      </c>
      <c r="C554" s="20" t="s">
        <v>3771</v>
      </c>
      <c r="D554" s="6" t="s">
        <v>3772</v>
      </c>
      <c r="E554" s="6"/>
      <c r="F554" s="6" t="s">
        <v>3773</v>
      </c>
      <c r="G554" s="6" t="s">
        <v>3774</v>
      </c>
      <c r="H554" s="6" t="str">
        <f t="shared" si="31"/>
        <v>AMBO
QUACOO
HAZAT [MR. MOULD'S] 
COFFEE
PLATO
LONDON(P170
P298
P353
P208
P249)</v>
      </c>
      <c r="I554" s="6" t="s">
        <v>656</v>
      </c>
      <c r="J554" s="6"/>
      <c r="K554" s="6"/>
      <c r="L554" s="6" t="s">
        <v>657</v>
      </c>
      <c r="M554" s="6" t="str">
        <f>VLOOKUP(L554, GLOSSARY!$A:$C, 2, FALSE)</f>
        <v>UNKNOWN</v>
      </c>
      <c r="N554" s="6" t="s">
        <v>287</v>
      </c>
      <c r="O554" s="6"/>
      <c r="P554" s="6"/>
      <c r="Q554" s="6"/>
      <c r="R554" s="6"/>
      <c r="S554" s="6"/>
      <c r="T554" s="6"/>
      <c r="U554" s="6"/>
      <c r="V554" s="6"/>
      <c r="W554" s="6"/>
      <c r="X554" s="6"/>
      <c r="Y554" s="6"/>
      <c r="Z554" s="6"/>
      <c r="AA554" s="6"/>
      <c r="AB554" s="6"/>
      <c r="AC554" s="6"/>
      <c r="AD554" s="6"/>
      <c r="AE554" s="6"/>
    </row>
    <row r="555" spans="1:31" ht="12.75" x14ac:dyDescent="0.2">
      <c r="A555" s="6" t="s">
        <v>3775</v>
      </c>
      <c r="B555" s="6" t="s">
        <v>3776</v>
      </c>
      <c r="C555" s="20" t="s">
        <v>3771</v>
      </c>
      <c r="D555" s="6" t="s">
        <v>3777</v>
      </c>
      <c r="E555" s="6"/>
      <c r="F555" s="6" t="s">
        <v>653</v>
      </c>
      <c r="G555" s="6" t="s">
        <v>651</v>
      </c>
      <c r="H555" s="6" t="str">
        <f t="shared" si="31"/>
        <v>BACCHUS(P89)</v>
      </c>
      <c r="I555" s="6" t="s">
        <v>656</v>
      </c>
      <c r="J555" s="6"/>
      <c r="K555" s="6"/>
      <c r="L555" s="6" t="s">
        <v>657</v>
      </c>
      <c r="M555" s="6" t="str">
        <f>VLOOKUP(L555, GLOSSARY!$A:$C, 2, FALSE)</f>
        <v>UNKNOWN</v>
      </c>
      <c r="N555" s="6" t="s">
        <v>68</v>
      </c>
      <c r="O555" s="6"/>
      <c r="P555" s="6"/>
      <c r="Q555" s="6"/>
      <c r="R555" s="6"/>
      <c r="S555" s="6"/>
      <c r="T555" s="6"/>
      <c r="U555" s="6"/>
      <c r="V555" s="6"/>
      <c r="W555" s="6"/>
      <c r="X555" s="6"/>
      <c r="Y555" s="6"/>
      <c r="Z555" s="6"/>
      <c r="AA555" s="6"/>
      <c r="AB555" s="6"/>
      <c r="AC555" s="6"/>
      <c r="AD555" s="6"/>
      <c r="AE555" s="6"/>
    </row>
    <row r="556" spans="1:31" ht="178.5" x14ac:dyDescent="0.2">
      <c r="A556" s="6" t="s">
        <v>3642</v>
      </c>
      <c r="B556" s="6" t="s">
        <v>3776</v>
      </c>
      <c r="C556" s="20" t="s">
        <v>3778</v>
      </c>
      <c r="D556" s="6" t="s">
        <v>3779</v>
      </c>
      <c r="E556" s="6"/>
      <c r="F556" s="6" t="s">
        <v>3780</v>
      </c>
      <c r="G556" s="6" t="s">
        <v>3781</v>
      </c>
      <c r="H556" s="6" t="str">
        <f t="shared" si="31"/>
        <v>PLATO
LONDON
COFFEE
HAZAT [MR. MOULD'S] 
QUACOO
AMBO
JOHN COPE
THE OVERSEER(P170
P298
P353
P208
P249
P43
P44)</v>
      </c>
      <c r="I556" s="6" t="s">
        <v>656</v>
      </c>
      <c r="J556" s="6"/>
      <c r="K556" s="6"/>
      <c r="L556" s="6" t="s">
        <v>914</v>
      </c>
      <c r="M556" s="6" t="str">
        <f>VLOOKUP(L556, GLOSSARY!$A:$C, 2, FALSE)</f>
        <v>EGYPT ESTATE NEGROE HOUSES</v>
      </c>
      <c r="N556" s="51" t="s">
        <v>287</v>
      </c>
      <c r="O556" s="6"/>
      <c r="P556" s="6"/>
      <c r="Q556" s="6"/>
      <c r="R556" s="6"/>
      <c r="S556" s="6"/>
      <c r="T556" s="6"/>
      <c r="U556" s="6"/>
      <c r="V556" s="6"/>
      <c r="W556" s="6"/>
      <c r="X556" s="6"/>
      <c r="Y556" s="6"/>
      <c r="Z556" s="6"/>
      <c r="AA556" s="6"/>
      <c r="AB556" s="6"/>
      <c r="AC556" s="6"/>
      <c r="AD556" s="6"/>
      <c r="AE556" s="6"/>
    </row>
    <row r="557" spans="1:31" ht="114.75" x14ac:dyDescent="0.2">
      <c r="A557" s="6" t="s">
        <v>3686</v>
      </c>
      <c r="B557" s="6" t="s">
        <v>3776</v>
      </c>
      <c r="C557" s="20" t="s">
        <v>3778</v>
      </c>
      <c r="D557" s="6" t="s">
        <v>3782</v>
      </c>
      <c r="E557" s="6"/>
      <c r="F557" s="6" t="s">
        <v>48</v>
      </c>
      <c r="G557" s="6" t="s">
        <v>50</v>
      </c>
      <c r="H557" s="6" t="str">
        <f t="shared" si="31"/>
        <v>THE OVERSEER(P43)</v>
      </c>
      <c r="I557" s="6" t="s">
        <v>533</v>
      </c>
      <c r="J557" s="6"/>
      <c r="K557" s="6"/>
      <c r="L557" s="6" t="s">
        <v>55</v>
      </c>
      <c r="M557" s="6" t="str">
        <f>VLOOKUP(L557, GLOSSARY!$A:$C, 2, FALSE)</f>
        <v>EGYPT ESTATE</v>
      </c>
      <c r="N557" s="6" t="s">
        <v>287</v>
      </c>
      <c r="O557" s="6"/>
      <c r="P557" s="6"/>
      <c r="Q557" s="6"/>
      <c r="R557" s="6"/>
      <c r="S557" s="6"/>
      <c r="T557" s="6"/>
      <c r="U557" s="6"/>
      <c r="V557" s="6"/>
      <c r="W557" s="6"/>
      <c r="X557" s="6"/>
      <c r="Y557" s="6"/>
      <c r="Z557" s="6"/>
      <c r="AA557" s="6"/>
      <c r="AB557" s="6"/>
      <c r="AC557" s="6"/>
      <c r="AD557" s="6"/>
      <c r="AE557" s="6"/>
    </row>
    <row r="558" spans="1:31" ht="63.75" x14ac:dyDescent="0.2">
      <c r="A558" s="6" t="s">
        <v>3775</v>
      </c>
      <c r="B558" s="6" t="s">
        <v>3783</v>
      </c>
      <c r="C558" s="20" t="s">
        <v>3778</v>
      </c>
      <c r="D558" s="6" t="s">
        <v>3784</v>
      </c>
      <c r="E558" s="6"/>
      <c r="F558" s="6" t="s">
        <v>3785</v>
      </c>
      <c r="G558" s="6" t="s">
        <v>3786</v>
      </c>
      <c r="H558" s="6" t="str">
        <f t="shared" si="31"/>
        <v>MR. HUNGERFORD
BACCHUS
THE OVERSEER(P111
P89
P43)</v>
      </c>
      <c r="I558" s="6" t="s">
        <v>112</v>
      </c>
      <c r="J558" s="6"/>
      <c r="K558" s="6"/>
      <c r="L558" s="6" t="s">
        <v>55</v>
      </c>
      <c r="M558" s="6" t="str">
        <f>VLOOKUP(L558, GLOSSARY!$A:$C, 2, FALSE)</f>
        <v>EGYPT ESTATE</v>
      </c>
      <c r="N558" s="6" t="s">
        <v>68</v>
      </c>
      <c r="O558" s="6"/>
      <c r="P558" s="6"/>
      <c r="Q558" s="6"/>
      <c r="R558" s="6"/>
      <c r="S558" s="6"/>
      <c r="T558" s="6"/>
      <c r="U558" s="6"/>
      <c r="V558" s="6"/>
      <c r="W558" s="6"/>
      <c r="X558" s="6"/>
      <c r="Y558" s="6"/>
      <c r="Z558" s="6"/>
      <c r="AA558" s="6"/>
      <c r="AB558" s="6"/>
      <c r="AC558" s="6"/>
      <c r="AD558" s="6"/>
      <c r="AE558" s="6"/>
    </row>
    <row r="559" spans="1:31" ht="51" x14ac:dyDescent="0.2">
      <c r="A559" s="6" t="s">
        <v>3787</v>
      </c>
      <c r="B559" s="6" t="s">
        <v>3776</v>
      </c>
      <c r="C559" s="20" t="s">
        <v>3778</v>
      </c>
      <c r="D559" s="6" t="s">
        <v>3788</v>
      </c>
      <c r="E559" s="6"/>
      <c r="F559" s="6" t="s">
        <v>779</v>
      </c>
      <c r="G559" s="6" t="s">
        <v>780</v>
      </c>
      <c r="H559" s="6" t="s">
        <v>3789</v>
      </c>
      <c r="I559" s="6" t="s">
        <v>784</v>
      </c>
      <c r="J559" s="6"/>
      <c r="K559" s="6"/>
      <c r="L559" s="6" t="s">
        <v>2849</v>
      </c>
      <c r="M559" s="6" t="str">
        <f>VLOOKUP(L559, GLOSSARY!$A:$C, 2, FALSE)</f>
        <v>EGYPT POTATO PIECE</v>
      </c>
      <c r="N559" s="6" t="s">
        <v>167</v>
      </c>
      <c r="O559" s="6"/>
      <c r="P559" s="6"/>
      <c r="Q559" s="6"/>
      <c r="R559" s="6"/>
      <c r="S559" s="6"/>
      <c r="T559" s="6"/>
      <c r="U559" s="6"/>
      <c r="V559" s="6"/>
      <c r="W559" s="6"/>
      <c r="X559" s="6"/>
      <c r="Y559" s="6"/>
      <c r="Z559" s="6"/>
      <c r="AA559" s="6"/>
      <c r="AB559" s="6"/>
      <c r="AC559" s="6"/>
      <c r="AD559" s="6"/>
      <c r="AE559" s="6"/>
    </row>
    <row r="560" spans="1:31" ht="63.75" x14ac:dyDescent="0.2">
      <c r="A560" s="6" t="s">
        <v>3695</v>
      </c>
      <c r="B560" s="6" t="s">
        <v>3776</v>
      </c>
      <c r="C560" s="20" t="s">
        <v>3793</v>
      </c>
      <c r="D560" s="6" t="s">
        <v>3795</v>
      </c>
      <c r="E560" s="6"/>
      <c r="F560" s="6" t="s">
        <v>779</v>
      </c>
      <c r="G560" s="6" t="s">
        <v>780</v>
      </c>
      <c r="H560" s="6" t="str">
        <f t="shared" ref="H560:H572" si="32">CONCATENATE(F560,"(",G560,")")</f>
        <v>EGYPT FIELDHANDS(P315)</v>
      </c>
      <c r="I560" s="6" t="s">
        <v>784</v>
      </c>
      <c r="J560" s="6"/>
      <c r="K560" s="6"/>
      <c r="L560" s="6" t="s">
        <v>2849</v>
      </c>
      <c r="M560" s="6" t="str">
        <f>VLOOKUP(L560, GLOSSARY!$A:$C, 2, FALSE)</f>
        <v>EGYPT POTATO PIECE</v>
      </c>
      <c r="N560" s="6" t="s">
        <v>68</v>
      </c>
      <c r="O560" s="6"/>
      <c r="P560" s="6"/>
      <c r="Q560" s="6"/>
      <c r="R560" s="6"/>
      <c r="S560" s="6"/>
      <c r="T560" s="6"/>
      <c r="U560" s="6"/>
      <c r="V560" s="6"/>
      <c r="W560" s="6"/>
      <c r="X560" s="6"/>
      <c r="Y560" s="6"/>
      <c r="Z560" s="6"/>
      <c r="AA560" s="6"/>
      <c r="AB560" s="6"/>
      <c r="AC560" s="6"/>
      <c r="AD560" s="6"/>
      <c r="AE560" s="6"/>
    </row>
    <row r="561" spans="1:31" ht="102" x14ac:dyDescent="0.2">
      <c r="A561" s="6" t="s">
        <v>3695</v>
      </c>
      <c r="B561" s="6" t="s">
        <v>3776</v>
      </c>
      <c r="C561" s="20" t="s">
        <v>3793</v>
      </c>
      <c r="D561" s="6" t="s">
        <v>3798</v>
      </c>
      <c r="E561" s="6"/>
      <c r="F561" s="6" t="s">
        <v>3799</v>
      </c>
      <c r="G561" s="6" t="s">
        <v>3800</v>
      </c>
      <c r="H561" s="6" t="str">
        <f t="shared" si="32"/>
        <v>THE OVERSEER
CYRUS
PERO
PORT ROYAL(P43
P210
P336
P212
)</v>
      </c>
      <c r="I561" s="6" t="s">
        <v>112</v>
      </c>
      <c r="J561" s="6"/>
      <c r="K561" s="6"/>
      <c r="L561" s="6" t="s">
        <v>55</v>
      </c>
      <c r="M561" s="6" t="str">
        <f>VLOOKUP(L561, GLOSSARY!$A:$C, 2, FALSE)</f>
        <v>EGYPT ESTATE</v>
      </c>
      <c r="N561" s="6" t="s">
        <v>68</v>
      </c>
      <c r="O561" s="6"/>
      <c r="P561" s="6"/>
      <c r="Q561" s="6"/>
      <c r="R561" s="6"/>
      <c r="S561" s="6"/>
      <c r="T561" s="6"/>
      <c r="U561" s="6"/>
      <c r="V561" s="6"/>
      <c r="W561" s="6"/>
      <c r="X561" s="6"/>
      <c r="Y561" s="6"/>
      <c r="Z561" s="6"/>
      <c r="AA561" s="6"/>
      <c r="AB561" s="6"/>
      <c r="AC561" s="6"/>
      <c r="AD561" s="6"/>
      <c r="AE561" s="6"/>
    </row>
    <row r="562" spans="1:31" ht="127.5" x14ac:dyDescent="0.2">
      <c r="A562" s="6" t="s">
        <v>3642</v>
      </c>
      <c r="B562" s="6" t="s">
        <v>3802</v>
      </c>
      <c r="C562" s="20" t="s">
        <v>3804</v>
      </c>
      <c r="D562" s="6" t="s">
        <v>3806</v>
      </c>
      <c r="E562" s="6"/>
      <c r="F562" s="6" t="s">
        <v>3807</v>
      </c>
      <c r="G562" s="6" t="s">
        <v>3808</v>
      </c>
      <c r="H562" s="6" t="str">
        <f t="shared" si="32"/>
        <v>PLATO
LONDON
COFFEE
QUACOO
HAZAT [MR. MOULD'S]
(P208
P249
P353
P298
P424)</v>
      </c>
      <c r="I562" s="6" t="s">
        <v>656</v>
      </c>
      <c r="J562" s="6"/>
      <c r="K562" s="6"/>
      <c r="L562" s="6" t="s">
        <v>657</v>
      </c>
      <c r="M562" s="6" t="str">
        <f>VLOOKUP(L562, GLOSSARY!$A:$C, 2, FALSE)</f>
        <v>UNKNOWN</v>
      </c>
      <c r="N562" s="6" t="s">
        <v>287</v>
      </c>
      <c r="O562" s="6"/>
      <c r="P562" s="6"/>
      <c r="Q562" s="6"/>
      <c r="R562" s="6"/>
      <c r="S562" s="6"/>
      <c r="T562" s="6"/>
      <c r="U562" s="6"/>
      <c r="V562" s="6"/>
      <c r="W562" s="6"/>
      <c r="X562" s="6"/>
      <c r="Y562" s="6"/>
      <c r="Z562" s="6"/>
      <c r="AA562" s="6"/>
      <c r="AB562" s="6"/>
      <c r="AC562" s="6"/>
      <c r="AD562" s="6"/>
      <c r="AE562" s="6"/>
    </row>
    <row r="563" spans="1:31" ht="178.5" x14ac:dyDescent="0.2">
      <c r="A563" s="6" t="s">
        <v>3642</v>
      </c>
      <c r="B563" s="6" t="s">
        <v>3811</v>
      </c>
      <c r="C563" s="20" t="s">
        <v>3812</v>
      </c>
      <c r="D563" s="6" t="s">
        <v>3813</v>
      </c>
      <c r="E563" s="6"/>
      <c r="F563" s="6" t="s">
        <v>3814</v>
      </c>
      <c r="G563" s="6" t="s">
        <v>3815</v>
      </c>
      <c r="H563" s="6" t="str">
        <f t="shared" si="32"/>
        <v>CHARLES
QUACOO
HAZAT [MR. MOULD'S]
LITTLE QUASHE [EGYPT DRIVER]
LONDON
PLATO
COFFEE(P302
P298
P424
P359
P249
P208
P353)</v>
      </c>
      <c r="I563" s="6" t="s">
        <v>656</v>
      </c>
      <c r="J563" s="6"/>
      <c r="K563" s="6"/>
      <c r="L563" s="6" t="s">
        <v>657</v>
      </c>
      <c r="M563" s="6" t="str">
        <f>VLOOKUP(L563, GLOSSARY!$A:$C, 2, FALSE)</f>
        <v>UNKNOWN</v>
      </c>
      <c r="N563" s="6" t="s">
        <v>287</v>
      </c>
      <c r="O563" s="6"/>
      <c r="P563" s="6"/>
      <c r="Q563" s="6"/>
      <c r="R563" s="6"/>
      <c r="S563" s="6"/>
      <c r="T563" s="6"/>
      <c r="U563" s="6"/>
      <c r="V563" s="6"/>
      <c r="W563" s="6"/>
      <c r="X563" s="6"/>
      <c r="Y563" s="6"/>
      <c r="Z563" s="6"/>
      <c r="AA563" s="6"/>
      <c r="AB563" s="6"/>
      <c r="AC563" s="6"/>
      <c r="AD563" s="6"/>
      <c r="AE563" s="6"/>
    </row>
    <row r="564" spans="1:31" ht="38.25" x14ac:dyDescent="0.2">
      <c r="A564" s="6" t="s">
        <v>3940</v>
      </c>
      <c r="B564" s="6" t="s">
        <v>3941</v>
      </c>
      <c r="C564" s="20" t="s">
        <v>3942</v>
      </c>
      <c r="D564" s="6" t="s">
        <v>3943</v>
      </c>
      <c r="E564" s="6"/>
      <c r="F564" s="6" t="s">
        <v>3944</v>
      </c>
      <c r="G564" s="6" t="s">
        <v>3945</v>
      </c>
      <c r="H564" s="6" t="str">
        <f t="shared" si="32"/>
        <v>JENNY
THE OVERSEER(P104
P43)</v>
      </c>
      <c r="I564" s="6" t="s">
        <v>784</v>
      </c>
      <c r="J564" s="6"/>
      <c r="K564" s="6"/>
      <c r="L564" s="6" t="s">
        <v>55</v>
      </c>
      <c r="M564" s="6" t="str">
        <f>VLOOKUP(L564, GLOSSARY!$A:$C, 2, FALSE)</f>
        <v>EGYPT ESTATE</v>
      </c>
      <c r="N564" s="6" t="s">
        <v>68</v>
      </c>
      <c r="O564" s="6"/>
      <c r="P564" s="6"/>
      <c r="Q564" s="6"/>
      <c r="R564" s="6"/>
      <c r="S564" s="6"/>
      <c r="T564" s="6"/>
      <c r="U564" s="6"/>
      <c r="V564" s="6"/>
      <c r="W564" s="6"/>
      <c r="X564" s="6"/>
      <c r="Y564" s="6"/>
      <c r="Z564" s="6"/>
      <c r="AA564" s="6"/>
      <c r="AB564" s="6"/>
      <c r="AC564" s="6"/>
      <c r="AD564" s="6"/>
      <c r="AE564" s="6"/>
    </row>
    <row r="565" spans="1:31" ht="165.75" x14ac:dyDescent="0.2">
      <c r="A565" s="6" t="s">
        <v>3642</v>
      </c>
      <c r="B565" s="6" t="s">
        <v>3941</v>
      </c>
      <c r="C565" s="20" t="s">
        <v>3942</v>
      </c>
      <c r="D565" s="6" t="s">
        <v>3946</v>
      </c>
      <c r="E565" s="6"/>
      <c r="F565" s="6" t="s">
        <v>3947</v>
      </c>
      <c r="G565" s="6" t="s">
        <v>3948</v>
      </c>
      <c r="H565" s="6" t="str">
        <f t="shared" si="32"/>
        <v>PLATO
LONDON
COFFEE
QUACOO
HAZAT [MR. MOULD'S]
DANIEL
(P208
P249
P353
P298
P424
P42)</v>
      </c>
      <c r="I565" s="6" t="s">
        <v>656</v>
      </c>
      <c r="J565" s="6"/>
      <c r="K565" s="6"/>
      <c r="L565" s="6" t="s">
        <v>55</v>
      </c>
      <c r="M565" s="6" t="str">
        <f>VLOOKUP(L565, GLOSSARY!$A:$C, 2, FALSE)</f>
        <v>EGYPT ESTATE</v>
      </c>
      <c r="N565" s="6" t="s">
        <v>167</v>
      </c>
      <c r="O565" s="6"/>
      <c r="P565" s="6"/>
      <c r="Q565" s="6"/>
      <c r="R565" s="6"/>
      <c r="S565" s="6"/>
      <c r="T565" s="6"/>
      <c r="U565" s="6"/>
      <c r="V565" s="6"/>
      <c r="W565" s="6"/>
      <c r="X565" s="6"/>
      <c r="Y565" s="6"/>
      <c r="Z565" s="6"/>
      <c r="AA565" s="6"/>
      <c r="AB565" s="6"/>
      <c r="AC565" s="6"/>
      <c r="AD565" s="6"/>
      <c r="AE565" s="6"/>
    </row>
    <row r="566" spans="1:31" ht="127.5" x14ac:dyDescent="0.2">
      <c r="A566" s="6" t="s">
        <v>3759</v>
      </c>
      <c r="B566" s="6" t="s">
        <v>3811</v>
      </c>
      <c r="C566" s="20" t="s">
        <v>3942</v>
      </c>
      <c r="D566" s="6" t="s">
        <v>3949</v>
      </c>
      <c r="E566" s="6"/>
      <c r="F566" s="6" t="s">
        <v>3950</v>
      </c>
      <c r="G566" s="6" t="s">
        <v>3951</v>
      </c>
      <c r="H566" s="6" t="str">
        <f t="shared" si="32"/>
        <v>JACKIE
JOHNIE
JOB
WANGA
ACHILLES
CUKOR(P102
P84
P29
P192
P110)</v>
      </c>
      <c r="I566" s="6" t="s">
        <v>784</v>
      </c>
      <c r="J566" s="6"/>
      <c r="K566" s="6"/>
      <c r="L566" s="6" t="s">
        <v>55</v>
      </c>
      <c r="M566" s="6" t="str">
        <f>VLOOKUP(L566, GLOSSARY!$A:$C, 2, FALSE)</f>
        <v>EGYPT ESTATE</v>
      </c>
      <c r="N566" s="6" t="s">
        <v>476</v>
      </c>
      <c r="O566" s="6"/>
      <c r="P566" s="6"/>
      <c r="Q566" s="6"/>
      <c r="R566" s="6"/>
      <c r="S566" s="6"/>
      <c r="T566" s="6"/>
      <c r="U566" s="6"/>
      <c r="V566" s="6"/>
      <c r="W566" s="6"/>
      <c r="X566" s="6"/>
      <c r="Y566" s="6"/>
      <c r="Z566" s="6"/>
      <c r="AA566" s="6"/>
      <c r="AB566" s="6"/>
      <c r="AC566" s="6"/>
      <c r="AD566" s="6"/>
      <c r="AE566" s="6"/>
    </row>
    <row r="567" spans="1:31" ht="76.5" x14ac:dyDescent="0.2">
      <c r="A567" s="6" t="s">
        <v>3686</v>
      </c>
      <c r="B567" s="6" t="s">
        <v>3952</v>
      </c>
      <c r="C567" s="20" t="s">
        <v>3953</v>
      </c>
      <c r="D567" s="6" t="s">
        <v>3954</v>
      </c>
      <c r="E567" s="6"/>
      <c r="F567" s="6" t="s">
        <v>48</v>
      </c>
      <c r="G567" s="6" t="s">
        <v>50</v>
      </c>
      <c r="H567" s="6" t="str">
        <f t="shared" si="32"/>
        <v>THE OVERSEER(P43)</v>
      </c>
      <c r="I567" s="6" t="s">
        <v>533</v>
      </c>
      <c r="J567" s="6"/>
      <c r="K567" s="6"/>
      <c r="L567" s="6" t="s">
        <v>55</v>
      </c>
      <c r="M567" s="6" t="str">
        <f>VLOOKUP(L567, GLOSSARY!$A:$C, 2, FALSE)</f>
        <v>EGYPT ESTATE</v>
      </c>
      <c r="N567" s="6" t="s">
        <v>287</v>
      </c>
      <c r="O567" s="6"/>
      <c r="P567" s="6"/>
      <c r="Q567" s="6"/>
      <c r="R567" s="6"/>
      <c r="S567" s="6"/>
      <c r="T567" s="6"/>
      <c r="U567" s="6"/>
      <c r="V567" s="6"/>
      <c r="W567" s="6"/>
      <c r="X567" s="6"/>
      <c r="Y567" s="6"/>
      <c r="Z567" s="6"/>
      <c r="AA567" s="6"/>
      <c r="AB567" s="6"/>
      <c r="AC567" s="6"/>
      <c r="AD567" s="6"/>
      <c r="AE567" s="6"/>
    </row>
    <row r="568" spans="1:31" ht="38.25" x14ac:dyDescent="0.2">
      <c r="A568" s="6" t="s">
        <v>3686</v>
      </c>
      <c r="B568" s="6" t="s">
        <v>3955</v>
      </c>
      <c r="C568" s="20" t="s">
        <v>3956</v>
      </c>
      <c r="D568" s="6" t="s">
        <v>3957</v>
      </c>
      <c r="E568" s="6"/>
      <c r="F568" s="6" t="s">
        <v>48</v>
      </c>
      <c r="G568" s="6" t="s">
        <v>50</v>
      </c>
      <c r="H568" s="6" t="str">
        <f t="shared" si="32"/>
        <v>THE OVERSEER(P43)</v>
      </c>
      <c r="I568" s="6" t="s">
        <v>533</v>
      </c>
      <c r="J568" s="6"/>
      <c r="K568" s="6"/>
      <c r="L568" s="6" t="s">
        <v>55</v>
      </c>
      <c r="M568" s="6" t="str">
        <f>VLOOKUP(L568, GLOSSARY!$A:$C, 2, FALSE)</f>
        <v>EGYPT ESTATE</v>
      </c>
      <c r="N568" s="6" t="s">
        <v>287</v>
      </c>
      <c r="O568" s="6"/>
      <c r="P568" s="6"/>
      <c r="Q568" s="6"/>
      <c r="R568" s="6"/>
      <c r="S568" s="6"/>
      <c r="T568" s="6"/>
      <c r="U568" s="6"/>
      <c r="V568" s="6"/>
      <c r="W568" s="6"/>
      <c r="X568" s="6"/>
      <c r="Y568" s="6"/>
      <c r="Z568" s="6"/>
      <c r="AA568" s="6"/>
      <c r="AB568" s="6"/>
      <c r="AC568" s="6"/>
      <c r="AD568" s="6"/>
      <c r="AE568" s="6"/>
    </row>
    <row r="569" spans="1:31" ht="63.75" x14ac:dyDescent="0.2">
      <c r="A569" s="6" t="s">
        <v>3320</v>
      </c>
      <c r="B569" s="6" t="s">
        <v>3958</v>
      </c>
      <c r="C569" s="20" t="s">
        <v>3959</v>
      </c>
      <c r="D569" s="6" t="s">
        <v>3960</v>
      </c>
      <c r="E569" s="6"/>
      <c r="F569" s="6" t="s">
        <v>3961</v>
      </c>
      <c r="G569" s="6" t="s">
        <v>2629</v>
      </c>
      <c r="H569" s="6" t="str">
        <f t="shared" si="32"/>
        <v>LINCOLN
THE OVERSEER(P43
P24
)</v>
      </c>
      <c r="I569" s="6" t="s">
        <v>198</v>
      </c>
      <c r="J569" s="6"/>
      <c r="K569" s="6"/>
      <c r="L569" s="6" t="s">
        <v>55</v>
      </c>
      <c r="M569" s="6" t="str">
        <f>VLOOKUP(L569, GLOSSARY!$A:$C, 2, FALSE)</f>
        <v>EGYPT ESTATE</v>
      </c>
      <c r="N569" s="6" t="s">
        <v>167</v>
      </c>
      <c r="O569" s="6"/>
      <c r="P569" s="6"/>
      <c r="Q569" s="6"/>
      <c r="R569" s="6"/>
      <c r="S569" s="6"/>
      <c r="T569" s="6"/>
      <c r="U569" s="6"/>
      <c r="V569" s="6"/>
      <c r="W569" s="6"/>
      <c r="X569" s="6"/>
      <c r="Y569" s="6"/>
      <c r="Z569" s="6"/>
      <c r="AA569" s="6"/>
      <c r="AB569" s="6"/>
      <c r="AC569" s="6"/>
      <c r="AD569" s="6"/>
      <c r="AE569" s="6"/>
    </row>
    <row r="570" spans="1:31" ht="165.75" x14ac:dyDescent="0.2">
      <c r="A570" s="6" t="s">
        <v>3642</v>
      </c>
      <c r="B570" s="6" t="s">
        <v>3958</v>
      </c>
      <c r="C570" s="20" t="s">
        <v>3959</v>
      </c>
      <c r="D570" s="6" t="s">
        <v>3962</v>
      </c>
      <c r="E570" s="6"/>
      <c r="F570" s="6" t="s">
        <v>3963</v>
      </c>
      <c r="G570" s="6" t="s">
        <v>3964</v>
      </c>
      <c r="H570" s="6" t="str">
        <f t="shared" si="32"/>
        <v>ENSLAVED PERSON [ARTHUR FOREST'S]
QUACOO
COFFEE
LONDON
PLATO
CHARLES(P502
P298
P353
P249
P208
P302
)</v>
      </c>
      <c r="I570" s="6" t="s">
        <v>656</v>
      </c>
      <c r="J570" s="6"/>
      <c r="K570" s="6"/>
      <c r="L570" s="6" t="s">
        <v>55</v>
      </c>
      <c r="M570" s="6" t="str">
        <f>VLOOKUP(L570, GLOSSARY!$A:$C, 2, FALSE)</f>
        <v>EGYPT ESTATE</v>
      </c>
      <c r="N570" s="6" t="s">
        <v>287</v>
      </c>
      <c r="O570" s="6"/>
      <c r="P570" s="6"/>
      <c r="Q570" s="6"/>
      <c r="R570" s="6"/>
      <c r="S570" s="6"/>
      <c r="T570" s="6"/>
      <c r="U570" s="6"/>
      <c r="V570" s="6"/>
      <c r="W570" s="6"/>
      <c r="X570" s="6"/>
      <c r="Y570" s="6"/>
      <c r="Z570" s="6"/>
      <c r="AA570" s="6"/>
      <c r="AB570" s="6"/>
      <c r="AC570" s="6"/>
      <c r="AD570" s="6"/>
      <c r="AE570" s="6"/>
    </row>
    <row r="571" spans="1:31" ht="127.5" x14ac:dyDescent="0.2">
      <c r="A571" s="6" t="s">
        <v>3642</v>
      </c>
      <c r="B571" s="6" t="s">
        <v>3958</v>
      </c>
      <c r="C571" s="20" t="s">
        <v>3965</v>
      </c>
      <c r="D571" s="6" t="s">
        <v>3966</v>
      </c>
      <c r="E571" s="6"/>
      <c r="F571" s="6" t="s">
        <v>3967</v>
      </c>
      <c r="G571" s="6" t="s">
        <v>3968</v>
      </c>
      <c r="H571" s="6" t="str">
        <f t="shared" si="32"/>
        <v>MR CUNNINGHAM [SALT RIVER]
THE OVERSEER
QUACOO
CHARLES
PLATO(P503
P43
P298
P302
P208)</v>
      </c>
      <c r="I571" s="6" t="s">
        <v>112</v>
      </c>
      <c r="J571" s="6"/>
      <c r="K571" s="6"/>
      <c r="L571" s="6" t="s">
        <v>93</v>
      </c>
      <c r="M571" s="6" t="str">
        <f>VLOOKUP(L571, GLOSSARY!$A:$C, 2, FALSE)</f>
        <v>SALT RIVER ESTATE</v>
      </c>
      <c r="N571" s="6" t="s">
        <v>287</v>
      </c>
      <c r="O571" s="6"/>
      <c r="P571" s="6"/>
      <c r="Q571" s="6"/>
      <c r="R571" s="6"/>
      <c r="S571" s="6"/>
      <c r="T571" s="6"/>
      <c r="U571" s="6"/>
      <c r="V571" s="6"/>
      <c r="W571" s="6"/>
      <c r="X571" s="6"/>
      <c r="Y571" s="6"/>
      <c r="Z571" s="6"/>
      <c r="AA571" s="6"/>
      <c r="AB571" s="6"/>
      <c r="AC571" s="6"/>
      <c r="AD571" s="6"/>
      <c r="AE571" s="6"/>
    </row>
    <row r="572" spans="1:31" ht="89.25" x14ac:dyDescent="0.2">
      <c r="A572" s="6" t="s">
        <v>3969</v>
      </c>
      <c r="B572" s="6" t="s">
        <v>3970</v>
      </c>
      <c r="C572" s="20" t="s">
        <v>3971</v>
      </c>
      <c r="D572" s="6" t="s">
        <v>3972</v>
      </c>
      <c r="E572" s="6"/>
      <c r="F572" s="6" t="s">
        <v>3973</v>
      </c>
      <c r="G572" s="6" t="s">
        <v>3974</v>
      </c>
      <c r="H572" s="6" t="str">
        <f t="shared" si="32"/>
        <v>JOHN COPE
HOUSE FRANKE
ABBA
THE OVERSEER(P44
P194
P6
P43)</v>
      </c>
      <c r="I572" s="6" t="s">
        <v>409</v>
      </c>
      <c r="J572" s="6"/>
      <c r="K572" s="6"/>
      <c r="L572" s="6" t="s">
        <v>55</v>
      </c>
      <c r="M572" s="6" t="str">
        <f>VLOOKUP(L572, GLOSSARY!$A:$C, 2, FALSE)</f>
        <v>EGYPT ESTATE</v>
      </c>
      <c r="N572" s="6" t="s">
        <v>68</v>
      </c>
      <c r="O572" s="6"/>
      <c r="P572" s="6"/>
      <c r="Q572" s="6"/>
      <c r="R572" s="6"/>
      <c r="S572" s="6"/>
      <c r="T572" s="6"/>
      <c r="U572" s="6"/>
      <c r="V572" s="6"/>
      <c r="W572" s="6"/>
      <c r="X572" s="6"/>
      <c r="Y572" s="6"/>
      <c r="Z572" s="6"/>
      <c r="AA572" s="6"/>
      <c r="AB572" s="6"/>
      <c r="AC572" s="6"/>
      <c r="AD572" s="6"/>
      <c r="AE572" s="6"/>
    </row>
    <row r="573" spans="1:31" ht="76.5" x14ac:dyDescent="0.2">
      <c r="A573" s="6" t="s">
        <v>3759</v>
      </c>
      <c r="B573" s="6" t="s">
        <v>3975</v>
      </c>
      <c r="C573" s="20" t="s">
        <v>3976</v>
      </c>
      <c r="D573" s="6" t="s">
        <v>3977</v>
      </c>
      <c r="E573" s="6"/>
      <c r="F573" s="6" t="s">
        <v>3950</v>
      </c>
      <c r="G573" s="6" t="s">
        <v>3951</v>
      </c>
      <c r="H573" s="6"/>
      <c r="I573" s="6" t="s">
        <v>784</v>
      </c>
      <c r="J573" s="6"/>
      <c r="K573" s="6"/>
      <c r="L573" s="6" t="s">
        <v>55</v>
      </c>
      <c r="M573" s="6" t="str">
        <f>VLOOKUP(L573, GLOSSARY!$A:$C, 2, FALSE)</f>
        <v>EGYPT ESTATE</v>
      </c>
      <c r="N573" s="6" t="s">
        <v>287</v>
      </c>
      <c r="O573" s="6"/>
      <c r="P573" s="6"/>
      <c r="Q573" s="6"/>
      <c r="R573" s="6"/>
      <c r="S573" s="6"/>
      <c r="T573" s="6"/>
      <c r="U573" s="6"/>
      <c r="V573" s="6"/>
      <c r="W573" s="6"/>
      <c r="X573" s="6"/>
      <c r="Y573" s="6"/>
      <c r="Z573" s="6"/>
      <c r="AA573" s="6"/>
      <c r="AB573" s="6"/>
      <c r="AC573" s="6"/>
      <c r="AD573" s="6"/>
      <c r="AE573" s="6"/>
    </row>
    <row r="574" spans="1:31" ht="51" x14ac:dyDescent="0.2">
      <c r="A574" s="6" t="s">
        <v>2676</v>
      </c>
      <c r="B574" s="6" t="s">
        <v>3978</v>
      </c>
      <c r="C574" s="20" t="s">
        <v>3979</v>
      </c>
      <c r="D574" s="6" t="s">
        <v>3980</v>
      </c>
      <c r="E574" s="6"/>
      <c r="F574" s="6" t="s">
        <v>2628</v>
      </c>
      <c r="G574" s="6" t="s">
        <v>2629</v>
      </c>
      <c r="H574" s="6" t="str">
        <f t="shared" ref="H574:H590" si="33">CONCATENATE(F574,"(",G574,")")</f>
        <v>THE OVERSEER
LINCOLN(P43
P24
)</v>
      </c>
      <c r="I574" s="6" t="s">
        <v>957</v>
      </c>
      <c r="J574" s="6"/>
      <c r="K574" s="6"/>
      <c r="L574" s="6" t="s">
        <v>55</v>
      </c>
      <c r="M574" s="6" t="str">
        <f>VLOOKUP(L574, GLOSSARY!$A:$C, 2, FALSE)</f>
        <v>EGYPT ESTATE</v>
      </c>
      <c r="N574" s="6" t="s">
        <v>68</v>
      </c>
      <c r="O574" s="6"/>
      <c r="P574" s="6"/>
      <c r="Q574" s="6"/>
      <c r="R574" s="6"/>
      <c r="S574" s="6"/>
      <c r="T574" s="6"/>
      <c r="U574" s="6"/>
      <c r="V574" s="6"/>
      <c r="W574" s="6"/>
      <c r="X574" s="6"/>
      <c r="Y574" s="6"/>
      <c r="Z574" s="6"/>
      <c r="AA574" s="6"/>
      <c r="AB574" s="6"/>
      <c r="AC574" s="6"/>
      <c r="AD574" s="6"/>
      <c r="AE574" s="6"/>
    </row>
    <row r="575" spans="1:31" ht="63.75" x14ac:dyDescent="0.2">
      <c r="A575" s="6" t="s">
        <v>3981</v>
      </c>
      <c r="B575" s="6" t="s">
        <v>3982</v>
      </c>
      <c r="C575" s="20" t="s">
        <v>3983</v>
      </c>
      <c r="D575" s="6" t="s">
        <v>3984</v>
      </c>
      <c r="E575" s="6"/>
      <c r="F575" s="6" t="s">
        <v>3296</v>
      </c>
      <c r="G575" s="6" t="s">
        <v>3985</v>
      </c>
      <c r="H575" s="6" t="str">
        <f t="shared" si="33"/>
        <v>THE OVERSEER
EGYPT FIELDHANDS(P43
P315)</v>
      </c>
      <c r="I575" s="6" t="s">
        <v>957</v>
      </c>
      <c r="J575" s="6"/>
      <c r="K575" s="6"/>
      <c r="L575" s="6" t="s">
        <v>55</v>
      </c>
      <c r="M575" s="6" t="str">
        <f>VLOOKUP(L575, GLOSSARY!$A:$C, 2, FALSE)</f>
        <v>EGYPT ESTATE</v>
      </c>
      <c r="N575" s="6" t="s">
        <v>68</v>
      </c>
      <c r="O575" s="6"/>
      <c r="P575" s="6"/>
      <c r="Q575" s="6"/>
      <c r="R575" s="6"/>
      <c r="S575" s="6"/>
      <c r="T575" s="6"/>
      <c r="U575" s="6"/>
      <c r="V575" s="6"/>
      <c r="W575" s="6"/>
      <c r="X575" s="6"/>
      <c r="Y575" s="6"/>
      <c r="Z575" s="6"/>
      <c r="AA575" s="6"/>
      <c r="AB575" s="6"/>
      <c r="AC575" s="6"/>
      <c r="AD575" s="6"/>
      <c r="AE575" s="6"/>
    </row>
    <row r="576" spans="1:31" ht="409.5" x14ac:dyDescent="0.2">
      <c r="A576" s="6" t="s">
        <v>3986</v>
      </c>
      <c r="B576" s="6" t="s">
        <v>3987</v>
      </c>
      <c r="C576" s="20" t="s">
        <v>3988</v>
      </c>
      <c r="D576" s="6" t="s">
        <v>3989</v>
      </c>
      <c r="E576" s="6"/>
      <c r="F576" s="6" t="s">
        <v>3990</v>
      </c>
      <c r="G576" s="6" t="s">
        <v>3991</v>
      </c>
      <c r="H576" s="6" t="str">
        <f t="shared" si="33"/>
        <v>OLD SHARPER
CELIA
MORRIS
CLOE
CLARA
BIG MIMBER
DOLL
DANIEL
OLD PHIBBAH
TONY
OLD SARAH
HARRY
KENT
CYRUS
PERO
HAZAT
MR. MOULD'S HAZAT
MASON QUASHE
EGYPT NANNY
BACCHUS
DOVER
HUMPHREY
OLD PHIBBAH
LYDDE
RACHEL
BETTY
BENJAMIN
ABRAHAM
DOVER(P74
P412
P226
P101
P129
P362
P225
P42
P96
P411
P370
P347
P329
P210
P336
P87
P424
P25
P316
P425
P89
P139
P213
P96
P255
P426
P134
P413
P360)</v>
      </c>
      <c r="I576" s="6" t="s">
        <v>784</v>
      </c>
      <c r="J576" s="6"/>
      <c r="K576" s="6"/>
      <c r="L576" s="6" t="s">
        <v>55</v>
      </c>
      <c r="M576" s="6" t="str">
        <f>VLOOKUP(L576, GLOSSARY!$A:$C, 2, FALSE)</f>
        <v>EGYPT ESTATE</v>
      </c>
      <c r="N576" s="6" t="s">
        <v>68</v>
      </c>
      <c r="O576" s="6"/>
      <c r="P576" s="6"/>
      <c r="Q576" s="6"/>
      <c r="R576" s="6"/>
      <c r="S576" s="6"/>
      <c r="T576" s="6"/>
      <c r="U576" s="6"/>
      <c r="V576" s="6"/>
      <c r="W576" s="6"/>
      <c r="X576" s="6"/>
      <c r="Y576" s="6"/>
      <c r="Z576" s="6"/>
      <c r="AA576" s="6"/>
      <c r="AB576" s="6"/>
      <c r="AC576" s="6"/>
      <c r="AD576" s="6"/>
      <c r="AE576" s="6"/>
    </row>
    <row r="577" spans="1:31" ht="51" x14ac:dyDescent="0.2">
      <c r="A577" s="6" t="s">
        <v>3992</v>
      </c>
      <c r="B577" s="6" t="s">
        <v>3993</v>
      </c>
      <c r="C577" s="20" t="s">
        <v>3994</v>
      </c>
      <c r="D577" s="6" t="s">
        <v>3995</v>
      </c>
      <c r="E577" s="6"/>
      <c r="F577" s="6" t="s">
        <v>3296</v>
      </c>
      <c r="G577" s="6" t="s">
        <v>780</v>
      </c>
      <c r="H577" s="6" t="str">
        <f t="shared" si="33"/>
        <v>THE OVERSEER
EGYPT FIELDHANDS(P315)</v>
      </c>
      <c r="I577" s="6" t="s">
        <v>784</v>
      </c>
      <c r="J577" s="6"/>
      <c r="K577" s="6"/>
      <c r="L577" s="6" t="s">
        <v>55</v>
      </c>
      <c r="M577" s="6" t="str">
        <f>VLOOKUP(L577, GLOSSARY!$A:$C, 2, FALSE)</f>
        <v>EGYPT ESTATE</v>
      </c>
      <c r="N577" s="6" t="s">
        <v>68</v>
      </c>
      <c r="O577" s="6"/>
      <c r="P577" s="6"/>
      <c r="Q577" s="6"/>
      <c r="R577" s="6"/>
      <c r="S577" s="6"/>
      <c r="T577" s="6"/>
      <c r="U577" s="6"/>
      <c r="V577" s="6"/>
      <c r="W577" s="6"/>
      <c r="X577" s="6"/>
      <c r="Y577" s="6"/>
      <c r="Z577" s="6"/>
      <c r="AA577" s="6"/>
      <c r="AB577" s="6"/>
      <c r="AC577" s="6"/>
      <c r="AD577" s="6"/>
      <c r="AE577" s="6"/>
    </row>
    <row r="578" spans="1:31" ht="63.75" x14ac:dyDescent="0.2">
      <c r="A578" s="6" t="s">
        <v>3996</v>
      </c>
      <c r="B578" s="6" t="s">
        <v>3993</v>
      </c>
      <c r="C578" s="20" t="s">
        <v>3997</v>
      </c>
      <c r="D578" s="6" t="s">
        <v>3998</v>
      </c>
      <c r="E578" s="6"/>
      <c r="F578" s="6" t="s">
        <v>1648</v>
      </c>
      <c r="G578" s="6" t="s">
        <v>1649</v>
      </c>
      <c r="H578" s="6" t="str">
        <f t="shared" si="33"/>
        <v>THE OVERSEER
PHIBBAH(P43
P7)</v>
      </c>
      <c r="I578" s="6" t="s">
        <v>1678</v>
      </c>
      <c r="J578" s="6"/>
      <c r="K578" s="6"/>
      <c r="L578" s="6" t="s">
        <v>55</v>
      </c>
      <c r="M578" s="6" t="str">
        <f>VLOOKUP(L578, GLOSSARY!$A:$C, 2, FALSE)</f>
        <v>EGYPT ESTATE</v>
      </c>
      <c r="N578" s="6" t="s">
        <v>68</v>
      </c>
      <c r="O578" s="6"/>
      <c r="P578" s="6"/>
      <c r="Q578" s="6"/>
      <c r="R578" s="6"/>
      <c r="S578" s="6"/>
      <c r="T578" s="6"/>
      <c r="U578" s="6"/>
      <c r="V578" s="6"/>
      <c r="W578" s="6"/>
      <c r="X578" s="6"/>
      <c r="Y578" s="6"/>
      <c r="Z578" s="6"/>
      <c r="AA578" s="6"/>
      <c r="AB578" s="6"/>
      <c r="AC578" s="6"/>
      <c r="AD578" s="6"/>
      <c r="AE578" s="6"/>
    </row>
    <row r="579" spans="1:31" ht="127.5" x14ac:dyDescent="0.2">
      <c r="A579" s="6" t="s">
        <v>3992</v>
      </c>
      <c r="B579" s="6" t="s">
        <v>3999</v>
      </c>
      <c r="C579" s="20" t="s">
        <v>4000</v>
      </c>
      <c r="D579" s="6" t="s">
        <v>4001</v>
      </c>
      <c r="E579" s="6"/>
      <c r="F579" s="6" t="s">
        <v>4002</v>
      </c>
      <c r="G579" s="6" t="s">
        <v>4003</v>
      </c>
      <c r="H579" s="6" t="str">
        <f t="shared" si="33"/>
        <v>THE OVERSEER
AMBO
EGYPT FIELDHANDS
THOMAS TRINDALL WAYWARDEN
MR. MORDIMER(P43
P170
P427
P438
P135)</v>
      </c>
      <c r="I579" s="6" t="s">
        <v>784</v>
      </c>
      <c r="J579" s="6"/>
      <c r="K579" s="6"/>
      <c r="L579" s="6" t="s">
        <v>440</v>
      </c>
      <c r="M579" s="6" t="str">
        <f>VLOOKUP(L579, GLOSSARY!$A:$C, 2, FALSE)</f>
        <v>THE ROAD(S)</v>
      </c>
      <c r="N579" s="6" t="s">
        <v>287</v>
      </c>
      <c r="O579" s="6"/>
      <c r="P579" s="6"/>
      <c r="Q579" s="6"/>
      <c r="R579" s="6"/>
      <c r="S579" s="6"/>
      <c r="T579" s="6"/>
      <c r="U579" s="6"/>
      <c r="V579" s="6"/>
      <c r="W579" s="6"/>
      <c r="X579" s="6"/>
      <c r="Y579" s="6"/>
      <c r="Z579" s="6"/>
      <c r="AA579" s="6"/>
      <c r="AB579" s="6"/>
      <c r="AC579" s="6"/>
      <c r="AD579" s="6"/>
      <c r="AE579" s="6"/>
    </row>
    <row r="580" spans="1:31" ht="63.75" x14ac:dyDescent="0.2">
      <c r="A580" s="6" t="s">
        <v>3992</v>
      </c>
      <c r="B580" s="6" t="s">
        <v>3999</v>
      </c>
      <c r="C580" s="20" t="s">
        <v>4004</v>
      </c>
      <c r="D580" s="6" t="s">
        <v>4005</v>
      </c>
      <c r="E580" s="6"/>
      <c r="F580" s="6" t="s">
        <v>4006</v>
      </c>
      <c r="G580" s="6" t="s">
        <v>4007</v>
      </c>
      <c r="H580" s="6" t="str">
        <f t="shared" si="33"/>
        <v>THE OVERSEER
AMBO
EGYPT FIELDHANDS(P43
P170
P315)</v>
      </c>
      <c r="I580" s="6" t="s">
        <v>784</v>
      </c>
      <c r="J580" s="6"/>
      <c r="K580" s="6"/>
      <c r="L580" s="6" t="s">
        <v>440</v>
      </c>
      <c r="M580" s="6" t="str">
        <f>VLOOKUP(L580, GLOSSARY!$A:$C, 2, FALSE)</f>
        <v>THE ROAD(S)</v>
      </c>
      <c r="N580" s="6" t="s">
        <v>68</v>
      </c>
      <c r="O580" s="6"/>
      <c r="P580" s="6"/>
      <c r="Q580" s="6"/>
      <c r="R580" s="6"/>
      <c r="S580" s="6"/>
      <c r="T580" s="6"/>
      <c r="U580" s="6"/>
      <c r="V580" s="6"/>
      <c r="W580" s="6"/>
      <c r="X580" s="6"/>
      <c r="Y580" s="6"/>
      <c r="Z580" s="6"/>
      <c r="AA580" s="6"/>
      <c r="AB580" s="6"/>
      <c r="AC580" s="6"/>
      <c r="AD580" s="6"/>
      <c r="AE580" s="6"/>
    </row>
    <row r="581" spans="1:31" ht="51" x14ac:dyDescent="0.2">
      <c r="A581" s="6" t="s">
        <v>3992</v>
      </c>
      <c r="B581" s="6" t="s">
        <v>3999</v>
      </c>
      <c r="C581" s="20" t="s">
        <v>4008</v>
      </c>
      <c r="D581" s="6" t="s">
        <v>4009</v>
      </c>
      <c r="E581" s="6"/>
      <c r="F581" s="6" t="s">
        <v>4010</v>
      </c>
      <c r="G581" s="6" t="s">
        <v>4011</v>
      </c>
      <c r="H581" s="6" t="str">
        <f t="shared" si="33"/>
        <v>AMBO
EGYPT FIELDHANDS(P170
P315)</v>
      </c>
      <c r="I581" s="6" t="s">
        <v>784</v>
      </c>
      <c r="J581" s="6"/>
      <c r="K581" s="6"/>
      <c r="L581" s="6" t="s">
        <v>440</v>
      </c>
      <c r="M581" s="6" t="str">
        <f>VLOOKUP(L581, GLOSSARY!$A:$C, 2, FALSE)</f>
        <v>THE ROAD(S)</v>
      </c>
      <c r="N581" s="6" t="s">
        <v>287</v>
      </c>
      <c r="O581" s="6"/>
      <c r="P581" s="6"/>
      <c r="Q581" s="6"/>
      <c r="R581" s="6"/>
      <c r="S581" s="6"/>
      <c r="T581" s="6"/>
      <c r="U581" s="6"/>
      <c r="V581" s="6"/>
      <c r="W581" s="6"/>
      <c r="X581" s="6"/>
      <c r="Y581" s="6"/>
      <c r="Z581" s="6"/>
      <c r="AA581" s="6"/>
      <c r="AB581" s="6"/>
      <c r="AC581" s="6"/>
      <c r="AD581" s="6"/>
      <c r="AE581" s="6"/>
    </row>
    <row r="582" spans="1:31" ht="114.75" x14ac:dyDescent="0.2">
      <c r="A582" s="6" t="s">
        <v>3992</v>
      </c>
      <c r="B582" s="6" t="s">
        <v>4012</v>
      </c>
      <c r="C582" s="20" t="s">
        <v>4013</v>
      </c>
      <c r="D582" s="6" t="s">
        <v>4014</v>
      </c>
      <c r="E582" s="6"/>
      <c r="F582" s="6" t="s">
        <v>779</v>
      </c>
      <c r="G582" s="6" t="s">
        <v>780</v>
      </c>
      <c r="H582" s="6" t="str">
        <f t="shared" si="33"/>
        <v>EGYPT FIELDHANDS(P315)</v>
      </c>
      <c r="I582" s="6" t="s">
        <v>784</v>
      </c>
      <c r="J582" s="6"/>
      <c r="K582" s="6"/>
      <c r="L582" s="6" t="s">
        <v>55</v>
      </c>
      <c r="M582" s="6" t="str">
        <f>VLOOKUP(L582, GLOSSARY!$A:$C, 2, FALSE)</f>
        <v>EGYPT ESTATE</v>
      </c>
      <c r="N582" s="6" t="s">
        <v>68</v>
      </c>
      <c r="O582" s="6"/>
      <c r="P582" s="6"/>
      <c r="Q582" s="6"/>
      <c r="R582" s="6"/>
      <c r="S582" s="6"/>
      <c r="T582" s="6"/>
      <c r="U582" s="6"/>
      <c r="V582" s="6"/>
      <c r="W582" s="6"/>
      <c r="X582" s="6"/>
      <c r="Y582" s="6"/>
      <c r="Z582" s="6"/>
      <c r="AA582" s="6"/>
      <c r="AB582" s="6"/>
      <c r="AC582" s="6"/>
      <c r="AD582" s="6"/>
      <c r="AE582" s="6"/>
    </row>
    <row r="583" spans="1:31" ht="25.5" x14ac:dyDescent="0.2">
      <c r="A583" s="6" t="s">
        <v>3992</v>
      </c>
      <c r="B583" s="6" t="s">
        <v>4015</v>
      </c>
      <c r="C583" s="20" t="s">
        <v>4016</v>
      </c>
      <c r="D583" s="6" t="s">
        <v>4017</v>
      </c>
      <c r="E583" s="6"/>
      <c r="F583" s="6" t="s">
        <v>779</v>
      </c>
      <c r="G583" s="6" t="s">
        <v>780</v>
      </c>
      <c r="H583" s="6" t="str">
        <f t="shared" si="33"/>
        <v>EGYPT FIELDHANDS(P315)</v>
      </c>
      <c r="I583" s="6" t="s">
        <v>784</v>
      </c>
      <c r="J583" s="6"/>
      <c r="K583" s="6"/>
      <c r="L583" s="6" t="s">
        <v>55</v>
      </c>
      <c r="M583" s="6" t="str">
        <f>VLOOKUP(L583, GLOSSARY!$A:$C, 2, FALSE)</f>
        <v>EGYPT ESTATE</v>
      </c>
      <c r="N583" s="6" t="s">
        <v>287</v>
      </c>
      <c r="O583" s="6"/>
      <c r="P583" s="6"/>
      <c r="Q583" s="6"/>
      <c r="R583" s="6"/>
      <c r="S583" s="6"/>
      <c r="T583" s="6"/>
      <c r="U583" s="6"/>
      <c r="V583" s="6"/>
      <c r="W583" s="6"/>
      <c r="X583" s="6"/>
      <c r="Y583" s="6"/>
      <c r="Z583" s="6"/>
      <c r="AA583" s="6"/>
      <c r="AB583" s="6"/>
      <c r="AC583" s="6"/>
      <c r="AD583" s="6"/>
      <c r="AE583" s="6"/>
    </row>
    <row r="584" spans="1:31" ht="51" x14ac:dyDescent="0.2">
      <c r="A584" s="6" t="s">
        <v>3992</v>
      </c>
      <c r="B584" s="6" t="s">
        <v>3872</v>
      </c>
      <c r="C584" s="20" t="s">
        <v>4018</v>
      </c>
      <c r="D584" s="6" t="s">
        <v>4019</v>
      </c>
      <c r="E584" s="6"/>
      <c r="F584" s="6" t="s">
        <v>779</v>
      </c>
      <c r="G584" s="6" t="s">
        <v>780</v>
      </c>
      <c r="H584" s="6" t="str">
        <f t="shared" si="33"/>
        <v>EGYPT FIELDHANDS(P315)</v>
      </c>
      <c r="I584" s="6" t="s">
        <v>784</v>
      </c>
      <c r="J584" s="6"/>
      <c r="K584" s="6"/>
      <c r="L584" s="6" t="s">
        <v>55</v>
      </c>
      <c r="M584" s="6" t="str">
        <f>VLOOKUP(L584, GLOSSARY!$A:$C, 2, FALSE)</f>
        <v>EGYPT ESTATE</v>
      </c>
      <c r="N584" s="6" t="s">
        <v>3146</v>
      </c>
      <c r="O584" s="6"/>
      <c r="P584" s="6"/>
      <c r="Q584" s="6"/>
      <c r="R584" s="6"/>
      <c r="S584" s="6"/>
      <c r="T584" s="6"/>
      <c r="U584" s="6"/>
      <c r="V584" s="6"/>
      <c r="W584" s="6"/>
      <c r="X584" s="6"/>
      <c r="Y584" s="6"/>
      <c r="Z584" s="6"/>
      <c r="AA584" s="6"/>
      <c r="AB584" s="6"/>
      <c r="AC584" s="6"/>
      <c r="AD584" s="6"/>
      <c r="AE584" s="6"/>
    </row>
    <row r="585" spans="1:31" ht="102" x14ac:dyDescent="0.2">
      <c r="A585" s="6" t="s">
        <v>3992</v>
      </c>
      <c r="B585" s="6" t="s">
        <v>3821</v>
      </c>
      <c r="C585" s="20" t="s">
        <v>4020</v>
      </c>
      <c r="D585" s="6" t="s">
        <v>4021</v>
      </c>
      <c r="E585" s="6"/>
      <c r="F585" s="6" t="s">
        <v>779</v>
      </c>
      <c r="G585" s="6" t="s">
        <v>780</v>
      </c>
      <c r="H585" s="6" t="str">
        <f t="shared" si="33"/>
        <v>EGYPT FIELDHANDS(P315)</v>
      </c>
      <c r="I585" s="6" t="s">
        <v>784</v>
      </c>
      <c r="J585" s="6"/>
      <c r="K585" s="6"/>
      <c r="L585" s="6" t="s">
        <v>55</v>
      </c>
      <c r="M585" s="6" t="str">
        <f>VLOOKUP(L585, GLOSSARY!$A:$C, 2, FALSE)</f>
        <v>EGYPT ESTATE</v>
      </c>
      <c r="N585" s="6" t="s">
        <v>287</v>
      </c>
      <c r="O585" s="6"/>
      <c r="P585" s="6"/>
      <c r="Q585" s="6"/>
      <c r="R585" s="6"/>
      <c r="S585" s="6"/>
      <c r="T585" s="6"/>
      <c r="U585" s="6"/>
      <c r="V585" s="6"/>
      <c r="W585" s="6"/>
      <c r="X585" s="6"/>
      <c r="Y585" s="6"/>
      <c r="Z585" s="6"/>
      <c r="AA585" s="6"/>
      <c r="AB585" s="6"/>
      <c r="AC585" s="6"/>
      <c r="AD585" s="6"/>
      <c r="AE585" s="6"/>
    </row>
    <row r="586" spans="1:31" ht="102" x14ac:dyDescent="0.2">
      <c r="A586" s="6" t="s">
        <v>4022</v>
      </c>
      <c r="B586" s="6" t="s">
        <v>4023</v>
      </c>
      <c r="C586" s="20" t="s">
        <v>4020</v>
      </c>
      <c r="D586" s="6" t="s">
        <v>4024</v>
      </c>
      <c r="E586" s="6"/>
      <c r="F586" s="6" t="s">
        <v>4025</v>
      </c>
      <c r="G586" s="6" t="s">
        <v>4026</v>
      </c>
      <c r="H586" s="6" t="str">
        <f t="shared" si="33"/>
        <v>THE OVERSEER
MR. BELTFIELD
JACKIE
CYRUS(P43
P523
P102
P210
)</v>
      </c>
      <c r="I586" s="6" t="s">
        <v>248</v>
      </c>
      <c r="J586" s="6"/>
      <c r="K586" s="6"/>
      <c r="L586" s="6" t="s">
        <v>657</v>
      </c>
      <c r="M586" s="6" t="str">
        <f>VLOOKUP(L586, GLOSSARY!$A:$C, 2, FALSE)</f>
        <v>UNKNOWN</v>
      </c>
      <c r="N586" s="6" t="s">
        <v>68</v>
      </c>
      <c r="O586" s="6"/>
      <c r="P586" s="6"/>
      <c r="Q586" s="6"/>
      <c r="R586" s="6"/>
      <c r="S586" s="6"/>
      <c r="T586" s="6"/>
      <c r="U586" s="6"/>
      <c r="V586" s="6"/>
      <c r="W586" s="6"/>
      <c r="X586" s="6"/>
      <c r="Y586" s="6"/>
      <c r="Z586" s="6"/>
      <c r="AA586" s="6"/>
      <c r="AB586" s="6"/>
      <c r="AC586" s="6"/>
      <c r="AD586" s="6"/>
      <c r="AE586" s="6"/>
    </row>
    <row r="587" spans="1:31" ht="89.25" x14ac:dyDescent="0.2">
      <c r="A587" s="6" t="s">
        <v>4027</v>
      </c>
      <c r="B587" s="6" t="s">
        <v>4023</v>
      </c>
      <c r="C587" s="20" t="s">
        <v>4020</v>
      </c>
      <c r="D587" s="6" t="s">
        <v>4028</v>
      </c>
      <c r="E587" s="6"/>
      <c r="F587" s="6" t="s">
        <v>4025</v>
      </c>
      <c r="G587" s="6" t="s">
        <v>4029</v>
      </c>
      <c r="H587" s="6" t="str">
        <f t="shared" si="33"/>
        <v>THE OVERSEER
MR. BELTFIELD
JACKIE
CYRUS(P43
P523
P102
P210)</v>
      </c>
      <c r="I587" s="6" t="s">
        <v>784</v>
      </c>
      <c r="J587" s="6"/>
      <c r="K587" s="6"/>
      <c r="L587" s="6" t="s">
        <v>3243</v>
      </c>
      <c r="M587" s="6" t="str">
        <f>VLOOKUP(L587, GLOSSARY!$A:$C, 2, FALSE)</f>
        <v>MR. BELTFIELD'S</v>
      </c>
      <c r="N587" s="6" t="s">
        <v>476</v>
      </c>
      <c r="O587" s="6"/>
      <c r="P587" s="6"/>
      <c r="Q587" s="6"/>
      <c r="R587" s="6"/>
      <c r="S587" s="6"/>
      <c r="T587" s="6"/>
      <c r="U587" s="6"/>
      <c r="V587" s="6"/>
      <c r="W587" s="6"/>
      <c r="X587" s="6"/>
      <c r="Y587" s="6"/>
      <c r="Z587" s="6"/>
      <c r="AA587" s="6"/>
      <c r="AB587" s="6"/>
      <c r="AC587" s="6"/>
      <c r="AD587" s="6"/>
      <c r="AE587" s="6"/>
    </row>
    <row r="588" spans="1:31" ht="89.25" x14ac:dyDescent="0.2">
      <c r="A588" s="6" t="s">
        <v>4027</v>
      </c>
      <c r="B588" s="6" t="s">
        <v>4023</v>
      </c>
      <c r="C588" s="20" t="s">
        <v>4030</v>
      </c>
      <c r="D588" s="6" t="s">
        <v>4031</v>
      </c>
      <c r="E588" s="6"/>
      <c r="F588" s="6" t="s">
        <v>4032</v>
      </c>
      <c r="G588" s="6" t="s">
        <v>4033</v>
      </c>
      <c r="H588" s="6" t="str">
        <f t="shared" si="33"/>
        <v>THE OVERSEER
WILLIAM CROOKSHANKS
PORT ROYAL
CYRUS(P43
P210
P212
P189)</v>
      </c>
      <c r="I588" s="6" t="s">
        <v>784</v>
      </c>
      <c r="J588" s="6"/>
      <c r="K588" s="6"/>
      <c r="L588" s="6" t="s">
        <v>3249</v>
      </c>
      <c r="M588" s="6" t="str">
        <f>VLOOKUP(L588, GLOSSARY!$A:$C, 2, FALSE)</f>
        <v>WILLIAMS CROOKSHANKS'</v>
      </c>
      <c r="N588" s="6" t="s">
        <v>68</v>
      </c>
      <c r="O588" s="6"/>
      <c r="P588" s="6"/>
      <c r="Q588" s="6"/>
      <c r="R588" s="6"/>
      <c r="S588" s="6"/>
      <c r="T588" s="6"/>
      <c r="U588" s="6"/>
      <c r="V588" s="6"/>
      <c r="W588" s="6"/>
      <c r="X588" s="6"/>
      <c r="Y588" s="6"/>
      <c r="Z588" s="6"/>
      <c r="AA588" s="6"/>
      <c r="AB588" s="6"/>
      <c r="AC588" s="6"/>
      <c r="AD588" s="6"/>
      <c r="AE588" s="6"/>
    </row>
    <row r="589" spans="1:31" ht="102" x14ac:dyDescent="0.2">
      <c r="A589" s="6" t="s">
        <v>3992</v>
      </c>
      <c r="B589" s="6" t="s">
        <v>3821</v>
      </c>
      <c r="C589" s="20" t="s">
        <v>4034</v>
      </c>
      <c r="D589" s="6" t="s">
        <v>4035</v>
      </c>
      <c r="E589" s="6"/>
      <c r="F589" s="6" t="s">
        <v>779</v>
      </c>
      <c r="G589" s="6" t="s">
        <v>872</v>
      </c>
      <c r="H589" s="6" t="str">
        <f t="shared" si="33"/>
        <v>EGYPT FIELDHANDS(P135)</v>
      </c>
      <c r="I589" s="6" t="s">
        <v>784</v>
      </c>
      <c r="J589" s="6"/>
      <c r="K589" s="6"/>
      <c r="L589" s="6" t="s">
        <v>55</v>
      </c>
      <c r="M589" s="6" t="str">
        <f>VLOOKUP(L589, GLOSSARY!$A:$C, 2, FALSE)</f>
        <v>EGYPT ESTATE</v>
      </c>
      <c r="N589" s="6" t="s">
        <v>287</v>
      </c>
      <c r="O589" s="6"/>
      <c r="P589" s="6"/>
      <c r="Q589" s="6"/>
      <c r="R589" s="6"/>
      <c r="S589" s="6"/>
      <c r="T589" s="6"/>
      <c r="U589" s="6"/>
      <c r="V589" s="6"/>
      <c r="W589" s="6"/>
      <c r="X589" s="6"/>
      <c r="Y589" s="6"/>
      <c r="Z589" s="6"/>
      <c r="AA589" s="6"/>
      <c r="AB589" s="6"/>
      <c r="AC589" s="6"/>
      <c r="AD589" s="6"/>
      <c r="AE589" s="6"/>
    </row>
    <row r="590" spans="1:31" ht="229.5" x14ac:dyDescent="0.2">
      <c r="A590" s="6" t="s">
        <v>3992</v>
      </c>
      <c r="B590" s="6" t="s">
        <v>4036</v>
      </c>
      <c r="C590" s="20" t="s">
        <v>4037</v>
      </c>
      <c r="D590" s="6" t="s">
        <v>4038</v>
      </c>
      <c r="E590" s="6"/>
      <c r="F590" s="6" t="s">
        <v>779</v>
      </c>
      <c r="G590" s="6" t="s">
        <v>780</v>
      </c>
      <c r="H590" s="6" t="str">
        <f t="shared" si="33"/>
        <v>EGYPT FIELDHANDS(P315)</v>
      </c>
      <c r="I590" s="6" t="s">
        <v>784</v>
      </c>
      <c r="J590" s="6"/>
      <c r="K590" s="6"/>
      <c r="L590" s="6" t="s">
        <v>55</v>
      </c>
      <c r="M590" s="6" t="str">
        <f>VLOOKUP(L590, GLOSSARY!$A:$C, 2, FALSE)</f>
        <v>EGYPT ESTATE</v>
      </c>
      <c r="N590" s="6" t="s">
        <v>287</v>
      </c>
      <c r="O590" s="6"/>
      <c r="P590" s="6"/>
      <c r="Q590" s="6"/>
      <c r="R590" s="6"/>
      <c r="S590" s="6"/>
      <c r="T590" s="6"/>
      <c r="U590" s="6"/>
      <c r="V590" s="6"/>
      <c r="W590" s="6"/>
      <c r="X590" s="6"/>
      <c r="Y590" s="6"/>
      <c r="Z590" s="6"/>
      <c r="AA590" s="6"/>
      <c r="AB590" s="6"/>
      <c r="AC590" s="6"/>
      <c r="AD590" s="6"/>
      <c r="AE590" s="6"/>
    </row>
    <row r="591" spans="1:31" ht="76.5" x14ac:dyDescent="0.2">
      <c r="A591" s="6" t="s">
        <v>3992</v>
      </c>
      <c r="B591" s="6" t="s">
        <v>4039</v>
      </c>
      <c r="C591" s="20" t="s">
        <v>4040</v>
      </c>
      <c r="D591" s="6" t="s">
        <v>4041</v>
      </c>
      <c r="E591" s="6"/>
      <c r="F591" s="6"/>
      <c r="G591" s="6"/>
      <c r="H591" s="6" t="s">
        <v>4042</v>
      </c>
      <c r="I591" s="6" t="s">
        <v>26</v>
      </c>
      <c r="J591" s="6"/>
      <c r="K591" s="6"/>
      <c r="L591" s="6" t="s">
        <v>785</v>
      </c>
      <c r="M591" s="6" t="str">
        <f>VLOOKUP(L591, GLOSSARY!$A:$C, 2, FALSE)</f>
        <v>EGYPT ESTATE</v>
      </c>
      <c r="N591" s="6" t="s">
        <v>3146</v>
      </c>
      <c r="O591" s="6"/>
      <c r="P591" s="6"/>
      <c r="Q591" s="6"/>
      <c r="R591" s="6"/>
      <c r="S591" s="6"/>
      <c r="T591" s="6"/>
      <c r="U591" s="6"/>
      <c r="V591" s="6"/>
      <c r="W591" s="6"/>
      <c r="X591" s="6"/>
      <c r="Y591" s="6"/>
      <c r="Z591" s="6"/>
      <c r="AA591" s="6"/>
      <c r="AB591" s="6"/>
      <c r="AC591" s="6"/>
      <c r="AD591" s="6"/>
      <c r="AE591" s="6"/>
    </row>
    <row r="592" spans="1:31" ht="178.5" x14ac:dyDescent="0.2">
      <c r="A592" s="6" t="s">
        <v>4027</v>
      </c>
      <c r="B592" s="6" t="s">
        <v>4043</v>
      </c>
      <c r="C592" s="20" t="s">
        <v>4040</v>
      </c>
      <c r="D592" s="6" t="s">
        <v>4044</v>
      </c>
      <c r="E592" s="6"/>
      <c r="F592" s="6" t="s">
        <v>4045</v>
      </c>
      <c r="G592" s="6" t="s">
        <v>4046</v>
      </c>
      <c r="H592" s="6" t="str">
        <f t="shared" ref="H592:H600" si="34">CONCATENATE(F592,"(",G592,")")</f>
        <v>CYRUS
COFFEE
PORT ROYAL
LITTLE QUASHE [EGYPT DRIVER]
JOHNIE
MOUNTAIN SUSANAH
EGYPT FIELDHANDS(P315
P210
P212
P359
P84
P254)</v>
      </c>
      <c r="I592" s="6" t="s">
        <v>784</v>
      </c>
      <c r="J592" s="6"/>
      <c r="K592" s="6"/>
      <c r="L592" s="6" t="s">
        <v>55</v>
      </c>
      <c r="M592" s="6" t="str">
        <f>VLOOKUP(L592, GLOSSARY!$A:$C, 2, FALSE)</f>
        <v>EGYPT ESTATE</v>
      </c>
      <c r="N592" s="6" t="s">
        <v>287</v>
      </c>
      <c r="O592" s="6"/>
      <c r="P592" s="6"/>
      <c r="Q592" s="6"/>
      <c r="R592" s="6"/>
      <c r="S592" s="6"/>
      <c r="T592" s="6"/>
      <c r="U592" s="6"/>
      <c r="V592" s="6"/>
      <c r="W592" s="6"/>
      <c r="X592" s="6"/>
      <c r="Y592" s="6"/>
      <c r="Z592" s="6"/>
      <c r="AA592" s="6"/>
      <c r="AB592" s="6"/>
      <c r="AC592" s="6"/>
      <c r="AD592" s="6"/>
      <c r="AE592" s="6"/>
    </row>
    <row r="593" spans="1:31" ht="25.5" x14ac:dyDescent="0.2">
      <c r="A593" s="6" t="s">
        <v>3992</v>
      </c>
      <c r="B593" s="6" t="s">
        <v>4039</v>
      </c>
      <c r="C593" s="20" t="s">
        <v>4047</v>
      </c>
      <c r="D593" s="6" t="s">
        <v>4048</v>
      </c>
      <c r="E593" s="6"/>
      <c r="F593" s="6"/>
      <c r="G593" s="6"/>
      <c r="H593" s="6" t="str">
        <f t="shared" si="34"/>
        <v>()</v>
      </c>
      <c r="I593" s="6" t="s">
        <v>26</v>
      </c>
      <c r="J593" s="6"/>
      <c r="K593" s="6"/>
      <c r="L593" s="6" t="s">
        <v>55</v>
      </c>
      <c r="M593" s="6" t="str">
        <f>VLOOKUP(L593, GLOSSARY!$A:$C, 2, FALSE)</f>
        <v>EGYPT ESTATE</v>
      </c>
      <c r="N593" s="6" t="s">
        <v>287</v>
      </c>
      <c r="O593" s="6"/>
      <c r="P593" s="6"/>
      <c r="Q593" s="6"/>
      <c r="R593" s="6"/>
      <c r="S593" s="6"/>
      <c r="T593" s="6"/>
      <c r="U593" s="6"/>
      <c r="V593" s="6"/>
      <c r="W593" s="6"/>
      <c r="X593" s="6"/>
      <c r="Y593" s="6"/>
      <c r="Z593" s="6"/>
      <c r="AA593" s="6"/>
      <c r="AB593" s="6"/>
      <c r="AC593" s="6"/>
      <c r="AD593" s="6"/>
      <c r="AE593" s="6"/>
    </row>
    <row r="594" spans="1:31" ht="38.25" x14ac:dyDescent="0.2">
      <c r="A594" s="6" t="s">
        <v>3992</v>
      </c>
      <c r="B594" s="6" t="s">
        <v>4049</v>
      </c>
      <c r="C594" s="20" t="s">
        <v>4050</v>
      </c>
      <c r="D594" s="6" t="s">
        <v>4051</v>
      </c>
      <c r="E594" s="6"/>
      <c r="F594" s="6" t="s">
        <v>779</v>
      </c>
      <c r="G594" s="6" t="s">
        <v>780</v>
      </c>
      <c r="H594" s="6" t="str">
        <f t="shared" si="34"/>
        <v>EGYPT FIELDHANDS(P315)</v>
      </c>
      <c r="I594" s="6" t="s">
        <v>784</v>
      </c>
      <c r="J594" s="6"/>
      <c r="K594" s="6"/>
      <c r="L594" s="6" t="s">
        <v>1888</v>
      </c>
      <c r="M594" s="6" t="str">
        <f>VLOOKUP(L594, GLOSSARY!$A:$C, 2, FALSE)</f>
        <v>EGYPT PAPAH TREE PIECE</v>
      </c>
      <c r="N594" s="6" t="s">
        <v>287</v>
      </c>
      <c r="O594" s="6"/>
      <c r="P594" s="6"/>
      <c r="Q594" s="6"/>
      <c r="R594" s="6"/>
      <c r="S594" s="6"/>
      <c r="T594" s="6"/>
      <c r="U594" s="6"/>
      <c r="V594" s="6"/>
      <c r="W594" s="6"/>
      <c r="X594" s="6"/>
      <c r="Y594" s="6"/>
      <c r="Z594" s="6"/>
      <c r="AA594" s="6"/>
      <c r="AB594" s="6"/>
      <c r="AC594" s="6"/>
      <c r="AD594" s="6"/>
      <c r="AE594" s="6"/>
    </row>
    <row r="595" spans="1:31" ht="63.75" x14ac:dyDescent="0.2">
      <c r="A595" s="6" t="s">
        <v>3992</v>
      </c>
      <c r="B595" s="6" t="s">
        <v>4039</v>
      </c>
      <c r="C595" s="20" t="s">
        <v>4050</v>
      </c>
      <c r="D595" s="6" t="s">
        <v>4052</v>
      </c>
      <c r="E595" s="6"/>
      <c r="F595" s="6"/>
      <c r="G595" s="6"/>
      <c r="H595" s="6" t="str">
        <f t="shared" si="34"/>
        <v>()</v>
      </c>
      <c r="I595" s="6" t="s">
        <v>26</v>
      </c>
      <c r="J595" s="6"/>
      <c r="K595" s="6"/>
      <c r="L595" s="6" t="s">
        <v>55</v>
      </c>
      <c r="M595" s="6" t="str">
        <f>VLOOKUP(L595, GLOSSARY!$A:$C, 2, FALSE)</f>
        <v>EGYPT ESTATE</v>
      </c>
      <c r="N595" s="6" t="s">
        <v>287</v>
      </c>
      <c r="O595" s="6"/>
      <c r="P595" s="6"/>
      <c r="Q595" s="6"/>
      <c r="R595" s="6"/>
      <c r="S595" s="6"/>
      <c r="T595" s="6"/>
      <c r="U595" s="6"/>
      <c r="V595" s="6"/>
      <c r="W595" s="6"/>
      <c r="X595" s="6"/>
      <c r="Y595" s="6"/>
      <c r="Z595" s="6"/>
      <c r="AA595" s="6"/>
      <c r="AB595" s="6"/>
      <c r="AC595" s="6"/>
      <c r="AD595" s="6"/>
      <c r="AE595" s="6"/>
    </row>
    <row r="596" spans="1:31" ht="51" x14ac:dyDescent="0.2">
      <c r="A596" s="6" t="s">
        <v>3992</v>
      </c>
      <c r="B596" s="6" t="s">
        <v>4039</v>
      </c>
      <c r="C596" s="20" t="s">
        <v>4053</v>
      </c>
      <c r="D596" s="6" t="s">
        <v>4054</v>
      </c>
      <c r="E596" s="6"/>
      <c r="F596" s="6"/>
      <c r="G596" s="6"/>
      <c r="H596" s="6" t="str">
        <f t="shared" si="34"/>
        <v>()</v>
      </c>
      <c r="I596" s="6" t="s">
        <v>26</v>
      </c>
      <c r="J596" s="6"/>
      <c r="K596" s="6"/>
      <c r="L596" s="6" t="s">
        <v>55</v>
      </c>
      <c r="M596" s="6" t="str">
        <f>VLOOKUP(L596, GLOSSARY!$A:$C, 2, FALSE)</f>
        <v>EGYPT ESTATE</v>
      </c>
      <c r="N596" s="6" t="s">
        <v>287</v>
      </c>
      <c r="O596" s="6"/>
      <c r="P596" s="6"/>
      <c r="Q596" s="6"/>
      <c r="R596" s="6"/>
      <c r="S596" s="6"/>
      <c r="T596" s="6"/>
      <c r="U596" s="6"/>
      <c r="V596" s="6"/>
      <c r="W596" s="6"/>
      <c r="X596" s="6"/>
      <c r="Y596" s="6"/>
      <c r="Z596" s="6"/>
      <c r="AA596" s="6"/>
      <c r="AB596" s="6"/>
      <c r="AC596" s="6"/>
      <c r="AD596" s="6"/>
      <c r="AE596" s="6"/>
    </row>
    <row r="597" spans="1:31" ht="127.5" x14ac:dyDescent="0.2">
      <c r="A597" s="6" t="s">
        <v>3992</v>
      </c>
      <c r="B597" s="6" t="s">
        <v>4055</v>
      </c>
      <c r="C597" s="20" t="s">
        <v>4053</v>
      </c>
      <c r="D597" s="6" t="s">
        <v>4056</v>
      </c>
      <c r="E597" s="6"/>
      <c r="F597" s="6" t="s">
        <v>4057</v>
      </c>
      <c r="G597" s="6" t="s">
        <v>4058</v>
      </c>
      <c r="H597" s="6" t="str">
        <f t="shared" si="34"/>
        <v>EGYPT FIELDHANDS
THOMAS FEWKES(P315
P524)</v>
      </c>
      <c r="I597" s="6" t="s">
        <v>784</v>
      </c>
      <c r="J597" s="6"/>
      <c r="K597" s="6"/>
      <c r="L597" s="6" t="s">
        <v>1888</v>
      </c>
      <c r="M597" s="6" t="str">
        <f>VLOOKUP(L597, GLOSSARY!$A:$C, 2, FALSE)</f>
        <v>EGYPT PAPAH TREE PIECE</v>
      </c>
      <c r="N597" s="6" t="s">
        <v>287</v>
      </c>
      <c r="O597" s="6"/>
      <c r="P597" s="6"/>
      <c r="Q597" s="6"/>
      <c r="R597" s="6"/>
      <c r="S597" s="6"/>
      <c r="T597" s="6"/>
      <c r="U597" s="6"/>
      <c r="V597" s="6"/>
      <c r="W597" s="6"/>
      <c r="X597" s="6"/>
      <c r="Y597" s="6"/>
      <c r="Z597" s="6"/>
      <c r="AA597" s="6"/>
      <c r="AB597" s="6"/>
      <c r="AC597" s="6"/>
      <c r="AD597" s="6"/>
      <c r="AE597" s="6"/>
    </row>
    <row r="598" spans="1:31" ht="63.75" x14ac:dyDescent="0.2">
      <c r="A598" s="6" t="s">
        <v>3992</v>
      </c>
      <c r="B598" s="6" t="s">
        <v>4039</v>
      </c>
      <c r="C598" s="20" t="s">
        <v>4059</v>
      </c>
      <c r="D598" s="6" t="s">
        <v>4060</v>
      </c>
      <c r="E598" s="6"/>
      <c r="F598" s="6"/>
      <c r="G598" s="6"/>
      <c r="H598" s="6" t="str">
        <f t="shared" si="34"/>
        <v>()</v>
      </c>
      <c r="I598" s="6" t="s">
        <v>26</v>
      </c>
      <c r="J598" s="6"/>
      <c r="K598" s="6"/>
      <c r="L598" s="6" t="s">
        <v>55</v>
      </c>
      <c r="M598" s="6" t="str">
        <f>VLOOKUP(L598, GLOSSARY!$A:$C, 2, FALSE)</f>
        <v>EGYPT ESTATE</v>
      </c>
      <c r="N598" s="6" t="s">
        <v>287</v>
      </c>
      <c r="O598" s="6"/>
      <c r="P598" s="6"/>
      <c r="Q598" s="6"/>
      <c r="R598" s="6"/>
      <c r="S598" s="6"/>
      <c r="T598" s="6"/>
      <c r="U598" s="6"/>
      <c r="V598" s="6"/>
      <c r="W598" s="6"/>
      <c r="X598" s="6"/>
      <c r="Y598" s="6"/>
      <c r="Z598" s="6"/>
      <c r="AA598" s="6"/>
      <c r="AB598" s="6"/>
      <c r="AC598" s="6"/>
      <c r="AD598" s="6"/>
      <c r="AE598" s="6"/>
    </row>
    <row r="599" spans="1:31" ht="25.5" x14ac:dyDescent="0.2">
      <c r="A599" s="6" t="s">
        <v>3686</v>
      </c>
      <c r="B599" s="6" t="s">
        <v>4055</v>
      </c>
      <c r="C599" s="20" t="s">
        <v>4059</v>
      </c>
      <c r="D599" s="6" t="s">
        <v>4061</v>
      </c>
      <c r="E599" s="6"/>
      <c r="F599" s="6" t="s">
        <v>48</v>
      </c>
      <c r="G599" s="6" t="s">
        <v>50</v>
      </c>
      <c r="H599" s="6" t="str">
        <f t="shared" si="34"/>
        <v>THE OVERSEER(P43)</v>
      </c>
      <c r="I599" s="6" t="s">
        <v>533</v>
      </c>
      <c r="J599" s="6"/>
      <c r="K599" s="6"/>
      <c r="L599" s="6" t="s">
        <v>55</v>
      </c>
      <c r="M599" s="6" t="str">
        <f>VLOOKUP(L599, GLOSSARY!$A:$C, 2, FALSE)</f>
        <v>EGYPT ESTATE</v>
      </c>
      <c r="N599" s="6" t="s">
        <v>287</v>
      </c>
      <c r="O599" s="6"/>
      <c r="P599" s="6"/>
      <c r="Q599" s="6"/>
      <c r="R599" s="6"/>
      <c r="S599" s="6"/>
      <c r="T599" s="6"/>
      <c r="U599" s="6"/>
      <c r="V599" s="6"/>
      <c r="W599" s="6"/>
      <c r="X599" s="6"/>
      <c r="Y599" s="6"/>
      <c r="Z599" s="6"/>
      <c r="AA599" s="6"/>
      <c r="AB599" s="6"/>
      <c r="AC599" s="6"/>
      <c r="AD599" s="6"/>
      <c r="AE599" s="6"/>
    </row>
    <row r="600" spans="1:31" ht="51" x14ac:dyDescent="0.2">
      <c r="A600" s="6" t="s">
        <v>3992</v>
      </c>
      <c r="B600" s="6" t="s">
        <v>4055</v>
      </c>
      <c r="C600" s="20" t="s">
        <v>4059</v>
      </c>
      <c r="D600" s="6" t="s">
        <v>4062</v>
      </c>
      <c r="E600" s="6"/>
      <c r="F600" s="6" t="s">
        <v>779</v>
      </c>
      <c r="G600" s="6" t="s">
        <v>780</v>
      </c>
      <c r="H600" s="6" t="str">
        <f t="shared" si="34"/>
        <v>EGYPT FIELDHANDS(P315)</v>
      </c>
      <c r="I600" s="6" t="s">
        <v>784</v>
      </c>
      <c r="J600" s="6"/>
      <c r="K600" s="6"/>
      <c r="L600" s="6" t="s">
        <v>55</v>
      </c>
      <c r="M600" s="6" t="str">
        <f>VLOOKUP(L600, GLOSSARY!$A:$C, 2, FALSE)</f>
        <v>EGYPT ESTATE</v>
      </c>
      <c r="N600" s="6" t="s">
        <v>287</v>
      </c>
      <c r="O600" s="6"/>
      <c r="P600" s="6"/>
      <c r="Q600" s="6"/>
      <c r="R600" s="6"/>
      <c r="S600" s="6"/>
      <c r="T600" s="6"/>
      <c r="U600" s="6"/>
      <c r="V600" s="6"/>
      <c r="W600" s="6"/>
      <c r="X600" s="6"/>
      <c r="Y600" s="6"/>
      <c r="Z600" s="6"/>
      <c r="AA600" s="6"/>
      <c r="AB600" s="6"/>
      <c r="AC600" s="6"/>
      <c r="AD600" s="6"/>
      <c r="AE600" s="6"/>
    </row>
    <row r="601" spans="1:31" ht="76.5" hidden="1" x14ac:dyDescent="0.2">
      <c r="A601" s="6" t="s">
        <v>4063</v>
      </c>
      <c r="B601" s="6" t="s">
        <v>70</v>
      </c>
      <c r="C601" s="20" t="s">
        <v>76</v>
      </c>
      <c r="D601" s="6" t="s">
        <v>4064</v>
      </c>
      <c r="E601" s="6"/>
      <c r="F601" s="6" t="s">
        <v>4065</v>
      </c>
      <c r="G601" s="6" t="s">
        <v>4066</v>
      </c>
      <c r="H601" s="6" t="str">
        <f>CONCATENATE(F601," (",G601,")")</f>
        <v>NANNY
THE PLANTER'S WIFE (P15
P45)</v>
      </c>
      <c r="I601" s="6"/>
      <c r="J601" s="6" t="s">
        <v>97</v>
      </c>
      <c r="K601" s="6"/>
      <c r="L601" s="6" t="s">
        <v>99</v>
      </c>
      <c r="M601" s="6" t="str">
        <f>VLOOKUP(L601, GLOSSARY!$A:$C, 2, FALSE)</f>
        <v>PARADISE ESTATE</v>
      </c>
      <c r="N601" s="6" t="s">
        <v>68</v>
      </c>
      <c r="O601" s="6" t="s">
        <v>4067</v>
      </c>
      <c r="P601" s="6"/>
      <c r="Q601" s="6"/>
      <c r="R601" s="6"/>
      <c r="S601" s="6"/>
      <c r="T601" s="6"/>
      <c r="U601" s="6"/>
      <c r="V601" s="6"/>
      <c r="W601" s="6"/>
      <c r="X601" s="6"/>
      <c r="Y601" s="6"/>
      <c r="Z601" s="6"/>
      <c r="AA601" s="6"/>
      <c r="AB601" s="6"/>
      <c r="AC601" s="6"/>
      <c r="AD601" s="6"/>
      <c r="AE601" s="6"/>
    </row>
    <row r="602" spans="1:31" ht="51" x14ac:dyDescent="0.2">
      <c r="A602" s="6" t="s">
        <v>3992</v>
      </c>
      <c r="B602" s="6" t="s">
        <v>4039</v>
      </c>
      <c r="C602" s="20" t="s">
        <v>4068</v>
      </c>
      <c r="D602" s="6" t="s">
        <v>4069</v>
      </c>
      <c r="E602" s="6"/>
      <c r="F602" s="6"/>
      <c r="G602" s="6"/>
      <c r="H602" s="6" t="str">
        <f t="shared" ref="H602:H603" si="35">CONCATENATE(F602,"(",G602,")")</f>
        <v>()</v>
      </c>
      <c r="I602" s="6" t="s">
        <v>26</v>
      </c>
      <c r="J602" s="6"/>
      <c r="K602" s="6"/>
      <c r="L602" s="6" t="s">
        <v>55</v>
      </c>
      <c r="M602" s="6" t="str">
        <f>VLOOKUP(L602, GLOSSARY!$A:$C, 2, FALSE)</f>
        <v>EGYPT ESTATE</v>
      </c>
      <c r="N602" s="6" t="s">
        <v>287</v>
      </c>
      <c r="O602" s="6"/>
      <c r="P602" s="6"/>
      <c r="Q602" s="6"/>
      <c r="R602" s="6"/>
      <c r="S602" s="6"/>
      <c r="T602" s="6"/>
      <c r="U602" s="6"/>
      <c r="V602" s="6"/>
      <c r="W602" s="6"/>
      <c r="X602" s="6"/>
      <c r="Y602" s="6"/>
      <c r="Z602" s="6"/>
      <c r="AA602" s="6"/>
      <c r="AB602" s="6"/>
      <c r="AC602" s="6"/>
      <c r="AD602" s="6"/>
      <c r="AE602" s="6"/>
    </row>
    <row r="603" spans="1:31" ht="25.5" x14ac:dyDescent="0.2">
      <c r="A603" s="6" t="s">
        <v>3686</v>
      </c>
      <c r="B603" s="6" t="s">
        <v>4055</v>
      </c>
      <c r="C603" s="20" t="s">
        <v>4068</v>
      </c>
      <c r="D603" s="6" t="s">
        <v>4070</v>
      </c>
      <c r="E603" s="6"/>
      <c r="F603" s="6" t="s">
        <v>48</v>
      </c>
      <c r="G603" s="6" t="s">
        <v>50</v>
      </c>
      <c r="H603" s="6" t="str">
        <f t="shared" si="35"/>
        <v>THE OVERSEER(P43)</v>
      </c>
      <c r="I603" s="6" t="s">
        <v>533</v>
      </c>
      <c r="J603" s="6"/>
      <c r="K603" s="6"/>
      <c r="L603" s="6" t="s">
        <v>55</v>
      </c>
      <c r="M603" s="6" t="str">
        <f>VLOOKUP(L603, GLOSSARY!$A:$C, 2, FALSE)</f>
        <v>EGYPT ESTATE</v>
      </c>
      <c r="N603" s="6" t="s">
        <v>287</v>
      </c>
      <c r="O603" s="6"/>
      <c r="P603" s="6"/>
      <c r="Q603" s="6"/>
      <c r="R603" s="6"/>
      <c r="S603" s="6"/>
      <c r="T603" s="6"/>
      <c r="U603" s="6"/>
      <c r="V603" s="6"/>
      <c r="W603" s="6"/>
      <c r="X603" s="6"/>
      <c r="Y603" s="6"/>
      <c r="Z603" s="6"/>
      <c r="AA603" s="6"/>
      <c r="AB603" s="6"/>
      <c r="AC603" s="6"/>
      <c r="AD603" s="6"/>
      <c r="AE603" s="6"/>
    </row>
    <row r="604" spans="1:31" ht="38.25" hidden="1" x14ac:dyDescent="0.2">
      <c r="A604" s="6" t="s">
        <v>4071</v>
      </c>
      <c r="B604" s="6" t="s">
        <v>2348</v>
      </c>
      <c r="C604" s="20" t="s">
        <v>4072</v>
      </c>
      <c r="D604" s="6" t="s">
        <v>4073</v>
      </c>
      <c r="E604" s="6" t="s">
        <v>4074</v>
      </c>
      <c r="F604" s="6" t="s">
        <v>839</v>
      </c>
      <c r="G604" s="6" t="s">
        <v>837</v>
      </c>
      <c r="H604" s="18" t="str">
        <f>CONCATENATE(F604," (",G604,")")</f>
        <v>EVE (P128)</v>
      </c>
      <c r="I604" s="6" t="s">
        <v>96</v>
      </c>
      <c r="J604" s="6"/>
      <c r="K604" s="6" t="s">
        <v>141</v>
      </c>
      <c r="L604" s="6" t="s">
        <v>99</v>
      </c>
      <c r="M604" s="18" t="str">
        <f>VLOOKUP(L604, GLOSSARY!$A:$C, 2, FALSE)</f>
        <v>PARADISE ESTATE</v>
      </c>
      <c r="N604" s="6" t="s">
        <v>167</v>
      </c>
      <c r="O604" s="6"/>
      <c r="P604" s="6"/>
      <c r="Q604" s="6"/>
      <c r="R604" s="6"/>
      <c r="S604" s="6"/>
      <c r="T604" s="6"/>
      <c r="U604" s="6"/>
      <c r="V604" s="6"/>
      <c r="W604" s="6"/>
      <c r="X604" s="6"/>
      <c r="Y604" s="6"/>
      <c r="Z604" s="6"/>
      <c r="AA604" s="6"/>
      <c r="AB604" s="6"/>
      <c r="AC604" s="6"/>
      <c r="AD604" s="6"/>
      <c r="AE604" s="6"/>
    </row>
    <row r="605" spans="1:31" ht="102" x14ac:dyDescent="0.2">
      <c r="A605" s="6" t="s">
        <v>3992</v>
      </c>
      <c r="B605" s="6" t="s">
        <v>4039</v>
      </c>
      <c r="C605" s="20" t="s">
        <v>4075</v>
      </c>
      <c r="D605" s="6" t="s">
        <v>4076</v>
      </c>
      <c r="E605" s="6"/>
      <c r="F605" s="6"/>
      <c r="G605" s="6"/>
      <c r="H605" s="6" t="str">
        <f t="shared" ref="H605:H706" si="36">CONCATENATE(F605,"(",G605,")")</f>
        <v>()</v>
      </c>
      <c r="I605" s="6" t="s">
        <v>26</v>
      </c>
      <c r="J605" s="6"/>
      <c r="K605" s="6"/>
      <c r="L605" s="6" t="s">
        <v>55</v>
      </c>
      <c r="M605" s="6" t="str">
        <f>VLOOKUP(L605, GLOSSARY!$A:$C, 2, FALSE)</f>
        <v>EGYPT ESTATE</v>
      </c>
      <c r="N605" s="6" t="s">
        <v>287</v>
      </c>
      <c r="O605" s="6"/>
      <c r="P605" s="6"/>
      <c r="Q605" s="6"/>
      <c r="R605" s="6"/>
      <c r="S605" s="6"/>
      <c r="T605" s="6"/>
      <c r="U605" s="6"/>
      <c r="V605" s="6"/>
      <c r="W605" s="6"/>
      <c r="X605" s="6"/>
      <c r="Y605" s="6"/>
      <c r="Z605" s="6"/>
      <c r="AA605" s="6"/>
      <c r="AB605" s="6"/>
      <c r="AC605" s="6"/>
      <c r="AD605" s="6"/>
      <c r="AE605" s="6"/>
    </row>
    <row r="606" spans="1:31" ht="51" x14ac:dyDescent="0.2">
      <c r="A606" s="6" t="s">
        <v>3686</v>
      </c>
      <c r="B606" s="6" t="s">
        <v>4077</v>
      </c>
      <c r="C606" s="20" t="s">
        <v>4078</v>
      </c>
      <c r="D606" s="6" t="s">
        <v>4079</v>
      </c>
      <c r="E606" s="6"/>
      <c r="F606" s="6" t="s">
        <v>48</v>
      </c>
      <c r="G606" s="6" t="s">
        <v>50</v>
      </c>
      <c r="H606" s="6" t="str">
        <f t="shared" si="36"/>
        <v>THE OVERSEER(P43)</v>
      </c>
      <c r="I606" s="6" t="s">
        <v>533</v>
      </c>
      <c r="J606" s="6"/>
      <c r="K606" s="6"/>
      <c r="L606" s="6" t="s">
        <v>55</v>
      </c>
      <c r="M606" s="6" t="s">
        <v>284</v>
      </c>
      <c r="N606" s="6" t="s">
        <v>167</v>
      </c>
      <c r="O606" s="6"/>
      <c r="P606" s="6"/>
      <c r="Q606" s="6"/>
      <c r="R606" s="6"/>
      <c r="S606" s="6"/>
      <c r="T606" s="6"/>
      <c r="U606" s="6"/>
      <c r="V606" s="6"/>
      <c r="W606" s="6"/>
      <c r="X606" s="6"/>
      <c r="Y606" s="6"/>
      <c r="Z606" s="6"/>
      <c r="AA606" s="6"/>
      <c r="AB606" s="6"/>
      <c r="AC606" s="6"/>
      <c r="AD606" s="6"/>
      <c r="AE606" s="6"/>
    </row>
    <row r="607" spans="1:31" ht="76.5" x14ac:dyDescent="0.2">
      <c r="A607" s="6" t="s">
        <v>3992</v>
      </c>
      <c r="B607" s="6" t="s">
        <v>4080</v>
      </c>
      <c r="C607" s="20" t="s">
        <v>4078</v>
      </c>
      <c r="D607" s="6" t="s">
        <v>4081</v>
      </c>
      <c r="E607" s="6"/>
      <c r="F607" s="6"/>
      <c r="G607" s="6"/>
      <c r="H607" s="6" t="str">
        <f t="shared" si="36"/>
        <v>()</v>
      </c>
      <c r="I607" s="6" t="s">
        <v>26</v>
      </c>
      <c r="J607" s="6"/>
      <c r="K607" s="6"/>
      <c r="L607" s="6" t="s">
        <v>55</v>
      </c>
      <c r="M607" s="6" t="str">
        <f>VLOOKUP(L607, GLOSSARY!$A:$C, 2, FALSE)</f>
        <v>EGYPT ESTATE</v>
      </c>
      <c r="N607" s="6" t="s">
        <v>287</v>
      </c>
      <c r="O607" s="6"/>
      <c r="P607" s="6"/>
      <c r="Q607" s="6"/>
      <c r="R607" s="6"/>
      <c r="S607" s="6"/>
      <c r="T607" s="6"/>
      <c r="U607" s="6"/>
      <c r="V607" s="6"/>
      <c r="W607" s="6"/>
      <c r="X607" s="6"/>
      <c r="Y607" s="6"/>
      <c r="Z607" s="6"/>
      <c r="AA607" s="6"/>
      <c r="AB607" s="6"/>
      <c r="AC607" s="6"/>
      <c r="AD607" s="6"/>
      <c r="AE607" s="6"/>
    </row>
    <row r="608" spans="1:31" ht="51" x14ac:dyDescent="0.2">
      <c r="A608" s="6" t="s">
        <v>3686</v>
      </c>
      <c r="B608" s="6" t="s">
        <v>4077</v>
      </c>
      <c r="C608" s="20" t="s">
        <v>4078</v>
      </c>
      <c r="D608" s="6" t="s">
        <v>4082</v>
      </c>
      <c r="E608" s="6"/>
      <c r="F608" s="6" t="s">
        <v>48</v>
      </c>
      <c r="G608" s="6" t="s">
        <v>50</v>
      </c>
      <c r="H608" s="6" t="str">
        <f t="shared" si="36"/>
        <v>THE OVERSEER(P43)</v>
      </c>
      <c r="I608" s="6" t="s">
        <v>533</v>
      </c>
      <c r="J608" s="6"/>
      <c r="K608" s="6"/>
      <c r="L608" s="6" t="s">
        <v>55</v>
      </c>
      <c r="M608" s="6" t="str">
        <f>VLOOKUP(L608, GLOSSARY!$A:$C, 2, FALSE)</f>
        <v>EGYPT ESTATE</v>
      </c>
      <c r="N608" s="6" t="s">
        <v>287</v>
      </c>
      <c r="O608" s="6"/>
      <c r="P608" s="6"/>
      <c r="Q608" s="6"/>
      <c r="R608" s="6"/>
      <c r="S608" s="6"/>
      <c r="T608" s="6"/>
      <c r="U608" s="6"/>
      <c r="V608" s="6"/>
      <c r="W608" s="6"/>
      <c r="X608" s="6"/>
      <c r="Y608" s="6"/>
      <c r="Z608" s="6"/>
      <c r="AA608" s="6"/>
      <c r="AB608" s="6"/>
      <c r="AC608" s="6"/>
      <c r="AD608" s="6"/>
      <c r="AE608" s="6"/>
    </row>
    <row r="609" spans="1:31" ht="38.25" x14ac:dyDescent="0.2">
      <c r="A609" s="6" t="s">
        <v>3992</v>
      </c>
      <c r="B609" s="6" t="s">
        <v>4083</v>
      </c>
      <c r="C609" s="20" t="s">
        <v>4084</v>
      </c>
      <c r="D609" s="6" t="s">
        <v>4085</v>
      </c>
      <c r="E609" s="6"/>
      <c r="F609" s="6" t="s">
        <v>4086</v>
      </c>
      <c r="G609" s="6" t="s">
        <v>137</v>
      </c>
      <c r="H609" s="6" t="str">
        <f t="shared" si="36"/>
        <v>PRINCESS
WANGA(P27)</v>
      </c>
      <c r="I609" s="6" t="s">
        <v>96</v>
      </c>
      <c r="J609" s="6"/>
      <c r="K609" s="6"/>
      <c r="L609" s="6" t="s">
        <v>55</v>
      </c>
      <c r="M609" s="6" t="str">
        <f>VLOOKUP(L609, GLOSSARY!$A:$C, 2, FALSE)</f>
        <v>EGYPT ESTATE</v>
      </c>
      <c r="N609" s="6" t="s">
        <v>68</v>
      </c>
      <c r="O609" s="6"/>
      <c r="P609" s="6"/>
      <c r="Q609" s="6"/>
      <c r="R609" s="6"/>
      <c r="S609" s="6"/>
      <c r="T609" s="6"/>
      <c r="U609" s="6"/>
      <c r="V609" s="6"/>
      <c r="W609" s="6"/>
      <c r="X609" s="6"/>
      <c r="Y609" s="6"/>
      <c r="Z609" s="6"/>
      <c r="AA609" s="6"/>
      <c r="AB609" s="6"/>
      <c r="AC609" s="6"/>
      <c r="AD609" s="6"/>
      <c r="AE609" s="6"/>
    </row>
    <row r="610" spans="1:31" ht="51" x14ac:dyDescent="0.2">
      <c r="A610" s="6" t="s">
        <v>3992</v>
      </c>
      <c r="B610" s="6" t="s">
        <v>4080</v>
      </c>
      <c r="C610" s="20" t="s">
        <v>4084</v>
      </c>
      <c r="D610" s="6" t="s">
        <v>4087</v>
      </c>
      <c r="E610" s="6"/>
      <c r="F610" s="6"/>
      <c r="G610" s="6"/>
      <c r="H610" s="6" t="str">
        <f t="shared" si="36"/>
        <v>()</v>
      </c>
      <c r="I610" s="6" t="s">
        <v>26</v>
      </c>
      <c r="J610" s="6"/>
      <c r="K610" s="6"/>
      <c r="L610" s="6" t="s">
        <v>55</v>
      </c>
      <c r="M610" s="6" t="str">
        <f>VLOOKUP(L610, GLOSSARY!$A:$C, 2, FALSE)</f>
        <v>EGYPT ESTATE</v>
      </c>
      <c r="N610" s="6" t="s">
        <v>287</v>
      </c>
      <c r="O610" s="6"/>
      <c r="P610" s="6"/>
      <c r="Q610" s="6"/>
      <c r="R610" s="6"/>
      <c r="S610" s="6"/>
      <c r="T610" s="6"/>
      <c r="U610" s="6"/>
      <c r="V610" s="6"/>
      <c r="W610" s="6"/>
      <c r="X610" s="6"/>
      <c r="Y610" s="6"/>
      <c r="Z610" s="6"/>
      <c r="AA610" s="6"/>
      <c r="AB610" s="6"/>
      <c r="AC610" s="6"/>
      <c r="AD610" s="6"/>
      <c r="AE610" s="6"/>
    </row>
    <row r="611" spans="1:31" ht="76.5" x14ac:dyDescent="0.2">
      <c r="A611" s="6" t="s">
        <v>3686</v>
      </c>
      <c r="B611" s="6" t="s">
        <v>4088</v>
      </c>
      <c r="C611" s="20" t="s">
        <v>4084</v>
      </c>
      <c r="D611" s="6" t="s">
        <v>4089</v>
      </c>
      <c r="E611" s="6"/>
      <c r="F611" s="6" t="s">
        <v>48</v>
      </c>
      <c r="G611" s="6" t="s">
        <v>50</v>
      </c>
      <c r="H611" s="6" t="str">
        <f t="shared" si="36"/>
        <v>THE OVERSEER(P43)</v>
      </c>
      <c r="I611" s="6" t="s">
        <v>533</v>
      </c>
      <c r="J611" s="6"/>
      <c r="K611" s="6"/>
      <c r="L611" s="6" t="s">
        <v>55</v>
      </c>
      <c r="M611" s="6" t="str">
        <f>VLOOKUP(L611, GLOSSARY!$A:$C, 2, FALSE)</f>
        <v>EGYPT ESTATE</v>
      </c>
      <c r="N611" s="6" t="s">
        <v>287</v>
      </c>
      <c r="O611" s="6"/>
      <c r="P611" s="6"/>
      <c r="Q611" s="6"/>
      <c r="R611" s="6"/>
      <c r="S611" s="6"/>
      <c r="T611" s="6"/>
      <c r="U611" s="6"/>
      <c r="V611" s="6"/>
      <c r="W611" s="6"/>
      <c r="X611" s="6"/>
      <c r="Y611" s="6"/>
      <c r="Z611" s="6"/>
      <c r="AA611" s="6"/>
      <c r="AB611" s="6"/>
      <c r="AC611" s="6"/>
      <c r="AD611" s="6"/>
      <c r="AE611" s="6"/>
    </row>
    <row r="612" spans="1:31" ht="76.5" x14ac:dyDescent="0.2">
      <c r="A612" s="6" t="s">
        <v>3686</v>
      </c>
      <c r="B612" s="6" t="s">
        <v>4083</v>
      </c>
      <c r="C612" s="20" t="s">
        <v>4090</v>
      </c>
      <c r="D612" s="6" t="s">
        <v>4091</v>
      </c>
      <c r="E612" s="6"/>
      <c r="F612" s="6" t="s">
        <v>48</v>
      </c>
      <c r="G612" s="6" t="s">
        <v>50</v>
      </c>
      <c r="H612" s="6" t="str">
        <f t="shared" si="36"/>
        <v>THE OVERSEER(P43)</v>
      </c>
      <c r="I612" s="6" t="s">
        <v>533</v>
      </c>
      <c r="J612" s="6"/>
      <c r="K612" s="6"/>
      <c r="L612" s="6" t="s">
        <v>55</v>
      </c>
      <c r="M612" s="6" t="s">
        <v>284</v>
      </c>
      <c r="N612" s="6" t="s">
        <v>167</v>
      </c>
      <c r="O612" s="6"/>
      <c r="P612" s="6"/>
      <c r="Q612" s="6"/>
      <c r="R612" s="6"/>
      <c r="S612" s="6"/>
      <c r="T612" s="6"/>
      <c r="U612" s="6"/>
      <c r="V612" s="6"/>
      <c r="W612" s="6"/>
      <c r="X612" s="6"/>
      <c r="Y612" s="6"/>
      <c r="Z612" s="6"/>
      <c r="AA612" s="6"/>
      <c r="AB612" s="6"/>
      <c r="AC612" s="6"/>
      <c r="AD612" s="6"/>
      <c r="AE612" s="6"/>
    </row>
    <row r="613" spans="1:31" ht="76.5" x14ac:dyDescent="0.2">
      <c r="A613" s="6" t="s">
        <v>3686</v>
      </c>
      <c r="B613" s="6" t="s">
        <v>4092</v>
      </c>
      <c r="C613" s="20" t="s">
        <v>4093</v>
      </c>
      <c r="D613" s="6" t="s">
        <v>4094</v>
      </c>
      <c r="E613" s="6"/>
      <c r="F613" s="6" t="s">
        <v>48</v>
      </c>
      <c r="G613" s="6" t="s">
        <v>4095</v>
      </c>
      <c r="H613" s="6" t="str">
        <f t="shared" si="36"/>
        <v>THE OVERSEER(P43
)</v>
      </c>
      <c r="I613" s="6" t="s">
        <v>533</v>
      </c>
      <c r="J613" s="6"/>
      <c r="K613" s="6"/>
      <c r="L613" s="6" t="s">
        <v>55</v>
      </c>
      <c r="M613" s="6" t="str">
        <f>VLOOKUP(L613, GLOSSARY!$A:$C, 2, FALSE)</f>
        <v>EGYPT ESTATE</v>
      </c>
      <c r="N613" s="6" t="s">
        <v>287</v>
      </c>
      <c r="O613" s="6"/>
      <c r="P613" s="6"/>
      <c r="Q613" s="6"/>
      <c r="R613" s="6"/>
      <c r="S613" s="6"/>
      <c r="T613" s="6"/>
      <c r="U613" s="6"/>
      <c r="V613" s="6"/>
      <c r="W613" s="6"/>
      <c r="X613" s="6"/>
      <c r="Y613" s="6"/>
      <c r="Z613" s="6"/>
      <c r="AA613" s="6"/>
      <c r="AB613" s="6"/>
      <c r="AC613" s="6"/>
      <c r="AD613" s="6"/>
      <c r="AE613" s="6"/>
    </row>
    <row r="614" spans="1:31" ht="38.25" x14ac:dyDescent="0.2">
      <c r="A614" s="6" t="s">
        <v>3686</v>
      </c>
      <c r="B614" s="6" t="s">
        <v>4096</v>
      </c>
      <c r="C614" s="20" t="s">
        <v>4097</v>
      </c>
      <c r="D614" s="6" t="s">
        <v>4098</v>
      </c>
      <c r="E614" s="6"/>
      <c r="F614" s="6" t="s">
        <v>48</v>
      </c>
      <c r="G614" s="6" t="s">
        <v>50</v>
      </c>
      <c r="H614" s="6" t="str">
        <f t="shared" si="36"/>
        <v>THE OVERSEER(P43)</v>
      </c>
      <c r="I614" s="6" t="s">
        <v>533</v>
      </c>
      <c r="J614" s="6"/>
      <c r="K614" s="6"/>
      <c r="L614" s="6" t="s">
        <v>55</v>
      </c>
      <c r="M614" s="6" t="str">
        <f>VLOOKUP(L614, GLOSSARY!$A:$C, 2, FALSE)</f>
        <v>EGYPT ESTATE</v>
      </c>
      <c r="N614" s="6" t="s">
        <v>287</v>
      </c>
      <c r="O614" s="6"/>
      <c r="P614" s="6"/>
      <c r="Q614" s="6"/>
      <c r="R614" s="6"/>
      <c r="S614" s="6"/>
      <c r="T614" s="6"/>
      <c r="U614" s="6"/>
      <c r="V614" s="6"/>
      <c r="W614" s="6"/>
      <c r="X614" s="6"/>
      <c r="Y614" s="6"/>
      <c r="Z614" s="6"/>
      <c r="AA614" s="6"/>
      <c r="AB614" s="6"/>
      <c r="AC614" s="6"/>
      <c r="AD614" s="6"/>
      <c r="AE614" s="6"/>
    </row>
    <row r="615" spans="1:31" ht="76.5" x14ac:dyDescent="0.2">
      <c r="A615" s="6" t="s">
        <v>3686</v>
      </c>
      <c r="B615" s="6" t="s">
        <v>4099</v>
      </c>
      <c r="C615" s="20" t="s">
        <v>4100</v>
      </c>
      <c r="D615" s="6" t="s">
        <v>4101</v>
      </c>
      <c r="E615" s="6"/>
      <c r="F615" s="6" t="s">
        <v>48</v>
      </c>
      <c r="G615" s="6" t="s">
        <v>50</v>
      </c>
      <c r="H615" s="6" t="str">
        <f t="shared" si="36"/>
        <v>THE OVERSEER(P43)</v>
      </c>
      <c r="I615" s="6" t="s">
        <v>533</v>
      </c>
      <c r="J615" s="6"/>
      <c r="K615" s="6"/>
      <c r="L615" s="6" t="s">
        <v>55</v>
      </c>
      <c r="M615" s="6" t="str">
        <f>VLOOKUP(L615, GLOSSARY!$A:$C, 2, FALSE)</f>
        <v>EGYPT ESTATE</v>
      </c>
      <c r="N615" s="6" t="s">
        <v>3146</v>
      </c>
      <c r="O615" s="6"/>
      <c r="P615" s="6"/>
      <c r="Q615" s="6"/>
      <c r="R615" s="6"/>
      <c r="S615" s="6"/>
      <c r="T615" s="6"/>
      <c r="U615" s="6"/>
      <c r="V615" s="6"/>
      <c r="W615" s="6"/>
      <c r="X615" s="6"/>
      <c r="Y615" s="6"/>
      <c r="Z615" s="6"/>
      <c r="AA615" s="6"/>
      <c r="AB615" s="6"/>
      <c r="AC615" s="6"/>
      <c r="AD615" s="6"/>
      <c r="AE615" s="6"/>
    </row>
    <row r="616" spans="1:31" ht="51" x14ac:dyDescent="0.2">
      <c r="A616" s="6" t="s">
        <v>4102</v>
      </c>
      <c r="B616" s="6" t="s">
        <v>4103</v>
      </c>
      <c r="C616" s="20" t="s">
        <v>4104</v>
      </c>
      <c r="D616" s="6" t="s">
        <v>4105</v>
      </c>
      <c r="E616" s="6"/>
      <c r="F616" s="6" t="s">
        <v>1795</v>
      </c>
      <c r="G616" s="6" t="s">
        <v>1794</v>
      </c>
      <c r="H616" s="6" t="str">
        <f t="shared" si="36"/>
        <v>MARY (JOHN EDMOND'S WIFE)(P304)</v>
      </c>
      <c r="I616" s="6" t="s">
        <v>1068</v>
      </c>
      <c r="J616" s="6"/>
      <c r="K616" s="6"/>
      <c r="L616" s="6"/>
      <c r="M616" s="6" t="e">
        <f>VLOOKUP(L616, GLOSSARY!$A:$C, 2, FALSE)</f>
        <v>#N/A</v>
      </c>
      <c r="N616" s="6"/>
      <c r="O616" s="6"/>
      <c r="P616" s="6"/>
      <c r="Q616" s="6"/>
      <c r="R616" s="6"/>
      <c r="S616" s="6"/>
      <c r="T616" s="6"/>
      <c r="U616" s="6"/>
      <c r="V616" s="6"/>
      <c r="W616" s="6"/>
      <c r="X616" s="6"/>
      <c r="Y616" s="6"/>
      <c r="Z616" s="6"/>
      <c r="AA616" s="6"/>
      <c r="AB616" s="6"/>
      <c r="AC616" s="6"/>
      <c r="AD616" s="6"/>
      <c r="AE616" s="6"/>
    </row>
    <row r="617" spans="1:31" ht="127.5" x14ac:dyDescent="0.2">
      <c r="A617" s="6" t="s">
        <v>1254</v>
      </c>
      <c r="B617" s="6" t="s">
        <v>4103</v>
      </c>
      <c r="C617" s="20" t="s">
        <v>4106</v>
      </c>
      <c r="D617" s="6" t="s">
        <v>4107</v>
      </c>
      <c r="E617" s="6"/>
      <c r="F617" s="6" t="s">
        <v>4108</v>
      </c>
      <c r="G617" s="6" t="s">
        <v>4109</v>
      </c>
      <c r="H617" s="6" t="str">
        <f t="shared" si="36"/>
        <v>THE OVERSEER
AMBO
AGNES(P43
P124
P170)</v>
      </c>
      <c r="I617" s="6" t="s">
        <v>112</v>
      </c>
      <c r="J617" s="6"/>
      <c r="K617" s="6"/>
      <c r="L617" s="6" t="s">
        <v>55</v>
      </c>
      <c r="M617" s="6" t="str">
        <f>VLOOKUP(L617, GLOSSARY!$A:$C, 2, FALSE)</f>
        <v>EGYPT ESTATE</v>
      </c>
      <c r="N617" s="6" t="s">
        <v>68</v>
      </c>
      <c r="O617" s="6"/>
      <c r="P617" s="6"/>
      <c r="Q617" s="6"/>
      <c r="R617" s="6"/>
      <c r="S617" s="6"/>
      <c r="T617" s="6"/>
      <c r="U617" s="6"/>
      <c r="V617" s="6"/>
      <c r="W617" s="6"/>
      <c r="X617" s="6"/>
      <c r="Y617" s="6"/>
      <c r="Z617" s="6"/>
      <c r="AA617" s="6"/>
      <c r="AB617" s="6"/>
      <c r="AC617" s="6"/>
      <c r="AD617" s="6"/>
      <c r="AE617" s="6"/>
    </row>
    <row r="618" spans="1:31" ht="38.25" x14ac:dyDescent="0.2">
      <c r="A618" s="6" t="s">
        <v>3686</v>
      </c>
      <c r="B618" s="6" t="s">
        <v>4103</v>
      </c>
      <c r="C618" s="20" t="s">
        <v>4106</v>
      </c>
      <c r="D618" s="6" t="s">
        <v>4110</v>
      </c>
      <c r="E618" s="6"/>
      <c r="F618" s="6" t="s">
        <v>48</v>
      </c>
      <c r="G618" s="6" t="s">
        <v>50</v>
      </c>
      <c r="H618" s="6" t="str">
        <f t="shared" si="36"/>
        <v>THE OVERSEER(P43)</v>
      </c>
      <c r="I618" s="6" t="s">
        <v>533</v>
      </c>
      <c r="J618" s="6"/>
      <c r="K618" s="6"/>
      <c r="L618" s="6" t="s">
        <v>785</v>
      </c>
      <c r="M618" s="6" t="str">
        <f>VLOOKUP(L618, GLOSSARY!$A:$C, 2, FALSE)</f>
        <v>EGYPT ESTATE</v>
      </c>
      <c r="N618" s="6" t="s">
        <v>287</v>
      </c>
      <c r="O618" s="6"/>
      <c r="P618" s="6"/>
      <c r="Q618" s="6"/>
      <c r="R618" s="6"/>
      <c r="S618" s="6"/>
      <c r="T618" s="6"/>
      <c r="U618" s="6"/>
      <c r="V618" s="6"/>
      <c r="W618" s="6"/>
      <c r="X618" s="6"/>
      <c r="Y618" s="6"/>
      <c r="Z618" s="6"/>
      <c r="AA618" s="6"/>
      <c r="AB618" s="6"/>
      <c r="AC618" s="6"/>
      <c r="AD618" s="6"/>
      <c r="AE618" s="6"/>
    </row>
    <row r="619" spans="1:31" ht="102" x14ac:dyDescent="0.2">
      <c r="A619" s="6" t="s">
        <v>4111</v>
      </c>
      <c r="B619" s="6" t="s">
        <v>4112</v>
      </c>
      <c r="C619" s="20" t="s">
        <v>4113</v>
      </c>
      <c r="D619" s="6" t="s">
        <v>4114</v>
      </c>
      <c r="E619" s="6"/>
      <c r="F619" s="6" t="s">
        <v>779</v>
      </c>
      <c r="G619" s="6" t="s">
        <v>780</v>
      </c>
      <c r="H619" s="6" t="str">
        <f t="shared" si="36"/>
        <v>EGYPT FIELDHANDS(P315)</v>
      </c>
      <c r="I619" s="6" t="s">
        <v>784</v>
      </c>
      <c r="J619" s="6"/>
      <c r="K619" s="6"/>
      <c r="L619" s="6" t="s">
        <v>2228</v>
      </c>
      <c r="M619" s="6" t="s">
        <v>2891</v>
      </c>
      <c r="N619" s="6" t="s">
        <v>68</v>
      </c>
      <c r="O619" s="6"/>
      <c r="P619" s="6"/>
      <c r="Q619" s="6"/>
      <c r="R619" s="6"/>
      <c r="S619" s="6"/>
      <c r="T619" s="6"/>
      <c r="U619" s="6"/>
      <c r="V619" s="6"/>
      <c r="W619" s="6"/>
      <c r="X619" s="6"/>
      <c r="Y619" s="6"/>
      <c r="Z619" s="6"/>
      <c r="AA619" s="6"/>
      <c r="AB619" s="6"/>
      <c r="AC619" s="6"/>
      <c r="AD619" s="6"/>
      <c r="AE619" s="6"/>
    </row>
    <row r="620" spans="1:31" ht="38.25" x14ac:dyDescent="0.2">
      <c r="A620" s="6" t="s">
        <v>3686</v>
      </c>
      <c r="B620" s="6" t="s">
        <v>4112</v>
      </c>
      <c r="C620" s="20" t="s">
        <v>4113</v>
      </c>
      <c r="D620" s="6" t="s">
        <v>4115</v>
      </c>
      <c r="E620" s="6"/>
      <c r="F620" s="6" t="s">
        <v>48</v>
      </c>
      <c r="G620" s="6" t="s">
        <v>50</v>
      </c>
      <c r="H620" s="6" t="str">
        <f t="shared" si="36"/>
        <v>THE OVERSEER(P43)</v>
      </c>
      <c r="I620" s="6" t="s">
        <v>533</v>
      </c>
      <c r="J620" s="6"/>
      <c r="K620" s="6"/>
      <c r="L620" s="6" t="s">
        <v>55</v>
      </c>
      <c r="M620" s="6" t="str">
        <f>VLOOKUP(L620, GLOSSARY!$A:$C, 2, FALSE)</f>
        <v>EGYPT ESTATE</v>
      </c>
      <c r="N620" s="6" t="s">
        <v>287</v>
      </c>
      <c r="O620" s="6"/>
      <c r="P620" s="6"/>
      <c r="Q620" s="6"/>
      <c r="R620" s="6"/>
      <c r="S620" s="6"/>
      <c r="T620" s="6"/>
      <c r="U620" s="6"/>
      <c r="V620" s="6"/>
      <c r="W620" s="6"/>
      <c r="X620" s="6"/>
      <c r="Y620" s="6"/>
      <c r="Z620" s="6"/>
      <c r="AA620" s="6"/>
      <c r="AB620" s="6"/>
      <c r="AC620" s="6"/>
      <c r="AD620" s="6"/>
      <c r="AE620" s="6"/>
    </row>
    <row r="621" spans="1:31" ht="25.5" x14ac:dyDescent="0.2">
      <c r="A621" s="6" t="s">
        <v>3686</v>
      </c>
      <c r="B621" s="6" t="s">
        <v>4112</v>
      </c>
      <c r="C621" s="20" t="s">
        <v>4116</v>
      </c>
      <c r="D621" s="6" t="s">
        <v>4117</v>
      </c>
      <c r="E621" s="6"/>
      <c r="F621" s="6" t="s">
        <v>48</v>
      </c>
      <c r="G621" s="6" t="s">
        <v>50</v>
      </c>
      <c r="H621" s="6" t="str">
        <f t="shared" si="36"/>
        <v>THE OVERSEER(P43)</v>
      </c>
      <c r="I621" s="6" t="s">
        <v>533</v>
      </c>
      <c r="J621" s="6"/>
      <c r="K621" s="6"/>
      <c r="L621" s="6" t="s">
        <v>55</v>
      </c>
      <c r="M621" s="6" t="str">
        <f>VLOOKUP(L621, GLOSSARY!$A:$C, 2, FALSE)</f>
        <v>EGYPT ESTATE</v>
      </c>
      <c r="N621" s="6" t="s">
        <v>287</v>
      </c>
      <c r="O621" s="6"/>
      <c r="P621" s="6"/>
      <c r="Q621" s="6"/>
      <c r="R621" s="6"/>
      <c r="S621" s="6"/>
      <c r="T621" s="6"/>
      <c r="U621" s="6"/>
      <c r="V621" s="6"/>
      <c r="W621" s="6"/>
      <c r="X621" s="6"/>
      <c r="Y621" s="6"/>
      <c r="Z621" s="6"/>
      <c r="AA621" s="6"/>
      <c r="AB621" s="6"/>
      <c r="AC621" s="6"/>
      <c r="AD621" s="6"/>
      <c r="AE621" s="6"/>
    </row>
    <row r="622" spans="1:31" ht="38.25" x14ac:dyDescent="0.2">
      <c r="A622" s="6" t="s">
        <v>3686</v>
      </c>
      <c r="B622" s="6" t="s">
        <v>4118</v>
      </c>
      <c r="C622" s="20" t="s">
        <v>4119</v>
      </c>
      <c r="D622" s="6" t="s">
        <v>4120</v>
      </c>
      <c r="E622" s="6"/>
      <c r="F622" s="6"/>
      <c r="G622" s="6"/>
      <c r="H622" s="6" t="str">
        <f t="shared" si="36"/>
        <v>()</v>
      </c>
      <c r="I622" s="6" t="s">
        <v>26</v>
      </c>
      <c r="J622" s="6"/>
      <c r="K622" s="6"/>
      <c r="L622" s="6" t="s">
        <v>785</v>
      </c>
      <c r="M622" s="6" t="str">
        <f>VLOOKUP(L622, GLOSSARY!$A:$C, 2, FALSE)</f>
        <v>EGYPT ESTATE</v>
      </c>
      <c r="N622" s="6" t="s">
        <v>3146</v>
      </c>
      <c r="O622" s="6"/>
      <c r="P622" s="6"/>
      <c r="Q622" s="6"/>
      <c r="R622" s="6"/>
      <c r="S622" s="6"/>
      <c r="T622" s="6"/>
      <c r="U622" s="6"/>
      <c r="V622" s="6"/>
      <c r="W622" s="6"/>
      <c r="X622" s="6"/>
      <c r="Y622" s="6"/>
      <c r="Z622" s="6"/>
      <c r="AA622" s="6"/>
      <c r="AB622" s="6"/>
      <c r="AC622" s="6"/>
      <c r="AD622" s="6"/>
      <c r="AE622" s="6"/>
    </row>
    <row r="623" spans="1:31" ht="12.75" x14ac:dyDescent="0.2">
      <c r="A623" s="6" t="s">
        <v>4121</v>
      </c>
      <c r="B623" s="6" t="s">
        <v>4122</v>
      </c>
      <c r="C623" s="20" t="s">
        <v>4123</v>
      </c>
      <c r="D623" s="6" t="s">
        <v>4124</v>
      </c>
      <c r="E623" s="6"/>
      <c r="F623" s="6" t="s">
        <v>1082</v>
      </c>
      <c r="G623" s="6" t="s">
        <v>1080</v>
      </c>
      <c r="H623" s="6" t="str">
        <f t="shared" si="36"/>
        <v>AMBO(P170)</v>
      </c>
      <c r="I623" s="6" t="s">
        <v>533</v>
      </c>
      <c r="J623" s="6"/>
      <c r="K623" s="6"/>
      <c r="L623" s="6" t="s">
        <v>55</v>
      </c>
      <c r="M623" s="6" t="str">
        <f>VLOOKUP(L623, GLOSSARY!$A:$C, 2, FALSE)</f>
        <v>EGYPT ESTATE</v>
      </c>
      <c r="N623" s="6" t="s">
        <v>68</v>
      </c>
      <c r="O623" s="6"/>
      <c r="P623" s="6"/>
      <c r="Q623" s="6"/>
      <c r="R623" s="6"/>
      <c r="S623" s="6"/>
      <c r="T623" s="6"/>
      <c r="U623" s="6"/>
      <c r="V623" s="6"/>
      <c r="W623" s="6"/>
      <c r="X623" s="6"/>
      <c r="Y623" s="6"/>
      <c r="Z623" s="6"/>
      <c r="AA623" s="6"/>
      <c r="AB623" s="6"/>
      <c r="AC623" s="6"/>
      <c r="AD623" s="6"/>
      <c r="AE623" s="6"/>
    </row>
    <row r="624" spans="1:31" ht="165.75" x14ac:dyDescent="0.2">
      <c r="A624" s="6" t="s">
        <v>3686</v>
      </c>
      <c r="B624" s="6" t="s">
        <v>4122</v>
      </c>
      <c r="C624" s="20" t="s">
        <v>4123</v>
      </c>
      <c r="D624" s="6" t="s">
        <v>4125</v>
      </c>
      <c r="E624" s="6"/>
      <c r="F624" s="6" t="s">
        <v>4126</v>
      </c>
      <c r="G624" s="6" t="s">
        <v>4127</v>
      </c>
      <c r="H624" s="6" t="str">
        <f t="shared" si="36"/>
        <v>THE OVERSEER
DR. GORSE(P43
P228
)</v>
      </c>
      <c r="I624" s="6" t="s">
        <v>533</v>
      </c>
      <c r="J624" s="6"/>
      <c r="K624" s="6"/>
      <c r="L624" s="6" t="s">
        <v>55</v>
      </c>
      <c r="M624" s="6" t="str">
        <f>VLOOKUP(L624, GLOSSARY!$A:$C, 2, FALSE)</f>
        <v>EGYPT ESTATE</v>
      </c>
      <c r="N624" s="6" t="s">
        <v>287</v>
      </c>
      <c r="O624" s="6"/>
      <c r="P624" s="6"/>
      <c r="Q624" s="6"/>
      <c r="R624" s="6"/>
      <c r="S624" s="6"/>
      <c r="T624" s="6"/>
      <c r="U624" s="6"/>
      <c r="V624" s="6"/>
      <c r="W624" s="6"/>
      <c r="X624" s="6"/>
      <c r="Y624" s="6"/>
      <c r="Z624" s="6"/>
      <c r="AA624" s="6"/>
      <c r="AB624" s="6"/>
      <c r="AC624" s="6"/>
      <c r="AD624" s="6"/>
      <c r="AE624" s="6"/>
    </row>
    <row r="625" spans="1:31" ht="38.25" x14ac:dyDescent="0.2">
      <c r="A625" s="6" t="s">
        <v>3686</v>
      </c>
      <c r="B625" s="6" t="s">
        <v>4118</v>
      </c>
      <c r="C625" s="20" t="s">
        <v>4123</v>
      </c>
      <c r="D625" s="6" t="s">
        <v>4128</v>
      </c>
      <c r="E625" s="6"/>
      <c r="F625" s="6"/>
      <c r="G625" s="6"/>
      <c r="H625" s="6" t="str">
        <f t="shared" si="36"/>
        <v>()</v>
      </c>
      <c r="I625" s="6" t="s">
        <v>26</v>
      </c>
      <c r="J625" s="6"/>
      <c r="K625" s="6"/>
      <c r="L625" s="6" t="s">
        <v>55</v>
      </c>
      <c r="M625" s="6" t="str">
        <f>VLOOKUP(L625, GLOSSARY!$A:$C, 2, FALSE)</f>
        <v>EGYPT ESTATE</v>
      </c>
      <c r="N625" s="6" t="s">
        <v>287</v>
      </c>
      <c r="O625" s="6"/>
      <c r="P625" s="6"/>
      <c r="Q625" s="6"/>
      <c r="R625" s="6"/>
      <c r="S625" s="6"/>
      <c r="T625" s="6"/>
      <c r="U625" s="6"/>
      <c r="V625" s="6"/>
      <c r="W625" s="6"/>
      <c r="X625" s="6"/>
      <c r="Y625" s="6"/>
      <c r="Z625" s="6"/>
      <c r="AA625" s="6"/>
      <c r="AB625" s="6"/>
      <c r="AC625" s="6"/>
      <c r="AD625" s="6"/>
      <c r="AE625" s="6"/>
    </row>
    <row r="626" spans="1:31" ht="76.5" x14ac:dyDescent="0.2">
      <c r="A626" s="6" t="s">
        <v>4121</v>
      </c>
      <c r="B626" s="6" t="s">
        <v>4129</v>
      </c>
      <c r="C626" s="20" t="s">
        <v>4130</v>
      </c>
      <c r="D626" s="6" t="s">
        <v>4131</v>
      </c>
      <c r="E626" s="6"/>
      <c r="F626" s="6" t="s">
        <v>4010</v>
      </c>
      <c r="G626" s="6" t="s">
        <v>4132</v>
      </c>
      <c r="H626" s="6" t="str">
        <f t="shared" si="36"/>
        <v>AMBO
EGYPT FIELDHANDS(P315
P170)</v>
      </c>
      <c r="I626" s="6" t="s">
        <v>784</v>
      </c>
      <c r="J626" s="6"/>
      <c r="K626" s="6"/>
      <c r="L626" s="6" t="s">
        <v>2944</v>
      </c>
      <c r="M626" s="6" t="str">
        <f>VLOOKUP(L626, GLOSSARY!$A:$C, 2, FALSE)</f>
        <v>EGYPT OLD NEGROES HOUSE PIECE</v>
      </c>
      <c r="N626" s="6" t="s">
        <v>287</v>
      </c>
      <c r="O626" s="6"/>
      <c r="P626" s="6"/>
      <c r="Q626" s="6"/>
      <c r="R626" s="6"/>
      <c r="S626" s="6"/>
      <c r="T626" s="6"/>
      <c r="U626" s="6"/>
      <c r="V626" s="6"/>
      <c r="W626" s="6"/>
      <c r="X626" s="6"/>
      <c r="Y626" s="6"/>
      <c r="Z626" s="6"/>
      <c r="AA626" s="6"/>
      <c r="AB626" s="6"/>
      <c r="AC626" s="6"/>
      <c r="AD626" s="6"/>
      <c r="AE626" s="6"/>
    </row>
    <row r="627" spans="1:31" ht="114.75" x14ac:dyDescent="0.2">
      <c r="A627" s="6" t="s">
        <v>3686</v>
      </c>
      <c r="B627" s="6" t="s">
        <v>4133</v>
      </c>
      <c r="C627" s="20" t="s">
        <v>4130</v>
      </c>
      <c r="D627" s="6" t="s">
        <v>4134</v>
      </c>
      <c r="E627" s="6"/>
      <c r="F627" s="6" t="s">
        <v>4135</v>
      </c>
      <c r="G627" s="6" t="s">
        <v>4136</v>
      </c>
      <c r="H627" s="6" t="str">
        <f t="shared" si="36"/>
        <v>THE OVERSEER
DR. GORSE
MULATTO WILL(P43
P228
P448
)</v>
      </c>
      <c r="I627" s="6" t="s">
        <v>533</v>
      </c>
      <c r="J627" s="6"/>
      <c r="K627" s="6"/>
      <c r="L627" s="6" t="s">
        <v>55</v>
      </c>
      <c r="M627" s="6" t="str">
        <f>VLOOKUP(L627, GLOSSARY!$A:$C, 2, FALSE)</f>
        <v>EGYPT ESTATE</v>
      </c>
      <c r="N627" s="6" t="s">
        <v>287</v>
      </c>
      <c r="O627" s="6"/>
      <c r="P627" s="6"/>
      <c r="Q627" s="6"/>
      <c r="R627" s="6"/>
      <c r="S627" s="6"/>
      <c r="T627" s="6"/>
      <c r="U627" s="6"/>
      <c r="V627" s="6"/>
      <c r="W627" s="6"/>
      <c r="X627" s="6"/>
      <c r="Y627" s="6"/>
      <c r="Z627" s="6"/>
      <c r="AA627" s="6"/>
      <c r="AB627" s="6"/>
      <c r="AC627" s="6"/>
      <c r="AD627" s="6"/>
      <c r="AE627" s="6"/>
    </row>
    <row r="628" spans="1:31" ht="127.5" x14ac:dyDescent="0.2">
      <c r="A628" s="6" t="s">
        <v>3686</v>
      </c>
      <c r="B628" s="6" t="s">
        <v>4133</v>
      </c>
      <c r="C628" s="20" t="s">
        <v>4137</v>
      </c>
      <c r="D628" s="6" t="s">
        <v>4138</v>
      </c>
      <c r="E628" s="6"/>
      <c r="F628" s="6" t="s">
        <v>4126</v>
      </c>
      <c r="G628" s="6" t="s">
        <v>4139</v>
      </c>
      <c r="H628" s="6" t="str">
        <f t="shared" si="36"/>
        <v>THE OVERSEER
DR. GORSE(P43
P228)</v>
      </c>
      <c r="I628" s="6" t="s">
        <v>533</v>
      </c>
      <c r="J628" s="6"/>
      <c r="K628" s="6"/>
      <c r="L628" s="6" t="s">
        <v>55</v>
      </c>
      <c r="M628" s="6" t="str">
        <f>VLOOKUP(L628, GLOSSARY!$A:$C, 2, FALSE)</f>
        <v>EGYPT ESTATE</v>
      </c>
      <c r="N628" s="6" t="s">
        <v>287</v>
      </c>
      <c r="O628" s="6"/>
      <c r="P628" s="6"/>
      <c r="Q628" s="6"/>
      <c r="R628" s="6"/>
      <c r="S628" s="6"/>
      <c r="T628" s="6"/>
      <c r="U628" s="6"/>
      <c r="V628" s="6"/>
      <c r="W628" s="6"/>
      <c r="X628" s="6"/>
      <c r="Y628" s="6"/>
      <c r="Z628" s="6"/>
      <c r="AA628" s="6"/>
      <c r="AB628" s="6"/>
      <c r="AC628" s="6"/>
      <c r="AD628" s="6"/>
      <c r="AE628" s="6"/>
    </row>
    <row r="629" spans="1:31" ht="38.25" x14ac:dyDescent="0.2">
      <c r="A629" s="6" t="s">
        <v>3686</v>
      </c>
      <c r="B629" s="6" t="s">
        <v>4118</v>
      </c>
      <c r="C629" s="55" t="s">
        <v>4140</v>
      </c>
      <c r="D629" s="6" t="s">
        <v>4141</v>
      </c>
      <c r="E629" s="6"/>
      <c r="F629" s="6"/>
      <c r="G629" s="6"/>
      <c r="H629" s="6" t="str">
        <f t="shared" si="36"/>
        <v>()</v>
      </c>
      <c r="I629" s="6" t="s">
        <v>26</v>
      </c>
      <c r="J629" s="6"/>
      <c r="K629" s="6"/>
      <c r="L629" s="6" t="s">
        <v>55</v>
      </c>
      <c r="M629" s="6" t="str">
        <f>VLOOKUP(L629, GLOSSARY!$A:$C, 2, FALSE)</f>
        <v>EGYPT ESTATE</v>
      </c>
      <c r="N629" s="6" t="s">
        <v>287</v>
      </c>
      <c r="O629" s="6"/>
      <c r="P629" s="6"/>
      <c r="Q629" s="6"/>
      <c r="R629" s="6"/>
      <c r="S629" s="6"/>
      <c r="T629" s="6"/>
      <c r="U629" s="6"/>
      <c r="V629" s="6"/>
      <c r="W629" s="6"/>
      <c r="X629" s="6"/>
      <c r="Y629" s="6"/>
      <c r="Z629" s="6"/>
      <c r="AA629" s="6"/>
      <c r="AB629" s="6"/>
      <c r="AC629" s="6"/>
      <c r="AD629" s="6"/>
      <c r="AE629" s="6"/>
    </row>
    <row r="630" spans="1:31" ht="38.25" x14ac:dyDescent="0.2">
      <c r="A630" s="6" t="s">
        <v>4121</v>
      </c>
      <c r="B630" s="6" t="s">
        <v>4142</v>
      </c>
      <c r="C630" s="20" t="s">
        <v>4143</v>
      </c>
      <c r="D630" s="6" t="s">
        <v>4144</v>
      </c>
      <c r="E630" s="6"/>
      <c r="F630" s="6" t="s">
        <v>4145</v>
      </c>
      <c r="G630" s="6" t="s">
        <v>4132</v>
      </c>
      <c r="H630" s="6" t="str">
        <f t="shared" si="36"/>
        <v>EGYPT FIELD HANDS
AMBO(P315
P170)</v>
      </c>
      <c r="I630" s="6" t="s">
        <v>784</v>
      </c>
      <c r="J630" s="6"/>
      <c r="K630" s="6"/>
      <c r="L630" s="6" t="s">
        <v>55</v>
      </c>
      <c r="M630" s="6" t="str">
        <f>VLOOKUP(L630, GLOSSARY!$A:$C, 2, FALSE)</f>
        <v>EGYPT ESTATE</v>
      </c>
      <c r="N630" s="6" t="s">
        <v>68</v>
      </c>
      <c r="O630" s="6"/>
      <c r="P630" s="6"/>
      <c r="Q630" s="6"/>
      <c r="R630" s="6"/>
      <c r="S630" s="6"/>
      <c r="T630" s="6"/>
      <c r="U630" s="6"/>
      <c r="V630" s="6"/>
      <c r="W630" s="6"/>
      <c r="X630" s="6"/>
      <c r="Y630" s="6"/>
      <c r="Z630" s="6"/>
      <c r="AA630" s="6"/>
      <c r="AB630" s="6"/>
      <c r="AC630" s="6"/>
      <c r="AD630" s="6"/>
      <c r="AE630" s="6"/>
    </row>
    <row r="631" spans="1:31" ht="114.75" x14ac:dyDescent="0.2">
      <c r="A631" s="6" t="s">
        <v>3686</v>
      </c>
      <c r="B631" s="6" t="s">
        <v>4142</v>
      </c>
      <c r="C631" s="20" t="s">
        <v>4143</v>
      </c>
      <c r="D631" s="6" t="s">
        <v>4146</v>
      </c>
      <c r="E631" s="6"/>
      <c r="F631" s="6" t="s">
        <v>48</v>
      </c>
      <c r="G631" s="6" t="s">
        <v>50</v>
      </c>
      <c r="H631" s="6" t="str">
        <f t="shared" si="36"/>
        <v>THE OVERSEER(P43)</v>
      </c>
      <c r="I631" s="6" t="s">
        <v>533</v>
      </c>
      <c r="J631" s="6"/>
      <c r="K631" s="6"/>
      <c r="L631" s="6" t="s">
        <v>55</v>
      </c>
      <c r="M631" s="6" t="str">
        <f>VLOOKUP(L631, GLOSSARY!$A:$C, 2, FALSE)</f>
        <v>EGYPT ESTATE</v>
      </c>
      <c r="N631" s="6" t="s">
        <v>287</v>
      </c>
      <c r="O631" s="6"/>
      <c r="P631" s="6"/>
      <c r="Q631" s="6"/>
      <c r="R631" s="6"/>
      <c r="S631" s="6"/>
      <c r="T631" s="6"/>
      <c r="U631" s="6"/>
      <c r="V631" s="6"/>
      <c r="W631" s="6"/>
      <c r="X631" s="6"/>
      <c r="Y631" s="6"/>
      <c r="Z631" s="6"/>
      <c r="AA631" s="6"/>
      <c r="AB631" s="6"/>
      <c r="AC631" s="6"/>
      <c r="AD631" s="6"/>
      <c r="AE631" s="6"/>
    </row>
    <row r="632" spans="1:31" ht="38.25" x14ac:dyDescent="0.2">
      <c r="A632" s="6" t="s">
        <v>3686</v>
      </c>
      <c r="B632" s="6" t="s">
        <v>4147</v>
      </c>
      <c r="C632" s="20" t="s">
        <v>4143</v>
      </c>
      <c r="D632" s="6" t="s">
        <v>4148</v>
      </c>
      <c r="E632" s="6"/>
      <c r="F632" s="6"/>
      <c r="G632" s="6"/>
      <c r="H632" s="6" t="str">
        <f t="shared" si="36"/>
        <v>()</v>
      </c>
      <c r="I632" s="6" t="s">
        <v>26</v>
      </c>
      <c r="J632" s="6"/>
      <c r="K632" s="6"/>
      <c r="L632" s="6" t="s">
        <v>55</v>
      </c>
      <c r="M632" s="6" t="str">
        <f>VLOOKUP(L632, GLOSSARY!$A:$C, 2, FALSE)</f>
        <v>EGYPT ESTATE</v>
      </c>
      <c r="N632" s="6" t="s">
        <v>287</v>
      </c>
      <c r="O632" s="6"/>
      <c r="P632" s="6"/>
      <c r="Q632" s="6"/>
      <c r="R632" s="6"/>
      <c r="S632" s="6"/>
      <c r="T632" s="6"/>
      <c r="U632" s="6"/>
      <c r="V632" s="6"/>
      <c r="W632" s="6"/>
      <c r="X632" s="6"/>
      <c r="Y632" s="6"/>
      <c r="Z632" s="6"/>
      <c r="AA632" s="6"/>
      <c r="AB632" s="6"/>
      <c r="AC632" s="6"/>
      <c r="AD632" s="6"/>
      <c r="AE632" s="6"/>
    </row>
    <row r="633" spans="1:31" ht="76.5" x14ac:dyDescent="0.2">
      <c r="A633" s="6" t="s">
        <v>3686</v>
      </c>
      <c r="B633" s="6" t="s">
        <v>4142</v>
      </c>
      <c r="C633" s="20" t="s">
        <v>4149</v>
      </c>
      <c r="D633" s="6" t="s">
        <v>4150</v>
      </c>
      <c r="E633" s="6"/>
      <c r="F633" s="6" t="s">
        <v>48</v>
      </c>
      <c r="G633" s="6" t="s">
        <v>50</v>
      </c>
      <c r="H633" s="6" t="str">
        <f t="shared" si="36"/>
        <v>THE OVERSEER(P43)</v>
      </c>
      <c r="I633" s="6" t="s">
        <v>533</v>
      </c>
      <c r="J633" s="6"/>
      <c r="K633" s="6"/>
      <c r="L633" s="6" t="s">
        <v>55</v>
      </c>
      <c r="M633" s="6" t="str">
        <f>VLOOKUP(L633, GLOSSARY!$A:$C, 2, FALSE)</f>
        <v>EGYPT ESTATE</v>
      </c>
      <c r="N633" s="6" t="s">
        <v>287</v>
      </c>
      <c r="O633" s="6"/>
      <c r="P633" s="6"/>
      <c r="Q633" s="6"/>
      <c r="R633" s="6"/>
      <c r="S633" s="6"/>
      <c r="T633" s="6"/>
      <c r="U633" s="6"/>
      <c r="V633" s="6"/>
      <c r="W633" s="6"/>
      <c r="X633" s="6"/>
      <c r="Y633" s="6"/>
      <c r="Z633" s="6"/>
      <c r="AA633" s="6"/>
      <c r="AB633" s="6"/>
      <c r="AC633" s="6"/>
      <c r="AD633" s="6"/>
      <c r="AE633" s="6"/>
    </row>
    <row r="634" spans="1:31" ht="63.75" x14ac:dyDescent="0.2">
      <c r="A634" s="6" t="s">
        <v>3686</v>
      </c>
      <c r="B634" s="6" t="s">
        <v>4151</v>
      </c>
      <c r="C634" s="20" t="s">
        <v>4152</v>
      </c>
      <c r="D634" s="6" t="s">
        <v>4153</v>
      </c>
      <c r="E634" s="6"/>
      <c r="F634" s="6" t="s">
        <v>48</v>
      </c>
      <c r="G634" s="6" t="s">
        <v>50</v>
      </c>
      <c r="H634" s="6" t="str">
        <f t="shared" si="36"/>
        <v>THE OVERSEER(P43)</v>
      </c>
      <c r="I634" s="6" t="s">
        <v>533</v>
      </c>
      <c r="J634" s="6"/>
      <c r="K634" s="6"/>
      <c r="L634" s="6" t="s">
        <v>55</v>
      </c>
      <c r="M634" s="6" t="str">
        <f>VLOOKUP(L634, GLOSSARY!$A:$C, 2, FALSE)</f>
        <v>EGYPT ESTATE</v>
      </c>
      <c r="N634" s="6" t="s">
        <v>287</v>
      </c>
      <c r="O634" s="6"/>
      <c r="P634" s="6"/>
      <c r="Q634" s="6"/>
      <c r="R634" s="6"/>
      <c r="S634" s="6"/>
      <c r="T634" s="6"/>
      <c r="U634" s="6"/>
      <c r="V634" s="6"/>
      <c r="W634" s="6"/>
      <c r="X634" s="6"/>
      <c r="Y634" s="6"/>
      <c r="Z634" s="6"/>
      <c r="AA634" s="6"/>
      <c r="AB634" s="6"/>
      <c r="AC634" s="6"/>
      <c r="AD634" s="6"/>
      <c r="AE634" s="6"/>
    </row>
    <row r="635" spans="1:31" ht="89.25" x14ac:dyDescent="0.2">
      <c r="A635" s="6" t="s">
        <v>3686</v>
      </c>
      <c r="B635" s="6" t="s">
        <v>4129</v>
      </c>
      <c r="C635" s="20" t="s">
        <v>4154</v>
      </c>
      <c r="D635" s="6" t="s">
        <v>4155</v>
      </c>
      <c r="E635" s="6"/>
      <c r="F635" s="6" t="s">
        <v>48</v>
      </c>
      <c r="G635" s="6" t="s">
        <v>50</v>
      </c>
      <c r="H635" s="6" t="str">
        <f t="shared" si="36"/>
        <v>THE OVERSEER(P43)</v>
      </c>
      <c r="I635" s="6" t="s">
        <v>533</v>
      </c>
      <c r="J635" s="6"/>
      <c r="K635" s="6"/>
      <c r="L635" s="6" t="s">
        <v>55</v>
      </c>
      <c r="M635" s="6" t="str">
        <f>VLOOKUP(L635, GLOSSARY!$A:$C, 2, FALSE)</f>
        <v>EGYPT ESTATE</v>
      </c>
      <c r="N635" s="6" t="s">
        <v>287</v>
      </c>
      <c r="O635" s="6"/>
      <c r="P635" s="6"/>
      <c r="Q635" s="6"/>
      <c r="R635" s="6"/>
      <c r="S635" s="6"/>
      <c r="T635" s="6"/>
      <c r="U635" s="6"/>
      <c r="V635" s="6"/>
      <c r="W635" s="6"/>
      <c r="X635" s="6"/>
      <c r="Y635" s="6"/>
      <c r="Z635" s="6"/>
      <c r="AA635" s="6"/>
      <c r="AB635" s="6"/>
      <c r="AC635" s="6"/>
      <c r="AD635" s="6"/>
      <c r="AE635" s="6"/>
    </row>
    <row r="636" spans="1:31" ht="76.5" x14ac:dyDescent="0.2">
      <c r="A636" s="6" t="s">
        <v>3686</v>
      </c>
      <c r="B636" s="6" t="s">
        <v>4129</v>
      </c>
      <c r="C636" s="20" t="s">
        <v>4156</v>
      </c>
      <c r="D636" s="6" t="s">
        <v>4157</v>
      </c>
      <c r="E636" s="6"/>
      <c r="F636" s="6" t="s">
        <v>48</v>
      </c>
      <c r="G636" s="6" t="s">
        <v>50</v>
      </c>
      <c r="H636" s="6" t="str">
        <f t="shared" si="36"/>
        <v>THE OVERSEER(P43)</v>
      </c>
      <c r="I636" s="6" t="s">
        <v>533</v>
      </c>
      <c r="J636" s="6"/>
      <c r="K636" s="6"/>
      <c r="L636" s="6" t="s">
        <v>55</v>
      </c>
      <c r="M636" s="6" t="str">
        <f>VLOOKUP(L636, GLOSSARY!$A:$C, 2, FALSE)</f>
        <v>EGYPT ESTATE</v>
      </c>
      <c r="N636" s="6" t="s">
        <v>287</v>
      </c>
      <c r="O636" s="6"/>
      <c r="P636" s="6"/>
      <c r="Q636" s="6"/>
      <c r="R636" s="6"/>
      <c r="S636" s="6"/>
      <c r="T636" s="6"/>
      <c r="U636" s="6"/>
      <c r="V636" s="6"/>
      <c r="W636" s="6"/>
      <c r="X636" s="6"/>
      <c r="Y636" s="6"/>
      <c r="Z636" s="6"/>
      <c r="AA636" s="6"/>
      <c r="AB636" s="6"/>
      <c r="AC636" s="6"/>
      <c r="AD636" s="6"/>
      <c r="AE636" s="6"/>
    </row>
    <row r="637" spans="1:31" ht="153" x14ac:dyDescent="0.2">
      <c r="A637" s="6" t="s">
        <v>4158</v>
      </c>
      <c r="B637" s="6" t="s">
        <v>4129</v>
      </c>
      <c r="C637" s="20" t="s">
        <v>4156</v>
      </c>
      <c r="D637" s="6" t="s">
        <v>4159</v>
      </c>
      <c r="E637" s="6"/>
      <c r="F637" s="6" t="s">
        <v>779</v>
      </c>
      <c r="G637" s="6" t="s">
        <v>780</v>
      </c>
      <c r="H637" s="6" t="str">
        <f t="shared" si="36"/>
        <v>EGYPT FIELDHANDS(P315)</v>
      </c>
      <c r="I637" s="6" t="s">
        <v>784</v>
      </c>
      <c r="J637" s="6"/>
      <c r="K637" s="6"/>
      <c r="L637" s="6" t="s">
        <v>2881</v>
      </c>
      <c r="M637" s="6" t="str">
        <f>VLOOKUP(L637, GLOSSARY!$A:$C, 2, FALSE)</f>
        <v>EGYPT OLD SCOTCHGRASS PIECE</v>
      </c>
      <c r="N637" s="6" t="s">
        <v>287</v>
      </c>
      <c r="O637" s="6"/>
      <c r="P637" s="6"/>
      <c r="Q637" s="6"/>
      <c r="R637" s="6"/>
      <c r="S637" s="6"/>
      <c r="T637" s="6"/>
      <c r="U637" s="6"/>
      <c r="V637" s="6"/>
      <c r="W637" s="6"/>
      <c r="X637" s="6"/>
      <c r="Y637" s="6"/>
      <c r="Z637" s="6"/>
      <c r="AA637" s="6"/>
      <c r="AB637" s="6"/>
      <c r="AC637" s="6"/>
      <c r="AD637" s="6"/>
      <c r="AE637" s="6"/>
    </row>
    <row r="638" spans="1:31" ht="38.25" x14ac:dyDescent="0.2">
      <c r="A638" s="6" t="s">
        <v>4160</v>
      </c>
      <c r="B638" s="6" t="s">
        <v>4161</v>
      </c>
      <c r="C638" s="20" t="s">
        <v>4162</v>
      </c>
      <c r="D638" s="6" t="s">
        <v>4163</v>
      </c>
      <c r="E638" s="6"/>
      <c r="F638" s="6" t="s">
        <v>1761</v>
      </c>
      <c r="G638" s="6" t="s">
        <v>1760</v>
      </c>
      <c r="H638" s="6" t="str">
        <f t="shared" si="36"/>
        <v>EGYPT QUACOO(P298)</v>
      </c>
      <c r="I638" s="6" t="s">
        <v>656</v>
      </c>
      <c r="J638" s="6"/>
      <c r="K638" s="6"/>
      <c r="L638" s="6" t="s">
        <v>657</v>
      </c>
      <c r="M638" s="6" t="str">
        <f>VLOOKUP(L638, GLOSSARY!$A:$C, 2, FALSE)</f>
        <v>UNKNOWN</v>
      </c>
      <c r="N638" s="6" t="s">
        <v>287</v>
      </c>
      <c r="O638" s="6"/>
      <c r="P638" s="6"/>
      <c r="Q638" s="6"/>
      <c r="R638" s="6"/>
      <c r="S638" s="6"/>
      <c r="T638" s="6"/>
      <c r="U638" s="6"/>
      <c r="V638" s="6"/>
      <c r="W638" s="6"/>
      <c r="X638" s="6"/>
      <c r="Y638" s="6"/>
      <c r="Z638" s="6"/>
      <c r="AA638" s="6"/>
      <c r="AB638" s="6"/>
      <c r="AC638" s="6"/>
      <c r="AD638" s="6"/>
      <c r="AE638" s="6"/>
    </row>
    <row r="639" spans="1:31" ht="76.5" x14ac:dyDescent="0.2">
      <c r="A639" s="6" t="s">
        <v>3686</v>
      </c>
      <c r="B639" s="6" t="s">
        <v>4161</v>
      </c>
      <c r="C639" s="20" t="s">
        <v>4162</v>
      </c>
      <c r="D639" s="6" t="s">
        <v>4164</v>
      </c>
      <c r="E639" s="6"/>
      <c r="F639" s="6" t="s">
        <v>48</v>
      </c>
      <c r="G639" s="6" t="s">
        <v>50</v>
      </c>
      <c r="H639" s="6" t="str">
        <f t="shared" si="36"/>
        <v>THE OVERSEER(P43)</v>
      </c>
      <c r="I639" s="6" t="s">
        <v>533</v>
      </c>
      <c r="J639" s="6"/>
      <c r="K639" s="6"/>
      <c r="L639" s="6" t="s">
        <v>55</v>
      </c>
      <c r="M639" s="6" t="str">
        <f>VLOOKUP(L639, GLOSSARY!$A:$C, 2, FALSE)</f>
        <v>EGYPT ESTATE</v>
      </c>
      <c r="N639" s="6" t="s">
        <v>287</v>
      </c>
      <c r="O639" s="6"/>
      <c r="P639" s="6"/>
      <c r="Q639" s="6"/>
      <c r="R639" s="6"/>
      <c r="S639" s="6"/>
      <c r="T639" s="6"/>
      <c r="U639" s="6"/>
      <c r="V639" s="6"/>
      <c r="W639" s="6"/>
      <c r="X639" s="6"/>
      <c r="Y639" s="6"/>
      <c r="Z639" s="6"/>
      <c r="AA639" s="6"/>
      <c r="AB639" s="6"/>
      <c r="AC639" s="6"/>
      <c r="AD639" s="6"/>
      <c r="AE639" s="6"/>
    </row>
    <row r="640" spans="1:31" ht="25.5" x14ac:dyDescent="0.2">
      <c r="A640" s="6" t="s">
        <v>3686</v>
      </c>
      <c r="B640" s="6" t="s">
        <v>4165</v>
      </c>
      <c r="C640" s="20" t="s">
        <v>4166</v>
      </c>
      <c r="D640" s="6" t="s">
        <v>4167</v>
      </c>
      <c r="E640" s="6"/>
      <c r="F640" s="6" t="s">
        <v>48</v>
      </c>
      <c r="G640" s="6" t="s">
        <v>50</v>
      </c>
      <c r="H640" s="6" t="str">
        <f t="shared" si="36"/>
        <v>THE OVERSEER(P43)</v>
      </c>
      <c r="I640" s="6" t="s">
        <v>533</v>
      </c>
      <c r="J640" s="6"/>
      <c r="K640" s="6"/>
      <c r="L640" s="6" t="s">
        <v>785</v>
      </c>
      <c r="M640" s="6" t="str">
        <f>VLOOKUP(L640, GLOSSARY!$A:$C, 2, FALSE)</f>
        <v>EGYPT ESTATE</v>
      </c>
      <c r="N640" s="6" t="s">
        <v>287</v>
      </c>
      <c r="O640" s="6"/>
      <c r="P640" s="6"/>
      <c r="Q640" s="6"/>
      <c r="R640" s="6"/>
      <c r="S640" s="6"/>
      <c r="T640" s="6"/>
      <c r="U640" s="6"/>
      <c r="V640" s="6"/>
      <c r="W640" s="6"/>
      <c r="X640" s="6"/>
      <c r="Y640" s="6"/>
      <c r="Z640" s="6"/>
      <c r="AA640" s="6"/>
      <c r="AB640" s="6"/>
      <c r="AC640" s="6"/>
      <c r="AD640" s="6"/>
      <c r="AE640" s="6"/>
    </row>
    <row r="641" spans="1:31" ht="38.25" x14ac:dyDescent="0.2">
      <c r="A641" s="6" t="s">
        <v>4168</v>
      </c>
      <c r="B641" s="6" t="s">
        <v>4165</v>
      </c>
      <c r="C641" s="20" t="s">
        <v>4169</v>
      </c>
      <c r="D641" s="6" t="s">
        <v>4170</v>
      </c>
      <c r="E641" s="6"/>
      <c r="F641" s="6" t="s">
        <v>4171</v>
      </c>
      <c r="G641" s="6" t="s">
        <v>3755</v>
      </c>
      <c r="H641" s="6" t="str">
        <f t="shared" si="36"/>
        <v>THE OVERSEER
EGYPT SUSANAH(P43
P296)</v>
      </c>
      <c r="I641" s="6" t="s">
        <v>409</v>
      </c>
      <c r="J641" s="6"/>
      <c r="K641" s="6"/>
      <c r="L641" s="6" t="s">
        <v>2228</v>
      </c>
      <c r="M641" s="6" t="str">
        <f>VLOOKUP(L641, GLOSSARY!$A:$C, 2, FALSE)</f>
        <v>EGYPT OLD CURING HOUSE PIECE</v>
      </c>
      <c r="N641" s="6" t="s">
        <v>68</v>
      </c>
      <c r="O641" s="6"/>
      <c r="P641" s="6"/>
      <c r="Q641" s="6"/>
      <c r="R641" s="6"/>
      <c r="S641" s="6"/>
      <c r="T641" s="6"/>
      <c r="U641" s="6"/>
      <c r="V641" s="6"/>
      <c r="W641" s="6"/>
      <c r="X641" s="6"/>
      <c r="Y641" s="6"/>
      <c r="Z641" s="6"/>
      <c r="AA641" s="6"/>
      <c r="AB641" s="6"/>
      <c r="AC641" s="6"/>
      <c r="AD641" s="6"/>
      <c r="AE641" s="6"/>
    </row>
    <row r="642" spans="1:31" ht="102" x14ac:dyDescent="0.2">
      <c r="A642" s="6" t="s">
        <v>4172</v>
      </c>
      <c r="B642" s="6" t="s">
        <v>4173</v>
      </c>
      <c r="C642" s="20" t="s">
        <v>4174</v>
      </c>
      <c r="D642" s="6" t="s">
        <v>4175</v>
      </c>
      <c r="E642" s="6"/>
      <c r="F642" s="6" t="s">
        <v>4176</v>
      </c>
      <c r="G642" s="6" t="s">
        <v>4177</v>
      </c>
      <c r="H642" s="6" t="str">
        <f t="shared" si="36"/>
        <v>MRS. BLAKE'S DOLL
PHIBBAH
OLD HARRY THE COOK'S DAUGHTER
ACCUBAH(P160
P7
P16
P517)</v>
      </c>
      <c r="I642" s="6" t="s">
        <v>859</v>
      </c>
      <c r="J642" s="6"/>
      <c r="K642" s="6"/>
      <c r="L642" s="6" t="s">
        <v>55</v>
      </c>
      <c r="M642" s="6" t="str">
        <f>VLOOKUP(L641, GLOSSARY!$A:$C, 2, FALSE)</f>
        <v>EGYPT OLD CURING HOUSE PIECE</v>
      </c>
      <c r="N642" s="6" t="s">
        <v>167</v>
      </c>
      <c r="O642" s="6"/>
      <c r="P642" s="6"/>
      <c r="Q642" s="6"/>
      <c r="R642" s="6"/>
      <c r="S642" s="6"/>
      <c r="T642" s="6"/>
      <c r="U642" s="6"/>
      <c r="V642" s="6"/>
      <c r="W642" s="6"/>
      <c r="X642" s="6"/>
      <c r="Y642" s="6"/>
      <c r="Z642" s="6"/>
      <c r="AA642" s="6"/>
      <c r="AB642" s="6"/>
      <c r="AC642" s="6"/>
      <c r="AD642" s="6"/>
      <c r="AE642" s="6"/>
    </row>
    <row r="643" spans="1:31" ht="38.25" x14ac:dyDescent="0.2">
      <c r="A643" s="6" t="s">
        <v>4178</v>
      </c>
      <c r="B643" s="6" t="s">
        <v>4179</v>
      </c>
      <c r="C643" s="20" t="s">
        <v>4180</v>
      </c>
      <c r="D643" s="6" t="s">
        <v>4181</v>
      </c>
      <c r="E643" s="6"/>
      <c r="F643" s="6"/>
      <c r="G643" s="6"/>
      <c r="H643" s="6" t="str">
        <f t="shared" si="36"/>
        <v>()</v>
      </c>
      <c r="I643" s="6" t="s">
        <v>139</v>
      </c>
      <c r="J643" s="6"/>
      <c r="K643" s="6"/>
      <c r="L643" s="6" t="s">
        <v>785</v>
      </c>
      <c r="M643" s="6" t="str">
        <f>VLOOKUP(L643, GLOSSARY!$A:$C, 2, FALSE)</f>
        <v>EGYPT ESTATE</v>
      </c>
      <c r="N643" s="6" t="s">
        <v>287</v>
      </c>
      <c r="O643" s="6"/>
      <c r="P643" s="6"/>
      <c r="Q643" s="6"/>
      <c r="R643" s="6"/>
      <c r="S643" s="6"/>
      <c r="T643" s="6"/>
      <c r="U643" s="6"/>
      <c r="V643" s="6"/>
      <c r="W643" s="6"/>
      <c r="X643" s="6"/>
      <c r="Y643" s="6"/>
      <c r="Z643" s="6"/>
      <c r="AA643" s="6"/>
      <c r="AB643" s="6"/>
      <c r="AC643" s="6"/>
      <c r="AD643" s="6"/>
      <c r="AE643" s="6"/>
    </row>
    <row r="644" spans="1:31" ht="63.75" x14ac:dyDescent="0.2">
      <c r="A644" s="6" t="s">
        <v>4178</v>
      </c>
      <c r="B644" s="6" t="s">
        <v>4182</v>
      </c>
      <c r="C644" s="20" t="s">
        <v>4183</v>
      </c>
      <c r="D644" s="6" t="s">
        <v>4184</v>
      </c>
      <c r="E644" s="6"/>
      <c r="F644" s="6"/>
      <c r="G644" s="6"/>
      <c r="H644" s="6" t="str">
        <f t="shared" si="36"/>
        <v>()</v>
      </c>
      <c r="I644" s="6" t="s">
        <v>784</v>
      </c>
      <c r="J644" s="6"/>
      <c r="K644" s="6"/>
      <c r="L644" s="6"/>
      <c r="M644" s="6" t="e">
        <f>VLOOKUP(L644, GLOSSARY!$A:$C, 2, FALSE)</f>
        <v>#N/A</v>
      </c>
      <c r="N644" s="6"/>
      <c r="O644" s="6"/>
      <c r="P644" s="6"/>
      <c r="Q644" s="6"/>
      <c r="R644" s="6"/>
      <c r="S644" s="6"/>
      <c r="T644" s="6"/>
      <c r="U644" s="6"/>
      <c r="V644" s="6"/>
      <c r="W644" s="6"/>
      <c r="X644" s="6"/>
      <c r="Y644" s="6"/>
      <c r="Z644" s="6"/>
      <c r="AA644" s="6"/>
      <c r="AB644" s="6"/>
      <c r="AC644" s="6"/>
      <c r="AD644" s="6"/>
      <c r="AE644" s="6"/>
    </row>
    <row r="645" spans="1:31" ht="25.5" x14ac:dyDescent="0.2">
      <c r="A645" s="6" t="s">
        <v>3686</v>
      </c>
      <c r="B645" s="6" t="s">
        <v>4185</v>
      </c>
      <c r="C645" s="20" t="s">
        <v>4186</v>
      </c>
      <c r="D645" s="6" t="s">
        <v>4187</v>
      </c>
      <c r="E645" s="6"/>
      <c r="F645" s="6" t="s">
        <v>48</v>
      </c>
      <c r="G645" s="6" t="s">
        <v>50</v>
      </c>
      <c r="H645" s="6" t="str">
        <f t="shared" si="36"/>
        <v>THE OVERSEER(P43)</v>
      </c>
      <c r="I645" s="6" t="s">
        <v>533</v>
      </c>
      <c r="J645" s="6"/>
      <c r="K645" s="6"/>
      <c r="L645" s="6" t="s">
        <v>55</v>
      </c>
      <c r="M645" s="6" t="str">
        <f>VLOOKUP(L645, GLOSSARY!$A:$C, 2, FALSE)</f>
        <v>EGYPT ESTATE</v>
      </c>
      <c r="N645" s="6" t="s">
        <v>167</v>
      </c>
      <c r="O645" s="6"/>
      <c r="P645" s="6"/>
      <c r="Q645" s="6"/>
      <c r="R645" s="6"/>
      <c r="S645" s="6"/>
      <c r="T645" s="6"/>
      <c r="U645" s="6"/>
      <c r="V645" s="6"/>
      <c r="W645" s="6"/>
      <c r="X645" s="6"/>
      <c r="Y645" s="6"/>
      <c r="Z645" s="6"/>
      <c r="AA645" s="6"/>
      <c r="AB645" s="6"/>
      <c r="AC645" s="6"/>
      <c r="AD645" s="6"/>
      <c r="AE645" s="6"/>
    </row>
    <row r="646" spans="1:31" ht="38.25" x14ac:dyDescent="0.2">
      <c r="A646" s="6" t="s">
        <v>3686</v>
      </c>
      <c r="B646" s="6" t="s">
        <v>3847</v>
      </c>
      <c r="C646" s="20" t="s">
        <v>4188</v>
      </c>
      <c r="D646" s="6" t="s">
        <v>4189</v>
      </c>
      <c r="E646" s="6"/>
      <c r="F646" s="6" t="s">
        <v>48</v>
      </c>
      <c r="G646" s="6" t="s">
        <v>50</v>
      </c>
      <c r="H646" s="6" t="str">
        <f t="shared" si="36"/>
        <v>THE OVERSEER(P43)</v>
      </c>
      <c r="I646" s="6" t="s">
        <v>533</v>
      </c>
      <c r="J646" s="6"/>
      <c r="K646" s="6"/>
      <c r="L646" s="6" t="s">
        <v>55</v>
      </c>
      <c r="M646" s="6" t="str">
        <f>VLOOKUP(L646, GLOSSARY!$A:$C, 2, FALSE)</f>
        <v>EGYPT ESTATE</v>
      </c>
      <c r="N646" s="6"/>
      <c r="O646" s="6"/>
      <c r="P646" s="6"/>
      <c r="Q646" s="6"/>
      <c r="R646" s="6"/>
      <c r="S646" s="6"/>
      <c r="T646" s="6"/>
      <c r="U646" s="6"/>
      <c r="V646" s="6"/>
      <c r="W646" s="6"/>
      <c r="X646" s="6"/>
      <c r="Y646" s="6"/>
      <c r="Z646" s="6"/>
      <c r="AA646" s="6"/>
      <c r="AB646" s="6"/>
      <c r="AC646" s="6"/>
      <c r="AD646" s="6"/>
      <c r="AE646" s="6"/>
    </row>
    <row r="647" spans="1:31" ht="12.75" x14ac:dyDescent="0.2">
      <c r="A647" s="6" t="s">
        <v>4190</v>
      </c>
      <c r="B647" s="6" t="s">
        <v>3847</v>
      </c>
      <c r="C647" s="20" t="s">
        <v>4191</v>
      </c>
      <c r="D647" s="6" t="s">
        <v>4192</v>
      </c>
      <c r="E647" s="6"/>
      <c r="F647" s="6" t="s">
        <v>839</v>
      </c>
      <c r="G647" s="6" t="s">
        <v>837</v>
      </c>
      <c r="H647" s="6" t="str">
        <f t="shared" si="36"/>
        <v>EVE(P128)</v>
      </c>
      <c r="I647" s="6" t="s">
        <v>656</v>
      </c>
      <c r="J647" s="6"/>
      <c r="K647" s="6"/>
      <c r="L647" s="6" t="s">
        <v>657</v>
      </c>
      <c r="M647" s="6" t="str">
        <f>VLOOKUP(L647, GLOSSARY!$A:$C, 2, FALSE)</f>
        <v>UNKNOWN</v>
      </c>
      <c r="N647" s="6" t="s">
        <v>68</v>
      </c>
      <c r="O647" s="6"/>
      <c r="P647" s="6"/>
      <c r="Q647" s="6"/>
      <c r="R647" s="6"/>
      <c r="S647" s="6"/>
      <c r="T647" s="6"/>
      <c r="U647" s="6"/>
      <c r="V647" s="6"/>
      <c r="W647" s="6"/>
      <c r="X647" s="6"/>
      <c r="Y647" s="6"/>
      <c r="Z647" s="6"/>
      <c r="AA647" s="6"/>
      <c r="AB647" s="6"/>
      <c r="AC647" s="6"/>
      <c r="AD647" s="6"/>
      <c r="AE647" s="6"/>
    </row>
    <row r="648" spans="1:31" ht="51" x14ac:dyDescent="0.2">
      <c r="A648" s="6" t="s">
        <v>4190</v>
      </c>
      <c r="B648" s="6" t="s">
        <v>4193</v>
      </c>
      <c r="C648" s="20" t="s">
        <v>4194</v>
      </c>
      <c r="D648" s="6" t="s">
        <v>4195</v>
      </c>
      <c r="E648" s="6"/>
      <c r="F648" s="6" t="s">
        <v>4196</v>
      </c>
      <c r="G648" s="6" t="s">
        <v>4197</v>
      </c>
      <c r="H648" s="6" t="str">
        <f t="shared" si="36"/>
        <v>THE OVERSEER
EVE(P43
P128)</v>
      </c>
      <c r="I648" s="6" t="s">
        <v>112</v>
      </c>
      <c r="J648" s="6"/>
      <c r="K648" s="6"/>
      <c r="L648" s="6" t="s">
        <v>55</v>
      </c>
      <c r="M648" s="6" t="str">
        <f>VLOOKUP(L648, GLOSSARY!$A:$C, 2, FALSE)</f>
        <v>EGYPT ESTATE</v>
      </c>
      <c r="N648" s="6" t="s">
        <v>68</v>
      </c>
      <c r="O648" s="6"/>
      <c r="P648" s="6"/>
      <c r="Q648" s="6"/>
      <c r="R648" s="6"/>
      <c r="S648" s="6"/>
      <c r="T648" s="6"/>
      <c r="U648" s="6"/>
      <c r="V648" s="6"/>
      <c r="W648" s="6"/>
      <c r="X648" s="6"/>
      <c r="Y648" s="6"/>
      <c r="Z648" s="6"/>
      <c r="AA648" s="6"/>
      <c r="AB648" s="6"/>
      <c r="AC648" s="6"/>
      <c r="AD648" s="6"/>
      <c r="AE648" s="6"/>
    </row>
    <row r="649" spans="1:31" ht="153" x14ac:dyDescent="0.2">
      <c r="A649" s="6" t="s">
        <v>4158</v>
      </c>
      <c r="B649" s="6" t="s">
        <v>3864</v>
      </c>
      <c r="C649" s="20" t="s">
        <v>4198</v>
      </c>
      <c r="D649" s="6" t="s">
        <v>4199</v>
      </c>
      <c r="E649" s="6"/>
      <c r="F649" s="6" t="s">
        <v>779</v>
      </c>
      <c r="G649" s="6" t="s">
        <v>780</v>
      </c>
      <c r="H649" s="6" t="str">
        <f t="shared" si="36"/>
        <v>EGYPT FIELDHANDS(P315)</v>
      </c>
      <c r="I649" s="6" t="s">
        <v>784</v>
      </c>
      <c r="J649" s="6"/>
      <c r="K649" s="6"/>
      <c r="L649" s="6" t="s">
        <v>4200</v>
      </c>
      <c r="M649" s="6" t="str">
        <f>VLOOKUP(L649, GLOSSARY!$A:$C, 2, FALSE)</f>
        <v>EGYPT OLD SHEEP PEN PIECE</v>
      </c>
      <c r="N649" s="6" t="s">
        <v>287</v>
      </c>
      <c r="O649" s="6"/>
      <c r="P649" s="6"/>
      <c r="Q649" s="6"/>
      <c r="R649" s="6"/>
      <c r="S649" s="6"/>
      <c r="T649" s="6"/>
      <c r="U649" s="6"/>
      <c r="V649" s="6"/>
      <c r="W649" s="6"/>
      <c r="X649" s="6"/>
      <c r="Y649" s="6"/>
      <c r="Z649" s="6"/>
      <c r="AA649" s="6"/>
      <c r="AB649" s="6"/>
      <c r="AC649" s="6"/>
      <c r="AD649" s="6"/>
      <c r="AE649" s="6"/>
    </row>
    <row r="650" spans="1:31" ht="89.25" x14ac:dyDescent="0.2">
      <c r="A650" s="6" t="s">
        <v>4158</v>
      </c>
      <c r="B650" s="6" t="s">
        <v>3864</v>
      </c>
      <c r="C650" s="20" t="s">
        <v>4201</v>
      </c>
      <c r="D650" s="6" t="s">
        <v>4202</v>
      </c>
      <c r="E650" s="6"/>
      <c r="F650" s="6" t="s">
        <v>779</v>
      </c>
      <c r="G650" s="6" t="s">
        <v>780</v>
      </c>
      <c r="H650" s="6" t="str">
        <f t="shared" si="36"/>
        <v>EGYPT FIELDHANDS(P315)</v>
      </c>
      <c r="I650" s="6" t="s">
        <v>784</v>
      </c>
      <c r="J650" s="6"/>
      <c r="K650" s="6"/>
      <c r="L650" s="6" t="s">
        <v>55</v>
      </c>
      <c r="M650" s="6" t="str">
        <f>VLOOKUP(L650, GLOSSARY!$A:$C, 2, FALSE)</f>
        <v>EGYPT ESTATE</v>
      </c>
      <c r="N650" s="6" t="s">
        <v>167</v>
      </c>
      <c r="O650" s="6"/>
      <c r="P650" s="6"/>
      <c r="Q650" s="6"/>
      <c r="R650" s="6"/>
      <c r="S650" s="6"/>
      <c r="T650" s="6"/>
      <c r="U650" s="6"/>
      <c r="V650" s="6"/>
      <c r="W650" s="6"/>
      <c r="X650" s="6"/>
      <c r="Y650" s="6"/>
      <c r="Z650" s="6"/>
      <c r="AA650" s="6"/>
      <c r="AB650" s="6"/>
      <c r="AC650" s="6"/>
      <c r="AD650" s="6"/>
      <c r="AE650" s="6"/>
    </row>
    <row r="651" spans="1:31" ht="51" x14ac:dyDescent="0.2">
      <c r="A651" s="6" t="s">
        <v>3686</v>
      </c>
      <c r="B651" s="6" t="s">
        <v>3864</v>
      </c>
      <c r="C651" s="20" t="s">
        <v>4201</v>
      </c>
      <c r="D651" s="6" t="s">
        <v>4203</v>
      </c>
      <c r="E651" s="6"/>
      <c r="F651" s="6" t="s">
        <v>48</v>
      </c>
      <c r="G651" s="6" t="s">
        <v>50</v>
      </c>
      <c r="H651" s="6" t="str">
        <f t="shared" si="36"/>
        <v>THE OVERSEER(P43)</v>
      </c>
      <c r="I651" s="6" t="s">
        <v>533</v>
      </c>
      <c r="J651" s="6"/>
      <c r="K651" s="6"/>
      <c r="L651" s="6" t="s">
        <v>55</v>
      </c>
      <c r="M651" s="6" t="str">
        <f>VLOOKUP(L651, GLOSSARY!$A:$C, 2, FALSE)</f>
        <v>EGYPT ESTATE</v>
      </c>
      <c r="N651" s="6" t="s">
        <v>167</v>
      </c>
      <c r="O651" s="6"/>
      <c r="P651" s="6"/>
      <c r="Q651" s="6"/>
      <c r="R651" s="6"/>
      <c r="S651" s="6"/>
      <c r="T651" s="6"/>
      <c r="U651" s="6"/>
      <c r="V651" s="6"/>
      <c r="W651" s="6"/>
      <c r="X651" s="6"/>
      <c r="Y651" s="6"/>
      <c r="Z651" s="6"/>
      <c r="AA651" s="6"/>
      <c r="AB651" s="6"/>
      <c r="AC651" s="6"/>
      <c r="AD651" s="6"/>
      <c r="AE651" s="6"/>
    </row>
    <row r="652" spans="1:31" ht="63.75" x14ac:dyDescent="0.2">
      <c r="A652" s="6" t="s">
        <v>4204</v>
      </c>
      <c r="B652" s="6" t="s">
        <v>4205</v>
      </c>
      <c r="C652" s="20" t="s">
        <v>4206</v>
      </c>
      <c r="D652" s="6" t="s">
        <v>4207</v>
      </c>
      <c r="E652" s="6"/>
      <c r="F652" s="6" t="s">
        <v>4208</v>
      </c>
      <c r="G652" s="6" t="s">
        <v>4209</v>
      </c>
      <c r="H652" s="6" t="str">
        <f t="shared" si="36"/>
        <v>EGYPT LUCY
MASON QUASHE
DANIEL(P3
P42
P25)</v>
      </c>
      <c r="I652" s="6" t="s">
        <v>1678</v>
      </c>
      <c r="J652" s="6"/>
      <c r="K652" s="6"/>
      <c r="L652" s="6" t="s">
        <v>55</v>
      </c>
      <c r="M652" s="6" t="str">
        <f>VLOOKUP(L652, GLOSSARY!$A:$C, 2, FALSE)</f>
        <v>EGYPT ESTATE</v>
      </c>
      <c r="N652" s="6" t="s">
        <v>68</v>
      </c>
      <c r="O652" s="6"/>
      <c r="P652" s="6"/>
      <c r="Q652" s="6"/>
      <c r="R652" s="6"/>
      <c r="S652" s="6"/>
      <c r="T652" s="6"/>
      <c r="U652" s="6"/>
      <c r="V652" s="6"/>
      <c r="W652" s="6"/>
      <c r="X652" s="6"/>
      <c r="Y652" s="6"/>
      <c r="Z652" s="6"/>
      <c r="AA652" s="6"/>
      <c r="AB652" s="6"/>
      <c r="AC652" s="6"/>
      <c r="AD652" s="6"/>
      <c r="AE652" s="6"/>
    </row>
    <row r="653" spans="1:31" ht="25.5" x14ac:dyDescent="0.2">
      <c r="A653" s="6" t="s">
        <v>3686</v>
      </c>
      <c r="B653" s="6" t="s">
        <v>4205</v>
      </c>
      <c r="C653" s="20" t="s">
        <v>4206</v>
      </c>
      <c r="D653" s="6" t="s">
        <v>4210</v>
      </c>
      <c r="E653" s="6"/>
      <c r="F653" s="6" t="s">
        <v>48</v>
      </c>
      <c r="G653" s="6" t="s">
        <v>50</v>
      </c>
      <c r="H653" s="6" t="str">
        <f t="shared" si="36"/>
        <v>THE OVERSEER(P43)</v>
      </c>
      <c r="I653" s="6" t="s">
        <v>533</v>
      </c>
      <c r="J653" s="6"/>
      <c r="K653" s="6"/>
      <c r="L653" s="6" t="s">
        <v>55</v>
      </c>
      <c r="M653" s="6" t="str">
        <f>VLOOKUP(L653, GLOSSARY!$A:$C, 2, FALSE)</f>
        <v>EGYPT ESTATE</v>
      </c>
      <c r="N653" s="6" t="s">
        <v>287</v>
      </c>
      <c r="O653" s="6"/>
      <c r="P653" s="6"/>
      <c r="Q653" s="6"/>
      <c r="R653" s="6"/>
      <c r="S653" s="6"/>
      <c r="T653" s="6"/>
      <c r="U653" s="6"/>
      <c r="V653" s="6"/>
      <c r="W653" s="6"/>
      <c r="X653" s="6"/>
      <c r="Y653" s="6"/>
      <c r="Z653" s="6"/>
      <c r="AA653" s="6"/>
      <c r="AB653" s="6"/>
      <c r="AC653" s="6"/>
      <c r="AD653" s="6"/>
      <c r="AE653" s="6"/>
    </row>
    <row r="654" spans="1:31" ht="51" x14ac:dyDescent="0.2">
      <c r="A654" s="6" t="s">
        <v>3686</v>
      </c>
      <c r="B654" s="6" t="s">
        <v>4205</v>
      </c>
      <c r="C654" s="20" t="s">
        <v>4211</v>
      </c>
      <c r="D654" s="6" t="s">
        <v>4212</v>
      </c>
      <c r="E654" s="6"/>
      <c r="F654" s="6" t="s">
        <v>48</v>
      </c>
      <c r="G654" s="6" t="s">
        <v>50</v>
      </c>
      <c r="H654" s="6" t="str">
        <f t="shared" si="36"/>
        <v>THE OVERSEER(P43)</v>
      </c>
      <c r="I654" s="6" t="s">
        <v>533</v>
      </c>
      <c r="J654" s="6"/>
      <c r="K654" s="6"/>
      <c r="L654" s="6" t="s">
        <v>55</v>
      </c>
      <c r="M654" s="6" t="str">
        <f>VLOOKUP(L654, GLOSSARY!$A:$C, 2, FALSE)</f>
        <v>EGYPT ESTATE</v>
      </c>
      <c r="N654" s="6" t="s">
        <v>287</v>
      </c>
      <c r="O654" s="6"/>
      <c r="P654" s="6"/>
      <c r="Q654" s="6"/>
      <c r="R654" s="6"/>
      <c r="S654" s="6"/>
      <c r="T654" s="6"/>
      <c r="U654" s="6"/>
      <c r="V654" s="6"/>
      <c r="W654" s="6"/>
      <c r="X654" s="6"/>
      <c r="Y654" s="6"/>
      <c r="Z654" s="6"/>
      <c r="AA654" s="6"/>
      <c r="AB654" s="6"/>
      <c r="AC654" s="6"/>
      <c r="AD654" s="6"/>
      <c r="AE654" s="6"/>
    </row>
    <row r="655" spans="1:31" ht="51" x14ac:dyDescent="0.2">
      <c r="A655" s="6" t="s">
        <v>3686</v>
      </c>
      <c r="B655" s="6" t="s">
        <v>4213</v>
      </c>
      <c r="C655" s="20" t="s">
        <v>4214</v>
      </c>
      <c r="D655" s="6" t="s">
        <v>4215</v>
      </c>
      <c r="E655" s="6"/>
      <c r="F655" s="6" t="s">
        <v>48</v>
      </c>
      <c r="G655" s="6" t="s">
        <v>50</v>
      </c>
      <c r="H655" s="6" t="str">
        <f t="shared" si="36"/>
        <v>THE OVERSEER(P43)</v>
      </c>
      <c r="I655" s="6" t="s">
        <v>533</v>
      </c>
      <c r="J655" s="6"/>
      <c r="K655" s="6"/>
      <c r="L655" s="6" t="s">
        <v>55</v>
      </c>
      <c r="M655" s="6" t="str">
        <f>VLOOKUP(L655, GLOSSARY!$A:$C, 2, FALSE)</f>
        <v>EGYPT ESTATE</v>
      </c>
      <c r="N655" s="6" t="s">
        <v>3408</v>
      </c>
      <c r="O655" s="6"/>
      <c r="P655" s="6"/>
      <c r="Q655" s="6"/>
      <c r="R655" s="6"/>
      <c r="S655" s="6"/>
      <c r="T655" s="6"/>
      <c r="U655" s="6"/>
      <c r="V655" s="6"/>
      <c r="W655" s="6"/>
      <c r="X655" s="6"/>
      <c r="Y655" s="6"/>
      <c r="Z655" s="6"/>
      <c r="AA655" s="6"/>
      <c r="AB655" s="6"/>
      <c r="AC655" s="6"/>
      <c r="AD655" s="6"/>
      <c r="AE655" s="6"/>
    </row>
    <row r="656" spans="1:31" ht="140.25" x14ac:dyDescent="0.2">
      <c r="A656" s="6" t="s">
        <v>4216</v>
      </c>
      <c r="B656" s="6" t="s">
        <v>4217</v>
      </c>
      <c r="C656" s="20" t="s">
        <v>4218</v>
      </c>
      <c r="D656" s="6" t="s">
        <v>4219</v>
      </c>
      <c r="E656" s="6"/>
      <c r="F656" s="6" t="s">
        <v>4220</v>
      </c>
      <c r="G656" s="6" t="s">
        <v>4221</v>
      </c>
      <c r="H656" s="6" t="str">
        <f t="shared" si="36"/>
        <v>THE OVERSEER
THOMAS FEWKES(P43
P524)</v>
      </c>
      <c r="I656" s="6" t="s">
        <v>248</v>
      </c>
      <c r="J656" s="6"/>
      <c r="K656" s="6"/>
      <c r="L656" s="6" t="s">
        <v>785</v>
      </c>
      <c r="M656" s="6" t="str">
        <f>VLOOKUP(L656, GLOSSARY!$A:$C, 2, FALSE)</f>
        <v>EGYPT ESTATE</v>
      </c>
      <c r="N656" s="6" t="s">
        <v>167</v>
      </c>
      <c r="O656" s="6"/>
      <c r="P656" s="6"/>
      <c r="Q656" s="6"/>
      <c r="R656" s="6"/>
      <c r="S656" s="6"/>
      <c r="T656" s="6"/>
      <c r="U656" s="6"/>
      <c r="V656" s="6"/>
      <c r="W656" s="6"/>
      <c r="X656" s="6"/>
      <c r="Y656" s="6"/>
      <c r="Z656" s="6"/>
      <c r="AA656" s="6"/>
      <c r="AB656" s="6"/>
      <c r="AC656" s="6"/>
      <c r="AD656" s="6"/>
      <c r="AE656" s="6"/>
    </row>
    <row r="657" spans="1:31" ht="114.75" x14ac:dyDescent="0.2">
      <c r="A657" s="6" t="s">
        <v>4216</v>
      </c>
      <c r="B657" s="6" t="s">
        <v>4217</v>
      </c>
      <c r="C657" s="20" t="s">
        <v>4222</v>
      </c>
      <c r="D657" s="6" t="s">
        <v>4223</v>
      </c>
      <c r="E657" s="6"/>
      <c r="F657" s="6" t="s">
        <v>4224</v>
      </c>
      <c r="G657" s="6" t="s">
        <v>4225</v>
      </c>
      <c r="H657" s="6" t="str">
        <f t="shared" si="36"/>
        <v>THE OVERSEER
THOMAS FEWKES
 COLONEL RICKETT
MRS. RICKETT(P43
P524
P512
P525)</v>
      </c>
      <c r="I657" s="6" t="s">
        <v>112</v>
      </c>
      <c r="J657" s="6"/>
      <c r="K657" s="6"/>
      <c r="L657" s="6" t="s">
        <v>3104</v>
      </c>
      <c r="M657" s="6" t="str">
        <f>VLOOKUP(L657, GLOSSARY!$A:$C, 2, FALSE)</f>
        <v>COLONEL RICKETT'S</v>
      </c>
      <c r="N657" s="6" t="s">
        <v>68</v>
      </c>
      <c r="O657" s="6"/>
      <c r="P657" s="6"/>
      <c r="Q657" s="6"/>
      <c r="R657" s="6"/>
      <c r="S657" s="6"/>
      <c r="T657" s="6"/>
      <c r="U657" s="6"/>
      <c r="V657" s="6"/>
      <c r="W657" s="6"/>
      <c r="X657" s="6"/>
      <c r="Y657" s="6"/>
      <c r="Z657" s="6"/>
      <c r="AA657" s="6"/>
      <c r="AB657" s="6"/>
      <c r="AC657" s="6"/>
      <c r="AD657" s="6"/>
      <c r="AE657" s="6"/>
    </row>
    <row r="658" spans="1:31" ht="51" x14ac:dyDescent="0.2">
      <c r="A658" s="6" t="s">
        <v>3686</v>
      </c>
      <c r="B658" s="6" t="s">
        <v>4226</v>
      </c>
      <c r="C658" s="20" t="s">
        <v>4227</v>
      </c>
      <c r="D658" s="6" t="s">
        <v>4228</v>
      </c>
      <c r="E658" s="6"/>
      <c r="F658" s="6" t="s">
        <v>48</v>
      </c>
      <c r="G658" s="6" t="s">
        <v>50</v>
      </c>
      <c r="H658" s="6" t="str">
        <f t="shared" si="36"/>
        <v>THE OVERSEER(P43)</v>
      </c>
      <c r="I658" s="6" t="s">
        <v>533</v>
      </c>
      <c r="J658" s="6"/>
      <c r="K658" s="6"/>
      <c r="L658" s="6" t="s">
        <v>55</v>
      </c>
      <c r="M658" s="6" t="str">
        <f>VLOOKUP(L658, GLOSSARY!$A:$C, 2, FALSE)</f>
        <v>EGYPT ESTATE</v>
      </c>
      <c r="N658" s="6" t="s">
        <v>287</v>
      </c>
      <c r="O658" s="6"/>
      <c r="P658" s="6"/>
      <c r="Q658" s="6"/>
      <c r="R658" s="6"/>
      <c r="S658" s="6"/>
      <c r="T658" s="6"/>
      <c r="U658" s="6"/>
      <c r="V658" s="6"/>
      <c r="W658" s="6"/>
      <c r="X658" s="6"/>
      <c r="Y658" s="6"/>
      <c r="Z658" s="6"/>
      <c r="AA658" s="6"/>
      <c r="AB658" s="6"/>
      <c r="AC658" s="6"/>
      <c r="AD658" s="6"/>
      <c r="AE658" s="6"/>
    </row>
    <row r="659" spans="1:31" ht="409.5" x14ac:dyDescent="0.2">
      <c r="A659" s="6" t="s">
        <v>4216</v>
      </c>
      <c r="B659" s="6" t="s">
        <v>4229</v>
      </c>
      <c r="C659" s="20" t="s">
        <v>4227</v>
      </c>
      <c r="D659" s="6" t="s">
        <v>4230</v>
      </c>
      <c r="E659" s="6"/>
      <c r="F659" s="6" t="s">
        <v>4231</v>
      </c>
      <c r="G659" s="6" t="s">
        <v>4232</v>
      </c>
      <c r="H659" s="6" t="str">
        <f t="shared" si="36"/>
        <v>THE OVERSEER
MR. BOSLEY
DAVID LOPEZ
THOMAS FEWKES
COLONEL RICKETT
SAM MATHEWS
JOHN COPE
(P43
P512
P141
P79
P524)</v>
      </c>
      <c r="I659" s="6" t="s">
        <v>112</v>
      </c>
      <c r="J659" s="6"/>
      <c r="K659" s="6"/>
      <c r="L659" s="6" t="s">
        <v>3104</v>
      </c>
      <c r="M659" s="6" t="str">
        <f>VLOOKUP(L659, GLOSSARY!$A:$C, 2, FALSE)</f>
        <v>COLONEL RICKETT'S</v>
      </c>
      <c r="N659" s="6" t="s">
        <v>287</v>
      </c>
      <c r="O659" s="6"/>
      <c r="P659" s="6"/>
      <c r="Q659" s="6"/>
      <c r="R659" s="6"/>
      <c r="S659" s="6"/>
      <c r="T659" s="6"/>
      <c r="U659" s="6"/>
      <c r="V659" s="6"/>
      <c r="W659" s="6"/>
      <c r="X659" s="6"/>
      <c r="Y659" s="6"/>
      <c r="Z659" s="6"/>
      <c r="AA659" s="6"/>
      <c r="AB659" s="6"/>
      <c r="AC659" s="6"/>
      <c r="AD659" s="6"/>
      <c r="AE659" s="6"/>
    </row>
    <row r="660" spans="1:31" ht="25.5" x14ac:dyDescent="0.2">
      <c r="A660" s="6" t="s">
        <v>4233</v>
      </c>
      <c r="B660" s="6" t="s">
        <v>4234</v>
      </c>
      <c r="C660" s="20" t="s">
        <v>4235</v>
      </c>
      <c r="D660" s="6" t="s">
        <v>4236</v>
      </c>
      <c r="E660" s="6"/>
      <c r="F660" s="6" t="s">
        <v>52</v>
      </c>
      <c r="G660" s="6" t="s">
        <v>51</v>
      </c>
      <c r="H660" s="6" t="str">
        <f t="shared" si="36"/>
        <v>EGYPT LUCY(P3)</v>
      </c>
      <c r="I660" s="6" t="s">
        <v>533</v>
      </c>
      <c r="J660" s="6"/>
      <c r="K660" s="6"/>
      <c r="L660" s="6" t="s">
        <v>55</v>
      </c>
      <c r="M660" s="6" t="str">
        <f>VLOOKUP(L660, GLOSSARY!$A:$C, 2, FALSE)</f>
        <v>EGYPT ESTATE</v>
      </c>
      <c r="N660" s="6" t="s">
        <v>68</v>
      </c>
      <c r="O660" s="6"/>
      <c r="P660" s="6"/>
      <c r="Q660" s="6"/>
      <c r="R660" s="6"/>
      <c r="S660" s="6"/>
      <c r="T660" s="6"/>
      <c r="U660" s="6"/>
      <c r="V660" s="6"/>
      <c r="W660" s="6"/>
      <c r="X660" s="6"/>
      <c r="Y660" s="6"/>
      <c r="Z660" s="6"/>
      <c r="AA660" s="6"/>
      <c r="AB660" s="6"/>
      <c r="AC660" s="6"/>
      <c r="AD660" s="6"/>
      <c r="AE660" s="6"/>
    </row>
    <row r="661" spans="1:31" ht="51" x14ac:dyDescent="0.2">
      <c r="A661" s="6" t="s">
        <v>4237</v>
      </c>
      <c r="B661" s="6" t="s">
        <v>4238</v>
      </c>
      <c r="C661" s="20" t="s">
        <v>4239</v>
      </c>
      <c r="D661" s="6" t="s">
        <v>4240</v>
      </c>
      <c r="E661" s="6"/>
      <c r="F661" s="6" t="s">
        <v>4241</v>
      </c>
      <c r="G661" s="6" t="s">
        <v>4242</v>
      </c>
      <c r="H661" s="6" t="str">
        <f t="shared" si="36"/>
        <v>EGYPT FIELDHANDS
SAM(UEL) MATHEWS(P315
P79)</v>
      </c>
      <c r="I661" s="6" t="s">
        <v>248</v>
      </c>
      <c r="J661" s="6"/>
      <c r="K661" s="6"/>
      <c r="L661" s="6" t="s">
        <v>2956</v>
      </c>
      <c r="M661" s="6" t="str">
        <f>VLOOKUP(L661, GLOSSARY!$A:$C, 2, FALSE)</f>
        <v>PARADISE MOUNTAIN</v>
      </c>
      <c r="N661" s="6" t="s">
        <v>287</v>
      </c>
      <c r="O661" s="6"/>
      <c r="P661" s="6"/>
      <c r="Q661" s="6"/>
      <c r="R661" s="6"/>
      <c r="S661" s="6"/>
      <c r="T661" s="6"/>
      <c r="U661" s="6"/>
      <c r="V661" s="6"/>
      <c r="W661" s="6"/>
      <c r="X661" s="6"/>
      <c r="Y661" s="6"/>
      <c r="Z661" s="6"/>
      <c r="AA661" s="6"/>
      <c r="AB661" s="6"/>
      <c r="AC661" s="6"/>
      <c r="AD661" s="6"/>
      <c r="AE661" s="6"/>
    </row>
    <row r="662" spans="1:31" ht="25.5" x14ac:dyDescent="0.2">
      <c r="A662" s="6" t="s">
        <v>4190</v>
      </c>
      <c r="B662" s="6" t="s">
        <v>4238</v>
      </c>
      <c r="C662" s="20" t="s">
        <v>4239</v>
      </c>
      <c r="D662" s="6" t="s">
        <v>4243</v>
      </c>
      <c r="E662" s="6"/>
      <c r="F662" s="6" t="s">
        <v>839</v>
      </c>
      <c r="G662" s="6" t="s">
        <v>837</v>
      </c>
      <c r="H662" s="6" t="str">
        <f t="shared" si="36"/>
        <v>EVE(P128)</v>
      </c>
      <c r="I662" s="6" t="s">
        <v>656</v>
      </c>
      <c r="J662" s="6"/>
      <c r="K662" s="6"/>
      <c r="L662" s="6" t="s">
        <v>657</v>
      </c>
      <c r="M662" s="6" t="str">
        <f>VLOOKUP(L662, GLOSSARY!$A:$C, 2, FALSE)</f>
        <v>UNKNOWN</v>
      </c>
      <c r="N662" s="6" t="s">
        <v>287</v>
      </c>
      <c r="O662" s="6"/>
      <c r="P662" s="6"/>
      <c r="Q662" s="6"/>
      <c r="R662" s="6"/>
      <c r="S662" s="6"/>
      <c r="T662" s="6"/>
      <c r="U662" s="6"/>
      <c r="V662" s="6"/>
      <c r="W662" s="6"/>
      <c r="X662" s="6"/>
      <c r="Y662" s="6"/>
      <c r="Z662" s="6"/>
      <c r="AA662" s="6"/>
      <c r="AB662" s="6"/>
      <c r="AC662" s="6"/>
      <c r="AD662" s="6"/>
      <c r="AE662" s="6"/>
    </row>
    <row r="663" spans="1:31" ht="63.75" x14ac:dyDescent="0.2">
      <c r="A663" s="6" t="s">
        <v>3686</v>
      </c>
      <c r="B663" s="6" t="s">
        <v>4244</v>
      </c>
      <c r="C663" s="20" t="s">
        <v>4245</v>
      </c>
      <c r="D663" s="6" t="s">
        <v>4246</v>
      </c>
      <c r="E663" s="6"/>
      <c r="F663" s="6" t="s">
        <v>48</v>
      </c>
      <c r="G663" s="6" t="s">
        <v>50</v>
      </c>
      <c r="H663" s="6" t="str">
        <f t="shared" si="36"/>
        <v>THE OVERSEER(P43)</v>
      </c>
      <c r="I663" s="6" t="s">
        <v>533</v>
      </c>
      <c r="J663" s="6"/>
      <c r="K663" s="6"/>
      <c r="L663" s="6" t="s">
        <v>55</v>
      </c>
      <c r="M663" s="6" t="str">
        <f>VLOOKUP(L663, GLOSSARY!$A:$C, 2, FALSE)</f>
        <v>EGYPT ESTATE</v>
      </c>
      <c r="N663" s="6" t="s">
        <v>287</v>
      </c>
      <c r="O663" s="6"/>
      <c r="P663" s="6"/>
      <c r="Q663" s="6"/>
      <c r="R663" s="6"/>
      <c r="S663" s="6"/>
      <c r="T663" s="6"/>
      <c r="U663" s="6"/>
      <c r="V663" s="6"/>
      <c r="W663" s="6"/>
      <c r="X663" s="6"/>
      <c r="Y663" s="6"/>
      <c r="Z663" s="6"/>
      <c r="AA663" s="6"/>
      <c r="AB663" s="6"/>
      <c r="AC663" s="6"/>
      <c r="AD663" s="6"/>
      <c r="AE663" s="6"/>
    </row>
    <row r="664" spans="1:31" ht="25.5" x14ac:dyDescent="0.2">
      <c r="A664" s="6" t="s">
        <v>3686</v>
      </c>
      <c r="B664" s="6" t="s">
        <v>4247</v>
      </c>
      <c r="C664" s="20" t="s">
        <v>4248</v>
      </c>
      <c r="D664" s="6" t="s">
        <v>4249</v>
      </c>
      <c r="E664" s="6"/>
      <c r="F664" s="6" t="s">
        <v>48</v>
      </c>
      <c r="G664" s="6" t="s">
        <v>50</v>
      </c>
      <c r="H664" s="6" t="str">
        <f t="shared" si="36"/>
        <v>THE OVERSEER(P43)</v>
      </c>
      <c r="I664" s="6" t="s">
        <v>533</v>
      </c>
      <c r="J664" s="6"/>
      <c r="K664" s="6"/>
      <c r="L664" s="6" t="s">
        <v>55</v>
      </c>
      <c r="M664" s="6" t="str">
        <f>VLOOKUP(L664, GLOSSARY!$A:$C, 2, FALSE)</f>
        <v>EGYPT ESTATE</v>
      </c>
      <c r="N664" s="6" t="s">
        <v>287</v>
      </c>
      <c r="O664" s="6"/>
      <c r="P664" s="6"/>
      <c r="Q664" s="6"/>
      <c r="R664" s="6"/>
      <c r="S664" s="6"/>
      <c r="T664" s="6"/>
      <c r="U664" s="6"/>
      <c r="V664" s="6"/>
      <c r="W664" s="6"/>
      <c r="X664" s="6"/>
      <c r="Y664" s="6"/>
      <c r="Z664" s="6"/>
      <c r="AA664" s="6"/>
      <c r="AB664" s="6"/>
      <c r="AC664" s="6"/>
      <c r="AD664" s="6"/>
      <c r="AE664" s="6"/>
    </row>
    <row r="665" spans="1:31" ht="38.25" x14ac:dyDescent="0.2">
      <c r="A665" s="6" t="s">
        <v>3686</v>
      </c>
      <c r="B665" s="6" t="s">
        <v>4247</v>
      </c>
      <c r="C665" s="20" t="s">
        <v>4250</v>
      </c>
      <c r="D665" s="6" t="s">
        <v>4251</v>
      </c>
      <c r="E665" s="6"/>
      <c r="F665" s="6" t="s">
        <v>48</v>
      </c>
      <c r="G665" s="6" t="s">
        <v>50</v>
      </c>
      <c r="H665" s="6" t="str">
        <f t="shared" si="36"/>
        <v>THE OVERSEER(P43)</v>
      </c>
      <c r="I665" s="6" t="s">
        <v>533</v>
      </c>
      <c r="J665" s="6"/>
      <c r="K665" s="6"/>
      <c r="L665" s="6" t="s">
        <v>55</v>
      </c>
      <c r="M665" s="6" t="str">
        <f>VLOOKUP(L665, GLOSSARY!$A:$C, 2, FALSE)</f>
        <v>EGYPT ESTATE</v>
      </c>
      <c r="N665" s="6" t="s">
        <v>287</v>
      </c>
      <c r="O665" s="6"/>
      <c r="P665" s="6"/>
      <c r="Q665" s="6"/>
      <c r="R665" s="6"/>
      <c r="S665" s="6"/>
      <c r="T665" s="6"/>
      <c r="U665" s="6"/>
      <c r="V665" s="6"/>
      <c r="W665" s="6"/>
      <c r="X665" s="6"/>
      <c r="Y665" s="6"/>
      <c r="Z665" s="6"/>
      <c r="AA665" s="6"/>
      <c r="AB665" s="6"/>
      <c r="AC665" s="6"/>
      <c r="AD665" s="6"/>
      <c r="AE665" s="6"/>
    </row>
    <row r="666" spans="1:31" ht="89.25" x14ac:dyDescent="0.2">
      <c r="A666" s="6" t="s">
        <v>3686</v>
      </c>
      <c r="B666" s="6" t="s">
        <v>4252</v>
      </c>
      <c r="C666" s="20" t="s">
        <v>4253</v>
      </c>
      <c r="D666" s="6" t="s">
        <v>4254</v>
      </c>
      <c r="E666" s="6"/>
      <c r="F666" s="6" t="s">
        <v>48</v>
      </c>
      <c r="G666" s="6" t="s">
        <v>50</v>
      </c>
      <c r="H666" s="6" t="str">
        <f t="shared" si="36"/>
        <v>THE OVERSEER(P43)</v>
      </c>
      <c r="I666" s="6" t="s">
        <v>533</v>
      </c>
      <c r="J666" s="6"/>
      <c r="K666" s="6"/>
      <c r="L666" s="6" t="s">
        <v>55</v>
      </c>
      <c r="M666" s="6" t="str">
        <f>VLOOKUP(L666, GLOSSARY!$A:$C, 2, FALSE)</f>
        <v>EGYPT ESTATE</v>
      </c>
      <c r="N666" s="6" t="s">
        <v>287</v>
      </c>
      <c r="O666" s="6"/>
      <c r="P666" s="6"/>
      <c r="Q666" s="6"/>
      <c r="R666" s="6"/>
      <c r="S666" s="6"/>
      <c r="T666" s="6"/>
      <c r="U666" s="6"/>
      <c r="V666" s="6"/>
      <c r="W666" s="6"/>
      <c r="X666" s="6"/>
      <c r="Y666" s="6"/>
      <c r="Z666" s="6"/>
      <c r="AA666" s="6"/>
      <c r="AB666" s="6"/>
      <c r="AC666" s="6"/>
      <c r="AD666" s="6"/>
      <c r="AE666" s="6"/>
    </row>
    <row r="667" spans="1:31" ht="63.75" x14ac:dyDescent="0.2">
      <c r="A667" s="6" t="s">
        <v>4255</v>
      </c>
      <c r="B667" s="6" t="s">
        <v>4256</v>
      </c>
      <c r="C667" s="20" t="s">
        <v>4257</v>
      </c>
      <c r="D667" s="6" t="s">
        <v>4258</v>
      </c>
      <c r="E667" s="6"/>
      <c r="F667" s="6" t="s">
        <v>4259</v>
      </c>
      <c r="G667" s="6" t="s">
        <v>4260</v>
      </c>
      <c r="H667" s="6" t="str">
        <f t="shared" si="36"/>
        <v>MASON QUASHE
THE OVERSEER(P43
25)</v>
      </c>
      <c r="I667" s="6" t="s">
        <v>957</v>
      </c>
      <c r="J667" s="6"/>
      <c r="K667" s="6"/>
      <c r="L667" s="6" t="s">
        <v>55</v>
      </c>
      <c r="M667" s="6" t="str">
        <f>VLOOKUP(L667, GLOSSARY!$A:$C, 2, FALSE)</f>
        <v>EGYPT ESTATE</v>
      </c>
      <c r="N667" s="6" t="s">
        <v>68</v>
      </c>
      <c r="O667" s="6"/>
      <c r="P667" s="6"/>
      <c r="Q667" s="6"/>
      <c r="R667" s="6"/>
      <c r="S667" s="6"/>
      <c r="T667" s="6"/>
      <c r="U667" s="6"/>
      <c r="V667" s="6"/>
      <c r="W667" s="6"/>
      <c r="X667" s="6"/>
      <c r="Y667" s="6"/>
      <c r="Z667" s="6"/>
      <c r="AA667" s="6"/>
      <c r="AB667" s="6"/>
      <c r="AC667" s="6"/>
      <c r="AD667" s="6"/>
      <c r="AE667" s="6"/>
    </row>
    <row r="668" spans="1:31" ht="38.25" x14ac:dyDescent="0.2">
      <c r="A668" s="6" t="s">
        <v>3686</v>
      </c>
      <c r="B668" s="6" t="s">
        <v>4261</v>
      </c>
      <c r="C668" s="20" t="s">
        <v>4262</v>
      </c>
      <c r="D668" s="6" t="s">
        <v>4263</v>
      </c>
      <c r="E668" s="6"/>
      <c r="F668" s="6" t="s">
        <v>48</v>
      </c>
      <c r="G668" s="6" t="s">
        <v>50</v>
      </c>
      <c r="H668" s="6" t="str">
        <f t="shared" si="36"/>
        <v>THE OVERSEER(P43)</v>
      </c>
      <c r="I668" s="6" t="s">
        <v>533</v>
      </c>
      <c r="J668" s="6"/>
      <c r="K668" s="6"/>
      <c r="L668" s="6" t="s">
        <v>55</v>
      </c>
      <c r="M668" s="6" t="str">
        <f>VLOOKUP(L668, GLOSSARY!$A:$C, 2, FALSE)</f>
        <v>EGYPT ESTATE</v>
      </c>
      <c r="N668" s="6" t="s">
        <v>287</v>
      </c>
      <c r="O668" s="6"/>
      <c r="P668" s="6"/>
      <c r="Q668" s="6"/>
      <c r="R668" s="6"/>
      <c r="S668" s="6"/>
      <c r="T668" s="6"/>
      <c r="U668" s="6"/>
      <c r="V668" s="6"/>
      <c r="W668" s="6"/>
      <c r="X668" s="6"/>
      <c r="Y668" s="6"/>
      <c r="Z668" s="6"/>
      <c r="AA668" s="6"/>
      <c r="AB668" s="6"/>
      <c r="AC668" s="6"/>
      <c r="AD668" s="6"/>
      <c r="AE668" s="6"/>
    </row>
    <row r="669" spans="1:31" ht="51" x14ac:dyDescent="0.2">
      <c r="A669" s="6" t="s">
        <v>3686</v>
      </c>
      <c r="B669" s="6" t="s">
        <v>4264</v>
      </c>
      <c r="C669" s="20" t="s">
        <v>4265</v>
      </c>
      <c r="D669" s="6" t="s">
        <v>4266</v>
      </c>
      <c r="E669" s="6"/>
      <c r="F669" s="6" t="s">
        <v>48</v>
      </c>
      <c r="G669" s="6" t="s">
        <v>50</v>
      </c>
      <c r="H669" s="6" t="str">
        <f t="shared" si="36"/>
        <v>THE OVERSEER(P43)</v>
      </c>
      <c r="I669" s="6" t="s">
        <v>533</v>
      </c>
      <c r="J669" s="6"/>
      <c r="K669" s="6"/>
      <c r="L669" s="6" t="s">
        <v>55</v>
      </c>
      <c r="M669" s="6" t="str">
        <f>VLOOKUP(L669, GLOSSARY!$A:$C, 2, FALSE)</f>
        <v>EGYPT ESTATE</v>
      </c>
      <c r="N669" s="6" t="s">
        <v>287</v>
      </c>
      <c r="O669" s="6"/>
      <c r="P669" s="6"/>
      <c r="Q669" s="6"/>
      <c r="R669" s="6"/>
      <c r="S669" s="6"/>
      <c r="T669" s="6"/>
      <c r="U669" s="6"/>
      <c r="V669" s="6"/>
      <c r="W669" s="6"/>
      <c r="X669" s="6"/>
      <c r="Y669" s="6"/>
      <c r="Z669" s="6"/>
      <c r="AA669" s="6"/>
      <c r="AB669" s="6"/>
      <c r="AC669" s="6"/>
      <c r="AD669" s="6"/>
      <c r="AE669" s="6"/>
    </row>
    <row r="670" spans="1:31" ht="38.25" x14ac:dyDescent="0.2">
      <c r="A670" s="6" t="s">
        <v>3686</v>
      </c>
      <c r="B670" s="6" t="s">
        <v>4264</v>
      </c>
      <c r="C670" s="20" t="s">
        <v>4267</v>
      </c>
      <c r="D670" s="6" t="s">
        <v>4268</v>
      </c>
      <c r="E670" s="6"/>
      <c r="F670" s="6" t="s">
        <v>48</v>
      </c>
      <c r="G670" s="6" t="s">
        <v>50</v>
      </c>
      <c r="H670" s="6" t="str">
        <f t="shared" si="36"/>
        <v>THE OVERSEER(P43)</v>
      </c>
      <c r="I670" s="6" t="s">
        <v>533</v>
      </c>
      <c r="J670" s="6"/>
      <c r="K670" s="6"/>
      <c r="L670" s="6" t="s">
        <v>55</v>
      </c>
      <c r="M670" s="6" t="str">
        <f>VLOOKUP(L670, GLOSSARY!$A:$C, 2, FALSE)</f>
        <v>EGYPT ESTATE</v>
      </c>
      <c r="N670" s="6" t="s">
        <v>287</v>
      </c>
      <c r="O670" s="6"/>
      <c r="P670" s="6"/>
      <c r="Q670" s="6"/>
      <c r="R670" s="6"/>
      <c r="S670" s="6"/>
      <c r="T670" s="6"/>
      <c r="U670" s="6"/>
      <c r="V670" s="6"/>
      <c r="W670" s="6"/>
      <c r="X670" s="6"/>
      <c r="Y670" s="6"/>
      <c r="Z670" s="6"/>
      <c r="AA670" s="6"/>
      <c r="AB670" s="6"/>
      <c r="AC670" s="6"/>
      <c r="AD670" s="6"/>
      <c r="AE670" s="6"/>
    </row>
    <row r="671" spans="1:31" ht="114.75" x14ac:dyDescent="0.2">
      <c r="A671" s="6" t="s">
        <v>4190</v>
      </c>
      <c r="B671" s="6" t="s">
        <v>4269</v>
      </c>
      <c r="C671" s="20" t="s">
        <v>4270</v>
      </c>
      <c r="D671" s="6" t="s">
        <v>4271</v>
      </c>
      <c r="E671" s="6"/>
      <c r="F671" s="6" t="s">
        <v>4272</v>
      </c>
      <c r="G671" s="6" t="s">
        <v>4273</v>
      </c>
      <c r="H671" s="6" t="str">
        <f t="shared" si="36"/>
        <v>HAZAT
QUACOO
JACKIE
EVE
RACHAEL(P87
P298
P102
P128
P426)</v>
      </c>
      <c r="I671" s="6" t="s">
        <v>656</v>
      </c>
      <c r="J671" s="6"/>
      <c r="K671" s="6"/>
      <c r="L671" s="6" t="s">
        <v>657</v>
      </c>
      <c r="M671" s="6" t="str">
        <f>VLOOKUP(L671, GLOSSARY!$A:$C, 2, FALSE)</f>
        <v>UNKNOWN</v>
      </c>
      <c r="N671" s="6" t="s">
        <v>287</v>
      </c>
      <c r="O671" s="6"/>
      <c r="P671" s="6"/>
      <c r="Q671" s="6"/>
      <c r="R671" s="6"/>
      <c r="S671" s="6"/>
      <c r="T671" s="6"/>
      <c r="U671" s="6"/>
      <c r="V671" s="6"/>
      <c r="W671" s="6"/>
      <c r="X671" s="6"/>
      <c r="Y671" s="6"/>
      <c r="Z671" s="6"/>
      <c r="AA671" s="6"/>
      <c r="AB671" s="6"/>
      <c r="AC671" s="6"/>
      <c r="AD671" s="6"/>
      <c r="AE671" s="6"/>
    </row>
    <row r="672" spans="1:31" ht="63.75" x14ac:dyDescent="0.2">
      <c r="A672" s="6" t="s">
        <v>4237</v>
      </c>
      <c r="B672" s="6" t="s">
        <v>4269</v>
      </c>
      <c r="C672" s="20" t="s">
        <v>4270</v>
      </c>
      <c r="D672" s="6" t="s">
        <v>4274</v>
      </c>
      <c r="E672" s="6"/>
      <c r="F672" s="6" t="s">
        <v>645</v>
      </c>
      <c r="G672" s="6" t="s">
        <v>4275</v>
      </c>
      <c r="H672" s="6" t="str">
        <f t="shared" si="36"/>
        <v>HAZAT(P87
)</v>
      </c>
      <c r="I672" s="6" t="s">
        <v>248</v>
      </c>
      <c r="J672" s="6"/>
      <c r="K672" s="6"/>
      <c r="L672" s="6" t="s">
        <v>2849</v>
      </c>
      <c r="M672" s="6" t="str">
        <f>VLOOKUP(L672, GLOSSARY!$A:$C, 2, FALSE)</f>
        <v>EGYPT POTATO PIECE</v>
      </c>
      <c r="N672" s="6" t="s">
        <v>287</v>
      </c>
      <c r="O672" s="6"/>
      <c r="P672" s="6"/>
      <c r="Q672" s="6"/>
      <c r="R672" s="6"/>
      <c r="S672" s="6"/>
      <c r="T672" s="6"/>
      <c r="U672" s="6"/>
      <c r="V672" s="6"/>
      <c r="W672" s="6"/>
      <c r="X672" s="6"/>
      <c r="Y672" s="6"/>
      <c r="Z672" s="6"/>
      <c r="AA672" s="6"/>
      <c r="AB672" s="6"/>
      <c r="AC672" s="6"/>
      <c r="AD672" s="6"/>
      <c r="AE672" s="6"/>
    </row>
    <row r="673" spans="1:31" ht="165.75" x14ac:dyDescent="0.2">
      <c r="A673" s="6" t="s">
        <v>4190</v>
      </c>
      <c r="B673" s="6" t="s">
        <v>4269</v>
      </c>
      <c r="C673" s="20" t="s">
        <v>4276</v>
      </c>
      <c r="D673" s="6" t="s">
        <v>4277</v>
      </c>
      <c r="E673" s="6"/>
      <c r="F673" s="6" t="s">
        <v>4278</v>
      </c>
      <c r="G673" s="6" t="s">
        <v>4279</v>
      </c>
      <c r="H673" s="6" t="str">
        <f t="shared" si="36"/>
        <v>LEWIE
RACHAEL
HAZAT
THE OVERSEER
MASON QUASHE
PLATO
QUAMINA(P317
P426
P87
P43
P25
P208
P354)</v>
      </c>
      <c r="I673" s="6" t="s">
        <v>112</v>
      </c>
      <c r="J673" s="6"/>
      <c r="K673" s="6"/>
      <c r="L673" s="6" t="s">
        <v>55</v>
      </c>
      <c r="M673" s="6" t="str">
        <f>VLOOKUP(L673, GLOSSARY!$A:$C, 2, FALSE)</f>
        <v>EGYPT ESTATE</v>
      </c>
      <c r="N673" s="6" t="s">
        <v>287</v>
      </c>
      <c r="O673" s="6"/>
      <c r="P673" s="6"/>
      <c r="Q673" s="6"/>
      <c r="R673" s="6"/>
      <c r="S673" s="6"/>
      <c r="T673" s="6"/>
      <c r="U673" s="6"/>
      <c r="V673" s="6"/>
      <c r="W673" s="6"/>
      <c r="X673" s="6"/>
      <c r="Y673" s="6"/>
      <c r="Z673" s="6"/>
      <c r="AA673" s="6"/>
      <c r="AB673" s="6"/>
      <c r="AC673" s="6"/>
      <c r="AD673" s="6"/>
      <c r="AE673" s="6"/>
    </row>
    <row r="674" spans="1:31" ht="63.75" x14ac:dyDescent="0.2">
      <c r="A674" s="6" t="s">
        <v>4190</v>
      </c>
      <c r="B674" s="6" t="s">
        <v>4269</v>
      </c>
      <c r="C674" s="20" t="s">
        <v>4280</v>
      </c>
      <c r="D674" s="6" t="s">
        <v>4281</v>
      </c>
      <c r="E674" s="6"/>
      <c r="F674" s="6" t="s">
        <v>4282</v>
      </c>
      <c r="G674" s="6" t="s">
        <v>4283</v>
      </c>
      <c r="H674" s="6" t="str">
        <f t="shared" si="36"/>
        <v>MASON QUASHE
PLATO
QUAMINA(P25
P208
P354)</v>
      </c>
      <c r="I674" s="6" t="s">
        <v>656</v>
      </c>
      <c r="J674" s="6"/>
      <c r="K674" s="6"/>
      <c r="L674" s="6" t="s">
        <v>657</v>
      </c>
      <c r="M674" s="6" t="str">
        <f>VLOOKUP(L673, GLOSSARY!$A:$C, 2, FALSE)</f>
        <v>EGYPT ESTATE</v>
      </c>
      <c r="N674" s="6" t="s">
        <v>287</v>
      </c>
      <c r="O674" s="6"/>
      <c r="P674" s="6"/>
      <c r="Q674" s="6"/>
      <c r="R674" s="6"/>
      <c r="S674" s="6"/>
      <c r="T674" s="6"/>
      <c r="U674" s="6"/>
      <c r="V674" s="6"/>
      <c r="W674" s="6"/>
      <c r="X674" s="6"/>
      <c r="Y674" s="6"/>
      <c r="Z674" s="6"/>
      <c r="AA674" s="6"/>
      <c r="AB674" s="6"/>
      <c r="AC674" s="6"/>
      <c r="AD674" s="6"/>
      <c r="AE674" s="6"/>
    </row>
    <row r="675" spans="1:31" ht="63.75" x14ac:dyDescent="0.2">
      <c r="A675" s="6" t="s">
        <v>4190</v>
      </c>
      <c r="B675" s="6" t="s">
        <v>4284</v>
      </c>
      <c r="C675" s="20" t="s">
        <v>4285</v>
      </c>
      <c r="D675" s="6" t="s">
        <v>4286</v>
      </c>
      <c r="E675" s="6"/>
      <c r="F675" s="6" t="s">
        <v>4287</v>
      </c>
      <c r="G675" s="6" t="s">
        <v>4288</v>
      </c>
      <c r="H675" s="6" t="str">
        <f t="shared" si="36"/>
        <v>ENSLAVED MAN [MR. BARNARD SENIOR]
JACKIE(P519
P102)</v>
      </c>
      <c r="I675" s="6" t="s">
        <v>656</v>
      </c>
      <c r="J675" s="6"/>
      <c r="K675" s="6"/>
      <c r="L675" s="6" t="s">
        <v>55</v>
      </c>
      <c r="M675" s="6" t="str">
        <f>VLOOKUP(L674, GLOSSARY!$A:$C, 2, FALSE)</f>
        <v>UNKNOWN</v>
      </c>
      <c r="N675" s="6" t="s">
        <v>167</v>
      </c>
      <c r="O675" s="6"/>
      <c r="P675" s="6"/>
      <c r="Q675" s="6"/>
      <c r="R675" s="6"/>
      <c r="S675" s="6"/>
      <c r="T675" s="6"/>
      <c r="U675" s="6"/>
      <c r="V675" s="6"/>
      <c r="W675" s="6"/>
      <c r="X675" s="6"/>
      <c r="Y675" s="6"/>
      <c r="Z675" s="6"/>
      <c r="AA675" s="6"/>
      <c r="AB675" s="6"/>
      <c r="AC675" s="6"/>
      <c r="AD675" s="6"/>
      <c r="AE675" s="6"/>
    </row>
    <row r="676" spans="1:31" ht="63.75" x14ac:dyDescent="0.2">
      <c r="A676" s="6" t="s">
        <v>4190</v>
      </c>
      <c r="B676" s="6" t="s">
        <v>4284</v>
      </c>
      <c r="C676" s="20" t="s">
        <v>4289</v>
      </c>
      <c r="D676" s="6" t="s">
        <v>4290</v>
      </c>
      <c r="E676" s="6"/>
      <c r="F676" s="6" t="s">
        <v>4291</v>
      </c>
      <c r="G676" s="6" t="s">
        <v>4292</v>
      </c>
      <c r="H676" s="6" t="str">
        <f t="shared" si="36"/>
        <v>THE OVERSEER
JACKIE(P43
P102)</v>
      </c>
      <c r="I676" s="6" t="s">
        <v>112</v>
      </c>
      <c r="J676" s="6"/>
      <c r="K676" s="6"/>
      <c r="L676" s="6" t="s">
        <v>55</v>
      </c>
      <c r="M676" s="6" t="str">
        <f>VLOOKUP(L675, GLOSSARY!$A:$C, 2, FALSE)</f>
        <v>EGYPT ESTATE</v>
      </c>
      <c r="N676" s="6" t="s">
        <v>68</v>
      </c>
      <c r="O676" s="6"/>
      <c r="P676" s="6"/>
      <c r="Q676" s="6"/>
      <c r="R676" s="6"/>
      <c r="S676" s="6"/>
      <c r="T676" s="6"/>
      <c r="U676" s="6"/>
      <c r="V676" s="6"/>
      <c r="W676" s="6"/>
      <c r="X676" s="6"/>
      <c r="Y676" s="6"/>
      <c r="Z676" s="6"/>
      <c r="AA676" s="6"/>
      <c r="AB676" s="6"/>
      <c r="AC676" s="6"/>
      <c r="AD676" s="6"/>
      <c r="AE676" s="6"/>
    </row>
    <row r="677" spans="1:31" ht="38.25" x14ac:dyDescent="0.2">
      <c r="A677" s="6" t="s">
        <v>4293</v>
      </c>
      <c r="B677" s="6" t="s">
        <v>4294</v>
      </c>
      <c r="C677" s="20" t="s">
        <v>4295</v>
      </c>
      <c r="D677" s="6" t="s">
        <v>4296</v>
      </c>
      <c r="E677" s="6"/>
      <c r="F677" s="6" t="s">
        <v>4297</v>
      </c>
      <c r="G677" s="6" t="s">
        <v>4298</v>
      </c>
      <c r="H677" s="6" t="str">
        <f t="shared" si="36"/>
        <v>THE OVERSEER
DR. CUTLING(P43
P520)</v>
      </c>
      <c r="I677" s="6" t="s">
        <v>248</v>
      </c>
      <c r="J677" s="6"/>
      <c r="K677" s="6"/>
      <c r="L677" s="6" t="s">
        <v>55</v>
      </c>
      <c r="M677" s="6" t="str">
        <f>VLOOKUP(L677, GLOSSARY!$A:$C, 2, FALSE)</f>
        <v>EGYPT ESTATE</v>
      </c>
      <c r="N677" s="6" t="s">
        <v>68</v>
      </c>
      <c r="O677" s="6"/>
      <c r="P677" s="6"/>
      <c r="Q677" s="6"/>
      <c r="R677" s="6"/>
      <c r="S677" s="6"/>
      <c r="T677" s="6"/>
      <c r="U677" s="6"/>
      <c r="V677" s="6"/>
      <c r="W677" s="6"/>
      <c r="X677" s="6"/>
      <c r="Y677" s="6"/>
      <c r="Z677" s="6"/>
      <c r="AA677" s="6"/>
      <c r="AB677" s="6"/>
      <c r="AC677" s="6"/>
      <c r="AD677" s="6"/>
      <c r="AE677" s="6"/>
    </row>
    <row r="678" spans="1:31" ht="25.5" x14ac:dyDescent="0.2">
      <c r="A678" s="6" t="s">
        <v>3686</v>
      </c>
      <c r="B678" s="6" t="s">
        <v>4294</v>
      </c>
      <c r="C678" s="20" t="s">
        <v>4295</v>
      </c>
      <c r="D678" s="6" t="s">
        <v>4299</v>
      </c>
      <c r="E678" s="6"/>
      <c r="F678" s="6" t="s">
        <v>48</v>
      </c>
      <c r="G678" s="6" t="s">
        <v>397</v>
      </c>
      <c r="H678" s="6" t="str">
        <f t="shared" si="36"/>
        <v>THE OVERSEER(P44)</v>
      </c>
      <c r="I678" s="6" t="s">
        <v>533</v>
      </c>
      <c r="J678" s="6"/>
      <c r="K678" s="6"/>
      <c r="L678" s="6" t="s">
        <v>55</v>
      </c>
      <c r="M678" s="6" t="str">
        <f>VLOOKUP(L678, GLOSSARY!$A:$C, 2, FALSE)</f>
        <v>EGYPT ESTATE</v>
      </c>
      <c r="N678" s="6" t="s">
        <v>287</v>
      </c>
      <c r="O678" s="6"/>
      <c r="P678" s="6"/>
      <c r="Q678" s="6"/>
      <c r="R678" s="6"/>
      <c r="S678" s="6"/>
      <c r="T678" s="6"/>
      <c r="U678" s="6"/>
      <c r="V678" s="6"/>
      <c r="W678" s="6"/>
      <c r="X678" s="6"/>
      <c r="Y678" s="6"/>
      <c r="Z678" s="6"/>
      <c r="AA678" s="6"/>
      <c r="AB678" s="6"/>
      <c r="AC678" s="6"/>
      <c r="AD678" s="6"/>
      <c r="AE678" s="6"/>
    </row>
    <row r="679" spans="1:31" ht="25.5" x14ac:dyDescent="0.2">
      <c r="A679" s="6" t="s">
        <v>4190</v>
      </c>
      <c r="B679" s="6" t="s">
        <v>4300</v>
      </c>
      <c r="C679" s="20" t="s">
        <v>4301</v>
      </c>
      <c r="D679" s="6" t="s">
        <v>4302</v>
      </c>
      <c r="E679" s="6"/>
      <c r="F679" s="6" t="s">
        <v>839</v>
      </c>
      <c r="G679" s="6" t="s">
        <v>837</v>
      </c>
      <c r="H679" s="6" t="str">
        <f t="shared" si="36"/>
        <v>EVE(P128)</v>
      </c>
      <c r="I679" s="6" t="s">
        <v>112</v>
      </c>
      <c r="J679" s="6"/>
      <c r="K679" s="6"/>
      <c r="L679" s="6" t="s">
        <v>785</v>
      </c>
      <c r="M679" s="6" t="str">
        <f>VLOOKUP(L678, GLOSSARY!$A:$C, 2, FALSE)</f>
        <v>EGYPT ESTATE</v>
      </c>
      <c r="N679" s="6" t="s">
        <v>167</v>
      </c>
      <c r="O679" s="6"/>
      <c r="P679" s="6"/>
      <c r="Q679" s="6"/>
      <c r="R679" s="6"/>
      <c r="S679" s="6"/>
      <c r="T679" s="6"/>
      <c r="U679" s="6"/>
      <c r="V679" s="6"/>
      <c r="W679" s="6"/>
      <c r="X679" s="6"/>
      <c r="Y679" s="6"/>
      <c r="Z679" s="6"/>
      <c r="AA679" s="6"/>
      <c r="AB679" s="6"/>
      <c r="AC679" s="6"/>
      <c r="AD679" s="6"/>
      <c r="AE679" s="6"/>
    </row>
    <row r="680" spans="1:31" ht="114.75" x14ac:dyDescent="0.2">
      <c r="A680" s="6" t="s">
        <v>4190</v>
      </c>
      <c r="B680" s="6" t="s">
        <v>4300</v>
      </c>
      <c r="C680" s="20" t="s">
        <v>4303</v>
      </c>
      <c r="D680" s="6" t="s">
        <v>4304</v>
      </c>
      <c r="E680" s="6"/>
      <c r="F680" s="6" t="s">
        <v>4305</v>
      </c>
      <c r="G680" s="6" t="s">
        <v>4306</v>
      </c>
      <c r="H680" s="6" t="str">
        <f t="shared" si="36"/>
        <v>PARADISE DOVER
PLATO
QUAMINA
HAZAT
QUACOO(P494
P208
P354
P87
P298)</v>
      </c>
      <c r="I680" s="6" t="s">
        <v>656</v>
      </c>
      <c r="J680" s="6"/>
      <c r="K680" s="6"/>
      <c r="L680" s="6" t="s">
        <v>4307</v>
      </c>
      <c r="M680" s="6" t="s">
        <v>2823</v>
      </c>
      <c r="N680" s="6" t="s">
        <v>68</v>
      </c>
      <c r="O680" s="6"/>
      <c r="P680" s="6"/>
      <c r="Q680" s="6"/>
      <c r="R680" s="6"/>
      <c r="S680" s="6"/>
      <c r="T680" s="6"/>
      <c r="U680" s="6"/>
      <c r="V680" s="6"/>
      <c r="W680" s="6"/>
      <c r="X680" s="6"/>
      <c r="Y680" s="6"/>
      <c r="Z680" s="6"/>
      <c r="AA680" s="6"/>
      <c r="AB680" s="6"/>
      <c r="AC680" s="6"/>
      <c r="AD680" s="6"/>
      <c r="AE680" s="6"/>
    </row>
    <row r="681" spans="1:31" ht="63.75" x14ac:dyDescent="0.2">
      <c r="A681" s="6" t="s">
        <v>4190</v>
      </c>
      <c r="B681" s="6" t="s">
        <v>4308</v>
      </c>
      <c r="C681" s="20" t="s">
        <v>4309</v>
      </c>
      <c r="D681" s="6" t="s">
        <v>4310</v>
      </c>
      <c r="E681" s="6"/>
      <c r="F681" s="6" t="s">
        <v>4311</v>
      </c>
      <c r="G681" s="6" t="s">
        <v>4312</v>
      </c>
      <c r="H681" s="6" t="str">
        <f t="shared" si="36"/>
        <v>PARADISE DOVER
PLATO
QUAMINA(P494
P208
P354)</v>
      </c>
      <c r="I681" s="6" t="s">
        <v>656</v>
      </c>
      <c r="J681" s="6"/>
      <c r="K681" s="6"/>
      <c r="L681" s="6" t="s">
        <v>657</v>
      </c>
      <c r="M681" s="6" t="s">
        <v>2823</v>
      </c>
      <c r="N681" s="6" t="s">
        <v>287</v>
      </c>
      <c r="O681" s="6"/>
      <c r="P681" s="6"/>
      <c r="Q681" s="6"/>
      <c r="R681" s="6"/>
      <c r="S681" s="6"/>
      <c r="T681" s="6"/>
      <c r="U681" s="6"/>
      <c r="V681" s="6"/>
      <c r="W681" s="6"/>
      <c r="X681" s="6"/>
      <c r="Y681" s="6"/>
      <c r="Z681" s="6"/>
      <c r="AA681" s="6"/>
      <c r="AB681" s="6"/>
      <c r="AC681" s="6"/>
      <c r="AD681" s="6"/>
      <c r="AE681" s="6"/>
    </row>
    <row r="682" spans="1:31" ht="76.5" x14ac:dyDescent="0.2">
      <c r="A682" s="6" t="s">
        <v>4190</v>
      </c>
      <c r="B682" s="6" t="s">
        <v>4313</v>
      </c>
      <c r="C682" s="20" t="s">
        <v>4314</v>
      </c>
      <c r="D682" s="6" t="s">
        <v>4315</v>
      </c>
      <c r="E682" s="6"/>
      <c r="F682" s="6" t="s">
        <v>4316</v>
      </c>
      <c r="G682" s="6" t="s">
        <v>4312</v>
      </c>
      <c r="H682" s="6" t="str">
        <f t="shared" si="36"/>
        <v>PARADISE DOVER
PLATO
QUAMINA
(P494
P208
P354)</v>
      </c>
      <c r="I682" s="6" t="s">
        <v>656</v>
      </c>
      <c r="J682" s="6"/>
      <c r="K682" s="6"/>
      <c r="L682" s="6" t="s">
        <v>657</v>
      </c>
      <c r="M682" s="6" t="s">
        <v>2823</v>
      </c>
      <c r="N682" s="6" t="s">
        <v>287</v>
      </c>
      <c r="O682" s="6"/>
      <c r="P682" s="6"/>
      <c r="Q682" s="6"/>
      <c r="R682" s="6"/>
      <c r="S682" s="6"/>
      <c r="T682" s="6"/>
      <c r="U682" s="6"/>
      <c r="V682" s="6"/>
      <c r="W682" s="6"/>
      <c r="X682" s="6"/>
      <c r="Y682" s="6"/>
      <c r="Z682" s="6"/>
      <c r="AA682" s="6"/>
      <c r="AB682" s="6"/>
      <c r="AC682" s="6"/>
      <c r="AD682" s="6"/>
      <c r="AE682" s="6"/>
    </row>
    <row r="683" spans="1:31" ht="38.25" x14ac:dyDescent="0.2">
      <c r="A683" s="6" t="s">
        <v>4317</v>
      </c>
      <c r="B683" s="6" t="s">
        <v>4318</v>
      </c>
      <c r="C683" s="20" t="s">
        <v>4319</v>
      </c>
      <c r="D683" s="6" t="s">
        <v>4320</v>
      </c>
      <c r="E683" s="6"/>
      <c r="F683" s="6"/>
      <c r="G683" s="6"/>
      <c r="H683" s="6" t="str">
        <f t="shared" si="36"/>
        <v>()</v>
      </c>
      <c r="I683" s="6" t="s">
        <v>26</v>
      </c>
      <c r="J683" s="6"/>
      <c r="K683" s="6"/>
      <c r="L683" s="6" t="s">
        <v>55</v>
      </c>
      <c r="M683" s="6" t="str">
        <f>VLOOKUP(L683, GLOSSARY!$A:$C, 2, FALSE)</f>
        <v>EGYPT ESTATE</v>
      </c>
      <c r="N683" s="6" t="s">
        <v>68</v>
      </c>
      <c r="O683" s="6"/>
      <c r="P683" s="6"/>
      <c r="Q683" s="6"/>
      <c r="R683" s="6"/>
      <c r="S683" s="6"/>
      <c r="T683" s="6"/>
      <c r="U683" s="6"/>
      <c r="V683" s="6"/>
      <c r="W683" s="6"/>
      <c r="X683" s="6"/>
      <c r="Y683" s="6"/>
      <c r="Z683" s="6"/>
      <c r="AA683" s="6"/>
      <c r="AB683" s="6"/>
      <c r="AC683" s="6"/>
      <c r="AD683" s="6"/>
      <c r="AE683" s="6"/>
    </row>
    <row r="684" spans="1:31" ht="25.5" x14ac:dyDescent="0.2">
      <c r="A684" s="6" t="s">
        <v>2504</v>
      </c>
      <c r="B684" s="6" t="s">
        <v>4318</v>
      </c>
      <c r="C684" s="20" t="s">
        <v>4321</v>
      </c>
      <c r="D684" s="6" t="s">
        <v>4322</v>
      </c>
      <c r="E684" s="6"/>
      <c r="F684" s="6" t="s">
        <v>2880</v>
      </c>
      <c r="G684" s="6" t="s">
        <v>381</v>
      </c>
      <c r="H684" s="6" t="str">
        <f t="shared" si="36"/>
        <v>JOHN HUTT(P41)</v>
      </c>
      <c r="I684" s="6" t="s">
        <v>859</v>
      </c>
      <c r="J684" s="6"/>
      <c r="K684" s="6"/>
      <c r="L684" s="6" t="s">
        <v>785</v>
      </c>
      <c r="M684" s="6" t="str">
        <f>VLOOKUP(L684, GLOSSARY!$A:$C, 2, FALSE)</f>
        <v>EGYPT ESTATE</v>
      </c>
      <c r="N684" s="6" t="s">
        <v>287</v>
      </c>
      <c r="O684" s="6"/>
      <c r="P684" s="6"/>
      <c r="Q684" s="6"/>
      <c r="R684" s="6"/>
      <c r="S684" s="6"/>
      <c r="T684" s="6"/>
      <c r="U684" s="6"/>
      <c r="V684" s="6"/>
      <c r="W684" s="6"/>
      <c r="X684" s="6"/>
      <c r="Y684" s="6"/>
      <c r="Z684" s="6"/>
      <c r="AA684" s="6"/>
      <c r="AB684" s="6"/>
      <c r="AC684" s="6"/>
      <c r="AD684" s="6"/>
      <c r="AE684" s="6"/>
    </row>
    <row r="685" spans="1:31" ht="25.5" x14ac:dyDescent="0.2">
      <c r="A685" s="6" t="s">
        <v>4190</v>
      </c>
      <c r="B685" s="6" t="s">
        <v>4323</v>
      </c>
      <c r="C685" s="20" t="s">
        <v>4324</v>
      </c>
      <c r="D685" s="6" t="s">
        <v>4325</v>
      </c>
      <c r="E685" s="6"/>
      <c r="F685" s="6"/>
      <c r="G685" s="6"/>
      <c r="H685" s="6" t="str">
        <f t="shared" si="36"/>
        <v>()</v>
      </c>
      <c r="I685" s="6" t="s">
        <v>26</v>
      </c>
      <c r="J685" s="6"/>
      <c r="K685" s="6"/>
      <c r="L685" s="6" t="s">
        <v>55</v>
      </c>
      <c r="M685" s="6" t="str">
        <f>VLOOKUP(L685, GLOSSARY!$A:$C, 2, FALSE)</f>
        <v>EGYPT ESTATE</v>
      </c>
      <c r="N685" s="6" t="s">
        <v>287</v>
      </c>
      <c r="O685" s="6"/>
      <c r="P685" s="6"/>
      <c r="Q685" s="6"/>
      <c r="R685" s="6"/>
      <c r="S685" s="6"/>
      <c r="T685" s="6"/>
      <c r="U685" s="6"/>
      <c r="V685" s="6"/>
      <c r="W685" s="6"/>
      <c r="X685" s="6"/>
      <c r="Y685" s="6"/>
      <c r="Z685" s="6"/>
      <c r="AA685" s="6"/>
      <c r="AB685" s="6"/>
      <c r="AC685" s="6"/>
      <c r="AD685" s="6"/>
      <c r="AE685" s="6"/>
    </row>
    <row r="686" spans="1:31" ht="114.75" x14ac:dyDescent="0.2">
      <c r="A686" s="6" t="s">
        <v>4190</v>
      </c>
      <c r="B686" s="6" t="s">
        <v>4323</v>
      </c>
      <c r="C686" s="20" t="s">
        <v>4326</v>
      </c>
      <c r="D686" s="6" t="s">
        <v>4327</v>
      </c>
      <c r="E686" s="6"/>
      <c r="F686" s="6" t="s">
        <v>4328</v>
      </c>
      <c r="G686" s="6" t="s">
        <v>4329</v>
      </c>
      <c r="H686" s="6" t="str">
        <f t="shared" si="36"/>
        <v>PARADISE DOVER
PLATO
QUAMINA
QUACOO
HAZAT(P494
P208
P354
P298
P87)</v>
      </c>
      <c r="I686" s="6" t="s">
        <v>656</v>
      </c>
      <c r="J686" s="6"/>
      <c r="K686" s="6"/>
      <c r="L686" s="6" t="s">
        <v>55</v>
      </c>
      <c r="M686" s="6" t="s">
        <v>284</v>
      </c>
      <c r="N686" s="6" t="s">
        <v>68</v>
      </c>
      <c r="O686" s="6"/>
      <c r="P686" s="6"/>
      <c r="Q686" s="6"/>
      <c r="R686" s="6"/>
      <c r="S686" s="6"/>
      <c r="T686" s="6"/>
      <c r="U686" s="6"/>
      <c r="V686" s="6"/>
      <c r="W686" s="6"/>
      <c r="X686" s="6"/>
      <c r="Y686" s="6"/>
      <c r="Z686" s="6"/>
      <c r="AA686" s="6"/>
      <c r="AB686" s="6"/>
      <c r="AC686" s="6"/>
      <c r="AD686" s="6"/>
      <c r="AE686" s="6"/>
    </row>
    <row r="687" spans="1:31" ht="38.25" x14ac:dyDescent="0.2">
      <c r="A687" s="6" t="s">
        <v>4190</v>
      </c>
      <c r="B687" s="6" t="s">
        <v>4323</v>
      </c>
      <c r="C687" s="20" t="s">
        <v>4326</v>
      </c>
      <c r="D687" s="6" t="s">
        <v>4330</v>
      </c>
      <c r="E687" s="6"/>
      <c r="F687" s="6"/>
      <c r="G687" s="6"/>
      <c r="H687" s="6" t="str">
        <f t="shared" si="36"/>
        <v>()</v>
      </c>
      <c r="I687" s="6" t="s">
        <v>26</v>
      </c>
      <c r="J687" s="6"/>
      <c r="K687" s="6"/>
      <c r="L687" s="6" t="s">
        <v>55</v>
      </c>
      <c r="M687" s="6" t="str">
        <f>VLOOKUP(L687, GLOSSARY!$A:$C, 2, FALSE)</f>
        <v>EGYPT ESTATE</v>
      </c>
      <c r="N687" s="6" t="s">
        <v>287</v>
      </c>
      <c r="O687" s="6"/>
      <c r="P687" s="6"/>
      <c r="Q687" s="6"/>
      <c r="R687" s="6"/>
      <c r="S687" s="6"/>
      <c r="T687" s="6"/>
      <c r="U687" s="6"/>
      <c r="V687" s="6"/>
      <c r="W687" s="6"/>
      <c r="X687" s="6"/>
      <c r="Y687" s="6"/>
      <c r="Z687" s="6"/>
      <c r="AA687" s="6"/>
      <c r="AB687" s="6"/>
      <c r="AC687" s="6"/>
      <c r="AD687" s="6"/>
      <c r="AE687" s="6"/>
    </row>
    <row r="688" spans="1:31" ht="63.75" x14ac:dyDescent="0.2">
      <c r="A688" s="6" t="s">
        <v>4190</v>
      </c>
      <c r="B688" s="6" t="s">
        <v>4323</v>
      </c>
      <c r="C688" s="20" t="s">
        <v>4331</v>
      </c>
      <c r="D688" s="6" t="s">
        <v>4332</v>
      </c>
      <c r="E688" s="6"/>
      <c r="F688" s="6"/>
      <c r="G688" s="6"/>
      <c r="H688" s="6" t="str">
        <f t="shared" si="36"/>
        <v>()</v>
      </c>
      <c r="I688" s="6" t="s">
        <v>26</v>
      </c>
      <c r="J688" s="6"/>
      <c r="K688" s="6"/>
      <c r="L688" s="6" t="s">
        <v>55</v>
      </c>
      <c r="M688" s="6" t="str">
        <f>VLOOKUP(L688, GLOSSARY!$A:$C, 2, FALSE)</f>
        <v>EGYPT ESTATE</v>
      </c>
      <c r="N688" s="6" t="s">
        <v>287</v>
      </c>
      <c r="O688" s="6"/>
      <c r="P688" s="6"/>
      <c r="Q688" s="6"/>
      <c r="R688" s="6"/>
      <c r="S688" s="6"/>
      <c r="T688" s="6"/>
      <c r="U688" s="6"/>
      <c r="V688" s="6"/>
      <c r="W688" s="6"/>
      <c r="X688" s="6"/>
      <c r="Y688" s="6"/>
      <c r="Z688" s="6"/>
      <c r="AA688" s="6"/>
      <c r="AB688" s="6"/>
      <c r="AC688" s="6"/>
      <c r="AD688" s="6"/>
      <c r="AE688" s="6"/>
    </row>
    <row r="689" spans="1:31" ht="12.75" x14ac:dyDescent="0.2">
      <c r="A689" s="6" t="s">
        <v>4190</v>
      </c>
      <c r="B689" s="6" t="s">
        <v>4333</v>
      </c>
      <c r="C689" s="20" t="s">
        <v>4334</v>
      </c>
      <c r="D689" s="6" t="s">
        <v>4335</v>
      </c>
      <c r="E689" s="6"/>
      <c r="F689" s="6"/>
      <c r="G689" s="6"/>
      <c r="H689" s="6" t="str">
        <f t="shared" si="36"/>
        <v>()</v>
      </c>
      <c r="I689" s="6" t="s">
        <v>26</v>
      </c>
      <c r="J689" s="6"/>
      <c r="K689" s="6"/>
      <c r="L689" s="6" t="s">
        <v>55</v>
      </c>
      <c r="M689" s="6" t="str">
        <f>VLOOKUP(L689, GLOSSARY!$A:$C, 2, FALSE)</f>
        <v>EGYPT ESTATE</v>
      </c>
      <c r="N689" s="6" t="s">
        <v>287</v>
      </c>
      <c r="O689" s="6"/>
      <c r="P689" s="6"/>
      <c r="Q689" s="6"/>
      <c r="R689" s="6"/>
      <c r="S689" s="6"/>
      <c r="T689" s="6"/>
      <c r="U689" s="6"/>
      <c r="V689" s="6"/>
      <c r="W689" s="6"/>
      <c r="X689" s="6"/>
      <c r="Y689" s="6"/>
      <c r="Z689" s="6"/>
      <c r="AA689" s="6"/>
      <c r="AB689" s="6"/>
      <c r="AC689" s="6"/>
      <c r="AD689" s="6"/>
      <c r="AE689" s="6"/>
    </row>
    <row r="690" spans="1:31" ht="25.5" x14ac:dyDescent="0.2">
      <c r="A690" s="6" t="s">
        <v>4336</v>
      </c>
      <c r="B690" s="6" t="s">
        <v>4337</v>
      </c>
      <c r="C690" s="20" t="s">
        <v>4338</v>
      </c>
      <c r="D690" s="6" t="s">
        <v>4339</v>
      </c>
      <c r="E690" s="6"/>
      <c r="F690" s="6"/>
      <c r="G690" s="6"/>
      <c r="H690" s="6" t="str">
        <f t="shared" si="36"/>
        <v>()</v>
      </c>
      <c r="I690" s="6" t="s">
        <v>112</v>
      </c>
      <c r="J690" s="6"/>
      <c r="K690" s="6"/>
      <c r="L690" s="6" t="s">
        <v>785</v>
      </c>
      <c r="M690" s="6" t="str">
        <f>VLOOKUP(L690, GLOSSARY!$A:$C, 2, FALSE)</f>
        <v>EGYPT ESTATE</v>
      </c>
      <c r="N690" s="6"/>
      <c r="O690" s="6"/>
      <c r="P690" s="6"/>
      <c r="Q690" s="6"/>
      <c r="R690" s="6"/>
      <c r="S690" s="6"/>
      <c r="T690" s="6"/>
      <c r="U690" s="6"/>
      <c r="V690" s="6"/>
      <c r="W690" s="6"/>
      <c r="X690" s="6"/>
      <c r="Y690" s="6"/>
      <c r="Z690" s="6"/>
      <c r="AA690" s="6"/>
      <c r="AB690" s="6"/>
      <c r="AC690" s="6"/>
      <c r="AD690" s="6"/>
      <c r="AE690" s="6"/>
    </row>
    <row r="691" spans="1:31" ht="114.75" x14ac:dyDescent="0.2">
      <c r="A691" s="6" t="s">
        <v>4027</v>
      </c>
      <c r="B691" s="6" t="s">
        <v>4337</v>
      </c>
      <c r="C691" s="20" t="s">
        <v>4340</v>
      </c>
      <c r="D691" s="6" t="s">
        <v>4341</v>
      </c>
      <c r="E691" s="6"/>
      <c r="F691" s="6" t="s">
        <v>4342</v>
      </c>
      <c r="G691" s="6" t="s">
        <v>4343</v>
      </c>
      <c r="H691" s="6" t="str">
        <f t="shared" si="36"/>
        <v>CYRUS
OLD PHIBBAH
RACHAEL
LITTLE DOLL
CUKOR(P210
P96
P426
P247
P110)</v>
      </c>
      <c r="I691" s="6" t="s">
        <v>784</v>
      </c>
      <c r="J691" s="6"/>
      <c r="K691" s="6"/>
      <c r="L691" s="6" t="s">
        <v>3002</v>
      </c>
      <c r="M691" s="6" t="str">
        <f>VLOOKUP(L691, GLOSSARY!$A:$C, 2, FALSE)</f>
        <v>TOP HILL CANES</v>
      </c>
      <c r="N691" s="6" t="s">
        <v>68</v>
      </c>
      <c r="O691" s="6"/>
      <c r="P691" s="6"/>
      <c r="Q691" s="6"/>
      <c r="R691" s="6"/>
      <c r="S691" s="6"/>
      <c r="T691" s="6"/>
      <c r="U691" s="6"/>
      <c r="V691" s="6"/>
      <c r="W691" s="6"/>
      <c r="X691" s="6"/>
      <c r="Y691" s="6"/>
      <c r="Z691" s="6"/>
      <c r="AA691" s="6"/>
      <c r="AB691" s="6"/>
      <c r="AC691" s="6"/>
      <c r="AD691" s="6"/>
      <c r="AE691" s="6"/>
    </row>
    <row r="692" spans="1:31" ht="51" x14ac:dyDescent="0.2">
      <c r="A692" s="6" t="s">
        <v>4344</v>
      </c>
      <c r="B692" s="6" t="s">
        <v>4345</v>
      </c>
      <c r="C692" s="20" t="s">
        <v>4346</v>
      </c>
      <c r="D692" s="6" t="s">
        <v>4347</v>
      </c>
      <c r="E692" s="6"/>
      <c r="F692" s="6" t="s">
        <v>2990</v>
      </c>
      <c r="G692" s="6" t="s">
        <v>2991</v>
      </c>
      <c r="H692" s="6" t="str">
        <f t="shared" si="36"/>
        <v>THE OVERSEER
ELLIN(P43
P33)</v>
      </c>
      <c r="I692" s="6" t="s">
        <v>409</v>
      </c>
      <c r="J692" s="6"/>
      <c r="K692" s="6"/>
      <c r="L692" s="6" t="s">
        <v>2864</v>
      </c>
      <c r="M692" s="6" t="str">
        <f>VLOOKUP(L692, GLOSSARY!$A:$C, 2, FALSE)</f>
        <v>EGYPT OLD BOILING HOUSE PIECE</v>
      </c>
      <c r="N692" s="6" t="s">
        <v>68</v>
      </c>
      <c r="O692" s="6"/>
      <c r="P692" s="6"/>
      <c r="Q692" s="6"/>
      <c r="R692" s="6"/>
      <c r="S692" s="6"/>
      <c r="T692" s="6"/>
      <c r="U692" s="6"/>
      <c r="V692" s="6"/>
      <c r="W692" s="6"/>
      <c r="X692" s="6"/>
      <c r="Y692" s="6"/>
      <c r="Z692" s="6"/>
      <c r="AA692" s="6"/>
      <c r="AB692" s="6"/>
      <c r="AC692" s="6"/>
      <c r="AD692" s="6"/>
      <c r="AE692" s="6"/>
    </row>
    <row r="693" spans="1:31" ht="51" x14ac:dyDescent="0.2">
      <c r="A693" s="6" t="s">
        <v>4293</v>
      </c>
      <c r="B693" s="6" t="s">
        <v>4348</v>
      </c>
      <c r="C693" s="20" t="s">
        <v>4349</v>
      </c>
      <c r="D693" s="6" t="s">
        <v>4350</v>
      </c>
      <c r="E693" s="6"/>
      <c r="F693" s="6" t="s">
        <v>4351</v>
      </c>
      <c r="G693" s="6" t="s">
        <v>4352</v>
      </c>
      <c r="H693" s="6" t="str">
        <f t="shared" si="36"/>
        <v>THE OVERSEER
MRS. KATY(P43
P521)</v>
      </c>
      <c r="I693" s="6" t="s">
        <v>248</v>
      </c>
      <c r="J693" s="6"/>
      <c r="K693" s="6"/>
      <c r="L693" s="6" t="s">
        <v>2987</v>
      </c>
      <c r="M693" s="6" t="str">
        <f>VLOOKUP(L693, GLOSSARY!$A:$C, 2, FALSE)</f>
        <v>OLD HOPE ESTATE</v>
      </c>
      <c r="N693" s="6" t="s">
        <v>167</v>
      </c>
      <c r="O693" s="6"/>
      <c r="P693" s="6"/>
      <c r="Q693" s="6"/>
      <c r="R693" s="6"/>
      <c r="S693" s="6"/>
      <c r="T693" s="6"/>
      <c r="U693" s="6"/>
      <c r="V693" s="6"/>
      <c r="W693" s="6"/>
      <c r="X693" s="6"/>
      <c r="Y693" s="6"/>
      <c r="Z693" s="6"/>
      <c r="AA693" s="6"/>
      <c r="AB693" s="6"/>
      <c r="AC693" s="6"/>
      <c r="AD693" s="6"/>
      <c r="AE693" s="6"/>
    </row>
    <row r="694" spans="1:31" ht="25.5" x14ac:dyDescent="0.2">
      <c r="A694" s="6" t="s">
        <v>4353</v>
      </c>
      <c r="B694" s="6" t="s">
        <v>4354</v>
      </c>
      <c r="C694" s="20" t="s">
        <v>4355</v>
      </c>
      <c r="D694" s="6" t="s">
        <v>4356</v>
      </c>
      <c r="E694" s="6"/>
      <c r="F694" s="6"/>
      <c r="G694" s="6"/>
      <c r="H694" s="6" t="str">
        <f t="shared" si="36"/>
        <v>()</v>
      </c>
      <c r="I694" s="6" t="s">
        <v>248</v>
      </c>
      <c r="J694" s="6"/>
      <c r="K694" s="6"/>
      <c r="L694" s="6" t="s">
        <v>55</v>
      </c>
      <c r="M694" s="6"/>
      <c r="N694" s="6"/>
      <c r="O694" s="6"/>
      <c r="P694" s="6"/>
      <c r="Q694" s="6"/>
      <c r="R694" s="6"/>
      <c r="S694" s="6"/>
      <c r="T694" s="6"/>
      <c r="U694" s="6"/>
      <c r="V694" s="6"/>
      <c r="W694" s="6"/>
      <c r="X694" s="6"/>
      <c r="Y694" s="6"/>
      <c r="Z694" s="6"/>
      <c r="AA694" s="6"/>
      <c r="AB694" s="6"/>
      <c r="AC694" s="6"/>
      <c r="AD694" s="6"/>
      <c r="AE694" s="6"/>
    </row>
    <row r="695" spans="1:31" ht="63.75" x14ac:dyDescent="0.2">
      <c r="A695" s="6" t="s">
        <v>4190</v>
      </c>
      <c r="B695" s="6" t="s">
        <v>4357</v>
      </c>
      <c r="C695" s="20" t="s">
        <v>4358</v>
      </c>
      <c r="D695" s="6" t="s">
        <v>4359</v>
      </c>
      <c r="E695" s="6"/>
      <c r="F695" s="6"/>
      <c r="G695" s="6"/>
      <c r="H695" s="6" t="str">
        <f t="shared" si="36"/>
        <v>()</v>
      </c>
      <c r="I695" s="6" t="s">
        <v>26</v>
      </c>
      <c r="J695" s="6"/>
      <c r="K695" s="6"/>
      <c r="L695" s="6" t="s">
        <v>785</v>
      </c>
      <c r="M695" s="6" t="str">
        <f>VLOOKUP(L695, GLOSSARY!$A:$C, 2, FALSE)</f>
        <v>EGYPT ESTATE</v>
      </c>
      <c r="N695" s="6" t="s">
        <v>287</v>
      </c>
      <c r="O695" s="6"/>
      <c r="P695" s="6"/>
      <c r="Q695" s="6"/>
      <c r="R695" s="6"/>
      <c r="S695" s="6"/>
      <c r="T695" s="6"/>
      <c r="U695" s="6"/>
      <c r="V695" s="6"/>
      <c r="W695" s="6"/>
      <c r="X695" s="6"/>
      <c r="Y695" s="6"/>
      <c r="Z695" s="6"/>
      <c r="AA695" s="6"/>
      <c r="AB695" s="6"/>
      <c r="AC695" s="6"/>
      <c r="AD695" s="6"/>
      <c r="AE695" s="6"/>
    </row>
    <row r="696" spans="1:31" ht="38.25" x14ac:dyDescent="0.2">
      <c r="A696" s="6" t="s">
        <v>4293</v>
      </c>
      <c r="B696" s="6" t="s">
        <v>4357</v>
      </c>
      <c r="C696" s="20" t="s">
        <v>4360</v>
      </c>
      <c r="D696" s="6" t="s">
        <v>4361</v>
      </c>
      <c r="E696" s="6"/>
      <c r="F696" s="6" t="s">
        <v>4362</v>
      </c>
      <c r="G696" s="6" t="s">
        <v>4298</v>
      </c>
      <c r="H696" s="6" t="str">
        <f t="shared" si="36"/>
        <v>DR. CUTLING
THE OVERSEER(P43
P520)</v>
      </c>
      <c r="I696" s="6" t="s">
        <v>859</v>
      </c>
      <c r="J696" s="6"/>
      <c r="K696" s="6"/>
      <c r="L696" s="6" t="s">
        <v>55</v>
      </c>
      <c r="M696" s="6" t="str">
        <f>VLOOKUP(L696, GLOSSARY!$A:$C, 2, FALSE)</f>
        <v>EGYPT ESTATE</v>
      </c>
      <c r="N696" s="6" t="s">
        <v>287</v>
      </c>
      <c r="O696" s="6"/>
      <c r="P696" s="6"/>
      <c r="Q696" s="6"/>
      <c r="R696" s="6"/>
      <c r="S696" s="6"/>
      <c r="T696" s="6"/>
      <c r="U696" s="6"/>
      <c r="V696" s="6"/>
      <c r="W696" s="6"/>
      <c r="X696" s="6"/>
      <c r="Y696" s="6"/>
      <c r="Z696" s="6"/>
      <c r="AA696" s="6"/>
      <c r="AB696" s="6"/>
      <c r="AC696" s="6"/>
      <c r="AD696" s="6"/>
      <c r="AE696" s="6"/>
    </row>
    <row r="697" spans="1:31" ht="51" x14ac:dyDescent="0.2">
      <c r="A697" s="6" t="s">
        <v>4363</v>
      </c>
      <c r="B697" s="6" t="s">
        <v>4364</v>
      </c>
      <c r="C697" s="20" t="s">
        <v>4365</v>
      </c>
      <c r="D697" s="6" t="s">
        <v>4366</v>
      </c>
      <c r="E697" s="6"/>
      <c r="F697" s="6"/>
      <c r="G697" s="6"/>
      <c r="H697" s="6" t="str">
        <f t="shared" si="36"/>
        <v>()</v>
      </c>
      <c r="I697" s="6" t="s">
        <v>248</v>
      </c>
      <c r="J697" s="6"/>
      <c r="K697" s="6"/>
      <c r="L697" s="6"/>
      <c r="M697" s="6" t="e">
        <f>VLOOKUP(L697, GLOSSARY!$A:$C, 2, FALSE)</f>
        <v>#N/A</v>
      </c>
      <c r="N697" s="6"/>
      <c r="O697" s="6"/>
      <c r="P697" s="6"/>
      <c r="Q697" s="6"/>
      <c r="R697" s="6"/>
      <c r="S697" s="6"/>
      <c r="T697" s="6"/>
      <c r="U697" s="6"/>
      <c r="V697" s="6"/>
      <c r="W697" s="6"/>
      <c r="X697" s="6"/>
      <c r="Y697" s="6"/>
      <c r="Z697" s="6"/>
      <c r="AA697" s="6"/>
      <c r="AB697" s="6"/>
      <c r="AC697" s="6"/>
      <c r="AD697" s="6"/>
      <c r="AE697" s="6"/>
    </row>
    <row r="698" spans="1:31" ht="51" x14ac:dyDescent="0.2">
      <c r="A698" s="6" t="s">
        <v>4367</v>
      </c>
      <c r="B698" s="6" t="s">
        <v>4357</v>
      </c>
      <c r="C698" s="20" t="s">
        <v>4365</v>
      </c>
      <c r="D698" s="6" t="s">
        <v>4368</v>
      </c>
      <c r="E698" s="6"/>
      <c r="F698" s="6" t="s">
        <v>4369</v>
      </c>
      <c r="G698" s="6" t="s">
        <v>191</v>
      </c>
      <c r="H698" s="6" t="str">
        <f t="shared" si="36"/>
        <v>ACCUBAH(P16)</v>
      </c>
      <c r="I698" s="6" t="s">
        <v>3803</v>
      </c>
      <c r="J698" s="6"/>
      <c r="K698" s="6"/>
      <c r="L698" s="6" t="s">
        <v>55</v>
      </c>
      <c r="M698" s="6" t="str">
        <f>VLOOKUP(L698, GLOSSARY!$A:$C, 2, FALSE)</f>
        <v>EGYPT ESTATE</v>
      </c>
      <c r="N698" s="6" t="s">
        <v>68</v>
      </c>
      <c r="O698" s="6"/>
      <c r="P698" s="6"/>
      <c r="Q698" s="6"/>
      <c r="R698" s="6"/>
      <c r="S698" s="6"/>
      <c r="T698" s="6"/>
      <c r="U698" s="6"/>
      <c r="V698" s="6"/>
      <c r="W698" s="6"/>
      <c r="X698" s="6"/>
      <c r="Y698" s="6"/>
      <c r="Z698" s="6"/>
      <c r="AA698" s="6"/>
      <c r="AB698" s="6"/>
      <c r="AC698" s="6"/>
      <c r="AD698" s="6"/>
      <c r="AE698" s="6"/>
    </row>
    <row r="699" spans="1:31" ht="178.5" x14ac:dyDescent="0.2">
      <c r="A699" s="6" t="s">
        <v>4293</v>
      </c>
      <c r="B699" s="6" t="s">
        <v>4370</v>
      </c>
      <c r="C699" s="20" t="s">
        <v>4371</v>
      </c>
      <c r="D699" s="6" t="s">
        <v>4372</v>
      </c>
      <c r="E699" s="6"/>
      <c r="F699" s="6" t="s">
        <v>4373</v>
      </c>
      <c r="G699" s="6" t="s">
        <v>4374</v>
      </c>
      <c r="H699" s="6" t="str">
        <f t="shared" si="36"/>
        <v>THE OVERSEER
JOHN PARKINSON(P43
P83)</v>
      </c>
      <c r="I699" s="6" t="s">
        <v>784</v>
      </c>
      <c r="J699" s="6"/>
      <c r="K699" s="6"/>
      <c r="L699" s="6"/>
      <c r="M699" s="6" t="e">
        <f>VLOOKUP(L699, GLOSSARY!$A:$C, 2, FALSE)</f>
        <v>#N/A</v>
      </c>
      <c r="N699" s="6"/>
      <c r="O699" s="6"/>
      <c r="P699" s="6"/>
      <c r="Q699" s="6"/>
      <c r="R699" s="6"/>
      <c r="S699" s="6"/>
      <c r="T699" s="6"/>
      <c r="U699" s="6"/>
      <c r="V699" s="6"/>
      <c r="W699" s="6"/>
      <c r="X699" s="6"/>
      <c r="Y699" s="6"/>
      <c r="Z699" s="6"/>
      <c r="AA699" s="6"/>
      <c r="AB699" s="6"/>
      <c r="AC699" s="6"/>
      <c r="AD699" s="6"/>
      <c r="AE699" s="6"/>
    </row>
    <row r="700" spans="1:31" ht="63.75" x14ac:dyDescent="0.2">
      <c r="A700" s="6" t="s">
        <v>4293</v>
      </c>
      <c r="B700" s="6" t="s">
        <v>4375</v>
      </c>
      <c r="C700" s="20" t="s">
        <v>4376</v>
      </c>
      <c r="D700" s="6" t="s">
        <v>4377</v>
      </c>
      <c r="E700" s="6"/>
      <c r="F700" s="6" t="s">
        <v>2135</v>
      </c>
      <c r="G700" s="6" t="s">
        <v>2136</v>
      </c>
      <c r="H700" s="6" t="str">
        <f t="shared" si="36"/>
        <v>PHIBBAH
THE OVERSEER(P7
P43)</v>
      </c>
      <c r="I700" s="6" t="s">
        <v>1678</v>
      </c>
      <c r="J700" s="6"/>
      <c r="K700" s="6"/>
      <c r="L700" s="6" t="s">
        <v>55</v>
      </c>
      <c r="M700" s="6" t="str">
        <f>VLOOKUP(L700, GLOSSARY!$A:$C, 2, FALSE)</f>
        <v>EGYPT ESTATE</v>
      </c>
      <c r="N700" s="6" t="s">
        <v>167</v>
      </c>
      <c r="O700" s="6"/>
      <c r="P700" s="6"/>
      <c r="Q700" s="6"/>
      <c r="R700" s="6"/>
      <c r="S700" s="6"/>
      <c r="T700" s="6"/>
      <c r="U700" s="6"/>
      <c r="V700" s="6"/>
      <c r="W700" s="6"/>
      <c r="X700" s="6"/>
      <c r="Y700" s="6"/>
      <c r="Z700" s="6"/>
      <c r="AA700" s="6"/>
      <c r="AB700" s="6"/>
      <c r="AC700" s="6"/>
      <c r="AD700" s="6"/>
      <c r="AE700" s="6"/>
    </row>
    <row r="701" spans="1:31" ht="25.5" x14ac:dyDescent="0.2">
      <c r="A701" s="6" t="s">
        <v>4367</v>
      </c>
      <c r="B701" s="6" t="s">
        <v>4375</v>
      </c>
      <c r="C701" s="20" t="s">
        <v>4378</v>
      </c>
      <c r="D701" s="6" t="s">
        <v>4379</v>
      </c>
      <c r="E701" s="6"/>
      <c r="F701" s="6" t="s">
        <v>4380</v>
      </c>
      <c r="G701" s="6" t="s">
        <v>191</v>
      </c>
      <c r="H701" s="6" t="str">
        <f t="shared" si="36"/>
        <v>ACCUBBAH(P16)</v>
      </c>
      <c r="I701" s="6" t="s">
        <v>3803</v>
      </c>
      <c r="J701" s="6"/>
      <c r="K701" s="6"/>
      <c r="L701" s="6"/>
      <c r="M701" s="6" t="e">
        <f>VLOOKUP(L701, GLOSSARY!$A:$C, 2, FALSE)</f>
        <v>#N/A</v>
      </c>
      <c r="N701" s="6"/>
      <c r="O701" s="6"/>
      <c r="P701" s="6"/>
      <c r="Q701" s="6"/>
      <c r="R701" s="6"/>
      <c r="S701" s="6"/>
      <c r="T701" s="6"/>
      <c r="U701" s="6"/>
      <c r="V701" s="6"/>
      <c r="W701" s="6"/>
      <c r="X701" s="6"/>
      <c r="Y701" s="6"/>
      <c r="Z701" s="6"/>
      <c r="AA701" s="6"/>
      <c r="AB701" s="6"/>
      <c r="AC701" s="6"/>
      <c r="AD701" s="6"/>
      <c r="AE701" s="6"/>
    </row>
    <row r="702" spans="1:31" ht="25.5" x14ac:dyDescent="0.2">
      <c r="A702" s="6" t="s">
        <v>893</v>
      </c>
      <c r="B702" s="6" t="s">
        <v>4375</v>
      </c>
      <c r="C702" s="20" t="s">
        <v>4378</v>
      </c>
      <c r="D702" s="6" t="s">
        <v>4381</v>
      </c>
      <c r="E702" s="6"/>
      <c r="F702" s="6" t="s">
        <v>399</v>
      </c>
      <c r="G702" s="6" t="s">
        <v>397</v>
      </c>
      <c r="H702" s="6" t="str">
        <f t="shared" si="36"/>
        <v>JOHN COPE(P44)</v>
      </c>
      <c r="I702" s="6" t="s">
        <v>248</v>
      </c>
      <c r="J702" s="6"/>
      <c r="K702" s="6"/>
      <c r="L702" s="6" t="s">
        <v>55</v>
      </c>
      <c r="M702" s="6" t="str">
        <f>VLOOKUP(L702, GLOSSARY!$A:$C, 2, FALSE)</f>
        <v>EGYPT ESTATE</v>
      </c>
      <c r="N702" s="6" t="s">
        <v>68</v>
      </c>
      <c r="O702" s="6"/>
      <c r="P702" s="6"/>
      <c r="Q702" s="6"/>
      <c r="R702" s="6"/>
      <c r="S702" s="6"/>
      <c r="T702" s="6"/>
      <c r="U702" s="6"/>
      <c r="V702" s="6"/>
      <c r="W702" s="6"/>
      <c r="X702" s="6"/>
      <c r="Y702" s="6"/>
      <c r="Z702" s="6"/>
      <c r="AA702" s="6"/>
      <c r="AB702" s="6"/>
      <c r="AC702" s="6"/>
      <c r="AD702" s="6"/>
      <c r="AE702" s="6"/>
    </row>
    <row r="703" spans="1:31" ht="25.5" x14ac:dyDescent="0.2">
      <c r="A703" s="6" t="s">
        <v>4293</v>
      </c>
      <c r="B703" s="6" t="s">
        <v>4375</v>
      </c>
      <c r="C703" s="20" t="s">
        <v>4382</v>
      </c>
      <c r="D703" s="6" t="s">
        <v>4383</v>
      </c>
      <c r="E703" s="6"/>
      <c r="F703" s="6" t="s">
        <v>48</v>
      </c>
      <c r="G703" s="6" t="s">
        <v>50</v>
      </c>
      <c r="H703" s="6" t="str">
        <f t="shared" si="36"/>
        <v>THE OVERSEER(P43)</v>
      </c>
      <c r="I703" s="6" t="s">
        <v>248</v>
      </c>
      <c r="J703" s="6"/>
      <c r="K703" s="6"/>
      <c r="L703" s="6"/>
      <c r="M703" s="6" t="s">
        <v>55</v>
      </c>
      <c r="N703" s="6" t="s">
        <v>287</v>
      </c>
      <c r="O703" s="6"/>
      <c r="P703" s="6"/>
      <c r="Q703" s="6"/>
      <c r="R703" s="6"/>
      <c r="S703" s="6"/>
      <c r="T703" s="6"/>
      <c r="U703" s="6"/>
      <c r="V703" s="6"/>
      <c r="W703" s="6"/>
      <c r="X703" s="6"/>
      <c r="Y703" s="6"/>
      <c r="Z703" s="6"/>
      <c r="AA703" s="6"/>
      <c r="AB703" s="6"/>
      <c r="AC703" s="6"/>
      <c r="AD703" s="6"/>
      <c r="AE703" s="6"/>
    </row>
    <row r="704" spans="1:31" ht="127.5" x14ac:dyDescent="0.2">
      <c r="A704" s="6" t="s">
        <v>4293</v>
      </c>
      <c r="B704" s="6" t="s">
        <v>4384</v>
      </c>
      <c r="C704" s="20" t="s">
        <v>4385</v>
      </c>
      <c r="D704" s="6" t="s">
        <v>4386</v>
      </c>
      <c r="E704" s="6"/>
      <c r="F704" s="6" t="s">
        <v>4387</v>
      </c>
      <c r="G704" s="6" t="s">
        <v>4388</v>
      </c>
      <c r="H704" s="6" t="str">
        <f t="shared" si="36"/>
        <v>THE OVERSEER
THE PLANTER
THE PLANTER'S WIFE(P43
P44
P45)</v>
      </c>
      <c r="I704" s="6" t="s">
        <v>2607</v>
      </c>
      <c r="J704" s="6"/>
      <c r="K704" s="6"/>
      <c r="L704" s="6" t="s">
        <v>55</v>
      </c>
      <c r="M704" s="6" t="str">
        <f>VLOOKUP(L704, GLOSSARY!$A:$C, 2, FALSE)</f>
        <v>EGYPT ESTATE</v>
      </c>
      <c r="N704" s="6" t="s">
        <v>167</v>
      </c>
      <c r="O704" s="6"/>
      <c r="P704" s="6"/>
      <c r="Q704" s="6"/>
      <c r="R704" s="6"/>
      <c r="S704" s="6"/>
      <c r="T704" s="6"/>
      <c r="U704" s="6"/>
      <c r="V704" s="6"/>
      <c r="W704" s="6"/>
      <c r="X704" s="6"/>
      <c r="Y704" s="6"/>
      <c r="Z704" s="6"/>
      <c r="AA704" s="6"/>
      <c r="AB704" s="6"/>
      <c r="AC704" s="6"/>
      <c r="AD704" s="6"/>
      <c r="AE704" s="6"/>
    </row>
    <row r="705" spans="1:31" ht="165.75" x14ac:dyDescent="0.2">
      <c r="A705" s="6" t="s">
        <v>4389</v>
      </c>
      <c r="B705" s="6" t="s">
        <v>4390</v>
      </c>
      <c r="C705" s="20" t="s">
        <v>4385</v>
      </c>
      <c r="D705" s="6" t="s">
        <v>4391</v>
      </c>
      <c r="E705" s="6"/>
      <c r="F705" s="6" t="s">
        <v>4392</v>
      </c>
      <c r="G705" s="6" t="s">
        <v>4393</v>
      </c>
      <c r="H705" s="6" t="str">
        <f t="shared" si="36"/>
        <v>THE OVERSEER
LITTLE QUAW
DAMSEL
EGYPT SILVIA [ADULT]
AMBO
MAZARINE
NANCY(P43
P476
P34
P122
P170
P123
P8)</v>
      </c>
      <c r="I705" s="6" t="s">
        <v>957</v>
      </c>
      <c r="J705" s="6"/>
      <c r="K705" s="6"/>
      <c r="L705" s="6" t="s">
        <v>55</v>
      </c>
      <c r="M705" s="6" t="str">
        <f>VLOOKUP(L705, GLOSSARY!$A:$C, 2, FALSE)</f>
        <v>EGYPT ESTATE</v>
      </c>
      <c r="N705" s="6" t="s">
        <v>68</v>
      </c>
      <c r="O705" s="6"/>
      <c r="P705" s="6"/>
      <c r="Q705" s="6"/>
      <c r="R705" s="6"/>
      <c r="S705" s="6"/>
      <c r="T705" s="6"/>
      <c r="U705" s="6"/>
      <c r="V705" s="6"/>
      <c r="W705" s="6"/>
      <c r="X705" s="6"/>
      <c r="Y705" s="6"/>
      <c r="Z705" s="6"/>
      <c r="AA705" s="6"/>
      <c r="AB705" s="6"/>
      <c r="AC705" s="6"/>
      <c r="AD705" s="6"/>
      <c r="AE705" s="6"/>
    </row>
    <row r="706" spans="1:31" ht="63.75" x14ac:dyDescent="0.2">
      <c r="A706" s="6" t="s">
        <v>4293</v>
      </c>
      <c r="B706" s="6" t="s">
        <v>4394</v>
      </c>
      <c r="C706" s="20" t="s">
        <v>4395</v>
      </c>
      <c r="D706" s="6" t="s">
        <v>4396</v>
      </c>
      <c r="E706" s="6"/>
      <c r="F706" s="6" t="s">
        <v>2135</v>
      </c>
      <c r="G706" s="6" t="s">
        <v>4397</v>
      </c>
      <c r="H706" s="6" t="str">
        <f t="shared" si="36"/>
        <v>PHIBBAH
THE OVERSEER(P7
P4)</v>
      </c>
      <c r="I706" s="6" t="s">
        <v>957</v>
      </c>
      <c r="J706" s="6"/>
      <c r="K706" s="6"/>
      <c r="L706" s="6" t="s">
        <v>55</v>
      </c>
      <c r="M706" s="6" t="str">
        <f>VLOOKUP(L706, GLOSSARY!$A:$C, 2, FALSE)</f>
        <v>EGYPT ESTATE</v>
      </c>
      <c r="N706" s="6" t="s">
        <v>167</v>
      </c>
      <c r="O706" s="6"/>
      <c r="P706" s="6"/>
      <c r="Q706" s="6"/>
      <c r="R706" s="6"/>
      <c r="S706" s="6"/>
      <c r="T706" s="6"/>
      <c r="U706" s="6"/>
      <c r="V706" s="6"/>
      <c r="W706" s="6"/>
      <c r="X706" s="6"/>
      <c r="Y706" s="6"/>
      <c r="Z706" s="6"/>
      <c r="AA706" s="6"/>
      <c r="AB706" s="6"/>
      <c r="AC706" s="6"/>
      <c r="AD706" s="6"/>
      <c r="AE706" s="6"/>
    </row>
    <row r="707" spans="1:31" ht="204" x14ac:dyDescent="0.2">
      <c r="A707" s="6" t="s">
        <v>4293</v>
      </c>
      <c r="B707" s="6" t="s">
        <v>4390</v>
      </c>
      <c r="C707" s="20" t="s">
        <v>4395</v>
      </c>
      <c r="D707" s="6" t="s">
        <v>4398</v>
      </c>
      <c r="E707" s="6"/>
      <c r="F707" s="6" t="s">
        <v>3372</v>
      </c>
      <c r="G707" s="6" t="s">
        <v>4399</v>
      </c>
      <c r="H707" s="6"/>
      <c r="I707" s="6" t="s">
        <v>248</v>
      </c>
      <c r="J707" s="6"/>
      <c r="K707" s="6"/>
      <c r="L707" s="6" t="s">
        <v>55</v>
      </c>
      <c r="M707" s="6" t="str">
        <f>VLOOKUP(L707, GLOSSARY!$A:$C, 2, FALSE)</f>
        <v>EGYPT ESTATE</v>
      </c>
      <c r="N707" s="6" t="s">
        <v>68</v>
      </c>
      <c r="O707" s="6"/>
      <c r="P707" s="6"/>
      <c r="Q707" s="6"/>
      <c r="R707" s="6"/>
      <c r="S707" s="6"/>
      <c r="T707" s="6"/>
      <c r="U707" s="6"/>
      <c r="V707" s="6"/>
      <c r="W707" s="6"/>
      <c r="X707" s="6"/>
      <c r="Y707" s="6"/>
      <c r="Z707" s="6"/>
      <c r="AA707" s="6"/>
      <c r="AB707" s="6"/>
      <c r="AC707" s="6"/>
      <c r="AD707" s="6"/>
      <c r="AE707" s="6"/>
    </row>
    <row r="708" spans="1:31" ht="344.25" x14ac:dyDescent="0.2">
      <c r="A708" s="6" t="s">
        <v>4293</v>
      </c>
      <c r="B708" s="6" t="s">
        <v>4394</v>
      </c>
      <c r="C708" s="20" t="s">
        <v>4400</v>
      </c>
      <c r="D708" s="6" t="s">
        <v>4401</v>
      </c>
      <c r="E708" s="6"/>
      <c r="F708" s="6" t="s">
        <v>4402</v>
      </c>
      <c r="G708" s="6" t="s">
        <v>4403</v>
      </c>
      <c r="H708" s="6" t="str">
        <f t="shared" ref="H708:H709" si="37">CONCATENATE(F708,"(",G708,")")</f>
        <v>THE OVERSEER
PHIBBAH
LINCOLN
(P43
P7
P24)</v>
      </c>
      <c r="I708" s="6" t="s">
        <v>784</v>
      </c>
      <c r="J708" s="6"/>
      <c r="K708" s="6"/>
      <c r="L708" s="6" t="s">
        <v>3180</v>
      </c>
      <c r="M708" s="6" t="str">
        <f>VLOOKUP(L708, GLOSSARY!$A:$C, 2, FALSE)</f>
        <v>KENDAL ESTATE</v>
      </c>
      <c r="N708" s="6" t="s">
        <v>287</v>
      </c>
      <c r="O708" s="6"/>
      <c r="P708" s="6"/>
      <c r="Q708" s="6"/>
      <c r="R708" s="6"/>
      <c r="S708" s="6"/>
      <c r="T708" s="6"/>
      <c r="U708" s="6"/>
      <c r="V708" s="6"/>
      <c r="W708" s="6"/>
      <c r="X708" s="6"/>
      <c r="Y708" s="6"/>
      <c r="Z708" s="6"/>
      <c r="AA708" s="6"/>
      <c r="AB708" s="6"/>
      <c r="AC708" s="6"/>
      <c r="AD708" s="6"/>
      <c r="AE708" s="6"/>
    </row>
    <row r="709" spans="1:31" ht="114.75" x14ac:dyDescent="0.2">
      <c r="A709" s="6" t="s">
        <v>4404</v>
      </c>
      <c r="B709" s="6" t="s">
        <v>4405</v>
      </c>
      <c r="C709" s="20" t="s">
        <v>4406</v>
      </c>
      <c r="D709" s="6" t="s">
        <v>4407</v>
      </c>
      <c r="E709" s="6"/>
      <c r="F709" s="6" t="s">
        <v>4408</v>
      </c>
      <c r="G709" s="6" t="s">
        <v>4409</v>
      </c>
      <c r="H709" s="6" t="str">
        <f t="shared" si="37"/>
        <v>THE OVERSEER
SAM MATHEWS
PHIBBAH(P43
P7
P79)</v>
      </c>
      <c r="I709" s="6" t="s">
        <v>1678</v>
      </c>
      <c r="J709" s="6"/>
      <c r="K709" s="6"/>
      <c r="L709" s="6" t="s">
        <v>3180</v>
      </c>
      <c r="M709" s="6" t="str">
        <f>VLOOKUP(L709, GLOSSARY!$A:$C, 2, FALSE)</f>
        <v>KENDAL ESTATE</v>
      </c>
      <c r="N709" s="6" t="s">
        <v>167</v>
      </c>
      <c r="O709" s="6"/>
      <c r="P709" s="6"/>
      <c r="Q709" s="6"/>
      <c r="R709" s="6"/>
      <c r="S709" s="6"/>
      <c r="T709" s="6"/>
      <c r="U709" s="6"/>
      <c r="V709" s="6"/>
      <c r="W709" s="6"/>
      <c r="X709" s="6"/>
      <c r="Y709" s="6"/>
      <c r="Z709" s="6"/>
      <c r="AA709" s="6"/>
      <c r="AB709" s="6"/>
      <c r="AC709" s="6"/>
      <c r="AD709" s="6"/>
      <c r="AE709" s="6"/>
    </row>
    <row r="710" spans="1:31" ht="127.5" x14ac:dyDescent="0.2">
      <c r="A710" s="6" t="s">
        <v>4404</v>
      </c>
      <c r="B710" s="6" t="s">
        <v>4410</v>
      </c>
      <c r="C710" s="20" t="s">
        <v>4411</v>
      </c>
      <c r="D710" s="6" t="s">
        <v>4412</v>
      </c>
      <c r="E710" s="6"/>
      <c r="F710" s="6" t="s">
        <v>4413</v>
      </c>
      <c r="G710" s="6" t="s">
        <v>4414</v>
      </c>
      <c r="H710" s="6" t="str">
        <f t="shared" ref="H710:H712" si="38">CONCATENATE(F710," (",G710,")")</f>
        <v>THE OVERSEER
PHIBBAH
SAM (P43
P7
P181)</v>
      </c>
      <c r="I710" s="6" t="s">
        <v>1678</v>
      </c>
      <c r="J710" s="6"/>
      <c r="K710" s="6"/>
      <c r="L710" s="6" t="s">
        <v>3180</v>
      </c>
      <c r="M710" s="6" t="str">
        <f>VLOOKUP(L710, GLOSSARY!$A:$C, 2, FALSE)</f>
        <v>KENDAL ESTATE</v>
      </c>
      <c r="N710" s="6" t="s">
        <v>68</v>
      </c>
      <c r="O710" s="6"/>
      <c r="P710" s="6"/>
      <c r="Q710" s="6"/>
      <c r="R710" s="6"/>
      <c r="S710" s="6"/>
      <c r="T710" s="6"/>
      <c r="U710" s="6"/>
      <c r="V710" s="6"/>
      <c r="W710" s="6"/>
      <c r="X710" s="6"/>
      <c r="Y710" s="6"/>
      <c r="Z710" s="6"/>
      <c r="AA710" s="6"/>
      <c r="AB710" s="6"/>
      <c r="AC710" s="6"/>
      <c r="AD710" s="6"/>
      <c r="AE710" s="6"/>
    </row>
    <row r="711" spans="1:31" ht="51" x14ac:dyDescent="0.2">
      <c r="A711" s="6" t="s">
        <v>4415</v>
      </c>
      <c r="B711" s="6" t="s">
        <v>4410</v>
      </c>
      <c r="C711" s="20" t="s">
        <v>4411</v>
      </c>
      <c r="D711" s="6" t="s">
        <v>4416</v>
      </c>
      <c r="E711" s="6"/>
      <c r="F711" s="6" t="s">
        <v>114</v>
      </c>
      <c r="G711" s="6" t="s">
        <v>113</v>
      </c>
      <c r="H711" s="6" t="str">
        <f t="shared" si="38"/>
        <v>NANCY (P8)</v>
      </c>
      <c r="I711" s="6" t="s">
        <v>96</v>
      </c>
      <c r="J711" s="6"/>
      <c r="K711" s="6"/>
      <c r="L711" s="6" t="s">
        <v>99</v>
      </c>
      <c r="M711" s="6" t="str">
        <f>VLOOKUP(L711, GLOSSARY!$A:$C, 2, FALSE)</f>
        <v>PARADISE ESTATE</v>
      </c>
      <c r="N711" s="6" t="s">
        <v>68</v>
      </c>
      <c r="O711" s="6"/>
      <c r="P711" s="6"/>
      <c r="Q711" s="6"/>
      <c r="R711" s="6"/>
      <c r="S711" s="6"/>
      <c r="T711" s="6"/>
      <c r="U711" s="6"/>
      <c r="V711" s="6"/>
      <c r="W711" s="6"/>
      <c r="X711" s="6"/>
      <c r="Y711" s="6"/>
      <c r="Z711" s="6"/>
      <c r="AA711" s="6"/>
      <c r="AB711" s="6"/>
      <c r="AC711" s="6"/>
      <c r="AD711" s="6"/>
      <c r="AE711" s="6"/>
    </row>
    <row r="712" spans="1:31" ht="165.75" x14ac:dyDescent="0.2">
      <c r="A712" s="6" t="s">
        <v>4417</v>
      </c>
      <c r="B712" s="6" t="s">
        <v>4418</v>
      </c>
      <c r="C712" s="20" t="s">
        <v>4419</v>
      </c>
      <c r="D712" s="6" t="s">
        <v>4420</v>
      </c>
      <c r="E712" s="6"/>
      <c r="F712" s="6" t="s">
        <v>4421</v>
      </c>
      <c r="G712" s="6" t="s">
        <v>4422</v>
      </c>
      <c r="H712" s="6" t="str">
        <f t="shared" si="38"/>
        <v>THE OVERSEER
PHIBBAH
LINCOLN
MRS. COPE
NANCY (P43
P7
P24
P45
P8)</v>
      </c>
      <c r="I712" s="6" t="s">
        <v>859</v>
      </c>
      <c r="J712" s="6"/>
      <c r="K712" s="6"/>
      <c r="L712" s="6" t="s">
        <v>4423</v>
      </c>
      <c r="M712" s="6" t="e">
        <f>VLOOKUP(L712, GLOSSARY!$A:$C, 2, FALSE)</f>
        <v>#N/A</v>
      </c>
      <c r="N712" s="6" t="s">
        <v>68</v>
      </c>
      <c r="O712" s="6"/>
      <c r="P712" s="6"/>
      <c r="Q712" s="6"/>
      <c r="R712" s="6"/>
      <c r="S712" s="6"/>
      <c r="T712" s="6"/>
      <c r="U712" s="6"/>
      <c r="V712" s="6"/>
      <c r="W712" s="6"/>
      <c r="X712" s="6"/>
      <c r="Y712" s="6"/>
      <c r="Z712" s="6"/>
      <c r="AA712" s="6"/>
      <c r="AB712" s="6"/>
      <c r="AC712" s="6"/>
      <c r="AD712" s="6"/>
      <c r="AE712" s="6"/>
    </row>
    <row r="713" spans="1:31" ht="102" x14ac:dyDescent="0.2">
      <c r="A713" s="6" t="s">
        <v>4293</v>
      </c>
      <c r="B713" s="6" t="s">
        <v>4424</v>
      </c>
      <c r="C713" s="20" t="s">
        <v>4425</v>
      </c>
      <c r="D713" s="6" t="s">
        <v>4426</v>
      </c>
      <c r="E713" s="6"/>
      <c r="F713" s="6" t="s">
        <v>4427</v>
      </c>
      <c r="G713" s="6" t="s">
        <v>4428</v>
      </c>
      <c r="H713" s="6" t="str">
        <f>CONCATENATE(F713,"(",G713,")")</f>
        <v>PHIBBAH
THE OVERSEER
JOHN COPE(P7
P43
P44)</v>
      </c>
      <c r="I713" s="6" t="s">
        <v>248</v>
      </c>
      <c r="J713" s="6"/>
      <c r="K713" s="6"/>
      <c r="L713" s="6" t="s">
        <v>3180</v>
      </c>
      <c r="M713" s="6" t="str">
        <f>VLOOKUP(L713, GLOSSARY!$A:$C, 2, FALSE)</f>
        <v>KENDAL ESTATE</v>
      </c>
      <c r="N713" s="6"/>
      <c r="O713" s="6"/>
      <c r="P713" s="6"/>
      <c r="Q713" s="6"/>
      <c r="R713" s="6"/>
      <c r="S713" s="6"/>
      <c r="T713" s="6"/>
      <c r="U713" s="6"/>
      <c r="V713" s="6"/>
      <c r="W713" s="6"/>
      <c r="X713" s="6"/>
      <c r="Y713" s="6"/>
      <c r="Z713" s="6"/>
      <c r="AA713" s="6"/>
      <c r="AB713" s="6"/>
      <c r="AC713" s="6"/>
      <c r="AD713" s="6"/>
      <c r="AE713" s="6"/>
    </row>
    <row r="714" spans="1:31" ht="51" x14ac:dyDescent="0.2">
      <c r="A714" s="6" t="s">
        <v>4429</v>
      </c>
      <c r="B714" s="6" t="s">
        <v>4430</v>
      </c>
      <c r="C714" s="20" t="s">
        <v>4431</v>
      </c>
      <c r="D714" s="6" t="s">
        <v>4432</v>
      </c>
      <c r="E714" s="6"/>
      <c r="F714" s="6" t="s">
        <v>4433</v>
      </c>
      <c r="G714" s="6" t="s">
        <v>4434</v>
      </c>
      <c r="H714" s="6" t="str">
        <f>CONCATENATE(F714," (",G714,")")</f>
        <v>THE OVERSEER
SAMUEL DUME (P43
P227)</v>
      </c>
      <c r="I714" s="6" t="s">
        <v>2607</v>
      </c>
      <c r="J714" s="6"/>
      <c r="K714" s="6"/>
      <c r="L714" s="6"/>
      <c r="M714" s="6" t="e">
        <f>VLOOKUP(L714, GLOSSARY!$A:$C, 2, FALSE)</f>
        <v>#N/A</v>
      </c>
      <c r="N714" s="6"/>
      <c r="O714" s="6"/>
      <c r="P714" s="6"/>
      <c r="Q714" s="6"/>
      <c r="R714" s="6"/>
      <c r="S714" s="6"/>
      <c r="T714" s="6"/>
      <c r="U714" s="6"/>
      <c r="V714" s="6"/>
      <c r="W714" s="6"/>
      <c r="X714" s="6"/>
      <c r="Y714" s="6"/>
      <c r="Z714" s="6"/>
      <c r="AA714" s="6"/>
      <c r="AB714" s="6"/>
      <c r="AC714" s="6"/>
      <c r="AD714" s="6"/>
      <c r="AE714" s="6"/>
    </row>
    <row r="715" spans="1:31" ht="191.25" x14ac:dyDescent="0.2">
      <c r="A715" s="6" t="s">
        <v>4435</v>
      </c>
      <c r="B715" s="6" t="s">
        <v>4430</v>
      </c>
      <c r="C715" s="20" t="s">
        <v>4436</v>
      </c>
      <c r="D715" s="6" t="s">
        <v>4437</v>
      </c>
      <c r="E715" s="6"/>
      <c r="F715" s="6" t="s">
        <v>4438</v>
      </c>
      <c r="G715" s="6" t="s">
        <v>4439</v>
      </c>
      <c r="H715" s="6" t="str">
        <f t="shared" ref="H715:H723" si="39">CONCATENATE(F715,"(",G715,")")</f>
        <v>THE OVERSEER
PHIBBAH
OLD SAMBO
LINCOLN(P43
P7
P364
P24
)</v>
      </c>
      <c r="I715" s="6" t="s">
        <v>248</v>
      </c>
      <c r="J715" s="6"/>
      <c r="K715" s="6"/>
      <c r="L715" s="6" t="s">
        <v>3180</v>
      </c>
      <c r="M715" s="6" t="str">
        <f>VLOOKUP(L715, GLOSSARY!$A:$C, 2, FALSE)</f>
        <v>KENDAL ESTATE</v>
      </c>
      <c r="N715" s="6" t="s">
        <v>68</v>
      </c>
      <c r="O715" s="6"/>
      <c r="P715" s="6"/>
      <c r="Q715" s="6"/>
      <c r="R715" s="6"/>
      <c r="S715" s="6"/>
      <c r="T715" s="6"/>
      <c r="U715" s="6"/>
      <c r="V715" s="6"/>
      <c r="W715" s="6"/>
      <c r="X715" s="6"/>
      <c r="Y715" s="6"/>
      <c r="Z715" s="6"/>
      <c r="AA715" s="6"/>
      <c r="AB715" s="6"/>
      <c r="AC715" s="6"/>
      <c r="AD715" s="6"/>
      <c r="AE715" s="6"/>
    </row>
    <row r="716" spans="1:31" ht="12.75" x14ac:dyDescent="0.2">
      <c r="A716" s="6" t="s">
        <v>4440</v>
      </c>
      <c r="B716" s="6" t="s">
        <v>3993</v>
      </c>
      <c r="C716" s="20" t="s">
        <v>4441</v>
      </c>
      <c r="D716" s="6" t="s">
        <v>4442</v>
      </c>
      <c r="E716" s="6"/>
      <c r="F716" s="6" t="s">
        <v>839</v>
      </c>
      <c r="G716" s="6" t="s">
        <v>837</v>
      </c>
      <c r="H716" s="6" t="str">
        <f t="shared" si="39"/>
        <v>EVE(P128)</v>
      </c>
      <c r="I716" s="6" t="s">
        <v>96</v>
      </c>
      <c r="J716" s="6"/>
      <c r="K716" s="6"/>
      <c r="L716" s="6" t="s">
        <v>55</v>
      </c>
      <c r="M716" s="6" t="str">
        <f>VLOOKUP(L716, GLOSSARY!$A:$C, 2, FALSE)</f>
        <v>EGYPT ESTATE</v>
      </c>
      <c r="N716" s="6" t="s">
        <v>68</v>
      </c>
      <c r="O716" s="6"/>
      <c r="P716" s="6"/>
      <c r="Q716" s="6"/>
      <c r="R716" s="6"/>
      <c r="S716" s="6"/>
      <c r="T716" s="6"/>
      <c r="U716" s="6"/>
      <c r="V716" s="6"/>
      <c r="W716" s="6"/>
      <c r="X716" s="6"/>
      <c r="Y716" s="6"/>
      <c r="Z716" s="6"/>
      <c r="AA716" s="6"/>
      <c r="AB716" s="6"/>
      <c r="AC716" s="6"/>
      <c r="AD716" s="6"/>
      <c r="AE716" s="6"/>
    </row>
    <row r="717" spans="1:31" ht="25.5" x14ac:dyDescent="0.2">
      <c r="A717" s="6" t="s">
        <v>4443</v>
      </c>
      <c r="B717" s="6" t="s">
        <v>4444</v>
      </c>
      <c r="C717" s="20" t="s">
        <v>4445</v>
      </c>
      <c r="D717" s="6" t="s">
        <v>4446</v>
      </c>
      <c r="E717" s="6"/>
      <c r="F717" s="6" t="s">
        <v>48</v>
      </c>
      <c r="G717" s="6" t="s">
        <v>50</v>
      </c>
      <c r="H717" s="6" t="str">
        <f t="shared" si="39"/>
        <v>THE OVERSEER(P43)</v>
      </c>
      <c r="I717" s="6" t="s">
        <v>248</v>
      </c>
      <c r="J717" s="6"/>
      <c r="K717" s="6"/>
      <c r="L717" s="6" t="s">
        <v>3180</v>
      </c>
      <c r="M717" s="6" t="str">
        <f>VLOOKUP(L717, GLOSSARY!$A:$C, 2, FALSE)</f>
        <v>KENDAL ESTATE</v>
      </c>
      <c r="N717" s="6" t="s">
        <v>68</v>
      </c>
      <c r="O717" s="6"/>
      <c r="P717" s="6"/>
      <c r="Q717" s="6"/>
      <c r="R717" s="6"/>
      <c r="S717" s="6"/>
      <c r="T717" s="6"/>
      <c r="U717" s="6"/>
      <c r="V717" s="6"/>
      <c r="W717" s="6"/>
      <c r="X717" s="6"/>
      <c r="Y717" s="6"/>
      <c r="Z717" s="6"/>
      <c r="AA717" s="6"/>
      <c r="AB717" s="6"/>
      <c r="AC717" s="6"/>
      <c r="AD717" s="6"/>
      <c r="AE717" s="6"/>
    </row>
    <row r="718" spans="1:31" ht="63.75" x14ac:dyDescent="0.2">
      <c r="A718" s="6" t="s">
        <v>4447</v>
      </c>
      <c r="B718" s="6" t="s">
        <v>4036</v>
      </c>
      <c r="C718" s="20" t="s">
        <v>4448</v>
      </c>
      <c r="D718" s="6" t="s">
        <v>4449</v>
      </c>
      <c r="E718" s="6"/>
      <c r="F718" s="6" t="s">
        <v>48</v>
      </c>
      <c r="G718" s="6" t="s">
        <v>4450</v>
      </c>
      <c r="H718" s="6" t="str">
        <f t="shared" si="39"/>
        <v>THE OVERSEER(P43
)</v>
      </c>
      <c r="I718" s="6" t="s">
        <v>248</v>
      </c>
      <c r="J718" s="6"/>
      <c r="K718" s="6"/>
      <c r="L718" s="6" t="s">
        <v>3180</v>
      </c>
      <c r="M718" s="6" t="str">
        <f>VLOOKUP(L718, GLOSSARY!$A:$C, 2, FALSE)</f>
        <v>KENDAL ESTATE</v>
      </c>
      <c r="N718" s="6" t="s">
        <v>68</v>
      </c>
      <c r="O718" s="6"/>
      <c r="P718" s="6"/>
      <c r="Q718" s="6"/>
      <c r="R718" s="6"/>
      <c r="S718" s="6"/>
      <c r="T718" s="6"/>
      <c r="U718" s="6"/>
      <c r="V718" s="6"/>
      <c r="W718" s="6"/>
      <c r="X718" s="6"/>
      <c r="Y718" s="6"/>
      <c r="Z718" s="6"/>
      <c r="AA718" s="6"/>
      <c r="AB718" s="6"/>
      <c r="AC718" s="6"/>
      <c r="AD718" s="6"/>
      <c r="AE718" s="6"/>
    </row>
    <row r="719" spans="1:31" ht="102" x14ac:dyDescent="0.2">
      <c r="A719" s="6" t="s">
        <v>4451</v>
      </c>
      <c r="B719" s="6" t="s">
        <v>4043</v>
      </c>
      <c r="C719" s="20" t="s">
        <v>4452</v>
      </c>
      <c r="D719" s="6" t="s">
        <v>4453</v>
      </c>
      <c r="E719" s="6"/>
      <c r="F719" s="6" t="s">
        <v>48</v>
      </c>
      <c r="G719" s="6" t="s">
        <v>50</v>
      </c>
      <c r="H719" s="6" t="str">
        <f t="shared" si="39"/>
        <v>THE OVERSEER(P43)</v>
      </c>
      <c r="I719" s="6" t="s">
        <v>248</v>
      </c>
      <c r="J719" s="6"/>
      <c r="K719" s="6"/>
      <c r="L719" s="6" t="s">
        <v>3180</v>
      </c>
      <c r="M719" s="6" t="str">
        <f>VLOOKUP(L719, GLOSSARY!$A:$C, 2, FALSE)</f>
        <v>KENDAL ESTATE</v>
      </c>
      <c r="N719" s="6" t="s">
        <v>68</v>
      </c>
      <c r="O719" s="6"/>
      <c r="P719" s="6"/>
      <c r="Q719" s="6"/>
      <c r="R719" s="6"/>
      <c r="S719" s="6"/>
      <c r="T719" s="6"/>
      <c r="U719" s="6"/>
      <c r="V719" s="6"/>
      <c r="W719" s="6"/>
      <c r="X719" s="6"/>
      <c r="Y719" s="6"/>
      <c r="Z719" s="6"/>
      <c r="AA719" s="6"/>
      <c r="AB719" s="6"/>
      <c r="AC719" s="6"/>
      <c r="AD719" s="6"/>
      <c r="AE719" s="6"/>
    </row>
    <row r="720" spans="1:31" ht="76.5" x14ac:dyDescent="0.2">
      <c r="A720" s="6" t="s">
        <v>4454</v>
      </c>
      <c r="B720" s="6" t="s">
        <v>4077</v>
      </c>
      <c r="C720" s="20" t="s">
        <v>4455</v>
      </c>
      <c r="D720" s="6" t="s">
        <v>4456</v>
      </c>
      <c r="E720" s="6"/>
      <c r="F720" s="6" t="s">
        <v>625</v>
      </c>
      <c r="G720" s="6" t="s">
        <v>624</v>
      </c>
      <c r="H720" s="6" t="str">
        <f t="shared" si="39"/>
        <v>JOHN PARKINSON(P83)</v>
      </c>
      <c r="I720" s="6" t="s">
        <v>3794</v>
      </c>
      <c r="J720" s="6"/>
      <c r="K720" s="6"/>
      <c r="L720" s="6" t="s">
        <v>55</v>
      </c>
      <c r="M720" s="6" t="str">
        <f>VLOOKUP(L720, GLOSSARY!$A:$C, 2, FALSE)</f>
        <v>EGYPT ESTATE</v>
      </c>
      <c r="N720" s="6" t="s">
        <v>68</v>
      </c>
      <c r="O720" s="6"/>
      <c r="P720" s="6"/>
      <c r="Q720" s="6"/>
      <c r="R720" s="6"/>
      <c r="S720" s="6"/>
      <c r="T720" s="6"/>
      <c r="U720" s="6"/>
      <c r="V720" s="6"/>
      <c r="W720" s="6"/>
      <c r="X720" s="6"/>
      <c r="Y720" s="6"/>
      <c r="Z720" s="6"/>
      <c r="AA720" s="6"/>
      <c r="AB720" s="6"/>
      <c r="AC720" s="6"/>
      <c r="AD720" s="6"/>
      <c r="AE720" s="6"/>
    </row>
    <row r="721" spans="1:31" ht="51" x14ac:dyDescent="0.2">
      <c r="A721" s="6" t="s">
        <v>4457</v>
      </c>
      <c r="B721" s="6" t="s">
        <v>4015</v>
      </c>
      <c r="C721" s="20" t="s">
        <v>4458</v>
      </c>
      <c r="D721" s="6" t="s">
        <v>4459</v>
      </c>
      <c r="E721" s="6"/>
      <c r="F721" s="6" t="s">
        <v>2628</v>
      </c>
      <c r="G721" s="6" t="s">
        <v>2629</v>
      </c>
      <c r="H721" s="6" t="str">
        <f t="shared" si="39"/>
        <v>THE OVERSEER
LINCOLN(P43
P24
)</v>
      </c>
      <c r="I721" s="6" t="s">
        <v>957</v>
      </c>
      <c r="J721" s="6"/>
      <c r="K721" s="6"/>
      <c r="L721" s="6" t="s">
        <v>3180</v>
      </c>
      <c r="M721" s="6" t="str">
        <f>VLOOKUP(L721, GLOSSARY!$A:$C, 2, FALSE)</f>
        <v>KENDAL ESTATE</v>
      </c>
      <c r="N721" s="6" t="s">
        <v>68</v>
      </c>
      <c r="O721" s="6"/>
      <c r="P721" s="6"/>
      <c r="Q721" s="6"/>
      <c r="R721" s="6"/>
      <c r="S721" s="6"/>
      <c r="T721" s="6"/>
      <c r="U721" s="6"/>
      <c r="V721" s="6"/>
      <c r="W721" s="6"/>
      <c r="X721" s="6"/>
      <c r="Y721" s="6"/>
      <c r="Z721" s="6"/>
      <c r="AA721" s="6"/>
      <c r="AB721" s="6"/>
      <c r="AC721" s="6"/>
      <c r="AD721" s="6"/>
      <c r="AE721" s="6"/>
    </row>
    <row r="722" spans="1:31" ht="25.5" x14ac:dyDescent="0.2">
      <c r="A722" s="6" t="s">
        <v>4460</v>
      </c>
      <c r="B722" s="6" t="s">
        <v>4088</v>
      </c>
      <c r="C722" s="20" t="s">
        <v>4461</v>
      </c>
      <c r="D722" s="6" t="s">
        <v>4462</v>
      </c>
      <c r="E722" s="6"/>
      <c r="F722" s="6" t="s">
        <v>48</v>
      </c>
      <c r="G722" s="6" t="s">
        <v>50</v>
      </c>
      <c r="H722" s="6" t="str">
        <f t="shared" si="39"/>
        <v>THE OVERSEER(P43)</v>
      </c>
      <c r="I722" s="6" t="s">
        <v>26</v>
      </c>
      <c r="J722" s="6"/>
      <c r="K722" s="6"/>
      <c r="L722" s="6" t="s">
        <v>3180</v>
      </c>
      <c r="M722" s="6" t="str">
        <f>VLOOKUP(L722, GLOSSARY!$A:$C, 2, FALSE)</f>
        <v>KENDAL ESTATE</v>
      </c>
      <c r="N722" s="6" t="s">
        <v>68</v>
      </c>
      <c r="O722" s="6"/>
      <c r="P722" s="6"/>
      <c r="Q722" s="6"/>
      <c r="R722" s="6"/>
      <c r="S722" s="6"/>
      <c r="T722" s="6"/>
      <c r="U722" s="6"/>
      <c r="V722" s="6"/>
      <c r="W722" s="6"/>
      <c r="X722" s="6"/>
      <c r="Y722" s="6"/>
      <c r="Z722" s="6"/>
      <c r="AA722" s="6"/>
      <c r="AB722" s="6"/>
      <c r="AC722" s="6"/>
      <c r="AD722" s="6"/>
      <c r="AE722" s="6"/>
    </row>
    <row r="723" spans="1:31" ht="140.25" x14ac:dyDescent="0.2">
      <c r="A723" s="6" t="s">
        <v>4463</v>
      </c>
      <c r="B723" s="6" t="s">
        <v>4464</v>
      </c>
      <c r="C723" s="20" t="s">
        <v>4465</v>
      </c>
      <c r="D723" s="6" t="s">
        <v>4466</v>
      </c>
      <c r="E723" s="6"/>
      <c r="F723" s="6" t="s">
        <v>48</v>
      </c>
      <c r="G723" s="6" t="s">
        <v>50</v>
      </c>
      <c r="H723" s="6" t="str">
        <f t="shared" si="39"/>
        <v>THE OVERSEER(P43)</v>
      </c>
      <c r="I723" s="6" t="s">
        <v>859</v>
      </c>
      <c r="J723" s="6"/>
      <c r="K723" s="6"/>
      <c r="L723" s="6" t="s">
        <v>4467</v>
      </c>
      <c r="M723" s="6" t="s">
        <v>4468</v>
      </c>
      <c r="N723" s="6" t="s">
        <v>68</v>
      </c>
      <c r="O723" s="6"/>
      <c r="P723" s="6"/>
      <c r="Q723" s="6"/>
      <c r="R723" s="6"/>
      <c r="S723" s="6"/>
      <c r="T723" s="6"/>
      <c r="U723" s="6"/>
      <c r="V723" s="6"/>
      <c r="W723" s="6"/>
      <c r="X723" s="6"/>
      <c r="Y723" s="6"/>
      <c r="Z723" s="6"/>
      <c r="AA723" s="6"/>
      <c r="AB723" s="6"/>
      <c r="AC723" s="6"/>
      <c r="AD723" s="6"/>
      <c r="AE723" s="6"/>
    </row>
    <row r="724" spans="1:31" ht="114.75" x14ac:dyDescent="0.2">
      <c r="A724" s="6" t="s">
        <v>4469</v>
      </c>
      <c r="B724" s="6" t="s">
        <v>4043</v>
      </c>
      <c r="C724" s="20" t="s">
        <v>4470</v>
      </c>
      <c r="D724" s="6" t="s">
        <v>4471</v>
      </c>
      <c r="E724" s="6" t="s">
        <v>4472</v>
      </c>
      <c r="F724" s="6" t="s">
        <v>4473</v>
      </c>
      <c r="G724" s="6" t="s">
        <v>4474</v>
      </c>
      <c r="H724" s="18" t="str">
        <f t="shared" ref="H724:H729" si="40">CONCATENATE(F724," (",G724,")")</f>
        <v>COOBAH
SAM MATHEWS (P16
P79)</v>
      </c>
      <c r="I724" s="6" t="s">
        <v>112</v>
      </c>
      <c r="J724" s="6" t="s">
        <v>4475</v>
      </c>
      <c r="K724" s="6" t="s">
        <v>284</v>
      </c>
      <c r="L724" s="6" t="s">
        <v>55</v>
      </c>
      <c r="M724" s="18" t="str">
        <f>VLOOKUP(L724, GLOSSARY!$A:$C, 2, FALSE)</f>
        <v>EGYPT ESTATE</v>
      </c>
      <c r="N724" s="6" t="s">
        <v>68</v>
      </c>
      <c r="O724" s="6"/>
      <c r="P724" s="6"/>
      <c r="Q724" s="6"/>
      <c r="R724" s="6"/>
      <c r="S724" s="6"/>
      <c r="T724" s="6"/>
      <c r="U724" s="6"/>
      <c r="V724" s="6"/>
      <c r="W724" s="6"/>
      <c r="X724" s="6"/>
      <c r="Y724" s="6"/>
      <c r="Z724" s="6"/>
      <c r="AA724" s="6"/>
      <c r="AB724" s="6"/>
      <c r="AC724" s="6"/>
      <c r="AD724" s="6"/>
      <c r="AE724" s="6"/>
    </row>
    <row r="725" spans="1:31" ht="165.75" x14ac:dyDescent="0.2">
      <c r="A725" s="6" t="s">
        <v>4476</v>
      </c>
      <c r="B725" s="6" t="s">
        <v>4049</v>
      </c>
      <c r="C725" s="20" t="s">
        <v>4477</v>
      </c>
      <c r="D725" s="6" t="s">
        <v>4478</v>
      </c>
      <c r="E725" s="6" t="s">
        <v>4479</v>
      </c>
      <c r="F725" s="6" t="s">
        <v>4480</v>
      </c>
      <c r="G725" s="6" t="s">
        <v>4481</v>
      </c>
      <c r="H725" s="18" t="str">
        <f t="shared" si="40"/>
        <v>ABBA
THE OVERSEER
JOHN PARKINSON
JOHNIE
SIMON (P6
P43
P83
P84
P85)</v>
      </c>
      <c r="I725" s="6" t="s">
        <v>2607</v>
      </c>
      <c r="J725" s="6"/>
      <c r="K725" s="6" t="s">
        <v>284</v>
      </c>
      <c r="L725" s="6" t="s">
        <v>3180</v>
      </c>
      <c r="M725" s="18" t="str">
        <f>VLOOKUP(L725, GLOSSARY!$A:$C, 2, FALSE)</f>
        <v>KENDAL ESTATE</v>
      </c>
      <c r="N725" s="6" t="s">
        <v>68</v>
      </c>
      <c r="O725" s="6"/>
      <c r="P725" s="6"/>
      <c r="Q725" s="6"/>
      <c r="R725" s="6"/>
      <c r="S725" s="6"/>
      <c r="T725" s="6"/>
      <c r="U725" s="6"/>
      <c r="V725" s="6"/>
      <c r="W725" s="6"/>
      <c r="X725" s="6"/>
      <c r="Y725" s="6"/>
      <c r="Z725" s="6"/>
      <c r="AA725" s="6"/>
      <c r="AB725" s="6"/>
      <c r="AC725" s="6"/>
      <c r="AD725" s="6"/>
      <c r="AE725" s="6"/>
    </row>
    <row r="726" spans="1:31" ht="114.75" x14ac:dyDescent="0.2">
      <c r="A726" s="6" t="s">
        <v>4476</v>
      </c>
      <c r="B726" s="6" t="s">
        <v>4055</v>
      </c>
      <c r="C726" s="20" t="s">
        <v>4482</v>
      </c>
      <c r="D726" s="6" t="s">
        <v>4483</v>
      </c>
      <c r="E726" s="6" t="s">
        <v>4484</v>
      </c>
      <c r="F726" s="6" t="s">
        <v>4485</v>
      </c>
      <c r="G726" s="6" t="s">
        <v>4486</v>
      </c>
      <c r="H726" s="18" t="str">
        <f t="shared" si="40"/>
        <v>ABBA 
JOHNIE 
SIMON
 PHIBBAH (P6 
P84 
P85 
P7)</v>
      </c>
      <c r="I726" s="6" t="s">
        <v>784</v>
      </c>
      <c r="J726" s="6"/>
      <c r="K726" s="6" t="s">
        <v>284</v>
      </c>
      <c r="L726" s="6" t="s">
        <v>55</v>
      </c>
      <c r="M726" s="18" t="str">
        <f>VLOOKUP(L726, GLOSSARY!$A:$C, 2, FALSE)</f>
        <v>EGYPT ESTATE</v>
      </c>
      <c r="N726" s="6" t="s">
        <v>68</v>
      </c>
      <c r="O726" s="6"/>
      <c r="P726" s="6"/>
      <c r="Q726" s="6"/>
      <c r="R726" s="6"/>
      <c r="S726" s="6"/>
      <c r="T726" s="6"/>
      <c r="U726" s="6"/>
      <c r="V726" s="6"/>
      <c r="W726" s="6"/>
      <c r="X726" s="6"/>
      <c r="Y726" s="6"/>
      <c r="Z726" s="6"/>
      <c r="AA726" s="6"/>
      <c r="AB726" s="6"/>
      <c r="AC726" s="6"/>
      <c r="AD726" s="6"/>
      <c r="AE726" s="6"/>
    </row>
    <row r="727" spans="1:31" ht="89.25" x14ac:dyDescent="0.2">
      <c r="A727" s="6" t="s">
        <v>4476</v>
      </c>
      <c r="B727" s="6" t="s">
        <v>4055</v>
      </c>
      <c r="C727" s="56" t="s">
        <v>4487</v>
      </c>
      <c r="D727" s="6" t="s">
        <v>4488</v>
      </c>
      <c r="E727" s="6" t="s">
        <v>4489</v>
      </c>
      <c r="F727" s="6" t="s">
        <v>4490</v>
      </c>
      <c r="G727" s="6" t="s">
        <v>4491</v>
      </c>
      <c r="H727" s="18" t="str">
        <f t="shared" si="40"/>
        <v>ABBA
JOHNIE
SIMON (P6
P84
P85)</v>
      </c>
      <c r="I727" s="6" t="s">
        <v>784</v>
      </c>
      <c r="J727" s="6"/>
      <c r="K727" s="6" t="s">
        <v>284</v>
      </c>
      <c r="L727" s="6" t="s">
        <v>55</v>
      </c>
      <c r="M727" s="18" t="str">
        <f>VLOOKUP(L727, GLOSSARY!$A:$C, 2, FALSE)</f>
        <v>EGYPT ESTATE</v>
      </c>
      <c r="N727" s="6" t="s">
        <v>68</v>
      </c>
      <c r="O727" s="6"/>
      <c r="P727" s="6"/>
      <c r="Q727" s="6"/>
      <c r="R727" s="6"/>
      <c r="S727" s="6"/>
      <c r="T727" s="6"/>
      <c r="U727" s="6"/>
      <c r="V727" s="6"/>
      <c r="W727" s="6"/>
      <c r="X727" s="6"/>
      <c r="Y727" s="6"/>
      <c r="Z727" s="6"/>
      <c r="AA727" s="6"/>
      <c r="AB727" s="6"/>
      <c r="AC727" s="6"/>
      <c r="AD727" s="6"/>
      <c r="AE727" s="6"/>
    </row>
    <row r="728" spans="1:31" ht="89.25" x14ac:dyDescent="0.2">
      <c r="A728" s="6" t="s">
        <v>4476</v>
      </c>
      <c r="B728" s="6" t="s">
        <v>4055</v>
      </c>
      <c r="C728" s="56" t="s">
        <v>4492</v>
      </c>
      <c r="D728" s="6" t="s">
        <v>4488</v>
      </c>
      <c r="E728" s="6" t="s">
        <v>4489</v>
      </c>
      <c r="F728" s="6" t="s">
        <v>4490</v>
      </c>
      <c r="G728" s="6" t="s">
        <v>4491</v>
      </c>
      <c r="H728" s="18" t="str">
        <f t="shared" si="40"/>
        <v>ABBA
JOHNIE
SIMON (P6
P84
P85)</v>
      </c>
      <c r="I728" s="6" t="s">
        <v>784</v>
      </c>
      <c r="J728" s="6"/>
      <c r="K728" s="6" t="s">
        <v>284</v>
      </c>
      <c r="L728" s="6" t="s">
        <v>55</v>
      </c>
      <c r="M728" s="18" t="str">
        <f>VLOOKUP(L728, GLOSSARY!$A:$C, 2, FALSE)</f>
        <v>EGYPT ESTATE</v>
      </c>
      <c r="N728" s="6" t="s">
        <v>68</v>
      </c>
      <c r="O728" s="6"/>
      <c r="P728" s="6"/>
      <c r="Q728" s="6"/>
      <c r="R728" s="6"/>
      <c r="S728" s="6"/>
      <c r="T728" s="6"/>
      <c r="U728" s="6"/>
      <c r="V728" s="6"/>
      <c r="W728" s="6"/>
      <c r="X728" s="6"/>
      <c r="Y728" s="6"/>
      <c r="Z728" s="6"/>
      <c r="AA728" s="6"/>
      <c r="AB728" s="6"/>
      <c r="AC728" s="6"/>
      <c r="AD728" s="6"/>
      <c r="AE728" s="6"/>
    </row>
    <row r="729" spans="1:31" ht="89.25" x14ac:dyDescent="0.2">
      <c r="A729" s="6" t="s">
        <v>4476</v>
      </c>
      <c r="B729" s="6" t="s">
        <v>4077</v>
      </c>
      <c r="C729" s="20" t="s">
        <v>4493</v>
      </c>
      <c r="D729" s="6" t="s">
        <v>4494</v>
      </c>
      <c r="E729" s="57" t="s">
        <v>4495</v>
      </c>
      <c r="F729" s="57" t="s">
        <v>4496</v>
      </c>
      <c r="G729" s="57" t="s">
        <v>4497</v>
      </c>
      <c r="H729" s="18" t="str">
        <f t="shared" si="40"/>
        <v>ABBA
JOHNIE
SIMON
CUFFEE (P6
P84
P85
P86)</v>
      </c>
      <c r="I729" s="6" t="s">
        <v>784</v>
      </c>
      <c r="J729" s="6"/>
      <c r="K729" s="6" t="s">
        <v>284</v>
      </c>
      <c r="L729" s="6" t="s">
        <v>55</v>
      </c>
      <c r="M729" s="18" t="str">
        <f>VLOOKUP(L729, GLOSSARY!$A:$C, 2, FALSE)</f>
        <v>EGYPT ESTATE</v>
      </c>
      <c r="N729" s="6" t="s">
        <v>68</v>
      </c>
      <c r="O729" s="6"/>
      <c r="P729" s="6"/>
      <c r="Q729" s="6"/>
      <c r="R729" s="6"/>
      <c r="S729" s="6"/>
      <c r="T729" s="6"/>
      <c r="U729" s="6"/>
      <c r="V729" s="6"/>
      <c r="W729" s="6"/>
      <c r="X729" s="6"/>
      <c r="Y729" s="6"/>
      <c r="Z729" s="6"/>
      <c r="AA729" s="6"/>
      <c r="AB729" s="6"/>
      <c r="AC729" s="6"/>
      <c r="AD729" s="6"/>
      <c r="AE729" s="6"/>
    </row>
    <row r="730" spans="1:31" ht="165.75" x14ac:dyDescent="0.2">
      <c r="A730" s="6" t="s">
        <v>4498</v>
      </c>
      <c r="B730" s="6" t="s">
        <v>4099</v>
      </c>
      <c r="C730" s="20" t="s">
        <v>4499</v>
      </c>
      <c r="D730" s="6" t="s">
        <v>4500</v>
      </c>
      <c r="E730" s="6"/>
      <c r="F730" s="6" t="s">
        <v>4501</v>
      </c>
      <c r="G730" s="6" t="s">
        <v>4502</v>
      </c>
      <c r="H730" s="6" t="str">
        <f t="shared" ref="H730:H735" si="41">CONCATENATE(F730,"(",G730,")")</f>
        <v xml:space="preserve">
JOHN DORWARD
DR. ROBINSON
JEREMIAH MEYLER(P159
P188
P282)</v>
      </c>
      <c r="I730" s="6" t="s">
        <v>533</v>
      </c>
      <c r="J730" s="6"/>
      <c r="K730" s="6"/>
      <c r="L730" s="6" t="s">
        <v>3180</v>
      </c>
      <c r="M730" s="6" t="str">
        <f>VLOOKUP(L730, GLOSSARY!$A:$C, 2, FALSE)</f>
        <v>KENDAL ESTATE</v>
      </c>
      <c r="N730" s="6"/>
      <c r="O730" s="6"/>
      <c r="P730" s="6"/>
      <c r="Q730" s="6"/>
      <c r="R730" s="6"/>
      <c r="S730" s="6"/>
      <c r="T730" s="6"/>
      <c r="U730" s="6"/>
      <c r="V730" s="6"/>
      <c r="W730" s="6"/>
      <c r="X730" s="6"/>
      <c r="Y730" s="6"/>
      <c r="Z730" s="6"/>
      <c r="AA730" s="6"/>
      <c r="AB730" s="6"/>
      <c r="AC730" s="6"/>
      <c r="AD730" s="6"/>
      <c r="AE730" s="6"/>
    </row>
    <row r="731" spans="1:31" ht="178.5" x14ac:dyDescent="0.2">
      <c r="A731" s="6" t="s">
        <v>4503</v>
      </c>
      <c r="B731" s="6" t="s">
        <v>4504</v>
      </c>
      <c r="C731" s="20" t="s">
        <v>4505</v>
      </c>
      <c r="D731" s="6" t="s">
        <v>4506</v>
      </c>
      <c r="E731" s="6"/>
      <c r="F731" s="6" t="s">
        <v>4507</v>
      </c>
      <c r="G731" s="6" t="s">
        <v>4508</v>
      </c>
      <c r="H731" s="6" t="str">
        <f t="shared" si="41"/>
        <v>MULATTO WILL
SILVIA [SHIPMATE OF WIFE OF MULATTO WILL]
HESTER
DAMSEL [WIFE OF MULATTO WILL]
DINAH [MULATTO WILL'S MOTHER](P488
P489
P490
P492)</v>
      </c>
      <c r="I731" s="6" t="s">
        <v>1068</v>
      </c>
      <c r="J731" s="6"/>
      <c r="K731" s="6"/>
      <c r="L731" s="6" t="s">
        <v>1898</v>
      </c>
      <c r="M731" s="6" t="s">
        <v>1899</v>
      </c>
      <c r="N731" s="6" t="s">
        <v>287</v>
      </c>
      <c r="O731" s="6"/>
      <c r="P731" s="6"/>
      <c r="Q731" s="6"/>
      <c r="R731" s="6"/>
      <c r="S731" s="6"/>
      <c r="T731" s="6"/>
      <c r="U731" s="6"/>
      <c r="V731" s="6"/>
      <c r="W731" s="6"/>
      <c r="X731" s="6"/>
      <c r="Y731" s="6"/>
      <c r="Z731" s="6"/>
      <c r="AA731" s="6"/>
      <c r="AB731" s="6"/>
      <c r="AC731" s="6"/>
      <c r="AD731" s="6"/>
      <c r="AE731" s="6"/>
    </row>
    <row r="732" spans="1:31" ht="140.25" x14ac:dyDescent="0.2">
      <c r="A732" s="6" t="s">
        <v>4469</v>
      </c>
      <c r="B732" s="6" t="s">
        <v>4509</v>
      </c>
      <c r="C732" s="20" t="s">
        <v>4510</v>
      </c>
      <c r="D732" s="6" t="s">
        <v>4511</v>
      </c>
      <c r="E732" s="6"/>
      <c r="F732" s="6" t="s">
        <v>4512</v>
      </c>
      <c r="G732" s="6" t="s">
        <v>4513</v>
      </c>
      <c r="H732" s="6" t="str">
        <f t="shared" si="41"/>
        <v>THE OVERSEER
PHIBBAH
ACCUBAH(P43
P7
P16
)</v>
      </c>
      <c r="I732" s="6" t="s">
        <v>1047</v>
      </c>
      <c r="J732" s="6"/>
      <c r="K732" s="6"/>
      <c r="L732" s="6" t="s">
        <v>3180</v>
      </c>
      <c r="M732" s="6" t="str">
        <f>VLOOKUP(L732, GLOSSARY!$A:$C, 2, FALSE)</f>
        <v>KENDAL ESTATE</v>
      </c>
      <c r="N732" s="6" t="s">
        <v>167</v>
      </c>
      <c r="O732" s="6"/>
      <c r="P732" s="6"/>
      <c r="Q732" s="6"/>
      <c r="R732" s="6"/>
      <c r="S732" s="6"/>
      <c r="T732" s="6"/>
      <c r="U732" s="6"/>
      <c r="V732" s="6"/>
      <c r="W732" s="6"/>
      <c r="X732" s="6"/>
      <c r="Y732" s="6"/>
      <c r="Z732" s="6"/>
      <c r="AA732" s="6"/>
      <c r="AB732" s="6"/>
      <c r="AC732" s="6"/>
      <c r="AD732" s="6"/>
      <c r="AE732" s="6"/>
    </row>
    <row r="733" spans="1:31" ht="63.75" x14ac:dyDescent="0.2">
      <c r="A733" s="6" t="s">
        <v>4514</v>
      </c>
      <c r="B733" s="6" t="s">
        <v>4515</v>
      </c>
      <c r="C733" s="20" t="s">
        <v>4516</v>
      </c>
      <c r="D733" s="6" t="s">
        <v>4517</v>
      </c>
      <c r="E733" s="6"/>
      <c r="F733" s="6" t="s">
        <v>4518</v>
      </c>
      <c r="G733" s="6" t="s">
        <v>4519</v>
      </c>
      <c r="H733" s="6" t="str">
        <f t="shared" si="41"/>
        <v>SIMON
OLD BELLA(P365
P85)</v>
      </c>
      <c r="I733" s="6" t="s">
        <v>2630</v>
      </c>
      <c r="J733" s="6"/>
      <c r="K733" s="6"/>
      <c r="L733" s="6" t="s">
        <v>55</v>
      </c>
      <c r="M733" s="6" t="str">
        <f>VLOOKUP(L733, GLOSSARY!$A:$C, 2, FALSE)</f>
        <v>EGYPT ESTATE</v>
      </c>
      <c r="N733" s="6" t="s">
        <v>68</v>
      </c>
      <c r="O733" s="6"/>
      <c r="P733" s="6"/>
      <c r="Q733" s="6"/>
      <c r="R733" s="6"/>
      <c r="S733" s="6"/>
      <c r="T733" s="6"/>
      <c r="U733" s="6"/>
      <c r="V733" s="6"/>
      <c r="W733" s="6"/>
      <c r="X733" s="6"/>
      <c r="Y733" s="6"/>
      <c r="Z733" s="6"/>
      <c r="AA733" s="6"/>
      <c r="AB733" s="6"/>
      <c r="AC733" s="6"/>
      <c r="AD733" s="6"/>
      <c r="AE733" s="6"/>
    </row>
    <row r="734" spans="1:31" ht="140.25" x14ac:dyDescent="0.2">
      <c r="A734" s="6" t="s">
        <v>4476</v>
      </c>
      <c r="B734" s="6" t="s">
        <v>4520</v>
      </c>
      <c r="C734" s="20" t="s">
        <v>4521</v>
      </c>
      <c r="D734" s="6" t="s">
        <v>4522</v>
      </c>
      <c r="E734" s="6"/>
      <c r="F734" s="6" t="s">
        <v>4523</v>
      </c>
      <c r="G734" s="41" t="s">
        <v>4524</v>
      </c>
      <c r="H734" s="6" t="str">
        <f t="shared" si="41"/>
        <v>THE OVERSEER
ABBA
JOHNIE
SIMON(P43
P6
 P84
 P85)</v>
      </c>
      <c r="I734" s="6" t="s">
        <v>2630</v>
      </c>
      <c r="J734" s="6"/>
      <c r="K734" s="6"/>
      <c r="L734" s="6" t="s">
        <v>3180</v>
      </c>
      <c r="M734" s="6" t="str">
        <f>VLOOKUP(L734, GLOSSARY!$A:$C, 2, FALSE)</f>
        <v>KENDAL ESTATE</v>
      </c>
      <c r="N734" s="6" t="s">
        <v>68</v>
      </c>
      <c r="O734" s="6"/>
      <c r="P734" s="6"/>
      <c r="Q734" s="6"/>
      <c r="R734" s="6"/>
      <c r="S734" s="6"/>
      <c r="T734" s="6"/>
      <c r="U734" s="6"/>
      <c r="V734" s="6"/>
      <c r="W734" s="6"/>
      <c r="X734" s="6"/>
      <c r="Y734" s="6"/>
      <c r="Z734" s="6"/>
      <c r="AA734" s="6"/>
      <c r="AB734" s="6"/>
      <c r="AC734" s="6"/>
      <c r="AD734" s="6"/>
      <c r="AE734" s="6"/>
    </row>
    <row r="735" spans="1:31" ht="178.5" x14ac:dyDescent="0.2">
      <c r="A735" s="6" t="s">
        <v>4525</v>
      </c>
      <c r="B735" s="6" t="s">
        <v>4520</v>
      </c>
      <c r="C735" s="20" t="s">
        <v>4526</v>
      </c>
      <c r="D735" s="6" t="s">
        <v>4527</v>
      </c>
      <c r="E735" s="6"/>
      <c r="F735" s="6" t="s">
        <v>4528</v>
      </c>
      <c r="G735" s="6" t="s">
        <v>4529</v>
      </c>
      <c r="H735" s="6" t="str">
        <f t="shared" si="41"/>
        <v>THE OVERSEER
TOM TOMLINSON
JAMES HAYES
RICHARD HUNGERFORD(P43
P111
P367
P366)</v>
      </c>
      <c r="I735" s="6" t="s">
        <v>248</v>
      </c>
      <c r="J735" s="6"/>
      <c r="K735" s="6"/>
      <c r="L735" s="6" t="s">
        <v>3180</v>
      </c>
      <c r="M735" s="6" t="str">
        <f>VLOOKUP(L735, GLOSSARY!$A:$C, 2, FALSE)</f>
        <v>KENDAL ESTATE</v>
      </c>
      <c r="N735" s="6" t="s">
        <v>68</v>
      </c>
      <c r="O735" s="6"/>
      <c r="P735" s="6"/>
      <c r="Q735" s="6"/>
      <c r="R735" s="6"/>
      <c r="S735" s="6"/>
      <c r="T735" s="6"/>
      <c r="U735" s="6"/>
      <c r="V735" s="6"/>
      <c r="W735" s="6"/>
      <c r="X735" s="6"/>
      <c r="Y735" s="6"/>
      <c r="Z735" s="6"/>
      <c r="AA735" s="6"/>
      <c r="AB735" s="6"/>
      <c r="AC735" s="6"/>
      <c r="AD735" s="6"/>
      <c r="AE735" s="6"/>
    </row>
    <row r="736" spans="1:31" ht="51" x14ac:dyDescent="0.2">
      <c r="A736" s="6" t="s">
        <v>4476</v>
      </c>
      <c r="B736" s="6" t="s">
        <v>4165</v>
      </c>
      <c r="C736" s="20" t="s">
        <v>4530</v>
      </c>
      <c r="D736" s="6" t="s">
        <v>4531</v>
      </c>
      <c r="E736" s="6" t="s">
        <v>4532</v>
      </c>
      <c r="F736" s="6" t="s">
        <v>4533</v>
      </c>
      <c r="G736" s="6" t="s">
        <v>4534</v>
      </c>
      <c r="H736" s="18" t="str">
        <f>CONCATENATE(F736," (",G736,")")</f>
        <v>ABBA
THE OVERSEER (P6
P43
)</v>
      </c>
      <c r="I736" s="6" t="s">
        <v>409</v>
      </c>
      <c r="J736" s="6"/>
      <c r="K736" s="6" t="s">
        <v>284</v>
      </c>
      <c r="L736" s="6" t="s">
        <v>3180</v>
      </c>
      <c r="M736" s="18" t="str">
        <f>VLOOKUP(L736, GLOSSARY!$A:$C, 2, FALSE)</f>
        <v>KENDAL ESTATE</v>
      </c>
      <c r="N736" s="6" t="s">
        <v>68</v>
      </c>
      <c r="O736" s="6"/>
      <c r="P736" s="6"/>
      <c r="Q736" s="6"/>
      <c r="R736" s="6"/>
      <c r="S736" s="6"/>
      <c r="T736" s="6"/>
      <c r="U736" s="6"/>
      <c r="V736" s="6"/>
      <c r="W736" s="6"/>
      <c r="X736" s="6"/>
      <c r="Y736" s="6"/>
      <c r="Z736" s="6"/>
      <c r="AA736" s="6"/>
      <c r="AB736" s="6"/>
      <c r="AC736" s="6"/>
      <c r="AD736" s="6"/>
      <c r="AE736" s="6"/>
    </row>
    <row r="737" spans="1:31" ht="63.75" x14ac:dyDescent="0.2">
      <c r="A737" s="6" t="s">
        <v>4535</v>
      </c>
      <c r="B737" s="6" t="s">
        <v>4536</v>
      </c>
      <c r="C737" s="20" t="s">
        <v>4537</v>
      </c>
      <c r="D737" s="6" t="s">
        <v>4538</v>
      </c>
      <c r="E737" s="6"/>
      <c r="F737" s="6" t="s">
        <v>4539</v>
      </c>
      <c r="G737" s="6" t="s">
        <v>4540</v>
      </c>
      <c r="H737" s="6" t="str">
        <f>CONCATENATE(F737,"(",G737,")")</f>
        <v>LONDON
SAM MATHEWS(P249
P79)</v>
      </c>
      <c r="I737" s="6" t="s">
        <v>3809</v>
      </c>
      <c r="J737" s="6"/>
      <c r="K737" s="6"/>
      <c r="L737" s="6" t="s">
        <v>55</v>
      </c>
      <c r="M737" s="6" t="str">
        <f>VLOOKUP(L737, GLOSSARY!$A:$C, 2, FALSE)</f>
        <v>EGYPT ESTATE</v>
      </c>
      <c r="N737" s="6" t="s">
        <v>68</v>
      </c>
      <c r="O737" s="6"/>
      <c r="P737" s="6"/>
      <c r="Q737" s="6"/>
      <c r="R737" s="6"/>
      <c r="S737" s="6"/>
      <c r="T737" s="6"/>
      <c r="U737" s="6"/>
      <c r="V737" s="6"/>
      <c r="W737" s="6"/>
      <c r="X737" s="6"/>
      <c r="Y737" s="6"/>
      <c r="Z737" s="6"/>
      <c r="AA737" s="6"/>
      <c r="AB737" s="6"/>
      <c r="AC737" s="6"/>
      <c r="AD737" s="6"/>
      <c r="AE737" s="6"/>
    </row>
    <row r="738" spans="1:31" ht="76.5" x14ac:dyDescent="0.2">
      <c r="A738" s="6" t="s">
        <v>4469</v>
      </c>
      <c r="B738" s="6" t="s">
        <v>4541</v>
      </c>
      <c r="C738" s="20" t="s">
        <v>4542</v>
      </c>
      <c r="D738" s="6" t="s">
        <v>4543</v>
      </c>
      <c r="E738" s="6" t="s">
        <v>4544</v>
      </c>
      <c r="F738" s="6" t="s">
        <v>4545</v>
      </c>
      <c r="G738" s="6" t="s">
        <v>4546</v>
      </c>
      <c r="H738" s="18" t="str">
        <f>CONCATENATE(F738," (",G738,")")</f>
        <v>PHIBBAH
COOBAH (P7
P16)</v>
      </c>
      <c r="I738" s="6" t="s">
        <v>1047</v>
      </c>
      <c r="J738" s="6" t="s">
        <v>4475</v>
      </c>
      <c r="K738" s="6" t="s">
        <v>284</v>
      </c>
      <c r="L738" s="6" t="s">
        <v>3180</v>
      </c>
      <c r="M738" s="18" t="str">
        <f>VLOOKUP(L738, GLOSSARY!$A:$C, 2, FALSE)</f>
        <v>KENDAL ESTATE</v>
      </c>
      <c r="N738" s="6" t="s">
        <v>167</v>
      </c>
      <c r="O738" s="6"/>
      <c r="P738" s="6"/>
      <c r="Q738" s="6"/>
      <c r="R738" s="6"/>
      <c r="S738" s="6"/>
      <c r="T738" s="6"/>
      <c r="U738" s="6"/>
      <c r="V738" s="6"/>
      <c r="W738" s="6"/>
      <c r="X738" s="6"/>
      <c r="Y738" s="6"/>
      <c r="Z738" s="6"/>
      <c r="AA738" s="6"/>
      <c r="AB738" s="6"/>
      <c r="AC738" s="6"/>
      <c r="AD738" s="6"/>
      <c r="AE738" s="6"/>
    </row>
    <row r="739" spans="1:31" ht="25.5" x14ac:dyDescent="0.2">
      <c r="A739" s="6" t="s">
        <v>4460</v>
      </c>
      <c r="B739" s="6" t="s">
        <v>4547</v>
      </c>
      <c r="C739" s="20" t="s">
        <v>4548</v>
      </c>
      <c r="D739" s="6" t="s">
        <v>4549</v>
      </c>
      <c r="E739" s="6"/>
      <c r="F739" s="6" t="s">
        <v>48</v>
      </c>
      <c r="G739" s="6" t="s">
        <v>50</v>
      </c>
      <c r="H739" s="6" t="str">
        <f t="shared" ref="H739:H740" si="42">CONCATENATE(F739,"(",G739,")")</f>
        <v>THE OVERSEER(P43)</v>
      </c>
      <c r="I739" s="6" t="s">
        <v>26</v>
      </c>
      <c r="J739" s="6"/>
      <c r="K739" s="6"/>
      <c r="L739" s="6" t="s">
        <v>3180</v>
      </c>
      <c r="M739" s="6" t="str">
        <f>VLOOKUP(L739, GLOSSARY!$A:$C, 2, FALSE)</f>
        <v>KENDAL ESTATE</v>
      </c>
      <c r="N739" s="6" t="s">
        <v>68</v>
      </c>
      <c r="O739" s="6"/>
      <c r="P739" s="6"/>
      <c r="Q739" s="6"/>
      <c r="R739" s="6"/>
      <c r="S739" s="6"/>
      <c r="T739" s="6"/>
      <c r="U739" s="6"/>
      <c r="V739" s="6"/>
      <c r="W739" s="6"/>
      <c r="X739" s="6"/>
      <c r="Y739" s="6"/>
      <c r="Z739" s="6"/>
      <c r="AA739" s="6"/>
      <c r="AB739" s="6"/>
      <c r="AC739" s="6"/>
      <c r="AD739" s="6"/>
      <c r="AE739" s="6"/>
    </row>
    <row r="740" spans="1:31" ht="409.5" x14ac:dyDescent="0.2">
      <c r="A740" s="6" t="s">
        <v>4550</v>
      </c>
      <c r="B740" s="6" t="s">
        <v>4551</v>
      </c>
      <c r="C740" s="20" t="s">
        <v>4552</v>
      </c>
      <c r="D740" s="6" t="s">
        <v>4553</v>
      </c>
      <c r="E740" s="6"/>
      <c r="F740" s="6"/>
      <c r="G740" s="6"/>
      <c r="H740" s="6" t="str">
        <f t="shared" si="42"/>
        <v>()</v>
      </c>
      <c r="I740" s="6" t="s">
        <v>139</v>
      </c>
      <c r="J740" s="6"/>
      <c r="K740" s="6"/>
      <c r="L740" s="6" t="s">
        <v>55</v>
      </c>
      <c r="M740" s="6" t="str">
        <f>VLOOKUP(L740, GLOSSARY!$A:$C, 2, FALSE)</f>
        <v>EGYPT ESTATE</v>
      </c>
      <c r="N740" s="6"/>
      <c r="O740" s="6"/>
      <c r="P740" s="6"/>
      <c r="Q740" s="6"/>
      <c r="R740" s="6"/>
      <c r="S740" s="6"/>
      <c r="T740" s="6"/>
      <c r="U740" s="6"/>
      <c r="V740" s="6"/>
      <c r="W740" s="6"/>
      <c r="X740" s="6"/>
      <c r="Y740" s="6"/>
      <c r="Z740" s="6"/>
      <c r="AA740" s="6"/>
      <c r="AB740" s="6"/>
      <c r="AC740" s="6"/>
      <c r="AD740" s="6"/>
      <c r="AE740" s="6"/>
    </row>
    <row r="741" spans="1:31" ht="89.25" x14ac:dyDescent="0.2">
      <c r="A741" s="6" t="s">
        <v>4554</v>
      </c>
      <c r="B741" s="6" t="s">
        <v>3864</v>
      </c>
      <c r="C741" s="20" t="s">
        <v>4555</v>
      </c>
      <c r="D741" s="6" t="s">
        <v>4556</v>
      </c>
      <c r="E741" s="6" t="s">
        <v>4557</v>
      </c>
      <c r="F741" s="6" t="s">
        <v>4558</v>
      </c>
      <c r="G741" s="6" t="s">
        <v>4559</v>
      </c>
      <c r="H741" s="18" t="str">
        <f>CONCATENATE(F741," (",G741,")")</f>
        <v>ABBA
HAZAT
THE OVERSEER (P6
P87
P43)</v>
      </c>
      <c r="I741" s="6" t="s">
        <v>1678</v>
      </c>
      <c r="J741" s="6"/>
      <c r="K741" s="6"/>
      <c r="L741" s="6"/>
      <c r="M741" s="18" t="e">
        <f>VLOOKUP(L741, GLOSSARY!$A:$C, 2, FALSE)</f>
        <v>#N/A</v>
      </c>
      <c r="N741" s="6"/>
      <c r="O741" s="6"/>
      <c r="P741" s="6"/>
      <c r="Q741" s="6"/>
      <c r="R741" s="6"/>
      <c r="S741" s="6"/>
      <c r="T741" s="6"/>
      <c r="U741" s="6"/>
      <c r="V741" s="6"/>
      <c r="W741" s="6"/>
      <c r="X741" s="6"/>
      <c r="Y741" s="6"/>
      <c r="Z741" s="6"/>
      <c r="AA741" s="6"/>
      <c r="AB741" s="6"/>
      <c r="AC741" s="6"/>
      <c r="AD741" s="6"/>
      <c r="AE741" s="6"/>
    </row>
    <row r="742" spans="1:31" ht="114.75" x14ac:dyDescent="0.2">
      <c r="A742" s="6" t="s">
        <v>4451</v>
      </c>
      <c r="B742" s="6" t="s">
        <v>4560</v>
      </c>
      <c r="C742" s="20" t="s">
        <v>4561</v>
      </c>
      <c r="D742" s="6" t="s">
        <v>4562</v>
      </c>
      <c r="E742" s="6"/>
      <c r="F742" s="6" t="s">
        <v>48</v>
      </c>
      <c r="G742" s="6" t="s">
        <v>50</v>
      </c>
      <c r="H742" s="6" t="str">
        <f t="shared" ref="H742:H753" si="43">CONCATENATE(F742,"(",G742,")")</f>
        <v>THE OVERSEER(P43)</v>
      </c>
      <c r="I742" s="6" t="s">
        <v>198</v>
      </c>
      <c r="J742" s="6"/>
      <c r="K742" s="6"/>
      <c r="L742" s="6" t="s">
        <v>3180</v>
      </c>
      <c r="M742" s="6" t="str">
        <f>VLOOKUP(L742, GLOSSARY!$A:$C, 2, FALSE)</f>
        <v>KENDAL ESTATE</v>
      </c>
      <c r="N742" s="6" t="s">
        <v>167</v>
      </c>
      <c r="O742" s="6"/>
      <c r="P742" s="6"/>
      <c r="Q742" s="6"/>
      <c r="R742" s="6"/>
      <c r="S742" s="6"/>
      <c r="T742" s="6"/>
      <c r="U742" s="6"/>
      <c r="V742" s="6"/>
      <c r="W742" s="6"/>
      <c r="X742" s="6"/>
      <c r="Y742" s="6"/>
      <c r="Z742" s="6"/>
      <c r="AA742" s="6"/>
      <c r="AB742" s="6"/>
      <c r="AC742" s="6"/>
      <c r="AD742" s="6"/>
      <c r="AE742" s="6"/>
    </row>
    <row r="743" spans="1:31" ht="102" x14ac:dyDescent="0.2">
      <c r="A743" s="6" t="s">
        <v>4460</v>
      </c>
      <c r="B743" s="6" t="s">
        <v>4563</v>
      </c>
      <c r="C743" s="20" t="s">
        <v>4564</v>
      </c>
      <c r="D743" s="6" t="s">
        <v>4565</v>
      </c>
      <c r="E743" s="6"/>
      <c r="F743" s="6" t="s">
        <v>48</v>
      </c>
      <c r="G743" s="6" t="s">
        <v>50</v>
      </c>
      <c r="H743" s="6" t="str">
        <f t="shared" si="43"/>
        <v>THE OVERSEER(P43)</v>
      </c>
      <c r="I743" s="6" t="s">
        <v>26</v>
      </c>
      <c r="J743" s="6"/>
      <c r="K743" s="6"/>
      <c r="L743" s="6" t="s">
        <v>3180</v>
      </c>
      <c r="M743" s="6" t="str">
        <f>VLOOKUP(L743, GLOSSARY!$A:$C, 2, FALSE)</f>
        <v>KENDAL ESTATE</v>
      </c>
      <c r="N743" s="6"/>
      <c r="O743" s="6"/>
      <c r="P743" s="6"/>
      <c r="Q743" s="6"/>
      <c r="R743" s="6"/>
      <c r="S743" s="6"/>
      <c r="T743" s="6"/>
      <c r="U743" s="6"/>
      <c r="V743" s="6"/>
      <c r="W743" s="6"/>
      <c r="X743" s="6"/>
      <c r="Y743" s="6"/>
      <c r="Z743" s="6"/>
      <c r="AA743" s="6"/>
      <c r="AB743" s="6"/>
      <c r="AC743" s="6"/>
      <c r="AD743" s="6"/>
      <c r="AE743" s="6"/>
    </row>
    <row r="744" spans="1:31" ht="63.75" x14ac:dyDescent="0.2">
      <c r="A744" s="6" t="s">
        <v>4451</v>
      </c>
      <c r="B744" s="6" t="s">
        <v>4563</v>
      </c>
      <c r="C744" s="20" t="s">
        <v>4564</v>
      </c>
      <c r="D744" s="6" t="s">
        <v>4566</v>
      </c>
      <c r="E744" s="6"/>
      <c r="F744" s="6" t="s">
        <v>4567</v>
      </c>
      <c r="G744" s="6" t="s">
        <v>4568</v>
      </c>
      <c r="H744" s="6" t="str">
        <f t="shared" si="43"/>
        <v>THE OVERSEER
SANCHO(P43
P195)</v>
      </c>
      <c r="I744" s="6" t="s">
        <v>198</v>
      </c>
      <c r="J744" s="6"/>
      <c r="K744" s="6"/>
      <c r="L744" s="6" t="s">
        <v>3180</v>
      </c>
      <c r="M744" s="6" t="str">
        <f>VLOOKUP(L744, GLOSSARY!$A:$C, 2, FALSE)</f>
        <v>KENDAL ESTATE</v>
      </c>
      <c r="N744" s="6" t="s">
        <v>167</v>
      </c>
      <c r="O744" s="6"/>
      <c r="P744" s="6"/>
      <c r="Q744" s="6"/>
      <c r="R744" s="6"/>
      <c r="S744" s="6"/>
      <c r="T744" s="6"/>
      <c r="U744" s="6"/>
      <c r="V744" s="6"/>
      <c r="W744" s="6"/>
      <c r="X744" s="6"/>
      <c r="Y744" s="6"/>
      <c r="Z744" s="6"/>
      <c r="AA744" s="6"/>
      <c r="AB744" s="6"/>
      <c r="AC744" s="6"/>
      <c r="AD744" s="6"/>
      <c r="AE744" s="6"/>
    </row>
    <row r="745" spans="1:31" ht="293.25" x14ac:dyDescent="0.2">
      <c r="A745" s="6" t="s">
        <v>4451</v>
      </c>
      <c r="B745" s="6" t="s">
        <v>4213</v>
      </c>
      <c r="C745" s="20" t="s">
        <v>4569</v>
      </c>
      <c r="D745" s="6" t="s">
        <v>4570</v>
      </c>
      <c r="E745" s="6"/>
      <c r="F745" s="6" t="s">
        <v>246</v>
      </c>
      <c r="G745" s="6" t="s">
        <v>2040</v>
      </c>
      <c r="H745" s="6" t="str">
        <f t="shared" si="43"/>
        <v>THE OVERSEER
OLD SHARPER(P43
P74)</v>
      </c>
      <c r="I745" s="6" t="s">
        <v>198</v>
      </c>
      <c r="J745" s="6"/>
      <c r="K745" s="6"/>
      <c r="L745" s="6" t="s">
        <v>3180</v>
      </c>
      <c r="M745" s="6" t="str">
        <f>VLOOKUP(L745, GLOSSARY!$A:$C, 2, FALSE)</f>
        <v>KENDAL ESTATE</v>
      </c>
      <c r="N745" s="6" t="s">
        <v>167</v>
      </c>
      <c r="O745" s="6"/>
      <c r="P745" s="6"/>
      <c r="Q745" s="6"/>
      <c r="R745" s="6"/>
      <c r="S745" s="6"/>
      <c r="T745" s="6"/>
      <c r="U745" s="6"/>
      <c r="V745" s="6"/>
      <c r="W745" s="6"/>
      <c r="X745" s="6"/>
      <c r="Y745" s="6"/>
      <c r="Z745" s="6"/>
      <c r="AA745" s="6"/>
      <c r="AB745" s="6"/>
      <c r="AC745" s="6"/>
      <c r="AD745" s="6"/>
      <c r="AE745" s="6"/>
    </row>
    <row r="746" spans="1:31" ht="331.5" x14ac:dyDescent="0.2">
      <c r="A746" s="6" t="s">
        <v>4451</v>
      </c>
      <c r="B746" s="6" t="s">
        <v>4571</v>
      </c>
      <c r="C746" s="20" t="s">
        <v>4572</v>
      </c>
      <c r="D746" s="6" t="s">
        <v>4573</v>
      </c>
      <c r="E746" s="6"/>
      <c r="F746" s="6" t="s">
        <v>246</v>
      </c>
      <c r="G746" s="6" t="s">
        <v>2040</v>
      </c>
      <c r="H746" s="6" t="str">
        <f t="shared" si="43"/>
        <v>THE OVERSEER
OLD SHARPER(P43
P74)</v>
      </c>
      <c r="I746" s="6" t="s">
        <v>198</v>
      </c>
      <c r="J746" s="6"/>
      <c r="K746" s="6"/>
      <c r="L746" s="6" t="s">
        <v>3180</v>
      </c>
      <c r="M746" s="6" t="str">
        <f>VLOOKUP(L746, GLOSSARY!$A:$C, 2, FALSE)</f>
        <v>KENDAL ESTATE</v>
      </c>
      <c r="N746" s="6" t="s">
        <v>167</v>
      </c>
      <c r="O746" s="6"/>
      <c r="P746" s="6"/>
      <c r="Q746" s="6"/>
      <c r="R746" s="6"/>
      <c r="S746" s="6"/>
      <c r="T746" s="6"/>
      <c r="U746" s="6"/>
      <c r="V746" s="6"/>
      <c r="W746" s="6"/>
      <c r="X746" s="6"/>
      <c r="Y746" s="6"/>
      <c r="Z746" s="6"/>
      <c r="AA746" s="6"/>
      <c r="AB746" s="6"/>
      <c r="AC746" s="6"/>
      <c r="AD746" s="6"/>
      <c r="AE746" s="6"/>
    </row>
    <row r="747" spans="1:31" ht="178.5" x14ac:dyDescent="0.2">
      <c r="A747" s="6" t="s">
        <v>4293</v>
      </c>
      <c r="B747" s="6" t="s">
        <v>4217</v>
      </c>
      <c r="C747" s="20" t="s">
        <v>4574</v>
      </c>
      <c r="D747" s="6" t="s">
        <v>4575</v>
      </c>
      <c r="E747" s="6"/>
      <c r="F747" s="6" t="s">
        <v>4576</v>
      </c>
      <c r="G747" s="6" t="s">
        <v>4577</v>
      </c>
      <c r="H747" s="6" t="str">
        <f t="shared" si="43"/>
        <v>THE OVERSEER
JOHN COPE
LINCOLN
PLUTO
(P43
P45
P24
P276)</v>
      </c>
      <c r="I747" s="6" t="s">
        <v>784</v>
      </c>
      <c r="J747" s="6"/>
      <c r="K747" s="6"/>
      <c r="L747" s="6"/>
      <c r="M747" s="6" t="e">
        <f>VLOOKUP(L747, GLOSSARY!$A:$C, 2, FALSE)</f>
        <v>#N/A</v>
      </c>
      <c r="N747" s="6"/>
      <c r="O747" s="6"/>
      <c r="P747" s="6"/>
      <c r="Q747" s="6"/>
      <c r="R747" s="6"/>
      <c r="S747" s="6"/>
      <c r="T747" s="6"/>
      <c r="U747" s="6"/>
      <c r="V747" s="6"/>
      <c r="W747" s="6"/>
      <c r="X747" s="6"/>
      <c r="Y747" s="6"/>
      <c r="Z747" s="6"/>
      <c r="AA747" s="6"/>
      <c r="AB747" s="6"/>
      <c r="AC747" s="6"/>
      <c r="AD747" s="6"/>
      <c r="AE747" s="6"/>
    </row>
    <row r="748" spans="1:31" ht="12.75" x14ac:dyDescent="0.2">
      <c r="A748" s="6" t="s">
        <v>4293</v>
      </c>
      <c r="B748" s="6" t="s">
        <v>4229</v>
      </c>
      <c r="C748" s="20" t="s">
        <v>4578</v>
      </c>
      <c r="D748" s="6"/>
      <c r="E748" s="6"/>
      <c r="F748" s="6"/>
      <c r="G748" s="6"/>
      <c r="H748" s="6" t="str">
        <f t="shared" si="43"/>
        <v>()</v>
      </c>
      <c r="I748" s="6"/>
      <c r="J748" s="6"/>
      <c r="K748" s="6"/>
      <c r="L748" s="6"/>
      <c r="M748" s="6" t="e">
        <f>VLOOKUP(L748, GLOSSARY!$A:$C, 2, FALSE)</f>
        <v>#N/A</v>
      </c>
      <c r="N748" s="6"/>
      <c r="O748" s="6"/>
      <c r="P748" s="6"/>
      <c r="Q748" s="6"/>
      <c r="R748" s="6"/>
      <c r="S748" s="6"/>
      <c r="T748" s="6"/>
      <c r="U748" s="6"/>
      <c r="V748" s="6"/>
      <c r="W748" s="6"/>
      <c r="X748" s="6"/>
      <c r="Y748" s="6"/>
      <c r="Z748" s="6"/>
      <c r="AA748" s="6"/>
      <c r="AB748" s="6"/>
      <c r="AC748" s="6"/>
      <c r="AD748" s="6"/>
      <c r="AE748" s="6"/>
    </row>
    <row r="749" spans="1:31" ht="409.5" x14ac:dyDescent="0.2">
      <c r="A749" s="6" t="s">
        <v>4579</v>
      </c>
      <c r="B749" s="6" t="s">
        <v>4234</v>
      </c>
      <c r="C749" s="20" t="s">
        <v>4580</v>
      </c>
      <c r="D749" s="6" t="s">
        <v>4581</v>
      </c>
      <c r="E749" s="6"/>
      <c r="F749" s="6"/>
      <c r="G749" s="6"/>
      <c r="H749" s="6" t="str">
        <f t="shared" si="43"/>
        <v>()</v>
      </c>
      <c r="I749" s="6" t="s">
        <v>759</v>
      </c>
      <c r="J749" s="6"/>
      <c r="K749" s="6"/>
      <c r="L749" s="6" t="s">
        <v>785</v>
      </c>
      <c r="M749" s="6" t="str">
        <f>VLOOKUP(L749, GLOSSARY!$A:$C, 2, FALSE)</f>
        <v>EGYPT ESTATE</v>
      </c>
      <c r="N749" s="6" t="s">
        <v>476</v>
      </c>
      <c r="O749" s="6"/>
      <c r="P749" s="6"/>
      <c r="Q749" s="6"/>
      <c r="R749" s="6"/>
      <c r="S749" s="6"/>
      <c r="T749" s="6"/>
      <c r="U749" s="6"/>
      <c r="V749" s="6"/>
      <c r="W749" s="6"/>
      <c r="X749" s="6"/>
      <c r="Y749" s="6"/>
      <c r="Z749" s="6"/>
      <c r="AA749" s="6"/>
      <c r="AB749" s="6"/>
      <c r="AC749" s="6"/>
      <c r="AD749" s="6"/>
      <c r="AE749" s="6"/>
    </row>
    <row r="750" spans="1:31" ht="409.5" x14ac:dyDescent="0.2">
      <c r="A750" s="6" t="s">
        <v>4582</v>
      </c>
      <c r="B750" s="6" t="s">
        <v>4234</v>
      </c>
      <c r="C750" s="20" t="s">
        <v>4580</v>
      </c>
      <c r="D750" s="6" t="s">
        <v>4583</v>
      </c>
      <c r="E750" s="6"/>
      <c r="F750" s="6"/>
      <c r="G750" s="6"/>
      <c r="H750" s="6" t="str">
        <f t="shared" si="43"/>
        <v>()</v>
      </c>
      <c r="I750" s="6" t="s">
        <v>759</v>
      </c>
      <c r="J750" s="6"/>
      <c r="K750" s="6"/>
      <c r="L750" s="6" t="s">
        <v>55</v>
      </c>
      <c r="M750" s="6" t="str">
        <f>VLOOKUP(L750, GLOSSARY!$A:$C, 2, FALSE)</f>
        <v>EGYPT ESTATE</v>
      </c>
      <c r="N750" s="6"/>
      <c r="O750" s="6"/>
      <c r="P750" s="6"/>
      <c r="Q750" s="6"/>
      <c r="R750" s="6"/>
      <c r="S750" s="6"/>
      <c r="T750" s="6"/>
      <c r="U750" s="6"/>
      <c r="V750" s="6"/>
      <c r="W750" s="6"/>
      <c r="X750" s="6"/>
      <c r="Y750" s="6"/>
      <c r="Z750" s="6"/>
      <c r="AA750" s="6"/>
      <c r="AB750" s="6"/>
      <c r="AC750" s="6"/>
      <c r="AD750" s="6"/>
      <c r="AE750" s="6"/>
    </row>
    <row r="751" spans="1:31" ht="409.5" x14ac:dyDescent="0.2">
      <c r="A751" s="6" t="s">
        <v>4584</v>
      </c>
      <c r="B751" s="6" t="s">
        <v>4234</v>
      </c>
      <c r="C751" s="20" t="s">
        <v>4580</v>
      </c>
      <c r="D751" s="6" t="s">
        <v>4585</v>
      </c>
      <c r="E751" s="6"/>
      <c r="F751" s="6"/>
      <c r="G751" s="6"/>
      <c r="H751" s="6" t="str">
        <f t="shared" si="43"/>
        <v>()</v>
      </c>
      <c r="I751" s="6" t="s">
        <v>759</v>
      </c>
      <c r="J751" s="6"/>
      <c r="K751" s="6"/>
      <c r="L751" s="6" t="s">
        <v>55</v>
      </c>
      <c r="M751" s="6" t="str">
        <f>VLOOKUP(L751, GLOSSARY!$A:$C, 2, FALSE)</f>
        <v>EGYPT ESTATE</v>
      </c>
      <c r="N751" s="6"/>
      <c r="O751" s="6"/>
      <c r="P751" s="6"/>
      <c r="Q751" s="6"/>
      <c r="R751" s="6"/>
      <c r="S751" s="6"/>
      <c r="T751" s="6"/>
      <c r="U751" s="6"/>
      <c r="V751" s="6"/>
      <c r="W751" s="6"/>
      <c r="X751" s="6"/>
      <c r="Y751" s="6"/>
      <c r="Z751" s="6"/>
      <c r="AA751" s="6"/>
      <c r="AB751" s="6"/>
      <c r="AC751" s="6"/>
      <c r="AD751" s="6"/>
      <c r="AE751" s="6"/>
    </row>
    <row r="752" spans="1:31" ht="63.75" x14ac:dyDescent="0.2">
      <c r="A752" s="6" t="s">
        <v>4586</v>
      </c>
      <c r="B752" s="6" t="s">
        <v>4238</v>
      </c>
      <c r="C752" s="20" t="s">
        <v>4587</v>
      </c>
      <c r="D752" s="6" t="s">
        <v>4588</v>
      </c>
      <c r="E752" s="6"/>
      <c r="F752" s="6" t="s">
        <v>4589</v>
      </c>
      <c r="G752" s="6" t="s">
        <v>4590</v>
      </c>
      <c r="H752" s="6" t="str">
        <f t="shared" si="43"/>
        <v>THE OVERSEER
MR. WEECH(P43
P202)</v>
      </c>
      <c r="I752" s="6" t="s">
        <v>248</v>
      </c>
      <c r="J752" s="6"/>
      <c r="K752" s="6"/>
      <c r="L752" s="6" t="s">
        <v>55</v>
      </c>
      <c r="M752" s="6" t="str">
        <f>VLOOKUP(L752, GLOSSARY!$A:$C, 2, FALSE)</f>
        <v>EGYPT ESTATE</v>
      </c>
      <c r="N752" s="6" t="s">
        <v>167</v>
      </c>
      <c r="O752" s="6"/>
      <c r="P752" s="6"/>
      <c r="Q752" s="6"/>
      <c r="R752" s="6"/>
      <c r="S752" s="6"/>
      <c r="T752" s="6"/>
      <c r="U752" s="6"/>
      <c r="V752" s="6"/>
      <c r="W752" s="6"/>
      <c r="X752" s="6"/>
      <c r="Y752" s="6"/>
      <c r="Z752" s="6"/>
      <c r="AA752" s="6"/>
      <c r="AB752" s="6"/>
      <c r="AC752" s="6"/>
      <c r="AD752" s="6"/>
      <c r="AE752" s="6"/>
    </row>
    <row r="753" spans="1:31" ht="63.75" x14ac:dyDescent="0.2">
      <c r="A753" s="6" t="s">
        <v>4586</v>
      </c>
      <c r="B753" s="6" t="s">
        <v>4238</v>
      </c>
      <c r="C753" s="20" t="s">
        <v>4591</v>
      </c>
      <c r="D753" s="6" t="s">
        <v>4592</v>
      </c>
      <c r="E753" s="6"/>
      <c r="F753" s="6" t="s">
        <v>4593</v>
      </c>
      <c r="G753" s="6" t="s">
        <v>4594</v>
      </c>
      <c r="H753" s="6" t="str">
        <f t="shared" si="43"/>
        <v>THE OVESEER
(P43
P252)</v>
      </c>
      <c r="I753" s="6" t="s">
        <v>248</v>
      </c>
      <c r="J753" s="6"/>
      <c r="K753" s="6"/>
      <c r="L753" s="6" t="s">
        <v>55</v>
      </c>
      <c r="M753" s="6" t="str">
        <f>VLOOKUP(L753, GLOSSARY!$A:$C, 2, FALSE)</f>
        <v>EGYPT ESTATE</v>
      </c>
      <c r="N753" s="6" t="s">
        <v>167</v>
      </c>
      <c r="O753" s="6"/>
      <c r="P753" s="6"/>
      <c r="Q753" s="6"/>
      <c r="R753" s="6"/>
      <c r="S753" s="6"/>
      <c r="T753" s="6"/>
      <c r="U753" s="6"/>
      <c r="V753" s="6"/>
      <c r="W753" s="6"/>
      <c r="X753" s="6"/>
      <c r="Y753" s="6"/>
      <c r="Z753" s="6"/>
      <c r="AA753" s="6"/>
      <c r="AB753" s="6"/>
      <c r="AC753" s="6"/>
      <c r="AD753" s="6"/>
      <c r="AE753" s="6"/>
    </row>
    <row r="754" spans="1:31" ht="306" x14ac:dyDescent="0.2">
      <c r="A754" s="6" t="s">
        <v>4595</v>
      </c>
      <c r="B754" s="6" t="s">
        <v>4244</v>
      </c>
      <c r="C754" s="20" t="s">
        <v>4596</v>
      </c>
      <c r="D754" s="6" t="s">
        <v>4597</v>
      </c>
      <c r="E754" s="6" t="s">
        <v>4598</v>
      </c>
      <c r="F754" s="6" t="s">
        <v>4599</v>
      </c>
      <c r="G754" s="6" t="s">
        <v>4600</v>
      </c>
      <c r="H754" s="18" t="str">
        <f t="shared" ref="H754:H759" si="44">CONCATENATE(F754," (",G754,")")</f>
        <v>THE PLANTER
THE PLANTER'S WIFE
TOM
BACCHUS
MR. MOULD'S NANCY
DAMSELL
LITTLE MIMBER
COOBAH
EVE
HOUSE FRANKE
ABBA
FLORA (P44
P45
P88
P89
P90
P80
P16
P128
P10
P6
P91
)</v>
      </c>
      <c r="I754" s="6" t="s">
        <v>784</v>
      </c>
      <c r="J754" s="6"/>
      <c r="K754" s="6" t="s">
        <v>1382</v>
      </c>
      <c r="L754" s="6" t="s">
        <v>4601</v>
      </c>
      <c r="M754" s="18" t="e">
        <f>VLOOKUP(L754, GLOSSARY!$A:$C, 2, FALSE)</f>
        <v>#N/A</v>
      </c>
      <c r="N754" s="6" t="s">
        <v>68</v>
      </c>
      <c r="O754" s="6"/>
      <c r="P754" s="6"/>
      <c r="Q754" s="6"/>
      <c r="R754" s="6"/>
      <c r="S754" s="6"/>
      <c r="T754" s="6"/>
      <c r="U754" s="6"/>
      <c r="V754" s="6"/>
      <c r="W754" s="6"/>
      <c r="X754" s="6"/>
      <c r="Y754" s="6"/>
      <c r="Z754" s="6"/>
      <c r="AA754" s="6"/>
      <c r="AB754" s="6"/>
      <c r="AC754" s="6"/>
      <c r="AD754" s="6"/>
      <c r="AE754" s="6"/>
    </row>
    <row r="755" spans="1:31" ht="12.75" x14ac:dyDescent="0.2">
      <c r="A755" s="6" t="s">
        <v>4602</v>
      </c>
      <c r="B755" s="6" t="s">
        <v>4256</v>
      </c>
      <c r="C755" s="20" t="s">
        <v>4603</v>
      </c>
      <c r="D755" s="6" t="s">
        <v>4604</v>
      </c>
      <c r="E755" s="6"/>
      <c r="F755" s="6" t="s">
        <v>645</v>
      </c>
      <c r="G755" s="6" t="s">
        <v>511</v>
      </c>
      <c r="H755" s="6" t="str">
        <f t="shared" si="44"/>
        <v>HAZAT (P87)</v>
      </c>
      <c r="I755" s="6" t="s">
        <v>656</v>
      </c>
      <c r="J755" s="6"/>
      <c r="K755" s="6"/>
      <c r="L755" s="6" t="s">
        <v>55</v>
      </c>
      <c r="M755" s="6" t="str">
        <f>VLOOKUP(L755, GLOSSARY!$A:$C, 2, FALSE)</f>
        <v>EGYPT ESTATE</v>
      </c>
      <c r="N755" s="6"/>
      <c r="O755" s="6"/>
      <c r="P755" s="6"/>
      <c r="Q755" s="6"/>
      <c r="R755" s="6"/>
      <c r="S755" s="6"/>
      <c r="T755" s="6"/>
      <c r="U755" s="6"/>
      <c r="V755" s="6"/>
      <c r="W755" s="6"/>
      <c r="X755" s="6"/>
      <c r="Y755" s="6"/>
      <c r="Z755" s="6"/>
      <c r="AA755" s="6"/>
      <c r="AB755" s="6"/>
      <c r="AC755" s="6"/>
      <c r="AD755" s="6"/>
      <c r="AE755" s="6"/>
    </row>
    <row r="756" spans="1:31" ht="76.5" x14ac:dyDescent="0.2">
      <c r="A756" s="6" t="s">
        <v>4602</v>
      </c>
      <c r="B756" s="6" t="s">
        <v>4605</v>
      </c>
      <c r="C756" s="20" t="s">
        <v>4606</v>
      </c>
      <c r="D756" s="6" t="s">
        <v>4607</v>
      </c>
      <c r="E756" s="6"/>
      <c r="F756" s="6" t="s">
        <v>4608</v>
      </c>
      <c r="G756" s="6" t="s">
        <v>4609</v>
      </c>
      <c r="H756" s="6" t="str">
        <f t="shared" si="44"/>
        <v>HAZAT
DOLL (P87
P225)</v>
      </c>
      <c r="I756" s="6" t="s">
        <v>656</v>
      </c>
      <c r="J756" s="6"/>
      <c r="K756" s="6"/>
      <c r="L756" s="6" t="s">
        <v>55</v>
      </c>
      <c r="M756" s="6" t="str">
        <f>VLOOKUP(L756, GLOSSARY!$A:$C, 2, FALSE)</f>
        <v>EGYPT ESTATE</v>
      </c>
      <c r="N756" s="6"/>
      <c r="O756" s="6"/>
      <c r="P756" s="6"/>
      <c r="Q756" s="6"/>
      <c r="R756" s="6"/>
      <c r="S756" s="6"/>
      <c r="T756" s="6"/>
      <c r="U756" s="6"/>
      <c r="V756" s="6"/>
      <c r="W756" s="6"/>
      <c r="X756" s="6"/>
      <c r="Y756" s="6"/>
      <c r="Z756" s="6"/>
      <c r="AA756" s="6"/>
      <c r="AB756" s="6"/>
      <c r="AC756" s="6"/>
      <c r="AD756" s="6"/>
      <c r="AE756" s="6"/>
    </row>
    <row r="757" spans="1:31" ht="89.25" x14ac:dyDescent="0.2">
      <c r="A757" s="6" t="s">
        <v>4602</v>
      </c>
      <c r="B757" s="6" t="s">
        <v>4264</v>
      </c>
      <c r="C757" s="20" t="s">
        <v>4610</v>
      </c>
      <c r="D757" s="6" t="s">
        <v>4611</v>
      </c>
      <c r="E757" s="6"/>
      <c r="F757" s="6" t="s">
        <v>1591</v>
      </c>
      <c r="G757" s="6" t="s">
        <v>4612</v>
      </c>
      <c r="H757" s="6" t="str">
        <f t="shared" si="44"/>
        <v>EASTER (P87
P267)</v>
      </c>
      <c r="I757" s="6" t="s">
        <v>112</v>
      </c>
      <c r="J757" s="6"/>
      <c r="K757" s="6"/>
      <c r="L757" s="6" t="s">
        <v>55</v>
      </c>
      <c r="M757" s="6" t="str">
        <f>VLOOKUP(L757, GLOSSARY!$A:$C, 2, FALSE)</f>
        <v>EGYPT ESTATE</v>
      </c>
      <c r="N757" s="6"/>
      <c r="O757" s="6"/>
      <c r="P757" s="6"/>
      <c r="Q757" s="6"/>
      <c r="R757" s="6"/>
      <c r="S757" s="6"/>
      <c r="T757" s="6"/>
      <c r="U757" s="6"/>
      <c r="V757" s="6"/>
      <c r="W757" s="6"/>
      <c r="X757" s="6"/>
      <c r="Y757" s="6"/>
      <c r="Z757" s="6"/>
      <c r="AA757" s="6"/>
      <c r="AB757" s="6"/>
      <c r="AC757" s="6"/>
      <c r="AD757" s="6"/>
      <c r="AE757" s="6"/>
    </row>
    <row r="758" spans="1:31" ht="38.25" x14ac:dyDescent="0.2">
      <c r="A758" s="6" t="s">
        <v>4613</v>
      </c>
      <c r="B758" s="6" t="s">
        <v>4269</v>
      </c>
      <c r="C758" s="20" t="s">
        <v>4614</v>
      </c>
      <c r="D758" s="6" t="s">
        <v>4615</v>
      </c>
      <c r="E758" s="6" t="s">
        <v>4616</v>
      </c>
      <c r="F758" s="6" t="s">
        <v>701</v>
      </c>
      <c r="G758" s="6" t="s">
        <v>700</v>
      </c>
      <c r="H758" s="18" t="str">
        <f t="shared" si="44"/>
        <v>CLOE (P101)</v>
      </c>
      <c r="I758" s="6" t="s">
        <v>96</v>
      </c>
      <c r="J758" s="6"/>
      <c r="K758" s="6" t="s">
        <v>284</v>
      </c>
      <c r="L758" s="6" t="s">
        <v>55</v>
      </c>
      <c r="M758" s="18" t="str">
        <f>VLOOKUP(L758, GLOSSARY!$A:$C, 2, FALSE)</f>
        <v>EGYPT ESTATE</v>
      </c>
      <c r="N758" s="6" t="s">
        <v>68</v>
      </c>
      <c r="O758" s="6"/>
      <c r="P758" s="6"/>
      <c r="Q758" s="6"/>
      <c r="R758" s="6"/>
      <c r="S758" s="6"/>
      <c r="T758" s="6"/>
      <c r="U758" s="6"/>
      <c r="V758" s="6"/>
      <c r="W758" s="6"/>
      <c r="X758" s="6"/>
      <c r="Y758" s="6"/>
      <c r="Z758" s="6"/>
      <c r="AA758" s="6"/>
      <c r="AB758" s="6"/>
      <c r="AC758" s="6"/>
      <c r="AD758" s="6"/>
      <c r="AE758" s="6"/>
    </row>
    <row r="759" spans="1:31" ht="114.75" x14ac:dyDescent="0.2">
      <c r="A759" s="6" t="s">
        <v>4617</v>
      </c>
      <c r="B759" s="6" t="s">
        <v>4618</v>
      </c>
      <c r="C759" s="20" t="s">
        <v>4619</v>
      </c>
      <c r="D759" s="6" t="s">
        <v>4620</v>
      </c>
      <c r="E759" s="6" t="s">
        <v>4621</v>
      </c>
      <c r="F759" s="6" t="s">
        <v>4622</v>
      </c>
      <c r="G759" s="6" t="s">
        <v>4623</v>
      </c>
      <c r="H759" s="18" t="str">
        <f t="shared" si="44"/>
        <v>ABBA
MR. EMOTSON
MRS. EMOTSON (P6
P92
P93)</v>
      </c>
      <c r="I759" s="6" t="s">
        <v>784</v>
      </c>
      <c r="J759" s="6" t="s">
        <v>668</v>
      </c>
      <c r="K759" s="6" t="s">
        <v>3085</v>
      </c>
      <c r="L759" s="6" t="s">
        <v>68</v>
      </c>
      <c r="M759" s="18" t="e">
        <f>VLOOKUP(L759, GLOSSARY!$A:$C, 2, FALSE)</f>
        <v>#N/A</v>
      </c>
      <c r="N759" s="6"/>
      <c r="O759" s="6"/>
      <c r="P759" s="6"/>
      <c r="Q759" s="6"/>
      <c r="R759" s="6"/>
      <c r="S759" s="6"/>
      <c r="T759" s="6"/>
      <c r="U759" s="6"/>
      <c r="V759" s="6"/>
      <c r="W759" s="6"/>
      <c r="X759" s="6"/>
      <c r="Y759" s="6"/>
      <c r="Z759" s="6"/>
      <c r="AA759" s="6"/>
      <c r="AB759" s="6"/>
      <c r="AC759" s="6"/>
      <c r="AD759" s="6"/>
      <c r="AE759" s="6"/>
    </row>
    <row r="760" spans="1:31" ht="76.5" x14ac:dyDescent="0.2">
      <c r="A760" s="6" t="s">
        <v>4624</v>
      </c>
      <c r="B760" s="6" t="s">
        <v>4269</v>
      </c>
      <c r="C760" s="20" t="s">
        <v>4619</v>
      </c>
      <c r="D760" s="6" t="s">
        <v>4625</v>
      </c>
      <c r="E760" s="6"/>
      <c r="F760" s="6" t="s">
        <v>4626</v>
      </c>
      <c r="G760" s="6" t="s">
        <v>4627</v>
      </c>
      <c r="H760" s="6" t="str">
        <f t="shared" ref="H760:H761" si="45">CONCATENATE(F760,"(",G760,")")</f>
        <v>SAM MATHEWS
HAZAT(P79
P87)</v>
      </c>
      <c r="I760" s="6" t="s">
        <v>326</v>
      </c>
      <c r="J760" s="6"/>
      <c r="K760" s="6"/>
      <c r="L760" s="6" t="s">
        <v>55</v>
      </c>
      <c r="M760" s="6" t="str">
        <f>VLOOKUP(L760, GLOSSARY!$A:$C, 2, FALSE)</f>
        <v>EGYPT ESTATE</v>
      </c>
      <c r="N760" s="6" t="s">
        <v>167</v>
      </c>
      <c r="O760" s="6"/>
      <c r="P760" s="6"/>
      <c r="Q760" s="6"/>
      <c r="R760" s="6"/>
      <c r="S760" s="6"/>
      <c r="T760" s="6"/>
      <c r="U760" s="6"/>
      <c r="V760" s="6"/>
      <c r="W760" s="6"/>
      <c r="X760" s="6"/>
      <c r="Y760" s="6"/>
      <c r="Z760" s="6"/>
      <c r="AA760" s="6"/>
      <c r="AB760" s="6"/>
      <c r="AC760" s="6"/>
      <c r="AD760" s="6"/>
      <c r="AE760" s="6"/>
    </row>
    <row r="761" spans="1:31" ht="51" x14ac:dyDescent="0.2">
      <c r="A761" s="6" t="s">
        <v>4628</v>
      </c>
      <c r="B761" s="6" t="s">
        <v>4629</v>
      </c>
      <c r="C761" s="20" t="s">
        <v>4630</v>
      </c>
      <c r="D761" s="6" t="s">
        <v>4631</v>
      </c>
      <c r="E761" s="6"/>
      <c r="F761" s="6" t="s">
        <v>4632</v>
      </c>
      <c r="G761" s="6" t="s">
        <v>4633</v>
      </c>
      <c r="H761" s="6" t="str">
        <f t="shared" si="45"/>
        <v>MOUNTAIN LUCY
MOUNTAIN LUCY'S CHILD/SON#3(P30
P175)</v>
      </c>
      <c r="I761" s="6" t="s">
        <v>96</v>
      </c>
      <c r="J761" s="6"/>
      <c r="K761" s="6"/>
      <c r="L761" s="6" t="s">
        <v>55</v>
      </c>
      <c r="M761" s="6" t="str">
        <f>VLOOKUP(L761, GLOSSARY!$A:$C, 2, FALSE)</f>
        <v>EGYPT ESTATE</v>
      </c>
      <c r="N761" s="6" t="s">
        <v>68</v>
      </c>
      <c r="O761" s="6"/>
      <c r="P761" s="6"/>
      <c r="Q761" s="6"/>
      <c r="R761" s="6"/>
      <c r="S761" s="6"/>
      <c r="T761" s="6"/>
      <c r="U761" s="6"/>
      <c r="V761" s="6"/>
      <c r="W761" s="6"/>
      <c r="X761" s="6"/>
      <c r="Y761" s="6"/>
      <c r="Z761" s="6"/>
      <c r="AA761" s="6"/>
      <c r="AB761" s="6"/>
      <c r="AC761" s="6"/>
      <c r="AD761" s="6"/>
      <c r="AE761" s="6"/>
    </row>
    <row r="762" spans="1:31" ht="102" x14ac:dyDescent="0.2">
      <c r="A762" s="6" t="s">
        <v>4613</v>
      </c>
      <c r="B762" s="6" t="s">
        <v>4308</v>
      </c>
      <c r="C762" s="20" t="s">
        <v>4634</v>
      </c>
      <c r="D762" s="6" t="s">
        <v>4635</v>
      </c>
      <c r="E762" s="6" t="s">
        <v>4636</v>
      </c>
      <c r="F762" s="6" t="s">
        <v>4637</v>
      </c>
      <c r="G762" s="6" t="s">
        <v>4638</v>
      </c>
      <c r="H762" s="18" t="str">
        <f t="shared" ref="H762:H763" si="46">CONCATENATE(F762," (",G762,")")</f>
        <v>JACKIE
CLOE
SARAH WHEATLE (P102
P101
P103)</v>
      </c>
      <c r="I762" s="6" t="s">
        <v>96</v>
      </c>
      <c r="J762" s="6"/>
      <c r="K762" s="6" t="s">
        <v>284</v>
      </c>
      <c r="L762" s="6" t="s">
        <v>55</v>
      </c>
      <c r="M762" s="18" t="str">
        <f>VLOOKUP(L762, GLOSSARY!$A:$C, 2, FALSE)</f>
        <v>EGYPT ESTATE</v>
      </c>
      <c r="N762" s="6" t="s">
        <v>68</v>
      </c>
      <c r="O762" s="6"/>
      <c r="P762" s="6"/>
      <c r="Q762" s="6"/>
      <c r="R762" s="6"/>
      <c r="S762" s="6"/>
      <c r="T762" s="6"/>
      <c r="U762" s="6"/>
      <c r="V762" s="6"/>
      <c r="W762" s="6"/>
      <c r="X762" s="6"/>
      <c r="Y762" s="6"/>
      <c r="Z762" s="6"/>
      <c r="AA762" s="6"/>
      <c r="AB762" s="6"/>
      <c r="AC762" s="6"/>
      <c r="AD762" s="6"/>
      <c r="AE762" s="6"/>
    </row>
    <row r="763" spans="1:31" ht="51" x14ac:dyDescent="0.2">
      <c r="A763" s="6" t="s">
        <v>4613</v>
      </c>
      <c r="B763" s="6" t="s">
        <v>4313</v>
      </c>
      <c r="C763" s="20" t="s">
        <v>4639</v>
      </c>
      <c r="D763" s="6" t="s">
        <v>4640</v>
      </c>
      <c r="E763" s="6" t="s">
        <v>4616</v>
      </c>
      <c r="F763" s="6" t="s">
        <v>701</v>
      </c>
      <c r="G763" s="6" t="s">
        <v>700</v>
      </c>
      <c r="H763" s="18" t="str">
        <f t="shared" si="46"/>
        <v>CLOE (P101)</v>
      </c>
      <c r="I763" s="6" t="s">
        <v>96</v>
      </c>
      <c r="J763" s="6"/>
      <c r="K763" s="6" t="s">
        <v>284</v>
      </c>
      <c r="L763" s="6" t="s">
        <v>55</v>
      </c>
      <c r="M763" s="18" t="str">
        <f>VLOOKUP(L763, GLOSSARY!$A:$C, 2, FALSE)</f>
        <v>EGYPT ESTATE</v>
      </c>
      <c r="N763" s="6" t="s">
        <v>68</v>
      </c>
      <c r="O763" s="6"/>
      <c r="P763" s="6"/>
      <c r="Q763" s="6"/>
      <c r="R763" s="6"/>
      <c r="S763" s="6"/>
      <c r="T763" s="6"/>
      <c r="U763" s="6"/>
      <c r="V763" s="6"/>
      <c r="W763" s="6"/>
      <c r="X763" s="6"/>
      <c r="Y763" s="6"/>
      <c r="Z763" s="6"/>
      <c r="AA763" s="6"/>
      <c r="AB763" s="6"/>
      <c r="AC763" s="6"/>
      <c r="AD763" s="6"/>
      <c r="AE763" s="6"/>
    </row>
    <row r="764" spans="1:31" ht="51" x14ac:dyDescent="0.2">
      <c r="A764" s="6" t="s">
        <v>4628</v>
      </c>
      <c r="B764" s="6" t="s">
        <v>4318</v>
      </c>
      <c r="C764" s="20" t="s">
        <v>4641</v>
      </c>
      <c r="D764" s="6" t="s">
        <v>4642</v>
      </c>
      <c r="E764" s="6"/>
      <c r="F764" s="6" t="s">
        <v>4643</v>
      </c>
      <c r="G764" s="16" t="s">
        <v>4633</v>
      </c>
      <c r="H764" s="6" t="str">
        <f>CONCATENATE(F764," (",G765,")")</f>
        <v>MOUNTAIN LUCY'S CHILD/SON#2 (P43
P96
P176)</v>
      </c>
      <c r="I764" s="6" t="s">
        <v>1068</v>
      </c>
      <c r="J764" s="6"/>
      <c r="K764" s="6"/>
      <c r="L764" s="6" t="s">
        <v>55</v>
      </c>
      <c r="M764" s="6" t="str">
        <f>VLOOKUP(L764, GLOSSARY!$A:$C, 2, FALSE)</f>
        <v>EGYPT ESTATE</v>
      </c>
      <c r="N764" s="6" t="s">
        <v>68</v>
      </c>
      <c r="O764" s="6"/>
      <c r="P764" s="6"/>
      <c r="Q764" s="6"/>
      <c r="R764" s="6"/>
      <c r="S764" s="6"/>
      <c r="T764" s="6"/>
      <c r="U764" s="6"/>
      <c r="V764" s="6"/>
      <c r="W764" s="6"/>
      <c r="X764" s="6"/>
      <c r="Y764" s="6"/>
      <c r="Z764" s="6"/>
      <c r="AA764" s="6"/>
      <c r="AB764" s="6"/>
      <c r="AC764" s="6"/>
      <c r="AD764" s="6"/>
      <c r="AE764" s="6"/>
    </row>
    <row r="765" spans="1:31" ht="63.75" x14ac:dyDescent="0.2">
      <c r="A765" s="6" t="s">
        <v>4628</v>
      </c>
      <c r="B765" s="6" t="s">
        <v>4318</v>
      </c>
      <c r="C765" s="20" t="s">
        <v>4644</v>
      </c>
      <c r="D765" s="6" t="s">
        <v>4645</v>
      </c>
      <c r="E765" s="6"/>
      <c r="F765" s="6" t="s">
        <v>4646</v>
      </c>
      <c r="G765" s="6" t="s">
        <v>4647</v>
      </c>
      <c r="H765" s="6" t="str">
        <f>CONCATENATE(F765," (",G765,")")</f>
        <v>THE OVERSEER
BELLA
OLD PHIBBAH (P43
P96
P176)</v>
      </c>
      <c r="I765" s="6" t="s">
        <v>112</v>
      </c>
      <c r="J765" s="6"/>
      <c r="K765" s="6"/>
      <c r="L765" s="6" t="s">
        <v>785</v>
      </c>
      <c r="M765" s="6" t="str">
        <f>VLOOKUP(L765, GLOSSARY!$A:$C, 2, FALSE)</f>
        <v>EGYPT ESTATE</v>
      </c>
      <c r="N765" s="6" t="s">
        <v>68</v>
      </c>
      <c r="O765" s="6"/>
      <c r="P765" s="6"/>
      <c r="Q765" s="6"/>
      <c r="R765" s="6"/>
      <c r="S765" s="6"/>
      <c r="T765" s="6"/>
      <c r="U765" s="6"/>
      <c r="V765" s="6"/>
      <c r="W765" s="6"/>
      <c r="X765" s="6"/>
      <c r="Y765" s="6"/>
      <c r="Z765" s="6"/>
      <c r="AA765" s="6"/>
      <c r="AB765" s="6"/>
      <c r="AC765" s="6"/>
      <c r="AD765" s="6"/>
      <c r="AE765" s="6"/>
    </row>
    <row r="766" spans="1:31" ht="63.75" x14ac:dyDescent="0.2">
      <c r="A766" s="6" t="s">
        <v>4648</v>
      </c>
      <c r="B766" s="6" t="s">
        <v>4323</v>
      </c>
      <c r="C766" s="20" t="s">
        <v>4649</v>
      </c>
      <c r="D766" s="6" t="s">
        <v>4650</v>
      </c>
      <c r="E766" s="6"/>
      <c r="F766" s="6" t="s">
        <v>4651</v>
      </c>
      <c r="G766" s="6" t="s">
        <v>4652</v>
      </c>
      <c r="H766" s="6" t="str">
        <f t="shared" ref="H766:H767" si="47">CONCATENATE(F766,"(",G766,")")</f>
        <v>OLD SARAH
LEWIE(P317
P370)</v>
      </c>
      <c r="I766" s="6" t="s">
        <v>112</v>
      </c>
      <c r="J766" s="6"/>
      <c r="K766" s="6"/>
      <c r="L766" s="6" t="s">
        <v>55</v>
      </c>
      <c r="M766" s="6" t="str">
        <f>VLOOKUP(L766, GLOSSARY!$A:$C, 2, FALSE)</f>
        <v>EGYPT ESTATE</v>
      </c>
      <c r="N766" s="6" t="s">
        <v>68</v>
      </c>
      <c r="O766" s="6"/>
      <c r="P766" s="6"/>
      <c r="Q766" s="6"/>
      <c r="R766" s="6"/>
      <c r="S766" s="6"/>
      <c r="T766" s="6"/>
      <c r="U766" s="6"/>
      <c r="V766" s="6"/>
      <c r="W766" s="6"/>
      <c r="X766" s="6"/>
      <c r="Y766" s="6"/>
      <c r="Z766" s="6"/>
      <c r="AA766" s="6"/>
      <c r="AB766" s="6"/>
      <c r="AC766" s="6"/>
      <c r="AD766" s="6"/>
      <c r="AE766" s="6"/>
    </row>
    <row r="767" spans="1:31" ht="25.5" x14ac:dyDescent="0.2">
      <c r="A767" s="6" t="s">
        <v>4653</v>
      </c>
      <c r="B767" s="6" t="s">
        <v>4654</v>
      </c>
      <c r="C767" s="20" t="s">
        <v>4655</v>
      </c>
      <c r="D767" s="6" t="s">
        <v>4656</v>
      </c>
      <c r="E767" s="6"/>
      <c r="F767" s="6" t="s">
        <v>1061</v>
      </c>
      <c r="G767" s="6" t="s">
        <v>902</v>
      </c>
      <c r="H767" s="6" t="str">
        <f t="shared" si="47"/>
        <v>ANJAW(P166)</v>
      </c>
      <c r="I767" s="6" t="s">
        <v>96</v>
      </c>
      <c r="J767" s="6"/>
      <c r="K767" s="6"/>
      <c r="L767" s="6" t="s">
        <v>55</v>
      </c>
      <c r="M767" s="6" t="str">
        <f>VLOOKUP(L767, GLOSSARY!$A:$C, 2, FALSE)</f>
        <v>EGYPT ESTATE</v>
      </c>
      <c r="N767" s="6" t="s">
        <v>167</v>
      </c>
      <c r="O767" s="6"/>
      <c r="P767" s="6"/>
      <c r="Q767" s="6"/>
      <c r="R767" s="6"/>
      <c r="S767" s="6"/>
      <c r="T767" s="6"/>
      <c r="U767" s="6"/>
      <c r="V767" s="6"/>
      <c r="W767" s="6"/>
      <c r="X767" s="6"/>
      <c r="Y767" s="6"/>
      <c r="Z767" s="6"/>
      <c r="AA767" s="6"/>
      <c r="AB767" s="6"/>
      <c r="AC767" s="6"/>
      <c r="AD767" s="6"/>
      <c r="AE767" s="6"/>
    </row>
    <row r="768" spans="1:31" ht="25.5" x14ac:dyDescent="0.2">
      <c r="A768" s="6" t="s">
        <v>4657</v>
      </c>
      <c r="B768" s="6" t="s">
        <v>4348</v>
      </c>
      <c r="C768" s="20" t="s">
        <v>4658</v>
      </c>
      <c r="D768" s="6" t="s">
        <v>4659</v>
      </c>
      <c r="E768" s="6" t="s">
        <v>4660</v>
      </c>
      <c r="F768" s="6" t="s">
        <v>52</v>
      </c>
      <c r="G768" s="6" t="s">
        <v>51</v>
      </c>
      <c r="H768" s="18" t="str">
        <f>CONCATENATE(F768," (",G768,")")</f>
        <v>EGYPT LUCY (P3)</v>
      </c>
      <c r="I768" s="6" t="s">
        <v>96</v>
      </c>
      <c r="J768" s="6"/>
      <c r="K768" s="6" t="s">
        <v>284</v>
      </c>
      <c r="L768" s="6" t="s">
        <v>55</v>
      </c>
      <c r="M768" s="18" t="str">
        <f>VLOOKUP(L768, GLOSSARY!$A:$C, 2, FALSE)</f>
        <v>EGYPT ESTATE</v>
      </c>
      <c r="N768" s="6" t="s">
        <v>167</v>
      </c>
      <c r="O768" s="6"/>
      <c r="P768" s="6"/>
      <c r="Q768" s="6"/>
      <c r="R768" s="6"/>
      <c r="S768" s="6"/>
      <c r="T768" s="6"/>
      <c r="U768" s="6"/>
      <c r="V768" s="6"/>
      <c r="W768" s="6"/>
      <c r="X768" s="6"/>
      <c r="Y768" s="6"/>
      <c r="Z768" s="6"/>
      <c r="AA768" s="6"/>
      <c r="AB768" s="6"/>
      <c r="AC768" s="6"/>
      <c r="AD768" s="6"/>
      <c r="AE768" s="6"/>
    </row>
    <row r="769" spans="1:31" ht="76.5" x14ac:dyDescent="0.2">
      <c r="A769" s="6" t="s">
        <v>4653</v>
      </c>
      <c r="B769" s="6" t="s">
        <v>4354</v>
      </c>
      <c r="C769" s="20" t="s">
        <v>4661</v>
      </c>
      <c r="D769" s="6" t="s">
        <v>4662</v>
      </c>
      <c r="E769" s="6"/>
      <c r="F769" s="6" t="s">
        <v>4663</v>
      </c>
      <c r="G769" s="6" t="s">
        <v>4664</v>
      </c>
      <c r="H769" s="6" t="str">
        <f>CONCATENATE(F769,"(",G769,")")</f>
        <v>ANJAW
ANJAW'S FIRST CHILD(P166
P371)</v>
      </c>
      <c r="I769" s="6" t="s">
        <v>1068</v>
      </c>
      <c r="J769" s="6"/>
      <c r="K769" s="6"/>
      <c r="L769" s="6" t="s">
        <v>55</v>
      </c>
      <c r="M769" s="6" t="str">
        <f>VLOOKUP(L769, GLOSSARY!$A:$C, 2, FALSE)</f>
        <v>EGYPT ESTATE</v>
      </c>
      <c r="N769" s="6" t="s">
        <v>167</v>
      </c>
      <c r="O769" s="6"/>
      <c r="P769" s="6"/>
      <c r="Q769" s="6"/>
      <c r="R769" s="6"/>
      <c r="S769" s="6"/>
      <c r="T769" s="6"/>
      <c r="U769" s="6"/>
      <c r="V769" s="6"/>
      <c r="W769" s="6"/>
      <c r="X769" s="6"/>
      <c r="Y769" s="6"/>
      <c r="Z769" s="6"/>
      <c r="AA769" s="6"/>
      <c r="AB769" s="6"/>
      <c r="AC769" s="6"/>
      <c r="AD769" s="6"/>
      <c r="AE769" s="6"/>
    </row>
    <row r="770" spans="1:31" ht="76.5" x14ac:dyDescent="0.2">
      <c r="A770" s="6" t="s">
        <v>4657</v>
      </c>
      <c r="B770" s="6" t="s">
        <v>4665</v>
      </c>
      <c r="C770" s="20" t="s">
        <v>4666</v>
      </c>
      <c r="D770" s="6" t="s">
        <v>4667</v>
      </c>
      <c r="E770" s="6" t="s">
        <v>4660</v>
      </c>
      <c r="F770" s="6" t="s">
        <v>52</v>
      </c>
      <c r="G770" s="6" t="s">
        <v>51</v>
      </c>
      <c r="H770" s="18" t="str">
        <f>CONCATENATE(F770," (",G770,")")</f>
        <v>EGYPT LUCY (P3)</v>
      </c>
      <c r="I770" s="6" t="s">
        <v>1068</v>
      </c>
      <c r="J770" s="6"/>
      <c r="K770" s="6" t="s">
        <v>284</v>
      </c>
      <c r="L770" s="6" t="s">
        <v>55</v>
      </c>
      <c r="M770" s="18" t="str">
        <f>VLOOKUP(L770, GLOSSARY!$A:$C, 2, FALSE)</f>
        <v>EGYPT ESTATE</v>
      </c>
      <c r="N770" s="6" t="s">
        <v>167</v>
      </c>
      <c r="O770" s="6"/>
      <c r="P770" s="6"/>
      <c r="Q770" s="6"/>
      <c r="R770" s="6"/>
      <c r="S770" s="6"/>
      <c r="T770" s="6"/>
      <c r="U770" s="6"/>
      <c r="V770" s="6"/>
      <c r="W770" s="6"/>
      <c r="X770" s="6"/>
      <c r="Y770" s="6"/>
      <c r="Z770" s="6"/>
      <c r="AA770" s="6"/>
      <c r="AB770" s="6"/>
      <c r="AC770" s="6"/>
      <c r="AD770" s="6"/>
      <c r="AE770" s="6"/>
    </row>
    <row r="771" spans="1:31" ht="127.5" x14ac:dyDescent="0.2">
      <c r="A771" s="6" t="s">
        <v>4624</v>
      </c>
      <c r="B771" s="6" t="s">
        <v>4665</v>
      </c>
      <c r="C771" s="20" t="s">
        <v>4666</v>
      </c>
      <c r="D771" s="6" t="s">
        <v>4668</v>
      </c>
      <c r="E771" s="6"/>
      <c r="F771" s="6" t="s">
        <v>4669</v>
      </c>
      <c r="G771" s="41" t="s">
        <v>4670</v>
      </c>
      <c r="H771" s="6" t="str">
        <f t="shared" ref="H771:H775" si="48">CONCATENATE(F771,"(",G771,")")</f>
        <v>SAM MATHEWS
HAZAT
THE OVERSEER
JOHN COPE
COLONEL BARCLAY(P79 P87 P43 P44 P369)</v>
      </c>
      <c r="I771" s="6" t="s">
        <v>248</v>
      </c>
      <c r="J771" s="6"/>
      <c r="K771" s="6"/>
      <c r="L771" s="6" t="s">
        <v>55</v>
      </c>
      <c r="M771" s="6" t="str">
        <f>VLOOKUP(L771, GLOSSARY!$A:$C, 2, FALSE)</f>
        <v>EGYPT ESTATE</v>
      </c>
      <c r="N771" s="6" t="s">
        <v>167</v>
      </c>
      <c r="O771" s="6"/>
      <c r="P771" s="6"/>
      <c r="Q771" s="6"/>
      <c r="R771" s="6"/>
      <c r="S771" s="6"/>
      <c r="T771" s="6"/>
      <c r="U771" s="6"/>
      <c r="V771" s="6"/>
      <c r="W771" s="6"/>
      <c r="X771" s="6"/>
      <c r="Y771" s="6"/>
      <c r="Z771" s="6"/>
      <c r="AA771" s="6"/>
      <c r="AB771" s="6"/>
      <c r="AC771" s="6"/>
      <c r="AD771" s="6"/>
      <c r="AE771" s="6"/>
    </row>
    <row r="772" spans="1:31" ht="63.75" x14ac:dyDescent="0.2">
      <c r="A772" s="6" t="s">
        <v>4671</v>
      </c>
      <c r="B772" s="6" t="s">
        <v>4672</v>
      </c>
      <c r="C772" s="20" t="s">
        <v>4673</v>
      </c>
      <c r="D772" s="6" t="s">
        <v>4674</v>
      </c>
      <c r="E772" s="6"/>
      <c r="F772" s="6" t="s">
        <v>4675</v>
      </c>
      <c r="G772" s="6" t="s">
        <v>4676</v>
      </c>
      <c r="H772" s="6" t="str">
        <f t="shared" si="48"/>
        <v>THE OVERSEER
CYRUS
SAWNEY(P43
P210
)</v>
      </c>
      <c r="I772" s="6" t="s">
        <v>112</v>
      </c>
      <c r="J772" s="6"/>
      <c r="K772" s="6"/>
      <c r="L772" s="6" t="s">
        <v>55</v>
      </c>
      <c r="M772" s="6" t="str">
        <f>VLOOKUP(L772, GLOSSARY!$A:$C, 2, FALSE)</f>
        <v>EGYPT ESTATE</v>
      </c>
      <c r="N772" s="6" t="s">
        <v>167</v>
      </c>
      <c r="O772" s="6"/>
      <c r="P772" s="6"/>
      <c r="Q772" s="6"/>
      <c r="R772" s="6"/>
      <c r="S772" s="6"/>
      <c r="T772" s="6"/>
      <c r="U772" s="6"/>
      <c r="V772" s="6"/>
      <c r="W772" s="6"/>
      <c r="X772" s="6"/>
      <c r="Y772" s="6"/>
      <c r="Z772" s="6"/>
      <c r="AA772" s="6"/>
      <c r="AB772" s="6"/>
      <c r="AC772" s="6"/>
      <c r="AD772" s="6"/>
      <c r="AE772" s="6"/>
    </row>
    <row r="773" spans="1:31" ht="38.25" x14ac:dyDescent="0.2">
      <c r="A773" s="6" t="s">
        <v>4677</v>
      </c>
      <c r="B773" s="6" t="s">
        <v>4357</v>
      </c>
      <c r="C773" s="20" t="s">
        <v>4678</v>
      </c>
      <c r="D773" s="6" t="s">
        <v>4679</v>
      </c>
      <c r="E773" s="6"/>
      <c r="F773" s="6" t="s">
        <v>4680</v>
      </c>
      <c r="G773" s="6" t="s">
        <v>4681</v>
      </c>
      <c r="H773" s="6" t="str">
        <f t="shared" si="48"/>
        <v>MOUNTAIN LUCY
CLOE(P30
P101)</v>
      </c>
      <c r="I773" s="6" t="s">
        <v>784</v>
      </c>
      <c r="J773" s="6"/>
      <c r="K773" s="6"/>
      <c r="L773" s="6" t="s">
        <v>55</v>
      </c>
      <c r="M773" s="6" t="str">
        <f>VLOOKUP(L773, GLOSSARY!$A:$C, 2, FALSE)</f>
        <v>EGYPT ESTATE</v>
      </c>
      <c r="N773" s="6" t="s">
        <v>68</v>
      </c>
      <c r="O773" s="6"/>
      <c r="P773" s="6"/>
      <c r="Q773" s="6"/>
      <c r="R773" s="6"/>
      <c r="S773" s="6"/>
      <c r="T773" s="6"/>
      <c r="U773" s="6"/>
      <c r="V773" s="6"/>
      <c r="W773" s="6"/>
      <c r="X773" s="6"/>
      <c r="Y773" s="6"/>
      <c r="Z773" s="6"/>
      <c r="AA773" s="6"/>
      <c r="AB773" s="6"/>
      <c r="AC773" s="6"/>
      <c r="AD773" s="6"/>
      <c r="AE773" s="6"/>
    </row>
    <row r="774" spans="1:31" ht="76.5" x14ac:dyDescent="0.2">
      <c r="A774" s="6" t="s">
        <v>4682</v>
      </c>
      <c r="B774" s="6" t="s">
        <v>4418</v>
      </c>
      <c r="C774" s="20" t="s">
        <v>4683</v>
      </c>
      <c r="D774" s="6" t="s">
        <v>4684</v>
      </c>
      <c r="E774" s="6"/>
      <c r="F774" s="6" t="s">
        <v>4685</v>
      </c>
      <c r="G774" s="6" t="s">
        <v>4686</v>
      </c>
      <c r="H774" s="6" t="str">
        <f t="shared" si="48"/>
        <v>DANIEL
JOB(P42
P29)</v>
      </c>
      <c r="I774" s="6" t="s">
        <v>112</v>
      </c>
      <c r="J774" s="6"/>
      <c r="K774" s="6"/>
      <c r="L774" s="6" t="s">
        <v>55</v>
      </c>
      <c r="M774" s="6" t="str">
        <f>VLOOKUP(L774, GLOSSARY!$A:$C, 2, FALSE)</f>
        <v>EGYPT ESTATE</v>
      </c>
      <c r="N774" s="6" t="s">
        <v>167</v>
      </c>
      <c r="O774" s="6"/>
      <c r="P774" s="6"/>
      <c r="Q774" s="6"/>
      <c r="R774" s="6"/>
      <c r="S774" s="6"/>
      <c r="T774" s="6"/>
      <c r="U774" s="6"/>
      <c r="V774" s="6"/>
      <c r="W774" s="6"/>
      <c r="X774" s="6"/>
      <c r="Y774" s="6"/>
      <c r="Z774" s="6"/>
      <c r="AA774" s="6"/>
      <c r="AB774" s="6"/>
      <c r="AC774" s="6"/>
      <c r="AD774" s="6"/>
      <c r="AE774" s="6"/>
    </row>
    <row r="775" spans="1:31" ht="63.75" x14ac:dyDescent="0.2">
      <c r="A775" s="6" t="s">
        <v>4687</v>
      </c>
      <c r="B775" s="6" t="s">
        <v>4688</v>
      </c>
      <c r="C775" s="50" t="s">
        <v>4689</v>
      </c>
      <c r="D775" s="6" t="s">
        <v>4690</v>
      </c>
      <c r="E775" s="6"/>
      <c r="F775" s="6" t="s">
        <v>2364</v>
      </c>
      <c r="G775" s="6" t="s">
        <v>2365</v>
      </c>
      <c r="H775" s="6" t="str">
        <f t="shared" si="48"/>
        <v>MOUNTAIN LUCY
THE OVERSEER(P30
P43)</v>
      </c>
      <c r="I775" s="6" t="s">
        <v>409</v>
      </c>
      <c r="J775" s="6"/>
      <c r="K775" s="6"/>
      <c r="L775" s="6" t="s">
        <v>55</v>
      </c>
      <c r="M775" s="6" t="str">
        <f>VLOOKUP(L775, GLOSSARY!$A:$C, 2, FALSE)</f>
        <v>EGYPT ESTATE</v>
      </c>
      <c r="N775" s="6" t="s">
        <v>68</v>
      </c>
      <c r="O775" s="6"/>
      <c r="P775" s="6"/>
      <c r="Q775" s="6"/>
      <c r="R775" s="6"/>
      <c r="S775" s="6"/>
      <c r="T775" s="6"/>
      <c r="U775" s="6"/>
      <c r="V775" s="6"/>
      <c r="W775" s="6"/>
      <c r="X775" s="6"/>
      <c r="Y775" s="6"/>
      <c r="Z775" s="6"/>
      <c r="AA775" s="6"/>
      <c r="AB775" s="6"/>
      <c r="AC775" s="6"/>
      <c r="AD775" s="6"/>
      <c r="AE775" s="6"/>
    </row>
    <row r="776" spans="1:31" ht="63.75" x14ac:dyDescent="0.2">
      <c r="A776" s="6" t="s">
        <v>4691</v>
      </c>
      <c r="B776" s="6" t="s">
        <v>4692</v>
      </c>
      <c r="C776" s="20" t="s">
        <v>4693</v>
      </c>
      <c r="D776" s="6" t="s">
        <v>4694</v>
      </c>
      <c r="E776" s="6" t="s">
        <v>4695</v>
      </c>
      <c r="F776" s="6" t="s">
        <v>4696</v>
      </c>
      <c r="G776" s="6" t="s">
        <v>4697</v>
      </c>
      <c r="H776" s="18" t="str">
        <f t="shared" ref="H776:H785" si="49">CONCATENATE(F776," (",G776,")")</f>
        <v>JENNY
DIDO
ABBA (P104
P105
P6)</v>
      </c>
      <c r="I776" s="6" t="s">
        <v>96</v>
      </c>
      <c r="J776" s="6"/>
      <c r="K776" s="6" t="s">
        <v>284</v>
      </c>
      <c r="L776" s="6" t="s">
        <v>55</v>
      </c>
      <c r="M776" s="18" t="str">
        <f>VLOOKUP(L776, GLOSSARY!$A:$C, 2, FALSE)</f>
        <v>EGYPT ESTATE</v>
      </c>
      <c r="N776" s="6" t="s">
        <v>68</v>
      </c>
      <c r="O776" s="6"/>
      <c r="P776" s="6"/>
      <c r="Q776" s="6"/>
      <c r="R776" s="6"/>
      <c r="S776" s="6"/>
      <c r="T776" s="6"/>
      <c r="U776" s="6"/>
      <c r="V776" s="6"/>
      <c r="W776" s="6"/>
      <c r="X776" s="6"/>
      <c r="Y776" s="6"/>
      <c r="Z776" s="6"/>
      <c r="AA776" s="6"/>
      <c r="AB776" s="6"/>
      <c r="AC776" s="6"/>
      <c r="AD776" s="6"/>
      <c r="AE776" s="6"/>
    </row>
    <row r="777" spans="1:31" ht="63.75" x14ac:dyDescent="0.2">
      <c r="A777" s="6" t="s">
        <v>4691</v>
      </c>
      <c r="B777" s="6" t="s">
        <v>4692</v>
      </c>
      <c r="C777" s="20" t="s">
        <v>4693</v>
      </c>
      <c r="D777" s="6" t="s">
        <v>4694</v>
      </c>
      <c r="E777" s="6" t="s">
        <v>4695</v>
      </c>
      <c r="F777" s="6" t="s">
        <v>4696</v>
      </c>
      <c r="G777" s="6" t="s">
        <v>4697</v>
      </c>
      <c r="H777" s="18" t="str">
        <f t="shared" si="49"/>
        <v>JENNY
DIDO
ABBA (P104
P105
P6)</v>
      </c>
      <c r="I777" s="6" t="s">
        <v>533</v>
      </c>
      <c r="J777" s="6"/>
      <c r="K777" s="6" t="s">
        <v>284</v>
      </c>
      <c r="L777" s="6" t="s">
        <v>55</v>
      </c>
      <c r="M777" s="18" t="str">
        <f>VLOOKUP(L777, GLOSSARY!$A:$C, 2, FALSE)</f>
        <v>EGYPT ESTATE</v>
      </c>
      <c r="N777" s="6" t="s">
        <v>68</v>
      </c>
      <c r="O777" s="6"/>
      <c r="P777" s="6"/>
      <c r="Q777" s="6"/>
      <c r="R777" s="6"/>
      <c r="S777" s="6"/>
      <c r="T777" s="6"/>
      <c r="U777" s="6"/>
      <c r="V777" s="6"/>
      <c r="W777" s="6"/>
      <c r="X777" s="6"/>
      <c r="Y777" s="6"/>
      <c r="Z777" s="6"/>
      <c r="AA777" s="6"/>
      <c r="AB777" s="6"/>
      <c r="AC777" s="6"/>
      <c r="AD777" s="6"/>
      <c r="AE777" s="6"/>
    </row>
    <row r="778" spans="1:31" ht="51" x14ac:dyDescent="0.2">
      <c r="A778" s="6" t="s">
        <v>4691</v>
      </c>
      <c r="B778" s="6" t="s">
        <v>4698</v>
      </c>
      <c r="C778" s="20" t="s">
        <v>4699</v>
      </c>
      <c r="D778" s="6" t="s">
        <v>4700</v>
      </c>
      <c r="E778" s="6" t="s">
        <v>4701</v>
      </c>
      <c r="F778" s="6" t="s">
        <v>4702</v>
      </c>
      <c r="G778" s="6" t="s">
        <v>4703</v>
      </c>
      <c r="H778" s="18" t="str">
        <f t="shared" si="49"/>
        <v>JENNY
SARAH (P104
P106)</v>
      </c>
      <c r="I778" s="6" t="s">
        <v>96</v>
      </c>
      <c r="J778" s="6"/>
      <c r="K778" s="6" t="s">
        <v>284</v>
      </c>
      <c r="L778" s="6" t="s">
        <v>55</v>
      </c>
      <c r="M778" s="18" t="str">
        <f>VLOOKUP(L778, GLOSSARY!$A:$C, 2, FALSE)</f>
        <v>EGYPT ESTATE</v>
      </c>
      <c r="N778" s="6" t="s">
        <v>68</v>
      </c>
      <c r="O778" s="6"/>
      <c r="P778" s="6"/>
      <c r="Q778" s="6"/>
      <c r="R778" s="6"/>
      <c r="S778" s="6"/>
      <c r="T778" s="6"/>
      <c r="U778" s="6"/>
      <c r="V778" s="6"/>
      <c r="W778" s="6"/>
      <c r="X778" s="6"/>
      <c r="Y778" s="6"/>
      <c r="Z778" s="6"/>
      <c r="AA778" s="6"/>
      <c r="AB778" s="6"/>
      <c r="AC778" s="6"/>
      <c r="AD778" s="6"/>
      <c r="AE778" s="6"/>
    </row>
    <row r="779" spans="1:31" ht="38.25" x14ac:dyDescent="0.2">
      <c r="A779" s="6" t="s">
        <v>4691</v>
      </c>
      <c r="B779" s="6" t="s">
        <v>4698</v>
      </c>
      <c r="C779" s="20" t="s">
        <v>4699</v>
      </c>
      <c r="D779" s="6" t="s">
        <v>4704</v>
      </c>
      <c r="E779" s="6" t="s">
        <v>4705</v>
      </c>
      <c r="F779" s="6" t="s">
        <v>4706</v>
      </c>
      <c r="G779" s="6" t="s">
        <v>4707</v>
      </c>
      <c r="H779" s="18" t="str">
        <f t="shared" si="49"/>
        <v>JENNY
OLD DAPHNE (P104
P11)</v>
      </c>
      <c r="I779" s="6" t="s">
        <v>96</v>
      </c>
      <c r="J779" s="6"/>
      <c r="K779" s="6" t="s">
        <v>284</v>
      </c>
      <c r="L779" s="6" t="s">
        <v>55</v>
      </c>
      <c r="M779" s="18" t="str">
        <f>VLOOKUP(L779, GLOSSARY!$A:$C, 2, FALSE)</f>
        <v>EGYPT ESTATE</v>
      </c>
      <c r="N779" s="6" t="s">
        <v>167</v>
      </c>
      <c r="O779" s="6"/>
      <c r="P779" s="6"/>
      <c r="Q779" s="6"/>
      <c r="R779" s="6"/>
      <c r="S779" s="6"/>
      <c r="T779" s="6"/>
      <c r="U779" s="6"/>
      <c r="V779" s="6"/>
      <c r="W779" s="6"/>
      <c r="X779" s="6"/>
      <c r="Y779" s="6"/>
      <c r="Z779" s="6"/>
      <c r="AA779" s="6"/>
      <c r="AB779" s="6"/>
      <c r="AC779" s="6"/>
      <c r="AD779" s="6"/>
      <c r="AE779" s="6"/>
    </row>
    <row r="780" spans="1:31" ht="89.25" x14ac:dyDescent="0.2">
      <c r="A780" s="6" t="s">
        <v>4691</v>
      </c>
      <c r="B780" s="6" t="s">
        <v>4708</v>
      </c>
      <c r="C780" s="20" t="s">
        <v>4709</v>
      </c>
      <c r="D780" s="6" t="s">
        <v>4710</v>
      </c>
      <c r="E780" s="6" t="s">
        <v>4711</v>
      </c>
      <c r="F780" s="6" t="s">
        <v>4712</v>
      </c>
      <c r="G780" s="6" t="s">
        <v>4713</v>
      </c>
      <c r="H780" s="18" t="str">
        <f t="shared" si="49"/>
        <v>JENNY
DR. GRAHAM
DR. WEDDERBURN (P104
P108
P107)</v>
      </c>
      <c r="I780" s="6" t="s">
        <v>96</v>
      </c>
      <c r="J780" s="6"/>
      <c r="K780" s="6" t="s">
        <v>284</v>
      </c>
      <c r="L780" s="6" t="s">
        <v>55</v>
      </c>
      <c r="M780" s="18" t="str">
        <f>VLOOKUP(L780, GLOSSARY!$A:$C, 2, FALSE)</f>
        <v>EGYPT ESTATE</v>
      </c>
      <c r="N780" s="6" t="s">
        <v>68</v>
      </c>
      <c r="O780" s="6"/>
      <c r="P780" s="6"/>
      <c r="Q780" s="6"/>
      <c r="R780" s="6"/>
      <c r="S780" s="6"/>
      <c r="T780" s="6"/>
      <c r="U780" s="6"/>
      <c r="V780" s="6"/>
      <c r="W780" s="6"/>
      <c r="X780" s="6"/>
      <c r="Y780" s="6"/>
      <c r="Z780" s="6"/>
      <c r="AA780" s="6"/>
      <c r="AB780" s="6"/>
      <c r="AC780" s="6"/>
      <c r="AD780" s="6"/>
      <c r="AE780" s="6"/>
    </row>
    <row r="781" spans="1:31" ht="63.75" x14ac:dyDescent="0.2">
      <c r="A781" s="16" t="s">
        <v>4617</v>
      </c>
      <c r="B781" s="6" t="s">
        <v>3937</v>
      </c>
      <c r="C781" s="20" t="s">
        <v>4714</v>
      </c>
      <c r="D781" s="6" t="s">
        <v>4715</v>
      </c>
      <c r="E781" s="6" t="s">
        <v>4716</v>
      </c>
      <c r="F781" s="6" t="s">
        <v>90</v>
      </c>
      <c r="G781" s="6" t="s">
        <v>89</v>
      </c>
      <c r="H781" s="18" t="str">
        <f t="shared" si="49"/>
        <v>ABBA (P6)</v>
      </c>
      <c r="I781" s="6" t="s">
        <v>533</v>
      </c>
      <c r="J781" s="6" t="s">
        <v>284</v>
      </c>
      <c r="K781" s="6" t="s">
        <v>209</v>
      </c>
      <c r="L781" s="6" t="s">
        <v>68</v>
      </c>
      <c r="M781" s="18" t="e">
        <f>VLOOKUP(L781, GLOSSARY!$A:$C, 2, FALSE)</f>
        <v>#N/A</v>
      </c>
      <c r="N781" s="6"/>
      <c r="O781" s="6"/>
      <c r="P781" s="6"/>
      <c r="Q781" s="6"/>
      <c r="R781" s="6"/>
      <c r="S781" s="6"/>
      <c r="T781" s="6"/>
      <c r="U781" s="6"/>
      <c r="V781" s="6"/>
      <c r="W781" s="6"/>
      <c r="X781" s="6"/>
      <c r="Y781" s="6"/>
      <c r="Z781" s="6"/>
      <c r="AA781" s="6"/>
      <c r="AB781" s="6"/>
      <c r="AC781" s="6"/>
      <c r="AD781" s="6"/>
      <c r="AE781" s="6"/>
    </row>
    <row r="782" spans="1:31" ht="12.75" x14ac:dyDescent="0.2">
      <c r="A782" s="6" t="s">
        <v>4691</v>
      </c>
      <c r="B782" s="6" t="s">
        <v>3937</v>
      </c>
      <c r="C782" s="20" t="s">
        <v>4717</v>
      </c>
      <c r="D782" s="6" t="s">
        <v>4718</v>
      </c>
      <c r="E782" s="6" t="s">
        <v>4719</v>
      </c>
      <c r="F782" s="6" t="s">
        <v>713</v>
      </c>
      <c r="G782" s="6" t="s">
        <v>712</v>
      </c>
      <c r="H782" s="18" t="str">
        <f t="shared" si="49"/>
        <v>JENNY (P104)</v>
      </c>
      <c r="I782" s="6" t="s">
        <v>533</v>
      </c>
      <c r="J782" s="6"/>
      <c r="K782" s="6" t="s">
        <v>284</v>
      </c>
      <c r="L782" s="6" t="s">
        <v>55</v>
      </c>
      <c r="M782" s="18" t="str">
        <f>VLOOKUP(L782, GLOSSARY!$A:$C, 2, FALSE)</f>
        <v>EGYPT ESTATE</v>
      </c>
      <c r="N782" s="6" t="s">
        <v>68</v>
      </c>
      <c r="O782" s="6"/>
      <c r="P782" s="6"/>
      <c r="Q782" s="6"/>
      <c r="R782" s="6"/>
      <c r="S782" s="6"/>
      <c r="T782" s="6"/>
      <c r="U782" s="6"/>
      <c r="V782" s="6"/>
      <c r="W782" s="6"/>
      <c r="X782" s="6"/>
      <c r="Y782" s="6"/>
      <c r="Z782" s="6"/>
      <c r="AA782" s="6"/>
      <c r="AB782" s="6"/>
      <c r="AC782" s="6"/>
      <c r="AD782" s="6"/>
      <c r="AE782" s="6"/>
    </row>
    <row r="783" spans="1:31" ht="38.25" x14ac:dyDescent="0.2">
      <c r="A783" s="6" t="s">
        <v>4691</v>
      </c>
      <c r="B783" s="6" t="s">
        <v>4720</v>
      </c>
      <c r="C783" s="20" t="s">
        <v>4721</v>
      </c>
      <c r="D783" s="6" t="s">
        <v>4722</v>
      </c>
      <c r="E783" s="6" t="s">
        <v>4723</v>
      </c>
      <c r="F783" s="6" t="s">
        <v>332</v>
      </c>
      <c r="G783" s="6" t="s">
        <v>330</v>
      </c>
      <c r="H783" s="18" t="str">
        <f t="shared" si="49"/>
        <v>DIDO (P105)</v>
      </c>
      <c r="I783" s="6" t="s">
        <v>96</v>
      </c>
      <c r="J783" s="6"/>
      <c r="K783" s="6" t="s">
        <v>284</v>
      </c>
      <c r="L783" s="6" t="s">
        <v>55</v>
      </c>
      <c r="M783" s="18" t="str">
        <f>VLOOKUP(L783, GLOSSARY!$A:$C, 2, FALSE)</f>
        <v>EGYPT ESTATE</v>
      </c>
      <c r="N783" s="6" t="s">
        <v>68</v>
      </c>
      <c r="O783" s="6"/>
      <c r="P783" s="6"/>
      <c r="Q783" s="6"/>
      <c r="R783" s="6"/>
      <c r="S783" s="6"/>
      <c r="T783" s="6"/>
      <c r="U783" s="6"/>
      <c r="V783" s="6"/>
      <c r="W783" s="6"/>
      <c r="X783" s="6"/>
      <c r="Y783" s="6"/>
      <c r="Z783" s="6"/>
      <c r="AA783" s="6"/>
      <c r="AB783" s="6"/>
      <c r="AC783" s="6"/>
      <c r="AD783" s="6"/>
      <c r="AE783" s="6"/>
    </row>
    <row r="784" spans="1:31" ht="38.25" x14ac:dyDescent="0.2">
      <c r="A784" s="6" t="s">
        <v>4691</v>
      </c>
      <c r="B784" s="6" t="s">
        <v>4724</v>
      </c>
      <c r="C784" s="20" t="s">
        <v>4725</v>
      </c>
      <c r="D784" s="6" t="s">
        <v>4726</v>
      </c>
      <c r="E784" s="6" t="s">
        <v>4727</v>
      </c>
      <c r="F784" s="6" t="s">
        <v>4728</v>
      </c>
      <c r="G784" s="6" t="s">
        <v>700</v>
      </c>
      <c r="H784" s="18" t="str">
        <f t="shared" si="49"/>
        <v>CLOE
DIDO'S CHILD (P101)</v>
      </c>
      <c r="I784" s="6" t="s">
        <v>1047</v>
      </c>
      <c r="J784" s="6"/>
      <c r="K784" s="6" t="s">
        <v>284</v>
      </c>
      <c r="L784" s="6" t="s">
        <v>55</v>
      </c>
      <c r="M784" s="18" t="str">
        <f>VLOOKUP(L784, GLOSSARY!$A:$C, 2, FALSE)</f>
        <v>EGYPT ESTATE</v>
      </c>
      <c r="N784" s="6" t="s">
        <v>68</v>
      </c>
      <c r="O784" s="6"/>
      <c r="P784" s="6"/>
      <c r="Q784" s="6"/>
      <c r="R784" s="6"/>
      <c r="S784" s="6"/>
      <c r="T784" s="6"/>
      <c r="U784" s="6"/>
      <c r="V784" s="6"/>
      <c r="W784" s="6"/>
      <c r="X784" s="6"/>
      <c r="Y784" s="6"/>
      <c r="Z784" s="6"/>
      <c r="AA784" s="6"/>
      <c r="AB784" s="6"/>
      <c r="AC784" s="6"/>
      <c r="AD784" s="6"/>
      <c r="AE784" s="6"/>
    </row>
    <row r="785" spans="1:31" ht="38.25" x14ac:dyDescent="0.2">
      <c r="A785" s="6" t="s">
        <v>4691</v>
      </c>
      <c r="B785" s="6" t="s">
        <v>4724</v>
      </c>
      <c r="C785" s="20" t="s">
        <v>4729</v>
      </c>
      <c r="D785" s="6" t="s">
        <v>4730</v>
      </c>
      <c r="E785" s="6" t="s">
        <v>4727</v>
      </c>
      <c r="F785" s="6" t="s">
        <v>4728</v>
      </c>
      <c r="G785" s="6" t="s">
        <v>703</v>
      </c>
      <c r="H785" s="18" t="str">
        <f t="shared" si="49"/>
        <v>CLOE
DIDO'S CHILD (P102)</v>
      </c>
      <c r="I785" s="6" t="s">
        <v>1047</v>
      </c>
      <c r="J785" s="6"/>
      <c r="K785" s="6" t="s">
        <v>284</v>
      </c>
      <c r="L785" s="6" t="s">
        <v>55</v>
      </c>
      <c r="M785" s="18" t="str">
        <f>VLOOKUP(L785, GLOSSARY!$A:$C, 2, FALSE)</f>
        <v>EGYPT ESTATE</v>
      </c>
      <c r="N785" s="6" t="s">
        <v>68</v>
      </c>
      <c r="O785" s="6"/>
      <c r="P785" s="6"/>
      <c r="Q785" s="6"/>
      <c r="R785" s="6"/>
      <c r="S785" s="6"/>
      <c r="T785" s="6"/>
      <c r="U785" s="6"/>
      <c r="V785" s="6"/>
      <c r="W785" s="6"/>
      <c r="X785" s="6"/>
      <c r="Y785" s="6"/>
      <c r="Z785" s="6"/>
      <c r="AA785" s="6"/>
      <c r="AB785" s="6"/>
      <c r="AC785" s="6"/>
      <c r="AD785" s="6"/>
      <c r="AE785" s="6"/>
    </row>
    <row r="786" spans="1:31" ht="63.75" x14ac:dyDescent="0.2">
      <c r="A786" s="6" t="s">
        <v>4691</v>
      </c>
      <c r="B786" s="6" t="s">
        <v>4731</v>
      </c>
      <c r="C786" s="20" t="s">
        <v>4732</v>
      </c>
      <c r="D786" s="6" t="s">
        <v>4733</v>
      </c>
      <c r="E786" s="6"/>
      <c r="F786" s="6" t="s">
        <v>4734</v>
      </c>
      <c r="G786" s="6" t="s">
        <v>4735</v>
      </c>
      <c r="H786" s="6" t="str">
        <f t="shared" ref="H786:H788" si="50">CONCATENATE(F786,"(",G786,")")</f>
        <v>DR. JAMES WEDDERBURN
JENNY(P95
P104)</v>
      </c>
      <c r="I786" s="6" t="s">
        <v>533</v>
      </c>
      <c r="J786" s="6"/>
      <c r="K786" s="6"/>
      <c r="L786" s="6" t="s">
        <v>55</v>
      </c>
      <c r="M786" s="6" t="str">
        <f>VLOOKUP(L786, GLOSSARY!$A:$C, 2, FALSE)</f>
        <v>EGYPT ESTATE</v>
      </c>
      <c r="N786" s="6" t="s">
        <v>68</v>
      </c>
      <c r="O786" s="6"/>
      <c r="P786" s="6"/>
      <c r="Q786" s="6"/>
      <c r="R786" s="6"/>
      <c r="S786" s="6"/>
      <c r="T786" s="6"/>
      <c r="U786" s="6"/>
      <c r="V786" s="6"/>
      <c r="W786" s="6"/>
      <c r="X786" s="6"/>
      <c r="Y786" s="6"/>
      <c r="Z786" s="6"/>
      <c r="AA786" s="6"/>
      <c r="AB786" s="6"/>
      <c r="AC786" s="6"/>
      <c r="AD786" s="6"/>
      <c r="AE786" s="6"/>
    </row>
    <row r="787" spans="1:31" ht="114.75" x14ac:dyDescent="0.2">
      <c r="A787" s="6" t="s">
        <v>4691</v>
      </c>
      <c r="B787" s="6" t="s">
        <v>3520</v>
      </c>
      <c r="C787" s="20" t="s">
        <v>4736</v>
      </c>
      <c r="D787" s="6" t="s">
        <v>4737</v>
      </c>
      <c r="E787" s="6"/>
      <c r="F787" s="6" t="s">
        <v>4738</v>
      </c>
      <c r="G787" s="6" t="s">
        <v>4739</v>
      </c>
      <c r="H787" s="6" t="str">
        <f t="shared" si="50"/>
        <v>DR. JAMES WEDDERBURN
KENT
JENNY(P329
P95
P104)</v>
      </c>
      <c r="I787" s="6" t="s">
        <v>533</v>
      </c>
      <c r="J787" s="6"/>
      <c r="K787" s="6"/>
      <c r="L787" s="6" t="s">
        <v>55</v>
      </c>
      <c r="M787" s="6" t="str">
        <f>VLOOKUP(L787, GLOSSARY!$A:$C, 2, FALSE)</f>
        <v>EGYPT ESTATE</v>
      </c>
      <c r="N787" s="6" t="s">
        <v>68</v>
      </c>
      <c r="O787" s="6"/>
      <c r="P787" s="6"/>
      <c r="Q787" s="6"/>
      <c r="R787" s="6"/>
      <c r="S787" s="6"/>
      <c r="T787" s="6"/>
      <c r="U787" s="6"/>
      <c r="V787" s="6"/>
      <c r="W787" s="6"/>
      <c r="X787" s="6"/>
      <c r="Y787" s="6"/>
      <c r="Z787" s="6"/>
      <c r="AA787" s="6"/>
      <c r="AB787" s="6"/>
      <c r="AC787" s="6"/>
      <c r="AD787" s="6"/>
      <c r="AE787" s="6"/>
    </row>
    <row r="788" spans="1:31" ht="38.25" x14ac:dyDescent="0.2">
      <c r="A788" s="6" t="s">
        <v>4691</v>
      </c>
      <c r="B788" s="6" t="s">
        <v>4740</v>
      </c>
      <c r="C788" s="20" t="s">
        <v>4736</v>
      </c>
      <c r="D788" s="6" t="s">
        <v>4741</v>
      </c>
      <c r="E788" s="6"/>
      <c r="F788" s="6" t="s">
        <v>713</v>
      </c>
      <c r="G788" s="6" t="s">
        <v>712</v>
      </c>
      <c r="H788" s="6" t="str">
        <f t="shared" si="50"/>
        <v>JENNY(P104)</v>
      </c>
      <c r="I788" s="6" t="s">
        <v>96</v>
      </c>
      <c r="J788" s="6"/>
      <c r="K788" s="6"/>
      <c r="L788" s="6" t="s">
        <v>55</v>
      </c>
      <c r="M788" s="6" t="str">
        <f>VLOOKUP(L788, GLOSSARY!$A:$C, 2, FALSE)</f>
        <v>EGYPT ESTATE</v>
      </c>
      <c r="N788" s="6" t="s">
        <v>167</v>
      </c>
      <c r="O788" s="6"/>
      <c r="P788" s="6"/>
      <c r="Q788" s="6"/>
      <c r="R788" s="6"/>
      <c r="S788" s="6"/>
      <c r="T788" s="6"/>
      <c r="U788" s="6"/>
      <c r="V788" s="6"/>
      <c r="W788" s="6"/>
      <c r="X788" s="6"/>
      <c r="Y788" s="6"/>
      <c r="Z788" s="6"/>
      <c r="AA788" s="6"/>
      <c r="AB788" s="6"/>
      <c r="AC788" s="6"/>
      <c r="AD788" s="6"/>
      <c r="AE788" s="6"/>
    </row>
    <row r="789" spans="1:31" ht="38.25" x14ac:dyDescent="0.2">
      <c r="A789" s="6" t="s">
        <v>4691</v>
      </c>
      <c r="B789" s="6" t="s">
        <v>4742</v>
      </c>
      <c r="C789" s="20" t="s">
        <v>4743</v>
      </c>
      <c r="D789" s="6" t="s">
        <v>4744</v>
      </c>
      <c r="E789" s="6" t="s">
        <v>4723</v>
      </c>
      <c r="F789" s="6" t="s">
        <v>332</v>
      </c>
      <c r="G789" s="6" t="s">
        <v>330</v>
      </c>
      <c r="H789" s="18" t="str">
        <f t="shared" ref="H789:H790" si="51">CONCATENATE(F789," (",G789,")")</f>
        <v>DIDO (P105)</v>
      </c>
      <c r="I789" s="6" t="s">
        <v>784</v>
      </c>
      <c r="J789" s="6"/>
      <c r="K789" s="6" t="s">
        <v>284</v>
      </c>
      <c r="L789" s="6" t="s">
        <v>55</v>
      </c>
      <c r="M789" s="18" t="str">
        <f>VLOOKUP(L789, GLOSSARY!$A:$C, 2, FALSE)</f>
        <v>EGYPT ESTATE</v>
      </c>
      <c r="N789" s="6" t="s">
        <v>68</v>
      </c>
      <c r="O789" s="6"/>
      <c r="P789" s="6"/>
      <c r="Q789" s="6"/>
      <c r="R789" s="6"/>
      <c r="S789" s="6"/>
      <c r="T789" s="6"/>
      <c r="U789" s="6"/>
      <c r="V789" s="6"/>
      <c r="W789" s="6"/>
      <c r="X789" s="6"/>
      <c r="Y789" s="6"/>
      <c r="Z789" s="6"/>
      <c r="AA789" s="6"/>
      <c r="AB789" s="6"/>
      <c r="AC789" s="6"/>
      <c r="AD789" s="6"/>
      <c r="AE789" s="6"/>
    </row>
    <row r="790" spans="1:31" ht="38.25" x14ac:dyDescent="0.2">
      <c r="A790" s="6" t="s">
        <v>4745</v>
      </c>
      <c r="B790" s="6" t="s">
        <v>4746</v>
      </c>
      <c r="C790" s="20" t="s">
        <v>4747</v>
      </c>
      <c r="D790" s="6" t="s">
        <v>4748</v>
      </c>
      <c r="E790" s="6" t="s">
        <v>4749</v>
      </c>
      <c r="F790" s="6" t="s">
        <v>4750</v>
      </c>
      <c r="G790" s="6" t="s">
        <v>4751</v>
      </c>
      <c r="H790" s="18" t="str">
        <f t="shared" si="51"/>
        <v>ABBA
LINCOLN (P6
P24)</v>
      </c>
      <c r="I790" s="6" t="s">
        <v>533</v>
      </c>
      <c r="J790" s="6" t="s">
        <v>284</v>
      </c>
      <c r="K790" s="6" t="s">
        <v>209</v>
      </c>
      <c r="L790" s="6" t="s">
        <v>68</v>
      </c>
      <c r="M790" s="18" t="e">
        <f>VLOOKUP(L790, GLOSSARY!$A:$C, 2, FALSE)</f>
        <v>#N/A</v>
      </c>
      <c r="N790" s="6"/>
      <c r="O790" s="6"/>
      <c r="P790" s="6"/>
      <c r="Q790" s="6"/>
      <c r="R790" s="6"/>
      <c r="S790" s="6"/>
      <c r="T790" s="6"/>
      <c r="U790" s="6"/>
      <c r="V790" s="6"/>
      <c r="W790" s="6"/>
      <c r="X790" s="6"/>
      <c r="Y790" s="6"/>
      <c r="Z790" s="6"/>
      <c r="AA790" s="6"/>
      <c r="AB790" s="6"/>
      <c r="AC790" s="6"/>
      <c r="AD790" s="6"/>
      <c r="AE790" s="6"/>
    </row>
    <row r="791" spans="1:31" ht="89.25" x14ac:dyDescent="0.2">
      <c r="A791" s="6" t="s">
        <v>4752</v>
      </c>
      <c r="B791" s="6" t="s">
        <v>4753</v>
      </c>
      <c r="C791" s="20" t="s">
        <v>4754</v>
      </c>
      <c r="D791" s="6" t="s">
        <v>4755</v>
      </c>
      <c r="E791" s="6"/>
      <c r="F791" s="6" t="s">
        <v>4756</v>
      </c>
      <c r="G791" s="6" t="s">
        <v>4757</v>
      </c>
      <c r="H791" s="6" t="str">
        <f t="shared" ref="H791:H798" si="52">CONCATENATE(F791,"(",G791,")")</f>
        <v>THE OVERSEER
COLONEL BARCLAY
SAM [MR. BARCLAY'S]
ELLIN(P43
P369
P432
P33)</v>
      </c>
      <c r="I791" s="6" t="s">
        <v>1678</v>
      </c>
      <c r="J791" s="6"/>
      <c r="K791" s="6"/>
      <c r="L791" s="6" t="s">
        <v>55</v>
      </c>
      <c r="M791" s="6" t="str">
        <f>VLOOKUP(L791, GLOSSARY!$A:$C, 2, FALSE)</f>
        <v>EGYPT ESTATE</v>
      </c>
      <c r="N791" s="6" t="s">
        <v>68</v>
      </c>
      <c r="O791" s="6"/>
      <c r="P791" s="6"/>
      <c r="Q791" s="6"/>
      <c r="R791" s="6"/>
      <c r="S791" s="6"/>
      <c r="T791" s="6"/>
      <c r="U791" s="6"/>
      <c r="V791" s="6"/>
      <c r="W791" s="6"/>
      <c r="X791" s="6"/>
      <c r="Y791" s="6"/>
      <c r="Z791" s="6"/>
      <c r="AA791" s="6"/>
      <c r="AB791" s="6"/>
      <c r="AC791" s="6"/>
      <c r="AD791" s="6"/>
      <c r="AE791" s="6"/>
    </row>
    <row r="792" spans="1:31" ht="409.5" x14ac:dyDescent="0.2">
      <c r="A792" s="6" t="s">
        <v>4758</v>
      </c>
      <c r="B792" s="6" t="s">
        <v>4753</v>
      </c>
      <c r="C792" s="20" t="s">
        <v>4759</v>
      </c>
      <c r="D792" s="6" t="s">
        <v>4760</v>
      </c>
      <c r="E792" s="6"/>
      <c r="F792" s="6" t="s">
        <v>4761</v>
      </c>
      <c r="G792" s="6" t="s">
        <v>4762</v>
      </c>
      <c r="H792" s="6" t="str">
        <f t="shared" si="52"/>
        <v>VENUS
ELLIN
DAPHNE [EGYPT]
EGYPT LUCY
MARAGRETTA
MOULD'S FRANKE
SOLINDA
EGYPT COFFEE
MOLL
QUASHEBA(P193
P33
P3
P345
P235
P346
P353
P125
P240)</v>
      </c>
      <c r="I792" s="6" t="s">
        <v>2630</v>
      </c>
      <c r="J792" s="6"/>
      <c r="K792" s="6"/>
      <c r="L792" s="6" t="s">
        <v>55</v>
      </c>
      <c r="M792" s="6" t="str">
        <f>VLOOKUP(L792, GLOSSARY!$A:$C, 2, FALSE)</f>
        <v>EGYPT ESTATE</v>
      </c>
      <c r="N792" s="6" t="s">
        <v>68</v>
      </c>
      <c r="O792" s="6"/>
      <c r="P792" s="6"/>
      <c r="Q792" s="6"/>
      <c r="R792" s="6"/>
      <c r="S792" s="6"/>
      <c r="T792" s="6"/>
      <c r="U792" s="6"/>
      <c r="V792" s="6"/>
      <c r="W792" s="6"/>
      <c r="X792" s="6"/>
      <c r="Y792" s="6"/>
      <c r="Z792" s="6"/>
      <c r="AA792" s="6"/>
      <c r="AB792" s="6"/>
      <c r="AC792" s="6"/>
      <c r="AD792" s="6"/>
      <c r="AE792" s="6"/>
    </row>
    <row r="793" spans="1:31" ht="63.75" x14ac:dyDescent="0.2">
      <c r="A793" s="6" t="s">
        <v>4763</v>
      </c>
      <c r="B793" s="6" t="s">
        <v>4764</v>
      </c>
      <c r="C793" s="20" t="s">
        <v>4765</v>
      </c>
      <c r="D793" s="6" t="s">
        <v>4766</v>
      </c>
      <c r="E793" s="6"/>
      <c r="F793" s="6" t="s">
        <v>4767</v>
      </c>
      <c r="G793" s="6" t="s">
        <v>4768</v>
      </c>
      <c r="H793" s="6" t="str">
        <f t="shared" si="52"/>
        <v>WONGA
THE OVERSEER(P27
P43)</v>
      </c>
      <c r="I793" s="6" t="s">
        <v>409</v>
      </c>
      <c r="J793" s="6"/>
      <c r="K793" s="6"/>
      <c r="L793" s="6" t="s">
        <v>55</v>
      </c>
      <c r="M793" s="6" t="str">
        <f>VLOOKUP(L793, GLOSSARY!$A:$C, 2, FALSE)</f>
        <v>EGYPT ESTATE</v>
      </c>
      <c r="N793" s="6" t="s">
        <v>68</v>
      </c>
      <c r="O793" s="6"/>
      <c r="P793" s="6"/>
      <c r="Q793" s="6"/>
      <c r="R793" s="6"/>
      <c r="S793" s="6"/>
      <c r="T793" s="6"/>
      <c r="U793" s="6"/>
      <c r="V793" s="6"/>
      <c r="W793" s="6"/>
      <c r="X793" s="6"/>
      <c r="Y793" s="6"/>
      <c r="Z793" s="6"/>
      <c r="AA793" s="6"/>
      <c r="AB793" s="6"/>
      <c r="AC793" s="6"/>
      <c r="AD793" s="6"/>
      <c r="AE793" s="6"/>
    </row>
    <row r="794" spans="1:31" ht="165.75" x14ac:dyDescent="0.2">
      <c r="A794" s="6" t="s">
        <v>4769</v>
      </c>
      <c r="B794" s="6" t="s">
        <v>4770</v>
      </c>
      <c r="C794" s="20" t="s">
        <v>4771</v>
      </c>
      <c r="D794" s="6" t="s">
        <v>4772</v>
      </c>
      <c r="E794" s="6"/>
      <c r="F794" s="6" t="s">
        <v>4773</v>
      </c>
      <c r="G794" s="6" t="s">
        <v>4774</v>
      </c>
      <c r="H794" s="6" t="str">
        <f t="shared" si="52"/>
        <v>HOPE
RHADAMANTHUS
MOUNTAIN LUCY
EGYPT QUACOO(P373
P374
P30
P298)</v>
      </c>
      <c r="I794" s="6" t="s">
        <v>533</v>
      </c>
      <c r="J794" s="6"/>
      <c r="K794" s="6"/>
      <c r="L794" s="6" t="s">
        <v>55</v>
      </c>
      <c r="M794" s="6" t="str">
        <f>VLOOKUP(L794, GLOSSARY!$A:$C, 2, FALSE)</f>
        <v>EGYPT ESTATE</v>
      </c>
      <c r="N794" s="6" t="s">
        <v>68</v>
      </c>
      <c r="O794" s="6"/>
      <c r="P794" s="6"/>
      <c r="Q794" s="6"/>
      <c r="R794" s="6"/>
      <c r="S794" s="6"/>
      <c r="T794" s="6"/>
      <c r="U794" s="6"/>
      <c r="V794" s="6"/>
      <c r="W794" s="6"/>
      <c r="X794" s="6"/>
      <c r="Y794" s="6"/>
      <c r="Z794" s="6"/>
      <c r="AA794" s="6"/>
      <c r="AB794" s="6"/>
      <c r="AC794" s="6"/>
      <c r="AD794" s="6"/>
      <c r="AE794" s="6"/>
    </row>
    <row r="795" spans="1:31" ht="127.5" x14ac:dyDescent="0.2">
      <c r="A795" s="6" t="s">
        <v>4775</v>
      </c>
      <c r="B795" s="6" t="s">
        <v>4776</v>
      </c>
      <c r="C795" s="20" t="s">
        <v>4777</v>
      </c>
      <c r="D795" s="6" t="s">
        <v>4778</v>
      </c>
      <c r="E795" s="6"/>
      <c r="F795" s="6" t="s">
        <v>4779</v>
      </c>
      <c r="G795" s="6" t="s">
        <v>4780</v>
      </c>
      <c r="H795" s="6" t="str">
        <f t="shared" si="52"/>
        <v>OLD BELLA
MRS. BENNETT'S SARAH
MR. WEECH
THE OVERSEER(P365
P372
P202
P43)</v>
      </c>
      <c r="I795" s="6" t="s">
        <v>784</v>
      </c>
      <c r="J795" s="6"/>
      <c r="K795" s="6"/>
      <c r="L795" s="6" t="s">
        <v>55</v>
      </c>
      <c r="M795" s="6" t="str">
        <f>VLOOKUP(L795, GLOSSARY!$A:$C, 2, FALSE)</f>
        <v>EGYPT ESTATE</v>
      </c>
      <c r="N795" s="6" t="s">
        <v>68</v>
      </c>
      <c r="O795" s="6"/>
      <c r="P795" s="6"/>
      <c r="Q795" s="6"/>
      <c r="R795" s="6"/>
      <c r="S795" s="6"/>
      <c r="T795" s="6"/>
      <c r="U795" s="6"/>
      <c r="V795" s="6"/>
      <c r="W795" s="6"/>
      <c r="X795" s="6"/>
      <c r="Y795" s="6"/>
      <c r="Z795" s="6"/>
      <c r="AA795" s="6"/>
      <c r="AB795" s="6"/>
      <c r="AC795" s="6"/>
      <c r="AD795" s="6"/>
      <c r="AE795" s="6"/>
    </row>
    <row r="796" spans="1:31" ht="38.25" x14ac:dyDescent="0.2">
      <c r="A796" s="6" t="s">
        <v>4781</v>
      </c>
      <c r="B796" s="6" t="s">
        <v>4782</v>
      </c>
      <c r="C796" s="20" t="s">
        <v>4783</v>
      </c>
      <c r="D796" s="6" t="s">
        <v>4784</v>
      </c>
      <c r="E796" s="6"/>
      <c r="F796" s="6" t="s">
        <v>713</v>
      </c>
      <c r="G796" s="6" t="s">
        <v>4785</v>
      </c>
      <c r="H796" s="6" t="str">
        <f t="shared" si="52"/>
        <v>JENNY(P104
P228)</v>
      </c>
      <c r="I796" s="6" t="s">
        <v>533</v>
      </c>
      <c r="J796" s="6"/>
      <c r="K796" s="6"/>
      <c r="L796" s="6" t="s">
        <v>55</v>
      </c>
      <c r="M796" s="6" t="str">
        <f>VLOOKUP(L796, GLOSSARY!$A:$C, 2, FALSE)</f>
        <v>EGYPT ESTATE</v>
      </c>
      <c r="N796" s="6" t="s">
        <v>68</v>
      </c>
      <c r="O796" s="6"/>
      <c r="P796" s="6"/>
      <c r="Q796" s="6"/>
      <c r="R796" s="6"/>
      <c r="S796" s="6"/>
      <c r="T796" s="6"/>
      <c r="U796" s="6"/>
      <c r="V796" s="6"/>
      <c r="W796" s="6"/>
      <c r="X796" s="6"/>
      <c r="Y796" s="6"/>
      <c r="Z796" s="6"/>
      <c r="AA796" s="6"/>
      <c r="AB796" s="6"/>
      <c r="AC796" s="6"/>
      <c r="AD796" s="6"/>
      <c r="AE796" s="6"/>
    </row>
    <row r="797" spans="1:31" ht="76.5" x14ac:dyDescent="0.2">
      <c r="A797" s="6" t="s">
        <v>4786</v>
      </c>
      <c r="B797" s="6" t="s">
        <v>4787</v>
      </c>
      <c r="C797" s="20" t="s">
        <v>4788</v>
      </c>
      <c r="D797" s="6" t="s">
        <v>4789</v>
      </c>
      <c r="E797" s="6"/>
      <c r="F797" s="6" t="s">
        <v>4790</v>
      </c>
      <c r="G797" s="6" t="s">
        <v>4791</v>
      </c>
      <c r="H797" s="6" t="str">
        <f t="shared" si="52"/>
        <v>SARAH'S CUBBAH
LYDDE'S FORTUNE(P376
P377)</v>
      </c>
      <c r="I797" s="6" t="s">
        <v>784</v>
      </c>
      <c r="J797" s="6"/>
      <c r="K797" s="6"/>
      <c r="L797" s="6" t="s">
        <v>55</v>
      </c>
      <c r="M797" s="6" t="str">
        <f>VLOOKUP(L797, GLOSSARY!$A:$C, 2, FALSE)</f>
        <v>EGYPT ESTATE</v>
      </c>
      <c r="N797" s="6" t="s">
        <v>68</v>
      </c>
      <c r="O797" s="6"/>
      <c r="P797" s="6"/>
      <c r="Q797" s="6"/>
      <c r="R797" s="6"/>
      <c r="S797" s="6"/>
      <c r="T797" s="6"/>
      <c r="U797" s="6"/>
      <c r="V797" s="6"/>
      <c r="W797" s="6"/>
      <c r="X797" s="6"/>
      <c r="Y797" s="6"/>
      <c r="Z797" s="6"/>
      <c r="AA797" s="6"/>
      <c r="AB797" s="6"/>
      <c r="AC797" s="6"/>
      <c r="AD797" s="6"/>
      <c r="AE797" s="6"/>
    </row>
    <row r="798" spans="1:31" ht="409.5" x14ac:dyDescent="0.2">
      <c r="A798" s="6" t="s">
        <v>4769</v>
      </c>
      <c r="B798" s="6" t="s">
        <v>4792</v>
      </c>
      <c r="C798" s="20" t="s">
        <v>4793</v>
      </c>
      <c r="D798" s="6" t="s">
        <v>4794</v>
      </c>
      <c r="E798" s="6"/>
      <c r="F798" s="6" t="s">
        <v>4795</v>
      </c>
      <c r="G798" s="6" t="s">
        <v>4796</v>
      </c>
      <c r="H798" s="6" t="str">
        <f t="shared" si="52"/>
        <v>DR. GORSE
EGYPT QUACOO
MOUNTAIN LUCY
HOPE
LONDON
RHADAMANTHUS
JENNY
TOBY
ABBA
MOULD'S LYDDE
BETTY
JUNO
CUBBENA
MORRIS(P228
P298
P30
P373
P374
P250
P104
P375
P6
P255
P134
P294
P237
P226)</v>
      </c>
      <c r="I798" s="6" t="s">
        <v>533</v>
      </c>
      <c r="J798" s="6"/>
      <c r="K798" s="6"/>
      <c r="L798" s="6" t="s">
        <v>55</v>
      </c>
      <c r="M798" s="6" t="str">
        <f>VLOOKUP(L798, GLOSSARY!$A:$C, 2, FALSE)</f>
        <v>EGYPT ESTATE</v>
      </c>
      <c r="N798" s="6" t="s">
        <v>68</v>
      </c>
      <c r="O798" s="6"/>
      <c r="P798" s="6"/>
      <c r="Q798" s="6"/>
      <c r="R798" s="6"/>
      <c r="S798" s="6"/>
      <c r="T798" s="6"/>
      <c r="U798" s="6"/>
      <c r="V798" s="6"/>
      <c r="W798" s="6"/>
      <c r="X798" s="6"/>
      <c r="Y798" s="6"/>
      <c r="Z798" s="6"/>
      <c r="AA798" s="6"/>
      <c r="AB798" s="6"/>
      <c r="AC798" s="6"/>
      <c r="AD798" s="6"/>
      <c r="AE798" s="6"/>
    </row>
    <row r="799" spans="1:31" ht="25.5" x14ac:dyDescent="0.2">
      <c r="A799" s="6" t="s">
        <v>4797</v>
      </c>
      <c r="B799" s="6" t="s">
        <v>4798</v>
      </c>
      <c r="C799" s="20" t="s">
        <v>4799</v>
      </c>
      <c r="D799" s="6" t="s">
        <v>4800</v>
      </c>
      <c r="E799" s="6" t="s">
        <v>4801</v>
      </c>
      <c r="F799" s="6" t="s">
        <v>764</v>
      </c>
      <c r="G799" s="6" t="s">
        <v>763</v>
      </c>
      <c r="H799" s="18" t="str">
        <f>CONCATENATE(F799," (",G799,")")</f>
        <v>ROSANNA (P115)</v>
      </c>
      <c r="I799" s="6" t="s">
        <v>3797</v>
      </c>
      <c r="J799" s="6"/>
      <c r="K799" s="6" t="s">
        <v>284</v>
      </c>
      <c r="L799" s="6" t="s">
        <v>55</v>
      </c>
      <c r="M799" s="18" t="str">
        <f>VLOOKUP(L799, GLOSSARY!$A:$C, 2, FALSE)</f>
        <v>EGYPT ESTATE</v>
      </c>
      <c r="N799" s="6" t="s">
        <v>68</v>
      </c>
      <c r="O799" s="6"/>
      <c r="P799" s="6"/>
      <c r="Q799" s="6"/>
      <c r="R799" s="6"/>
      <c r="S799" s="6"/>
      <c r="T799" s="6"/>
      <c r="U799" s="6"/>
      <c r="V799" s="6"/>
      <c r="W799" s="6"/>
      <c r="X799" s="6"/>
      <c r="Y799" s="6"/>
      <c r="Z799" s="6"/>
      <c r="AA799" s="6"/>
      <c r="AB799" s="6"/>
      <c r="AC799" s="6"/>
      <c r="AD799" s="6"/>
      <c r="AE799" s="6"/>
    </row>
    <row r="800" spans="1:31" ht="63.75" x14ac:dyDescent="0.2">
      <c r="A800" s="6" t="s">
        <v>4802</v>
      </c>
      <c r="B800" s="6" t="s">
        <v>4798</v>
      </c>
      <c r="C800" s="20" t="s">
        <v>4799</v>
      </c>
      <c r="D800" s="6" t="s">
        <v>4803</v>
      </c>
      <c r="E800" s="6"/>
      <c r="F800" s="6" t="s">
        <v>4804</v>
      </c>
      <c r="G800" s="6" t="s">
        <v>4805</v>
      </c>
      <c r="H800" s="6" t="str">
        <f t="shared" ref="H800:H806" si="53">CONCATENATE(F800,"(",G800,")")</f>
        <v>THE OVERSEER
ACCUBAH(P43
P16)</v>
      </c>
      <c r="I800" s="6" t="s">
        <v>957</v>
      </c>
      <c r="J800" s="6"/>
      <c r="K800" s="6"/>
      <c r="L800" s="6" t="s">
        <v>55</v>
      </c>
      <c r="M800" s="6" t="str">
        <f>VLOOKUP(L800, GLOSSARY!$A:$C, 2, FALSE)</f>
        <v>EGYPT ESTATE</v>
      </c>
      <c r="N800" s="6" t="s">
        <v>68</v>
      </c>
      <c r="O800" s="6"/>
      <c r="P800" s="6"/>
      <c r="Q800" s="6"/>
      <c r="R800" s="6"/>
      <c r="S800" s="6"/>
      <c r="T800" s="6"/>
      <c r="U800" s="6"/>
      <c r="V800" s="6"/>
      <c r="W800" s="6"/>
      <c r="X800" s="6"/>
      <c r="Y800" s="6"/>
      <c r="Z800" s="6"/>
      <c r="AA800" s="6"/>
      <c r="AB800" s="6"/>
      <c r="AC800" s="6"/>
      <c r="AD800" s="6"/>
      <c r="AE800" s="6"/>
    </row>
    <row r="801" spans="1:31" ht="63.75" x14ac:dyDescent="0.2">
      <c r="A801" s="6" t="s">
        <v>4806</v>
      </c>
      <c r="B801" s="6" t="s">
        <v>4807</v>
      </c>
      <c r="C801" s="20" t="s">
        <v>4808</v>
      </c>
      <c r="D801" s="6" t="s">
        <v>4809</v>
      </c>
      <c r="E801" s="6"/>
      <c r="F801" s="6" t="s">
        <v>4810</v>
      </c>
      <c r="G801" s="6" t="s">
        <v>4811</v>
      </c>
      <c r="H801" s="6" t="str">
        <f t="shared" si="53"/>
        <v>EGYPT FIELD HANDS
MR. COOK(P315
P316)</v>
      </c>
      <c r="I801" s="6" t="s">
        <v>784</v>
      </c>
      <c r="J801" s="6"/>
      <c r="K801" s="6"/>
      <c r="L801" s="6" t="s">
        <v>440</v>
      </c>
      <c r="M801" s="6" t="str">
        <f>VLOOKUP(L801, GLOSSARY!$A:$C, 2, FALSE)</f>
        <v>THE ROAD(S)</v>
      </c>
      <c r="N801" s="6" t="s">
        <v>68</v>
      </c>
      <c r="O801" s="6"/>
      <c r="P801" s="6"/>
      <c r="Q801" s="6"/>
      <c r="R801" s="6"/>
      <c r="S801" s="6"/>
      <c r="T801" s="6"/>
      <c r="U801" s="6"/>
      <c r="V801" s="6"/>
      <c r="W801" s="6"/>
      <c r="X801" s="6"/>
      <c r="Y801" s="6"/>
      <c r="Z801" s="6"/>
      <c r="AA801" s="6"/>
      <c r="AB801" s="6"/>
      <c r="AC801" s="6"/>
      <c r="AD801" s="6"/>
      <c r="AE801" s="6"/>
    </row>
    <row r="802" spans="1:31" ht="63.75" x14ac:dyDescent="0.2">
      <c r="A802" s="6" t="s">
        <v>4806</v>
      </c>
      <c r="B802" s="6" t="s">
        <v>1808</v>
      </c>
      <c r="C802" s="20" t="s">
        <v>4808</v>
      </c>
      <c r="D802" s="6" t="s">
        <v>4812</v>
      </c>
      <c r="E802" s="6"/>
      <c r="F802" s="6" t="s">
        <v>4813</v>
      </c>
      <c r="G802" s="6" t="s">
        <v>4811</v>
      </c>
      <c r="H802" s="6" t="str">
        <f t="shared" si="53"/>
        <v>EGYPT FIELDHANDS
MR. COOK(P315
P316)</v>
      </c>
      <c r="I802" s="6" t="s">
        <v>784</v>
      </c>
      <c r="J802" s="6"/>
      <c r="K802" s="6"/>
      <c r="L802" s="6" t="s">
        <v>440</v>
      </c>
      <c r="M802" s="6" t="str">
        <f>VLOOKUP(L802, GLOSSARY!$A:$C, 2, FALSE)</f>
        <v>THE ROAD(S)</v>
      </c>
      <c r="N802" s="6" t="s">
        <v>68</v>
      </c>
      <c r="O802" s="6"/>
      <c r="P802" s="6"/>
      <c r="Q802" s="6"/>
      <c r="R802" s="6"/>
      <c r="S802" s="6"/>
      <c r="T802" s="6"/>
      <c r="U802" s="6"/>
      <c r="V802" s="6"/>
      <c r="W802" s="6"/>
      <c r="X802" s="6"/>
      <c r="Y802" s="6"/>
      <c r="Z802" s="6"/>
      <c r="AA802" s="6"/>
      <c r="AB802" s="6"/>
      <c r="AC802" s="6"/>
      <c r="AD802" s="6"/>
      <c r="AE802" s="6"/>
    </row>
    <row r="803" spans="1:31" ht="25.5" x14ac:dyDescent="0.2">
      <c r="A803" s="6" t="s">
        <v>4806</v>
      </c>
      <c r="B803" s="6" t="s">
        <v>1136</v>
      </c>
      <c r="C803" s="20" t="s">
        <v>4814</v>
      </c>
      <c r="D803" s="6" t="s">
        <v>4815</v>
      </c>
      <c r="E803" s="6"/>
      <c r="F803" s="6" t="s">
        <v>779</v>
      </c>
      <c r="G803" s="6" t="s">
        <v>780</v>
      </c>
      <c r="H803" s="6" t="str">
        <f t="shared" si="53"/>
        <v>EGYPT FIELDHANDS(P315)</v>
      </c>
      <c r="I803" s="6" t="s">
        <v>784</v>
      </c>
      <c r="J803" s="6"/>
      <c r="K803" s="6"/>
      <c r="L803" s="6" t="s">
        <v>440</v>
      </c>
      <c r="M803" s="6" t="str">
        <f>VLOOKUP(L803, GLOSSARY!$A:$C, 2, FALSE)</f>
        <v>THE ROAD(S)</v>
      </c>
      <c r="N803" s="6" t="s">
        <v>68</v>
      </c>
      <c r="O803" s="6"/>
      <c r="P803" s="6"/>
      <c r="Q803" s="6"/>
      <c r="R803" s="6"/>
      <c r="S803" s="6"/>
      <c r="T803" s="6"/>
      <c r="U803" s="6"/>
      <c r="V803" s="6"/>
      <c r="W803" s="6"/>
      <c r="X803" s="6"/>
      <c r="Y803" s="6"/>
      <c r="Z803" s="6"/>
      <c r="AA803" s="6"/>
      <c r="AB803" s="6"/>
      <c r="AC803" s="6"/>
      <c r="AD803" s="6"/>
      <c r="AE803" s="6"/>
    </row>
    <row r="804" spans="1:31" ht="369.75" x14ac:dyDescent="0.2">
      <c r="A804" s="6" t="s">
        <v>4806</v>
      </c>
      <c r="B804" s="6" t="s">
        <v>4816</v>
      </c>
      <c r="C804" s="20" t="s">
        <v>4817</v>
      </c>
      <c r="D804" s="6" t="s">
        <v>4818</v>
      </c>
      <c r="E804" s="6"/>
      <c r="F804" s="6" t="s">
        <v>4819</v>
      </c>
      <c r="G804" s="6" t="s">
        <v>4820</v>
      </c>
      <c r="H804" s="6" t="str">
        <f t="shared" si="53"/>
        <v>EGYPT FIELDHANDS
SARAH BENNETT
JACOB HENRIQUEZ 
RICHARD HAYWARD
THOMAS EMOTSON
MANDIGMONSSONTO
KIRKPATRICK ESTATE
AARON TORRO
JACOB PEFSOA
THE OVERSEER
THE PLANTER
SAM MATTHEWS
SAM SPRINGETT(P315
P50
P92
P330
P331
P332
P333
P79
P334)</v>
      </c>
      <c r="I804" s="6" t="s">
        <v>784</v>
      </c>
      <c r="J804" s="6"/>
      <c r="K804" s="6"/>
      <c r="L804" s="6" t="s">
        <v>440</v>
      </c>
      <c r="M804" s="6" t="str">
        <f>VLOOKUP(L804, GLOSSARY!$A:$C, 2, FALSE)</f>
        <v>THE ROAD(S)</v>
      </c>
      <c r="N804" s="6" t="s">
        <v>68</v>
      </c>
      <c r="O804" s="6"/>
      <c r="P804" s="6"/>
      <c r="Q804" s="6"/>
      <c r="R804" s="6"/>
      <c r="S804" s="6"/>
      <c r="T804" s="6"/>
      <c r="U804" s="6"/>
      <c r="V804" s="6"/>
      <c r="W804" s="6"/>
      <c r="X804" s="6"/>
      <c r="Y804" s="6"/>
      <c r="Z804" s="6"/>
      <c r="AA804" s="6"/>
      <c r="AB804" s="6"/>
      <c r="AC804" s="6"/>
      <c r="AD804" s="6"/>
      <c r="AE804" s="6"/>
    </row>
    <row r="805" spans="1:31" ht="191.25" x14ac:dyDescent="0.2">
      <c r="A805" s="6" t="s">
        <v>4806</v>
      </c>
      <c r="B805" s="6" t="s">
        <v>4816</v>
      </c>
      <c r="C805" s="20" t="s">
        <v>4821</v>
      </c>
      <c r="D805" s="6" t="s">
        <v>4822</v>
      </c>
      <c r="E805" s="6"/>
      <c r="F805" s="6" t="s">
        <v>4823</v>
      </c>
      <c r="G805" s="6" t="s">
        <v>4824</v>
      </c>
      <c r="H805" s="6" t="str">
        <f t="shared" si="53"/>
        <v>EGYPT FIELDHANDS
BILLY
THE OVERSEER
COL BARCLAY'S NEGROES(P315
P335
P43
P322)</v>
      </c>
      <c r="I805" s="6" t="s">
        <v>784</v>
      </c>
      <c r="J805" s="6"/>
      <c r="K805" s="6"/>
      <c r="L805" s="6" t="s">
        <v>440</v>
      </c>
      <c r="M805" s="6" t="str">
        <f>VLOOKUP(L805, GLOSSARY!$A:$C, 2, FALSE)</f>
        <v>THE ROAD(S)</v>
      </c>
      <c r="N805" s="6" t="s">
        <v>68</v>
      </c>
      <c r="O805" s="6"/>
      <c r="P805" s="6"/>
      <c r="Q805" s="6"/>
      <c r="R805" s="6"/>
      <c r="S805" s="6"/>
      <c r="T805" s="6"/>
      <c r="U805" s="6"/>
      <c r="V805" s="6"/>
      <c r="W805" s="6"/>
      <c r="X805" s="6"/>
      <c r="Y805" s="6"/>
      <c r="Z805" s="6"/>
      <c r="AA805" s="6"/>
      <c r="AB805" s="6"/>
      <c r="AC805" s="6"/>
      <c r="AD805" s="6"/>
      <c r="AE805" s="6"/>
    </row>
    <row r="806" spans="1:31" ht="409.5" x14ac:dyDescent="0.2">
      <c r="A806" s="6" t="s">
        <v>4806</v>
      </c>
      <c r="B806" s="6" t="s">
        <v>1160</v>
      </c>
      <c r="C806" s="20" t="s">
        <v>4825</v>
      </c>
      <c r="D806" s="6" t="s">
        <v>4826</v>
      </c>
      <c r="E806" s="6"/>
      <c r="F806" s="6" t="s">
        <v>4827</v>
      </c>
      <c r="G806" s="6" t="s">
        <v>4828</v>
      </c>
      <c r="H806" s="6" t="str">
        <f t="shared" si="53"/>
        <v>CAMBRIDGE
DOVER
HAZAT
JOB
LONDON
NEPTUNE
PERO
PETER
PHILIP
PORT ROYAL
SAWNY
SIMON
EGYPT SILVIA [ADULT]
ELLIN
AMELIA
EGYPT LUCY
LYDDE
MAZARINE
QUASHEBA [EGYPT]
ROSANNA
EGYPT SUSANNAH
MOUNTAIN SUSANNAH
VIOLET
ANJAW
LITTLE DOLL
FRANKE
EGYPT LITTLE PHIBBAH
LITTLE COFFEE
DAGO
SYPHOX
(P337
P139
P87
P29
P249
P107
P336
P338
P339
P212
P85
P122
P33
P340
P3
P255
P254
P123
P185
P238
P296
P117
P166
P247
P194
P325
P341
P121
P62)</v>
      </c>
      <c r="I806" s="6" t="s">
        <v>784</v>
      </c>
      <c r="J806" s="6"/>
      <c r="K806" s="6"/>
      <c r="L806" s="6" t="s">
        <v>55</v>
      </c>
      <c r="M806" s="6" t="str">
        <f>VLOOKUP(L806, GLOSSARY!$A:$C, 2, FALSE)</f>
        <v>EGYPT ESTATE</v>
      </c>
      <c r="N806" s="6" t="s">
        <v>68</v>
      </c>
      <c r="O806" s="6"/>
      <c r="P806" s="6"/>
      <c r="Q806" s="6"/>
      <c r="R806" s="6"/>
      <c r="S806" s="6"/>
      <c r="T806" s="6"/>
      <c r="U806" s="6"/>
      <c r="V806" s="6"/>
      <c r="W806" s="6"/>
      <c r="X806" s="6"/>
      <c r="Y806" s="6"/>
      <c r="Z806" s="6"/>
      <c r="AA806" s="6"/>
      <c r="AB806" s="6"/>
      <c r="AC806" s="6"/>
      <c r="AD806" s="6"/>
      <c r="AE806" s="6"/>
    </row>
    <row r="807" spans="1:31" ht="63.75" x14ac:dyDescent="0.2">
      <c r="A807" s="6" t="s">
        <v>4829</v>
      </c>
      <c r="B807" s="6" t="s">
        <v>4830</v>
      </c>
      <c r="C807" s="20" t="s">
        <v>4831</v>
      </c>
      <c r="D807" s="6" t="s">
        <v>4832</v>
      </c>
      <c r="E807" s="6"/>
      <c r="F807" s="6" t="s">
        <v>4833</v>
      </c>
      <c r="G807" s="6" t="s">
        <v>4834</v>
      </c>
      <c r="H807" s="6" t="str">
        <f>CONCATENATE(F807," (",G807,")")</f>
        <v>THE OVERSEER
EGYPT LUCY (P43
P3)</v>
      </c>
      <c r="I807" s="6" t="s">
        <v>784</v>
      </c>
      <c r="J807" s="6"/>
      <c r="K807" s="6"/>
      <c r="L807" s="6" t="s">
        <v>55</v>
      </c>
      <c r="M807" s="6" t="str">
        <f>VLOOKUP(L807, GLOSSARY!$A:$C, 2, FALSE)</f>
        <v>EGYPT ESTATE</v>
      </c>
      <c r="N807" s="6" t="s">
        <v>68</v>
      </c>
      <c r="O807" s="6"/>
      <c r="P807" s="6"/>
      <c r="Q807" s="6"/>
      <c r="R807" s="6"/>
      <c r="S807" s="6"/>
      <c r="T807" s="6"/>
      <c r="U807" s="6"/>
      <c r="V807" s="6"/>
      <c r="W807" s="6"/>
      <c r="X807" s="6"/>
      <c r="Y807" s="6"/>
      <c r="Z807" s="6"/>
      <c r="AA807" s="6"/>
      <c r="AB807" s="6"/>
      <c r="AC807" s="6"/>
      <c r="AD807" s="6"/>
      <c r="AE807" s="6"/>
    </row>
    <row r="808" spans="1:31" ht="76.5" x14ac:dyDescent="0.2">
      <c r="A808" s="6" t="s">
        <v>4835</v>
      </c>
      <c r="B808" s="6" t="s">
        <v>4830</v>
      </c>
      <c r="C808" s="20" t="s">
        <v>4831</v>
      </c>
      <c r="D808" s="6" t="s">
        <v>4836</v>
      </c>
      <c r="E808" s="6"/>
      <c r="F808" s="6" t="s">
        <v>4837</v>
      </c>
      <c r="G808" s="6" t="s">
        <v>4838</v>
      </c>
      <c r="H808" s="6" t="str">
        <f t="shared" ref="H808:H815" si="54">CONCATENATE(F808,"(",G808,")")</f>
        <v>THE OVERSEER
AMBO
LEWIE(P43
P170
P317)</v>
      </c>
      <c r="I808" s="6" t="s">
        <v>112</v>
      </c>
      <c r="J808" s="6"/>
      <c r="K808" s="6"/>
      <c r="L808" s="6" t="s">
        <v>55</v>
      </c>
      <c r="M808" s="6" t="str">
        <f>VLOOKUP(L808, GLOSSARY!$A:$C, 2, FALSE)</f>
        <v>EGYPT ESTATE</v>
      </c>
      <c r="N808" s="6"/>
      <c r="O808" s="6"/>
      <c r="P808" s="6"/>
      <c r="Q808" s="6"/>
      <c r="R808" s="6"/>
      <c r="S808" s="6"/>
      <c r="T808" s="6"/>
      <c r="U808" s="6"/>
      <c r="V808" s="6"/>
      <c r="W808" s="6"/>
      <c r="X808" s="6"/>
      <c r="Y808" s="6"/>
      <c r="Z808" s="6"/>
      <c r="AA808" s="6"/>
      <c r="AB808" s="6"/>
      <c r="AC808" s="6"/>
      <c r="AD808" s="6"/>
      <c r="AE808" s="6"/>
    </row>
    <row r="809" spans="1:31" ht="114.75" x14ac:dyDescent="0.2">
      <c r="A809" s="6" t="s">
        <v>4839</v>
      </c>
      <c r="B809" s="6" t="s">
        <v>4840</v>
      </c>
      <c r="C809" s="20" t="s">
        <v>4831</v>
      </c>
      <c r="D809" s="6" t="s">
        <v>4841</v>
      </c>
      <c r="E809" s="6"/>
      <c r="F809" s="6" t="s">
        <v>4842</v>
      </c>
      <c r="G809" s="6" t="s">
        <v>4843</v>
      </c>
      <c r="H809" s="6" t="str">
        <f t="shared" si="54"/>
        <v>PERO
HAZAT
QUASHE(P284
P336
P87)</v>
      </c>
      <c r="I809" s="6" t="s">
        <v>784</v>
      </c>
      <c r="J809" s="6"/>
      <c r="K809" s="6"/>
      <c r="L809" s="6" t="s">
        <v>55</v>
      </c>
      <c r="M809" s="6" t="str">
        <f>VLOOKUP(L809, GLOSSARY!$A:$C, 2, FALSE)</f>
        <v>EGYPT ESTATE</v>
      </c>
      <c r="N809" s="6" t="s">
        <v>68</v>
      </c>
      <c r="O809" s="6"/>
      <c r="P809" s="6"/>
      <c r="Q809" s="6"/>
      <c r="R809" s="6"/>
      <c r="S809" s="6"/>
      <c r="T809" s="6"/>
      <c r="U809" s="6"/>
      <c r="V809" s="6"/>
      <c r="W809" s="6"/>
      <c r="X809" s="6"/>
      <c r="Y809" s="6"/>
      <c r="Z809" s="6"/>
      <c r="AA809" s="6"/>
      <c r="AB809" s="6"/>
      <c r="AC809" s="6"/>
      <c r="AD809" s="6"/>
      <c r="AE809" s="6"/>
    </row>
    <row r="810" spans="1:31" ht="63.75" x14ac:dyDescent="0.2">
      <c r="A810" s="6" t="s">
        <v>4835</v>
      </c>
      <c r="B810" s="6" t="s">
        <v>4844</v>
      </c>
      <c r="C810" s="20" t="s">
        <v>4845</v>
      </c>
      <c r="D810" s="6" t="s">
        <v>4846</v>
      </c>
      <c r="E810" s="6"/>
      <c r="F810" s="6" t="s">
        <v>1240</v>
      </c>
      <c r="G810" s="6" t="s">
        <v>1241</v>
      </c>
      <c r="H810" s="6" t="str">
        <f t="shared" si="54"/>
        <v>THE OVERSEER
AMBO(P43
P170)</v>
      </c>
      <c r="I810" s="6" t="s">
        <v>112</v>
      </c>
      <c r="J810" s="6"/>
      <c r="K810" s="6"/>
      <c r="L810" s="6" t="s">
        <v>55</v>
      </c>
      <c r="M810" s="6" t="str">
        <f>VLOOKUP(L810, GLOSSARY!$A:$C, 2, FALSE)</f>
        <v>EGYPT ESTATE</v>
      </c>
      <c r="N810" s="6" t="s">
        <v>68</v>
      </c>
      <c r="O810" s="6"/>
      <c r="P810" s="6"/>
      <c r="Q810" s="6"/>
      <c r="R810" s="6"/>
      <c r="S810" s="6"/>
      <c r="T810" s="6"/>
      <c r="U810" s="6"/>
      <c r="V810" s="6"/>
      <c r="W810" s="6"/>
      <c r="X810" s="6"/>
      <c r="Y810" s="6"/>
      <c r="Z810" s="6"/>
      <c r="AA810" s="6"/>
      <c r="AB810" s="6"/>
      <c r="AC810" s="6"/>
      <c r="AD810" s="6"/>
      <c r="AE810" s="6"/>
    </row>
    <row r="811" spans="1:31" ht="216.75" x14ac:dyDescent="0.2">
      <c r="A811" s="6" t="s">
        <v>4806</v>
      </c>
      <c r="B811" s="6" t="s">
        <v>4847</v>
      </c>
      <c r="C811" s="20" t="s">
        <v>4848</v>
      </c>
      <c r="D811" s="6" t="s">
        <v>4849</v>
      </c>
      <c r="E811" s="6"/>
      <c r="F811" s="6" t="s">
        <v>4850</v>
      </c>
      <c r="G811" s="6" t="s">
        <v>4851</v>
      </c>
      <c r="H811" s="6" t="str">
        <f t="shared" si="54"/>
        <v>PERO
HAZAT
SARAH
SILVIA
EGYPT FIELDHANDS(P87
P336
P106
P122
P315)</v>
      </c>
      <c r="I811" s="6" t="s">
        <v>784</v>
      </c>
      <c r="J811" s="6"/>
      <c r="K811" s="6"/>
      <c r="L811" s="6" t="s">
        <v>55</v>
      </c>
      <c r="M811" s="6" t="str">
        <f>VLOOKUP(L811, GLOSSARY!$A:$C, 2, FALSE)</f>
        <v>EGYPT ESTATE</v>
      </c>
      <c r="N811" s="6" t="s">
        <v>68</v>
      </c>
      <c r="O811" s="6"/>
      <c r="P811" s="6"/>
      <c r="Q811" s="6"/>
      <c r="R811" s="6"/>
      <c r="S811" s="6"/>
      <c r="T811" s="6"/>
      <c r="U811" s="6"/>
      <c r="V811" s="6"/>
      <c r="W811" s="6"/>
      <c r="X811" s="6"/>
      <c r="Y811" s="6"/>
      <c r="Z811" s="6"/>
      <c r="AA811" s="6"/>
      <c r="AB811" s="6"/>
      <c r="AC811" s="6"/>
      <c r="AD811" s="6"/>
      <c r="AE811" s="6"/>
    </row>
    <row r="812" spans="1:31" ht="409.5" x14ac:dyDescent="0.2">
      <c r="A812" s="6" t="s">
        <v>4806</v>
      </c>
      <c r="B812" s="6" t="s">
        <v>1180</v>
      </c>
      <c r="C812" s="20" t="s">
        <v>4852</v>
      </c>
      <c r="D812" s="6" t="s">
        <v>4853</v>
      </c>
      <c r="E812" s="6"/>
      <c r="F812" s="6" t="s">
        <v>4854</v>
      </c>
      <c r="G812" s="6" t="s">
        <v>4855</v>
      </c>
      <c r="H812" s="6" t="str">
        <f t="shared" si="54"/>
        <v>MASON QUASHE
LUTHE
JOASE
CHRISTOPHER
PERO
HAZAT
SARAH
PRINCESS
SILVIA
ADAM
CUBBAH
EGYPT L. PHIBBAH
EVE
SAWNY
SIMON
MINOR
PLUTO
PETER(P25
P349
P350
P351
P336
P87
P106
P27
P122
P209
P352
P325
P128
P339
P85
P191
P276
P338)</v>
      </c>
      <c r="I812" s="6" t="s">
        <v>784</v>
      </c>
      <c r="J812" s="6"/>
      <c r="K812" s="6"/>
      <c r="L812" s="6" t="s">
        <v>55</v>
      </c>
      <c r="M812" s="6" t="str">
        <f>VLOOKUP(L812, GLOSSARY!$A:$C, 2, FALSE)</f>
        <v>EGYPT ESTATE</v>
      </c>
      <c r="N812" s="6" t="s">
        <v>68</v>
      </c>
      <c r="O812" s="6"/>
      <c r="P812" s="6"/>
      <c r="Q812" s="6"/>
      <c r="R812" s="6"/>
      <c r="S812" s="6"/>
      <c r="T812" s="6"/>
      <c r="U812" s="6"/>
      <c r="V812" s="6"/>
      <c r="W812" s="6"/>
      <c r="X812" s="6"/>
      <c r="Y812" s="6"/>
      <c r="Z812" s="6"/>
      <c r="AA812" s="6"/>
      <c r="AB812" s="6"/>
      <c r="AC812" s="6"/>
      <c r="AD812" s="6"/>
      <c r="AE812" s="6"/>
    </row>
    <row r="813" spans="1:31" ht="63.75" x14ac:dyDescent="0.2">
      <c r="A813" s="6" t="s">
        <v>4856</v>
      </c>
      <c r="B813" s="6" t="s">
        <v>1180</v>
      </c>
      <c r="C813" s="20" t="s">
        <v>4852</v>
      </c>
      <c r="D813" s="6" t="s">
        <v>4857</v>
      </c>
      <c r="E813" s="6"/>
      <c r="F813" s="6" t="s">
        <v>2294</v>
      </c>
      <c r="G813" s="6" t="s">
        <v>2293</v>
      </c>
      <c r="H813" s="6" t="str">
        <f t="shared" si="54"/>
        <v>MR. HALL(P417)</v>
      </c>
      <c r="I813" s="6" t="s">
        <v>26</v>
      </c>
      <c r="J813" s="6"/>
      <c r="K813" s="6"/>
      <c r="L813" s="6" t="s">
        <v>3107</v>
      </c>
      <c r="M813" s="6" t="str">
        <f>VLOOKUP(L813, GLOSSARY!$A:$C, 2, FALSE)</f>
        <v>MR. HALL'S RIVER</v>
      </c>
      <c r="N813" s="6" t="s">
        <v>68</v>
      </c>
      <c r="O813" s="6"/>
      <c r="P813" s="6"/>
      <c r="Q813" s="6"/>
      <c r="R813" s="6"/>
      <c r="S813" s="6"/>
      <c r="T813" s="6"/>
      <c r="U813" s="6"/>
      <c r="V813" s="6"/>
      <c r="W813" s="6"/>
      <c r="X813" s="6"/>
      <c r="Y813" s="6"/>
      <c r="Z813" s="6"/>
      <c r="AA813" s="6"/>
      <c r="AB813" s="6"/>
      <c r="AC813" s="6"/>
      <c r="AD813" s="6"/>
      <c r="AE813" s="6"/>
    </row>
    <row r="814" spans="1:31" ht="127.5" x14ac:dyDescent="0.2">
      <c r="A814" s="6" t="s">
        <v>4806</v>
      </c>
      <c r="B814" s="6" t="s">
        <v>1186</v>
      </c>
      <c r="C814" s="20" t="s">
        <v>4858</v>
      </c>
      <c r="D814" s="6" t="s">
        <v>4859</v>
      </c>
      <c r="E814" s="6"/>
      <c r="F814" s="6" t="s">
        <v>779</v>
      </c>
      <c r="G814" s="6" t="s">
        <v>780</v>
      </c>
      <c r="H814" s="6" t="str">
        <f t="shared" si="54"/>
        <v>EGYPT FIELDHANDS(P315)</v>
      </c>
      <c r="I814" s="6" t="s">
        <v>784</v>
      </c>
      <c r="J814" s="6"/>
      <c r="K814" s="6"/>
      <c r="L814" s="6" t="s">
        <v>55</v>
      </c>
      <c r="M814" s="6" t="str">
        <f>VLOOKUP(L814, GLOSSARY!$A:$C, 2, FALSE)</f>
        <v>EGYPT ESTATE</v>
      </c>
      <c r="N814" s="6" t="s">
        <v>68</v>
      </c>
      <c r="O814" s="6"/>
      <c r="P814" s="6"/>
      <c r="Q814" s="6"/>
      <c r="R814" s="6"/>
      <c r="S814" s="6"/>
      <c r="T814" s="6"/>
      <c r="U814" s="6"/>
      <c r="V814" s="6"/>
      <c r="W814" s="6"/>
      <c r="X814" s="6"/>
      <c r="Y814" s="6"/>
      <c r="Z814" s="6"/>
      <c r="AA814" s="6"/>
      <c r="AB814" s="6"/>
      <c r="AC814" s="6"/>
      <c r="AD814" s="6"/>
      <c r="AE814" s="6"/>
    </row>
    <row r="815" spans="1:31" ht="12.75" x14ac:dyDescent="0.2">
      <c r="A815" s="6" t="s">
        <v>4835</v>
      </c>
      <c r="B815" s="6" t="s">
        <v>4860</v>
      </c>
      <c r="C815" s="20" t="s">
        <v>4861</v>
      </c>
      <c r="D815" s="6" t="s">
        <v>4862</v>
      </c>
      <c r="E815" s="6"/>
      <c r="F815" s="6" t="s">
        <v>1082</v>
      </c>
      <c r="G815" s="6" t="s">
        <v>1080</v>
      </c>
      <c r="H815" s="6" t="str">
        <f t="shared" si="54"/>
        <v>AMBO(P170)</v>
      </c>
      <c r="I815" s="6" t="s">
        <v>112</v>
      </c>
      <c r="J815" s="6"/>
      <c r="K815" s="6"/>
      <c r="L815" s="6" t="s">
        <v>785</v>
      </c>
      <c r="M815" s="6" t="str">
        <f>VLOOKUP(L815, GLOSSARY!$A:$C, 2, FALSE)</f>
        <v>EGYPT ESTATE</v>
      </c>
      <c r="N815" s="6" t="s">
        <v>68</v>
      </c>
      <c r="O815" s="6"/>
      <c r="P815" s="6"/>
      <c r="Q815" s="6"/>
      <c r="R815" s="6"/>
      <c r="S815" s="6"/>
      <c r="T815" s="6"/>
      <c r="U815" s="6"/>
      <c r="V815" s="6"/>
      <c r="W815" s="6"/>
      <c r="X815" s="6"/>
      <c r="Y815" s="6"/>
      <c r="Z815" s="6"/>
      <c r="AA815" s="6"/>
      <c r="AB815" s="6"/>
      <c r="AC815" s="6"/>
      <c r="AD815" s="6"/>
      <c r="AE815" s="6"/>
    </row>
    <row r="816" spans="1:31" ht="89.25" x14ac:dyDescent="0.2">
      <c r="A816" s="6" t="s">
        <v>4863</v>
      </c>
      <c r="B816" s="6" t="s">
        <v>1207</v>
      </c>
      <c r="C816" s="20" t="s">
        <v>4864</v>
      </c>
      <c r="D816" s="6" t="s">
        <v>4865</v>
      </c>
      <c r="E816" s="6"/>
      <c r="F816" s="6" t="s">
        <v>4866</v>
      </c>
      <c r="G816" s="6" t="s">
        <v>4867</v>
      </c>
      <c r="H816" s="6" t="str">
        <f>CONCATENATE(F816," (",G816,")")</f>
        <v>PHIBBAH
NANCY
THE OVERSEER (P7
P8
P43)</v>
      </c>
      <c r="I816" s="6" t="s">
        <v>342</v>
      </c>
      <c r="J816" s="6"/>
      <c r="K816" s="6"/>
      <c r="L816" s="6" t="s">
        <v>99</v>
      </c>
      <c r="M816" s="6" t="str">
        <f>VLOOKUP(L816, GLOSSARY!$A:$C, 2, FALSE)</f>
        <v>PARADISE ESTATE</v>
      </c>
      <c r="N816" s="6" t="s">
        <v>167</v>
      </c>
      <c r="O816" s="6"/>
      <c r="P816" s="6"/>
      <c r="Q816" s="6"/>
      <c r="R816" s="6"/>
      <c r="S816" s="6"/>
      <c r="T816" s="6"/>
      <c r="U816" s="6"/>
      <c r="V816" s="6"/>
      <c r="W816" s="6"/>
      <c r="X816" s="6"/>
      <c r="Y816" s="6"/>
      <c r="Z816" s="6"/>
      <c r="AA816" s="6"/>
      <c r="AB816" s="6"/>
      <c r="AC816" s="6"/>
      <c r="AD816" s="6"/>
      <c r="AE816" s="6"/>
    </row>
    <row r="817" spans="1:31" ht="38.25" x14ac:dyDescent="0.2">
      <c r="A817" s="6" t="s">
        <v>4835</v>
      </c>
      <c r="B817" s="6" t="s">
        <v>4868</v>
      </c>
      <c r="C817" s="20" t="s">
        <v>4864</v>
      </c>
      <c r="D817" s="6" t="s">
        <v>4869</v>
      </c>
      <c r="E817" s="6"/>
      <c r="F817" s="6" t="s">
        <v>1240</v>
      </c>
      <c r="G817" s="6" t="s">
        <v>1241</v>
      </c>
      <c r="H817" s="6" t="str">
        <f>CONCATENATE(F817,"(",G817,")")</f>
        <v>THE OVERSEER
AMBO(P43
P170)</v>
      </c>
      <c r="I817" s="6" t="s">
        <v>112</v>
      </c>
      <c r="J817" s="6"/>
      <c r="K817" s="6"/>
      <c r="L817" s="6" t="s">
        <v>55</v>
      </c>
      <c r="M817" s="6" t="str">
        <f>VLOOKUP(L817, GLOSSARY!$A:$C, 2, FALSE)</f>
        <v>EGYPT ESTATE</v>
      </c>
      <c r="N817" s="6" t="s">
        <v>68</v>
      </c>
      <c r="O817" s="6"/>
      <c r="P817" s="6"/>
      <c r="Q817" s="6"/>
      <c r="R817" s="6"/>
      <c r="S817" s="6"/>
      <c r="T817" s="6"/>
      <c r="U817" s="6"/>
      <c r="V817" s="6"/>
      <c r="W817" s="6"/>
      <c r="X817" s="6"/>
      <c r="Y817" s="6"/>
      <c r="Z817" s="6"/>
      <c r="AA817" s="6"/>
      <c r="AB817" s="6"/>
      <c r="AC817" s="6"/>
      <c r="AD817" s="6"/>
      <c r="AE817" s="6"/>
    </row>
    <row r="818" spans="1:31" ht="51" x14ac:dyDescent="0.2">
      <c r="A818" s="6" t="s">
        <v>4863</v>
      </c>
      <c r="B818" s="6" t="s">
        <v>1207</v>
      </c>
      <c r="C818" s="20" t="s">
        <v>4870</v>
      </c>
      <c r="D818" s="6" t="s">
        <v>4871</v>
      </c>
      <c r="E818" s="6"/>
      <c r="F818" s="6" t="s">
        <v>2135</v>
      </c>
      <c r="G818" s="6" t="s">
        <v>4872</v>
      </c>
      <c r="H818" s="6" t="str">
        <f>CONCATENATE(F818," (",G818,")")</f>
        <v>PHIBBAH
THE OVERSEER (P7
P433)</v>
      </c>
      <c r="I818" s="6" t="s">
        <v>957</v>
      </c>
      <c r="J818" s="6"/>
      <c r="K818" s="6"/>
      <c r="L818" s="6" t="s">
        <v>55</v>
      </c>
      <c r="M818" s="6" t="str">
        <f>VLOOKUP(L818, GLOSSARY!$A:$C, 2, FALSE)</f>
        <v>EGYPT ESTATE</v>
      </c>
      <c r="N818" s="6" t="s">
        <v>68</v>
      </c>
      <c r="O818" s="6"/>
      <c r="P818" s="6"/>
      <c r="Q818" s="6"/>
      <c r="R818" s="6"/>
      <c r="S818" s="6"/>
      <c r="T818" s="6"/>
      <c r="U818" s="6"/>
      <c r="V818" s="6"/>
      <c r="W818" s="6"/>
      <c r="X818" s="6"/>
      <c r="Y818" s="6"/>
      <c r="Z818" s="6"/>
      <c r="AA818" s="6"/>
      <c r="AB818" s="6"/>
      <c r="AC818" s="6"/>
      <c r="AD818" s="6"/>
      <c r="AE818" s="6"/>
    </row>
    <row r="819" spans="1:31" ht="63.75" x14ac:dyDescent="0.2">
      <c r="A819" s="6" t="s">
        <v>4835</v>
      </c>
      <c r="B819" s="6" t="s">
        <v>4873</v>
      </c>
      <c r="C819" s="20" t="s">
        <v>4874</v>
      </c>
      <c r="D819" s="6" t="s">
        <v>4875</v>
      </c>
      <c r="E819" s="6"/>
      <c r="F819" s="6" t="s">
        <v>1240</v>
      </c>
      <c r="G819" s="6" t="s">
        <v>1241</v>
      </c>
      <c r="H819" s="6" t="str">
        <f t="shared" ref="H819:H828" si="55">CONCATENATE(F819,"(",G819,")")</f>
        <v>THE OVERSEER
AMBO(P43
P170)</v>
      </c>
      <c r="I819" s="6" t="s">
        <v>112</v>
      </c>
      <c r="J819" s="6"/>
      <c r="K819" s="6"/>
      <c r="L819" s="6" t="s">
        <v>55</v>
      </c>
      <c r="M819" s="6" t="str">
        <f>VLOOKUP(L819, GLOSSARY!$A:$C, 2, FALSE)</f>
        <v>EGYPT ESTATE</v>
      </c>
      <c r="N819" s="6" t="s">
        <v>68</v>
      </c>
      <c r="O819" s="6"/>
      <c r="P819" s="6"/>
      <c r="Q819" s="6"/>
      <c r="R819" s="6"/>
      <c r="S819" s="6"/>
      <c r="T819" s="6"/>
      <c r="U819" s="6"/>
      <c r="V819" s="6"/>
      <c r="W819" s="6"/>
      <c r="X819" s="6"/>
      <c r="Y819" s="6"/>
      <c r="Z819" s="6"/>
      <c r="AA819" s="6"/>
      <c r="AB819" s="6"/>
      <c r="AC819" s="6"/>
      <c r="AD819" s="6"/>
      <c r="AE819" s="6"/>
    </row>
    <row r="820" spans="1:31" ht="38.25" x14ac:dyDescent="0.2">
      <c r="A820" s="6" t="s">
        <v>4835</v>
      </c>
      <c r="B820" s="6" t="s">
        <v>4873</v>
      </c>
      <c r="C820" s="20" t="s">
        <v>4874</v>
      </c>
      <c r="D820" s="6" t="s">
        <v>4876</v>
      </c>
      <c r="E820" s="6"/>
      <c r="F820" s="6" t="s">
        <v>48</v>
      </c>
      <c r="G820" s="6" t="s">
        <v>50</v>
      </c>
      <c r="H820" s="6" t="str">
        <f t="shared" si="55"/>
        <v>THE OVERSEER(P43)</v>
      </c>
      <c r="I820" s="6" t="s">
        <v>198</v>
      </c>
      <c r="J820" s="6"/>
      <c r="K820" s="6"/>
      <c r="L820" s="6" t="s">
        <v>55</v>
      </c>
      <c r="M820" s="6" t="str">
        <f>VLOOKUP(L820, GLOSSARY!$A:$C, 2, FALSE)</f>
        <v>EGYPT ESTATE</v>
      </c>
      <c r="N820" s="6" t="s">
        <v>68</v>
      </c>
      <c r="O820" s="6"/>
      <c r="P820" s="6"/>
      <c r="Q820" s="6"/>
      <c r="R820" s="6"/>
      <c r="S820" s="6"/>
      <c r="T820" s="6"/>
      <c r="U820" s="6"/>
      <c r="V820" s="6"/>
      <c r="W820" s="6"/>
      <c r="X820" s="6"/>
      <c r="Y820" s="6"/>
      <c r="Z820" s="6"/>
      <c r="AA820" s="6"/>
      <c r="AB820" s="6"/>
      <c r="AC820" s="6"/>
      <c r="AD820" s="6"/>
      <c r="AE820" s="6"/>
    </row>
    <row r="821" spans="1:31" ht="140.25" x14ac:dyDescent="0.2">
      <c r="A821" s="6" t="s">
        <v>4835</v>
      </c>
      <c r="B821" s="6" t="s">
        <v>4877</v>
      </c>
      <c r="C821" s="20" t="s">
        <v>4878</v>
      </c>
      <c r="D821" s="6" t="s">
        <v>4879</v>
      </c>
      <c r="E821" s="6"/>
      <c r="F821" s="6" t="s">
        <v>4880</v>
      </c>
      <c r="G821" s="6" t="s">
        <v>4881</v>
      </c>
      <c r="H821" s="6" t="str">
        <f t="shared" si="55"/>
        <v>AMBO
ABRAHAM
BENJAMIN
PUNCH
SAWNY
NEPTUNE(P170
P360
P413
P348
P339
P107)</v>
      </c>
      <c r="I821" s="6" t="s">
        <v>198</v>
      </c>
      <c r="J821" s="6"/>
      <c r="K821" s="6"/>
      <c r="L821" s="6" t="s">
        <v>55</v>
      </c>
      <c r="M821" s="6" t="str">
        <f>VLOOKUP(L821, GLOSSARY!$A:$C, 2, FALSE)</f>
        <v>EGYPT ESTATE</v>
      </c>
      <c r="N821" s="6" t="s">
        <v>68</v>
      </c>
      <c r="O821" s="6"/>
      <c r="P821" s="6"/>
      <c r="Q821" s="6"/>
      <c r="R821" s="6"/>
      <c r="S821" s="6"/>
      <c r="T821" s="6"/>
      <c r="U821" s="6"/>
      <c r="V821" s="6"/>
      <c r="W821" s="6"/>
      <c r="X821" s="6"/>
      <c r="Y821" s="6"/>
      <c r="Z821" s="6"/>
      <c r="AA821" s="6"/>
      <c r="AB821" s="6"/>
      <c r="AC821" s="6"/>
      <c r="AD821" s="6"/>
      <c r="AE821" s="6"/>
    </row>
    <row r="822" spans="1:31" ht="25.5" x14ac:dyDescent="0.2">
      <c r="A822" s="6" t="s">
        <v>4835</v>
      </c>
      <c r="B822" s="6" t="s">
        <v>4877</v>
      </c>
      <c r="C822" s="20" t="s">
        <v>4878</v>
      </c>
      <c r="D822" s="6" t="s">
        <v>4882</v>
      </c>
      <c r="E822" s="6"/>
      <c r="F822" s="6" t="s">
        <v>779</v>
      </c>
      <c r="G822" s="6" t="s">
        <v>780</v>
      </c>
      <c r="H822" s="6" t="str">
        <f t="shared" si="55"/>
        <v>EGYPT FIELDHANDS(P315)</v>
      </c>
      <c r="I822" s="6" t="s">
        <v>784</v>
      </c>
      <c r="J822" s="6"/>
      <c r="K822" s="6"/>
      <c r="L822" s="6" t="s">
        <v>55</v>
      </c>
      <c r="M822" s="6" t="str">
        <f>VLOOKUP(L822, GLOSSARY!$A:$C, 2, FALSE)</f>
        <v>EGYPT ESTATE</v>
      </c>
      <c r="N822" s="6" t="s">
        <v>68</v>
      </c>
      <c r="O822" s="6"/>
      <c r="P822" s="6"/>
      <c r="Q822" s="6"/>
      <c r="R822" s="6"/>
      <c r="S822" s="6"/>
      <c r="T822" s="6"/>
      <c r="U822" s="6"/>
      <c r="V822" s="6"/>
      <c r="W822" s="6"/>
      <c r="X822" s="6"/>
      <c r="Y822" s="6"/>
      <c r="Z822" s="6"/>
      <c r="AA822" s="6"/>
      <c r="AB822" s="6"/>
      <c r="AC822" s="6"/>
      <c r="AD822" s="6"/>
      <c r="AE822" s="6"/>
    </row>
    <row r="823" spans="1:31" ht="38.25" x14ac:dyDescent="0.2">
      <c r="A823" s="6" t="s">
        <v>4806</v>
      </c>
      <c r="B823" s="6" t="s">
        <v>4883</v>
      </c>
      <c r="C823" s="20" t="s">
        <v>4884</v>
      </c>
      <c r="D823" s="6" t="s">
        <v>4885</v>
      </c>
      <c r="E823" s="6"/>
      <c r="F823" s="6" t="s">
        <v>779</v>
      </c>
      <c r="G823" s="6" t="s">
        <v>780</v>
      </c>
      <c r="H823" s="6" t="str">
        <f t="shared" si="55"/>
        <v>EGYPT FIELDHANDS(P315)</v>
      </c>
      <c r="I823" s="6" t="s">
        <v>784</v>
      </c>
      <c r="J823" s="6"/>
      <c r="K823" s="6"/>
      <c r="L823" s="6" t="s">
        <v>55</v>
      </c>
      <c r="M823" s="6" t="str">
        <f>VLOOKUP(L823, GLOSSARY!$A:$C, 2, FALSE)</f>
        <v>EGYPT ESTATE</v>
      </c>
      <c r="N823" s="6" t="s">
        <v>167</v>
      </c>
      <c r="O823" s="6"/>
      <c r="P823" s="6"/>
      <c r="Q823" s="6"/>
      <c r="R823" s="6"/>
      <c r="S823" s="6"/>
      <c r="T823" s="6"/>
      <c r="U823" s="6"/>
      <c r="V823" s="6"/>
      <c r="W823" s="6"/>
      <c r="X823" s="6"/>
      <c r="Y823" s="6"/>
      <c r="Z823" s="6"/>
      <c r="AA823" s="6"/>
      <c r="AB823" s="6"/>
      <c r="AC823" s="6"/>
      <c r="AD823" s="6"/>
      <c r="AE823" s="6"/>
    </row>
    <row r="824" spans="1:31" ht="25.5" x14ac:dyDescent="0.2">
      <c r="A824" s="6" t="s">
        <v>4835</v>
      </c>
      <c r="B824" s="6" t="s">
        <v>4883</v>
      </c>
      <c r="C824" s="20" t="s">
        <v>4884</v>
      </c>
      <c r="D824" s="6" t="s">
        <v>4886</v>
      </c>
      <c r="E824" s="6"/>
      <c r="F824" s="6" t="s">
        <v>2002</v>
      </c>
      <c r="G824" s="6" t="s">
        <v>2001</v>
      </c>
      <c r="H824" s="6" t="str">
        <f t="shared" si="55"/>
        <v>EGYPT COFFEE(P353)</v>
      </c>
      <c r="I824" s="6" t="s">
        <v>784</v>
      </c>
      <c r="J824" s="6"/>
      <c r="K824" s="6"/>
      <c r="L824" s="6" t="s">
        <v>55</v>
      </c>
      <c r="M824" s="6" t="str">
        <f>VLOOKUP(L824, GLOSSARY!$A:$C, 2, FALSE)</f>
        <v>EGYPT ESTATE</v>
      </c>
      <c r="N824" s="6" t="s">
        <v>68</v>
      </c>
      <c r="O824" s="6"/>
      <c r="P824" s="6"/>
      <c r="Q824" s="6"/>
      <c r="R824" s="6"/>
      <c r="S824" s="6"/>
      <c r="T824" s="6"/>
      <c r="U824" s="6"/>
      <c r="V824" s="6"/>
      <c r="W824" s="6"/>
      <c r="X824" s="6"/>
      <c r="Y824" s="6"/>
      <c r="Z824" s="6"/>
      <c r="AA824" s="6"/>
      <c r="AB824" s="6"/>
      <c r="AC824" s="6"/>
      <c r="AD824" s="6"/>
      <c r="AE824" s="6"/>
    </row>
    <row r="825" spans="1:31" ht="191.25" x14ac:dyDescent="0.2">
      <c r="A825" s="6" t="s">
        <v>4887</v>
      </c>
      <c r="B825" s="6" t="s">
        <v>4888</v>
      </c>
      <c r="C825" s="20" t="s">
        <v>4889</v>
      </c>
      <c r="D825" s="6" t="s">
        <v>4890</v>
      </c>
      <c r="E825" s="6"/>
      <c r="F825" s="6" t="s">
        <v>4891</v>
      </c>
      <c r="G825" s="6" t="s">
        <v>4892</v>
      </c>
      <c r="H825" s="6" t="str">
        <f t="shared" si="55"/>
        <v>THE OVERSEER
QUASHEBA
AGNES
EGYPT LUCY
PLUTO
MINOR
PRIMUS
DIDO(P43
P185
P124
P3
P276
P191
P342
P105)</v>
      </c>
      <c r="I825" s="6" t="s">
        <v>139</v>
      </c>
      <c r="J825" s="6"/>
      <c r="K825" s="6"/>
      <c r="L825" s="6" t="s">
        <v>55</v>
      </c>
      <c r="M825" s="6" t="str">
        <f>VLOOKUP(L825, GLOSSARY!$A:$C, 2, FALSE)</f>
        <v>EGYPT ESTATE</v>
      </c>
      <c r="N825" s="6" t="s">
        <v>68</v>
      </c>
      <c r="O825" s="6"/>
      <c r="P825" s="6"/>
      <c r="Q825" s="6"/>
      <c r="R825" s="6"/>
      <c r="S825" s="6"/>
      <c r="T825" s="6"/>
      <c r="U825" s="6"/>
      <c r="V825" s="6"/>
      <c r="W825" s="6"/>
      <c r="X825" s="6"/>
      <c r="Y825" s="6"/>
      <c r="Z825" s="6"/>
      <c r="AA825" s="6"/>
      <c r="AB825" s="6"/>
      <c r="AC825" s="6"/>
      <c r="AD825" s="6"/>
      <c r="AE825" s="6"/>
    </row>
    <row r="826" spans="1:31" ht="25.5" x14ac:dyDescent="0.2">
      <c r="A826" s="6" t="s">
        <v>4835</v>
      </c>
      <c r="B826" s="6" t="s">
        <v>4893</v>
      </c>
      <c r="C826" s="20" t="s">
        <v>4889</v>
      </c>
      <c r="D826" s="6" t="s">
        <v>4894</v>
      </c>
      <c r="E826" s="6"/>
      <c r="F826" s="6" t="s">
        <v>2002</v>
      </c>
      <c r="G826" s="6" t="s">
        <v>2001</v>
      </c>
      <c r="H826" s="6" t="str">
        <f t="shared" si="55"/>
        <v>EGYPT COFFEE(P353)</v>
      </c>
      <c r="I826" s="6" t="s">
        <v>656</v>
      </c>
      <c r="J826" s="6"/>
      <c r="K826" s="6"/>
      <c r="L826" s="6" t="s">
        <v>55</v>
      </c>
      <c r="M826" s="6" t="str">
        <f>VLOOKUP(L826, GLOSSARY!$A:$C, 2, FALSE)</f>
        <v>EGYPT ESTATE</v>
      </c>
      <c r="N826" s="6" t="s">
        <v>68</v>
      </c>
      <c r="O826" s="6"/>
      <c r="P826" s="6"/>
      <c r="Q826" s="6"/>
      <c r="R826" s="6"/>
      <c r="S826" s="6"/>
      <c r="T826" s="6"/>
      <c r="U826" s="6"/>
      <c r="V826" s="6"/>
      <c r="W826" s="6"/>
      <c r="X826" s="6"/>
      <c r="Y826" s="6"/>
      <c r="Z826" s="6"/>
      <c r="AA826" s="6"/>
      <c r="AB826" s="6"/>
      <c r="AC826" s="6"/>
      <c r="AD826" s="6"/>
      <c r="AE826" s="6"/>
    </row>
    <row r="827" spans="1:31" ht="165.75" x14ac:dyDescent="0.2">
      <c r="A827" s="6" t="s">
        <v>4806</v>
      </c>
      <c r="B827" s="6" t="s">
        <v>4888</v>
      </c>
      <c r="C827" s="20" t="s">
        <v>4895</v>
      </c>
      <c r="D827" s="6" t="s">
        <v>4896</v>
      </c>
      <c r="E827" s="6"/>
      <c r="F827" s="6" t="s">
        <v>4897</v>
      </c>
      <c r="G827" s="6" t="s">
        <v>4898</v>
      </c>
      <c r="H827" s="6" t="str">
        <f t="shared" si="55"/>
        <v>QUASHEBA [EGYPT]
AGNES
EGYPT LUCY
PLUTO
MINOR
PRIMUS
DIDO(P185
P124
P3
P276
P191
P342
P105)</v>
      </c>
      <c r="I827" s="6" t="s">
        <v>759</v>
      </c>
      <c r="J827" s="6"/>
      <c r="K827" s="6"/>
      <c r="L827" s="6" t="s">
        <v>55</v>
      </c>
      <c r="M827" s="6" t="str">
        <f>VLOOKUP(L827, GLOSSARY!$A:$C, 2, FALSE)</f>
        <v>EGYPT ESTATE</v>
      </c>
      <c r="N827" s="6" t="s">
        <v>68</v>
      </c>
      <c r="O827" s="6"/>
      <c r="P827" s="6"/>
      <c r="Q827" s="6"/>
      <c r="R827" s="6"/>
      <c r="S827" s="6"/>
      <c r="T827" s="6"/>
      <c r="U827" s="6"/>
      <c r="V827" s="6"/>
      <c r="W827" s="6"/>
      <c r="X827" s="6"/>
      <c r="Y827" s="6"/>
      <c r="Z827" s="6"/>
      <c r="AA827" s="6"/>
      <c r="AB827" s="6"/>
      <c r="AC827" s="6"/>
      <c r="AD827" s="6"/>
      <c r="AE827" s="6"/>
    </row>
    <row r="828" spans="1:31" ht="38.25" x14ac:dyDescent="0.2">
      <c r="A828" s="6" t="s">
        <v>4835</v>
      </c>
      <c r="B828" s="6" t="s">
        <v>4888</v>
      </c>
      <c r="C828" s="20" t="s">
        <v>4895</v>
      </c>
      <c r="D828" s="6" t="s">
        <v>4899</v>
      </c>
      <c r="E828" s="6"/>
      <c r="F828" s="6" t="s">
        <v>4900</v>
      </c>
      <c r="G828" s="6" t="s">
        <v>4901</v>
      </c>
      <c r="H828" s="6" t="str">
        <f t="shared" si="55"/>
        <v>EGYPT COFFEE
RHADAMANTHUS(P353
P374)</v>
      </c>
      <c r="I828" s="6" t="s">
        <v>656</v>
      </c>
      <c r="J828" s="6"/>
      <c r="K828" s="6"/>
      <c r="L828" s="6" t="s">
        <v>657</v>
      </c>
      <c r="M828" s="6" t="str">
        <f>VLOOKUP(L828, GLOSSARY!$A:$C, 2, FALSE)</f>
        <v>UNKNOWN</v>
      </c>
      <c r="N828" s="6" t="s">
        <v>287</v>
      </c>
      <c r="O828" s="6"/>
      <c r="P828" s="6"/>
      <c r="Q828" s="6"/>
      <c r="R828" s="6"/>
      <c r="S828" s="6"/>
      <c r="T828" s="6"/>
      <c r="U828" s="6"/>
      <c r="V828" s="6"/>
      <c r="W828" s="6"/>
      <c r="X828" s="6"/>
      <c r="Y828" s="6"/>
      <c r="Z828" s="6"/>
      <c r="AA828" s="6"/>
      <c r="AB828" s="6"/>
      <c r="AC828" s="6"/>
      <c r="AD828" s="6"/>
      <c r="AE828" s="6"/>
    </row>
    <row r="829" spans="1:31" ht="114.75" x14ac:dyDescent="0.2">
      <c r="A829" s="6" t="s">
        <v>4902</v>
      </c>
      <c r="B829" s="6" t="s">
        <v>4903</v>
      </c>
      <c r="C829" s="20" t="s">
        <v>4904</v>
      </c>
      <c r="D829" s="6" t="s">
        <v>4905</v>
      </c>
      <c r="E829" s="6"/>
      <c r="F829" s="6" t="s">
        <v>4906</v>
      </c>
      <c r="G829" s="6" t="s">
        <v>4907</v>
      </c>
      <c r="H829" s="6" t="str">
        <f>CONCATENATE(F829," (",G829,")")</f>
        <v>MAZARINE
THE OVERSEER
PHIBBAH (P123
P43
P7)</v>
      </c>
      <c r="I829" s="6" t="s">
        <v>409</v>
      </c>
      <c r="J829" s="6"/>
      <c r="K829" s="6"/>
      <c r="L829" s="6" t="s">
        <v>55</v>
      </c>
      <c r="M829" s="6" t="str">
        <f>VLOOKUP(L829, GLOSSARY!$A:$C, 2, FALSE)</f>
        <v>EGYPT ESTATE</v>
      </c>
      <c r="N829" s="6" t="s">
        <v>167</v>
      </c>
      <c r="O829" s="6"/>
      <c r="P829" s="6"/>
      <c r="Q829" s="6"/>
      <c r="R829" s="6"/>
      <c r="S829" s="6"/>
      <c r="T829" s="6"/>
      <c r="U829" s="6"/>
      <c r="V829" s="6"/>
      <c r="W829" s="6"/>
      <c r="X829" s="6"/>
      <c r="Y829" s="6"/>
      <c r="Z829" s="6"/>
      <c r="AA829" s="6"/>
      <c r="AB829" s="6"/>
      <c r="AC829" s="6"/>
      <c r="AD829" s="6"/>
      <c r="AE829" s="6"/>
    </row>
    <row r="830" spans="1:31" ht="89.25" x14ac:dyDescent="0.2">
      <c r="A830" s="6" t="s">
        <v>4806</v>
      </c>
      <c r="B830" s="6" t="s">
        <v>4903</v>
      </c>
      <c r="C830" s="20" t="s">
        <v>4904</v>
      </c>
      <c r="D830" s="6" t="s">
        <v>4908</v>
      </c>
      <c r="E830" s="6"/>
      <c r="F830" s="6" t="s">
        <v>4909</v>
      </c>
      <c r="G830" s="6" t="s">
        <v>4910</v>
      </c>
      <c r="H830" s="6" t="str">
        <f t="shared" ref="H830:H844" si="56">CONCATENATE(F830,"(",G830,")")</f>
        <v>EGYPT FIELDHANDS
MASON QUASHE(P315
P25)</v>
      </c>
      <c r="I830" s="6" t="s">
        <v>784</v>
      </c>
      <c r="J830" s="6"/>
      <c r="K830" s="6"/>
      <c r="L830" s="6" t="s">
        <v>55</v>
      </c>
      <c r="M830" s="6" t="str">
        <f>VLOOKUP(L830, GLOSSARY!$A:$C, 2, FALSE)</f>
        <v>EGYPT ESTATE</v>
      </c>
      <c r="N830" s="6" t="s">
        <v>167</v>
      </c>
      <c r="O830" s="6"/>
      <c r="P830" s="6"/>
      <c r="Q830" s="6"/>
      <c r="R830" s="6"/>
      <c r="S830" s="6"/>
      <c r="T830" s="6"/>
      <c r="U830" s="6"/>
      <c r="V830" s="6"/>
      <c r="W830" s="6"/>
      <c r="X830" s="6"/>
      <c r="Y830" s="6"/>
      <c r="Z830" s="6"/>
      <c r="AA830" s="6"/>
      <c r="AB830" s="6"/>
      <c r="AC830" s="6"/>
      <c r="AD830" s="6"/>
      <c r="AE830" s="6"/>
    </row>
    <row r="831" spans="1:31" ht="25.5" x14ac:dyDescent="0.2">
      <c r="A831" s="6" t="s">
        <v>4835</v>
      </c>
      <c r="B831" s="6" t="s">
        <v>4903</v>
      </c>
      <c r="C831" s="20" t="s">
        <v>4904</v>
      </c>
      <c r="D831" s="6" t="s">
        <v>4911</v>
      </c>
      <c r="E831" s="6"/>
      <c r="F831" s="6" t="s">
        <v>2002</v>
      </c>
      <c r="G831" s="6" t="s">
        <v>2001</v>
      </c>
      <c r="H831" s="6" t="str">
        <f t="shared" si="56"/>
        <v>EGYPT COFFEE(P353)</v>
      </c>
      <c r="I831" s="6" t="s">
        <v>656</v>
      </c>
      <c r="J831" s="6"/>
      <c r="K831" s="6"/>
      <c r="L831" s="6" t="s">
        <v>55</v>
      </c>
      <c r="M831" s="6" t="str">
        <f>VLOOKUP(L831, GLOSSARY!$A:$C, 2, FALSE)</f>
        <v>EGYPT ESTATE</v>
      </c>
      <c r="N831" s="6" t="s">
        <v>167</v>
      </c>
      <c r="O831" s="6"/>
      <c r="P831" s="6"/>
      <c r="Q831" s="6"/>
      <c r="R831" s="6"/>
      <c r="S831" s="6"/>
      <c r="T831" s="6"/>
      <c r="U831" s="6"/>
      <c r="V831" s="6"/>
      <c r="W831" s="6"/>
      <c r="X831" s="6"/>
      <c r="Y831" s="6"/>
      <c r="Z831" s="6"/>
      <c r="AA831" s="6"/>
      <c r="AB831" s="6"/>
      <c r="AC831" s="6"/>
      <c r="AD831" s="6"/>
      <c r="AE831" s="6"/>
    </row>
    <row r="832" spans="1:31" ht="63.75" x14ac:dyDescent="0.2">
      <c r="A832" s="6" t="s">
        <v>4806</v>
      </c>
      <c r="B832" s="6" t="s">
        <v>4912</v>
      </c>
      <c r="C832" s="20" t="s">
        <v>4913</v>
      </c>
      <c r="D832" s="6" t="s">
        <v>4914</v>
      </c>
      <c r="E832" s="6"/>
      <c r="F832" s="6" t="s">
        <v>2364</v>
      </c>
      <c r="G832" s="6" t="s">
        <v>2365</v>
      </c>
      <c r="H832" s="6" t="str">
        <f t="shared" si="56"/>
        <v>MOUNTAIN LUCY
THE OVERSEER(P30
P43)</v>
      </c>
      <c r="I832" s="6" t="s">
        <v>784</v>
      </c>
      <c r="J832" s="6"/>
      <c r="K832" s="6"/>
      <c r="L832" s="6" t="s">
        <v>55</v>
      </c>
      <c r="M832" s="6" t="str">
        <f>VLOOKUP(L832, GLOSSARY!$A:$C, 2, FALSE)</f>
        <v>EGYPT ESTATE</v>
      </c>
      <c r="N832" s="6" t="s">
        <v>68</v>
      </c>
      <c r="O832" s="6"/>
      <c r="P832" s="6"/>
      <c r="Q832" s="6"/>
      <c r="R832" s="6"/>
      <c r="S832" s="6"/>
      <c r="T832" s="6"/>
      <c r="U832" s="6"/>
      <c r="V832" s="6"/>
      <c r="W832" s="6"/>
      <c r="X832" s="6"/>
      <c r="Y832" s="6"/>
      <c r="Z832" s="6"/>
      <c r="AA832" s="6"/>
      <c r="AB832" s="6"/>
      <c r="AC832" s="6"/>
      <c r="AD832" s="6"/>
      <c r="AE832" s="6"/>
    </row>
    <row r="833" spans="1:31" ht="38.25" x14ac:dyDescent="0.2">
      <c r="A833" s="6" t="s">
        <v>4835</v>
      </c>
      <c r="B833" s="6" t="s">
        <v>4912</v>
      </c>
      <c r="C833" s="20" t="s">
        <v>4913</v>
      </c>
      <c r="D833" s="6" t="s">
        <v>4915</v>
      </c>
      <c r="E833" s="6"/>
      <c r="F833" s="6" t="s">
        <v>2300</v>
      </c>
      <c r="G833" s="6" t="s">
        <v>2299</v>
      </c>
      <c r="H833" s="6" t="str">
        <f t="shared" si="56"/>
        <v>ENSLAVED WHEELWRIGHTS(P418)</v>
      </c>
      <c r="I833" s="6" t="s">
        <v>248</v>
      </c>
      <c r="J833" s="6"/>
      <c r="K833" s="6"/>
      <c r="L833" s="6" t="s">
        <v>55</v>
      </c>
      <c r="M833" s="6" t="str">
        <f>VLOOKUP(L833, GLOSSARY!$A:$C, 2, FALSE)</f>
        <v>EGYPT ESTATE</v>
      </c>
      <c r="N833" s="6" t="s">
        <v>68</v>
      </c>
      <c r="O833" s="6"/>
      <c r="P833" s="6"/>
      <c r="Q833" s="6"/>
      <c r="R833" s="6"/>
      <c r="S833" s="6"/>
      <c r="T833" s="6"/>
      <c r="U833" s="6"/>
      <c r="V833" s="6"/>
      <c r="W833" s="6"/>
      <c r="X833" s="6"/>
      <c r="Y833" s="6"/>
      <c r="Z833" s="6"/>
      <c r="AA833" s="6"/>
      <c r="AB833" s="6"/>
      <c r="AC833" s="6"/>
      <c r="AD833" s="6"/>
      <c r="AE833" s="6"/>
    </row>
    <row r="834" spans="1:31" ht="63.75" x14ac:dyDescent="0.2">
      <c r="A834" s="6" t="s">
        <v>4806</v>
      </c>
      <c r="B834" s="6" t="s">
        <v>4912</v>
      </c>
      <c r="C834" s="20" t="s">
        <v>4916</v>
      </c>
      <c r="D834" s="6" t="s">
        <v>4917</v>
      </c>
      <c r="E834" s="6"/>
      <c r="F834" s="6" t="s">
        <v>4918</v>
      </c>
      <c r="G834" s="6" t="s">
        <v>4919</v>
      </c>
      <c r="H834" s="6" t="str">
        <f t="shared" si="56"/>
        <v>EGYPT FIELDHANDS
THE OVERSEER(P315
P43)</v>
      </c>
      <c r="I834" s="6" t="s">
        <v>759</v>
      </c>
      <c r="J834" s="6"/>
      <c r="K834" s="6"/>
      <c r="L834" s="6" t="s">
        <v>55</v>
      </c>
      <c r="M834" s="6" t="str">
        <f>VLOOKUP(L834, GLOSSARY!$A:$C, 2, FALSE)</f>
        <v>EGYPT ESTATE</v>
      </c>
      <c r="N834" s="6" t="s">
        <v>68</v>
      </c>
      <c r="O834" s="6"/>
      <c r="P834" s="6"/>
      <c r="Q834" s="6"/>
      <c r="R834" s="6"/>
      <c r="S834" s="6"/>
      <c r="T834" s="6"/>
      <c r="U834" s="6"/>
      <c r="V834" s="6"/>
      <c r="W834" s="6"/>
      <c r="X834" s="6"/>
      <c r="Y834" s="6"/>
      <c r="Z834" s="6"/>
      <c r="AA834" s="6"/>
      <c r="AB834" s="6"/>
      <c r="AC834" s="6"/>
      <c r="AD834" s="6"/>
      <c r="AE834" s="6"/>
    </row>
    <row r="835" spans="1:31" ht="25.5" x14ac:dyDescent="0.2">
      <c r="A835" s="6" t="s">
        <v>4835</v>
      </c>
      <c r="B835" s="6" t="s">
        <v>4920</v>
      </c>
      <c r="C835" s="20" t="s">
        <v>4921</v>
      </c>
      <c r="D835" s="6" t="s">
        <v>4922</v>
      </c>
      <c r="E835" s="6"/>
      <c r="F835" s="6" t="s">
        <v>2300</v>
      </c>
      <c r="G835" s="6" t="s">
        <v>2302</v>
      </c>
      <c r="H835" s="6" t="str">
        <f t="shared" si="56"/>
        <v>ENSLAVED WHEELWRIGHTS(P419)</v>
      </c>
      <c r="I835" s="6" t="s">
        <v>248</v>
      </c>
      <c r="J835" s="6"/>
      <c r="K835" s="6"/>
      <c r="L835" s="6" t="s">
        <v>55</v>
      </c>
      <c r="M835" s="6" t="str">
        <f>VLOOKUP(L835, GLOSSARY!$A:$C, 2, FALSE)</f>
        <v>EGYPT ESTATE</v>
      </c>
      <c r="N835" s="6" t="s">
        <v>68</v>
      </c>
      <c r="O835" s="6"/>
      <c r="P835" s="6"/>
      <c r="Q835" s="6"/>
      <c r="R835" s="6"/>
      <c r="S835" s="6"/>
      <c r="T835" s="6"/>
      <c r="U835" s="6"/>
      <c r="V835" s="6"/>
      <c r="W835" s="6"/>
      <c r="X835" s="6"/>
      <c r="Y835" s="6"/>
      <c r="Z835" s="6"/>
      <c r="AA835" s="6"/>
      <c r="AB835" s="6"/>
      <c r="AC835" s="6"/>
      <c r="AD835" s="6"/>
      <c r="AE835" s="6"/>
    </row>
    <row r="836" spans="1:31" ht="63.75" x14ac:dyDescent="0.2">
      <c r="A836" s="6" t="s">
        <v>4806</v>
      </c>
      <c r="B836" s="6" t="s">
        <v>4923</v>
      </c>
      <c r="C836" s="20" t="s">
        <v>4924</v>
      </c>
      <c r="D836" s="6" t="s">
        <v>4925</v>
      </c>
      <c r="E836" s="6"/>
      <c r="F836" s="6" t="s">
        <v>779</v>
      </c>
      <c r="G836" s="6" t="s">
        <v>780</v>
      </c>
      <c r="H836" s="6" t="str">
        <f t="shared" si="56"/>
        <v>EGYPT FIELDHANDS(P315)</v>
      </c>
      <c r="I836" s="6" t="s">
        <v>784</v>
      </c>
      <c r="J836" s="6"/>
      <c r="K836" s="6"/>
      <c r="L836" s="6" t="s">
        <v>2839</v>
      </c>
      <c r="M836" s="6" t="str">
        <f>VLOOKUP(L836, GLOSSARY!$A:$C, 2, FALSE)</f>
        <v>EGYPT OLD NEGROE GROUND CANE PIECE</v>
      </c>
      <c r="N836" s="6" t="s">
        <v>68</v>
      </c>
      <c r="O836" s="6"/>
      <c r="P836" s="6"/>
      <c r="Q836" s="6"/>
      <c r="R836" s="6"/>
      <c r="S836" s="6"/>
      <c r="T836" s="6"/>
      <c r="U836" s="6"/>
      <c r="V836" s="6"/>
      <c r="W836" s="6"/>
      <c r="X836" s="6"/>
      <c r="Y836" s="6"/>
      <c r="Z836" s="6"/>
      <c r="AA836" s="6"/>
      <c r="AB836" s="6"/>
      <c r="AC836" s="6"/>
      <c r="AD836" s="6"/>
      <c r="AE836" s="6"/>
    </row>
    <row r="837" spans="1:31" ht="63.75" x14ac:dyDescent="0.2">
      <c r="A837" s="6" t="s">
        <v>4926</v>
      </c>
      <c r="B837" s="6" t="s">
        <v>4927</v>
      </c>
      <c r="C837" s="20" t="s">
        <v>4928</v>
      </c>
      <c r="D837" s="6" t="s">
        <v>4929</v>
      </c>
      <c r="E837" s="6"/>
      <c r="F837" s="6" t="s">
        <v>1261</v>
      </c>
      <c r="G837" s="6" t="s">
        <v>1260</v>
      </c>
      <c r="H837" s="6" t="str">
        <f t="shared" si="56"/>
        <v>MR. WEECH(P202)</v>
      </c>
      <c r="I837" s="6" t="s">
        <v>248</v>
      </c>
      <c r="J837" s="6"/>
      <c r="K837" s="6"/>
      <c r="L837" s="6" t="s">
        <v>99</v>
      </c>
      <c r="M837" s="6" t="str">
        <f>VLOOKUP(L837, GLOSSARY!$A:$C, 2, FALSE)</f>
        <v>PARADISE ESTATE</v>
      </c>
      <c r="N837" s="6"/>
      <c r="O837" s="6"/>
      <c r="P837" s="6"/>
      <c r="Q837" s="6"/>
      <c r="R837" s="6"/>
      <c r="S837" s="6"/>
      <c r="T837" s="6"/>
      <c r="U837" s="6"/>
      <c r="V837" s="6"/>
      <c r="W837" s="6"/>
      <c r="X837" s="6"/>
      <c r="Y837" s="6"/>
      <c r="Z837" s="6"/>
      <c r="AA837" s="6"/>
      <c r="AB837" s="6"/>
      <c r="AC837" s="6"/>
      <c r="AD837" s="6"/>
      <c r="AE837" s="6"/>
    </row>
    <row r="838" spans="1:31" ht="153" x14ac:dyDescent="0.2">
      <c r="A838" s="6" t="s">
        <v>4806</v>
      </c>
      <c r="B838" s="6" t="s">
        <v>4927</v>
      </c>
      <c r="C838" s="20" t="s">
        <v>4928</v>
      </c>
      <c r="D838" s="6" t="s">
        <v>4930</v>
      </c>
      <c r="E838" s="6"/>
      <c r="F838" s="6" t="s">
        <v>4931</v>
      </c>
      <c r="G838" s="6" t="s">
        <v>4932</v>
      </c>
      <c r="H838" s="6" t="str">
        <f t="shared" si="56"/>
        <v>MASON QUASHE
EGYPT FIELDHANDS(P25
P315)</v>
      </c>
      <c r="I838" s="6" t="s">
        <v>784</v>
      </c>
      <c r="J838" s="6"/>
      <c r="K838" s="6"/>
      <c r="L838" s="6" t="s">
        <v>55</v>
      </c>
      <c r="M838" s="6" t="str">
        <f>VLOOKUP(L838, GLOSSARY!$A:$C, 2, FALSE)</f>
        <v>EGYPT ESTATE</v>
      </c>
      <c r="N838" s="6" t="s">
        <v>68</v>
      </c>
      <c r="O838" s="6"/>
      <c r="P838" s="6"/>
      <c r="Q838" s="6"/>
      <c r="R838" s="6"/>
      <c r="S838" s="6"/>
      <c r="T838" s="6"/>
      <c r="U838" s="6"/>
      <c r="V838" s="6"/>
      <c r="W838" s="6"/>
      <c r="X838" s="6"/>
      <c r="Y838" s="6"/>
      <c r="Z838" s="6"/>
      <c r="AA838" s="6"/>
      <c r="AB838" s="6"/>
      <c r="AC838" s="6"/>
      <c r="AD838" s="6"/>
      <c r="AE838" s="6"/>
    </row>
    <row r="839" spans="1:31" ht="140.25" x14ac:dyDescent="0.2">
      <c r="A839" s="6" t="s">
        <v>4835</v>
      </c>
      <c r="B839" s="6" t="s">
        <v>4933</v>
      </c>
      <c r="C839" s="20" t="s">
        <v>4928</v>
      </c>
      <c r="D839" s="6" t="s">
        <v>4934</v>
      </c>
      <c r="E839" s="6"/>
      <c r="F839" s="6" t="s">
        <v>4935</v>
      </c>
      <c r="G839" s="6" t="s">
        <v>4936</v>
      </c>
      <c r="H839" s="6" t="str">
        <f t="shared" si="56"/>
        <v>EGYPT COFFEE
JOHNIE
PORT ROYAL
MOUNTAIN SUSANAH
SYPHOX
SAWNY  (P353
P20
P212
P254
P62
P339)</v>
      </c>
      <c r="I839" s="6" t="s">
        <v>198</v>
      </c>
      <c r="J839" s="6"/>
      <c r="K839" s="6"/>
      <c r="L839" s="6" t="s">
        <v>55</v>
      </c>
      <c r="M839" s="6" t="str">
        <f>VLOOKUP(L839, GLOSSARY!$A:$C, 2, FALSE)</f>
        <v>EGYPT ESTATE</v>
      </c>
      <c r="N839" s="6" t="s">
        <v>68</v>
      </c>
      <c r="O839" s="6"/>
      <c r="P839" s="6"/>
      <c r="Q839" s="6"/>
      <c r="R839" s="6"/>
      <c r="S839" s="6"/>
      <c r="T839" s="6"/>
      <c r="U839" s="6"/>
      <c r="V839" s="6"/>
      <c r="W839" s="6"/>
      <c r="X839" s="6"/>
      <c r="Y839" s="6"/>
      <c r="Z839" s="6"/>
      <c r="AA839" s="6"/>
      <c r="AB839" s="6"/>
      <c r="AC839" s="6"/>
      <c r="AD839" s="6"/>
      <c r="AE839" s="6"/>
    </row>
    <row r="840" spans="1:31" ht="38.25" x14ac:dyDescent="0.2">
      <c r="A840" s="6" t="s">
        <v>4937</v>
      </c>
      <c r="B840" s="6" t="s">
        <v>4938</v>
      </c>
      <c r="C840" s="20" t="s">
        <v>4939</v>
      </c>
      <c r="D840" s="6" t="s">
        <v>4940</v>
      </c>
      <c r="E840" s="6"/>
      <c r="F840" s="6" t="s">
        <v>2010</v>
      </c>
      <c r="G840" s="6" t="s">
        <v>2008</v>
      </c>
      <c r="H840" s="6" t="str">
        <f t="shared" si="56"/>
        <v>FLANDERS(P356)</v>
      </c>
      <c r="I840" s="6" t="s">
        <v>935</v>
      </c>
      <c r="J840" s="6"/>
      <c r="K840" s="6"/>
      <c r="L840" s="6" t="s">
        <v>55</v>
      </c>
      <c r="M840" s="6" t="str">
        <f>VLOOKUP(L840, GLOSSARY!$A:$C, 2, FALSE)</f>
        <v>EGYPT ESTATE</v>
      </c>
      <c r="N840" s="6" t="s">
        <v>68</v>
      </c>
      <c r="O840" s="6"/>
      <c r="P840" s="6"/>
      <c r="Q840" s="6"/>
      <c r="R840" s="6"/>
      <c r="S840" s="6"/>
      <c r="T840" s="6"/>
      <c r="U840" s="6"/>
      <c r="V840" s="6"/>
      <c r="W840" s="6"/>
      <c r="X840" s="6"/>
      <c r="Y840" s="6"/>
      <c r="Z840" s="6"/>
      <c r="AA840" s="6"/>
      <c r="AB840" s="6"/>
      <c r="AC840" s="6"/>
      <c r="AD840" s="6"/>
      <c r="AE840" s="6"/>
    </row>
    <row r="841" spans="1:31" ht="63.75" x14ac:dyDescent="0.2">
      <c r="A841" s="6" t="s">
        <v>4941</v>
      </c>
      <c r="B841" s="6" t="s">
        <v>4942</v>
      </c>
      <c r="C841" s="20" t="s">
        <v>4943</v>
      </c>
      <c r="D841" s="6" t="s">
        <v>4944</v>
      </c>
      <c r="E841" s="6"/>
      <c r="F841" s="6" t="s">
        <v>4945</v>
      </c>
      <c r="G841" s="6" t="s">
        <v>4946</v>
      </c>
      <c r="H841" s="6" t="str">
        <f t="shared" si="56"/>
        <v>MOUNTAIN LUCY
LEWIE(P30
P317)</v>
      </c>
      <c r="I841" s="6" t="s">
        <v>112</v>
      </c>
      <c r="J841" s="6"/>
      <c r="K841" s="6"/>
      <c r="L841" s="6" t="s">
        <v>55</v>
      </c>
      <c r="M841" s="6" t="str">
        <f>VLOOKUP(L841, GLOSSARY!$A:$C, 2, FALSE)</f>
        <v>EGYPT ESTATE</v>
      </c>
      <c r="N841" s="6" t="s">
        <v>68</v>
      </c>
      <c r="O841" s="6"/>
      <c r="P841" s="6"/>
      <c r="Q841" s="6"/>
      <c r="R841" s="6"/>
      <c r="S841" s="6"/>
      <c r="T841" s="6"/>
      <c r="U841" s="6"/>
      <c r="V841" s="6"/>
      <c r="W841" s="6"/>
      <c r="X841" s="6"/>
      <c r="Y841" s="6"/>
      <c r="Z841" s="6"/>
      <c r="AA841" s="6"/>
      <c r="AB841" s="6"/>
      <c r="AC841" s="6"/>
      <c r="AD841" s="6"/>
      <c r="AE841" s="6"/>
    </row>
    <row r="842" spans="1:31" ht="114.75" x14ac:dyDescent="0.2">
      <c r="A842" s="6" t="s">
        <v>4947</v>
      </c>
      <c r="B842" s="6" t="s">
        <v>4938</v>
      </c>
      <c r="C842" s="20" t="s">
        <v>4943</v>
      </c>
      <c r="D842" s="6" t="s">
        <v>4948</v>
      </c>
      <c r="E842" s="6"/>
      <c r="F842" s="6" t="s">
        <v>4949</v>
      </c>
      <c r="G842" s="6" t="s">
        <v>4950</v>
      </c>
      <c r="H842" s="6" t="str">
        <f t="shared" si="56"/>
        <v>MRS. EMOTSON
ABBA
PHIBBAH(P9
P93
P7)</v>
      </c>
      <c r="I842" s="6" t="s">
        <v>957</v>
      </c>
      <c r="J842" s="6"/>
      <c r="K842" s="6"/>
      <c r="L842" s="6" t="s">
        <v>3085</v>
      </c>
      <c r="M842" s="6" t="str">
        <f>VLOOKUP(L842, GLOSSARY!$A:$C, 2, FALSE)</f>
        <v>EMOTSON'S TAVERN</v>
      </c>
      <c r="N842" s="6" t="s">
        <v>68</v>
      </c>
      <c r="O842" s="6"/>
      <c r="P842" s="6"/>
      <c r="Q842" s="6"/>
      <c r="R842" s="6"/>
      <c r="S842" s="6"/>
      <c r="T842" s="6"/>
      <c r="U842" s="6"/>
      <c r="V842" s="6"/>
      <c r="W842" s="6"/>
      <c r="X842" s="6"/>
      <c r="Y842" s="6"/>
      <c r="Z842" s="6"/>
      <c r="AA842" s="6"/>
      <c r="AB842" s="6"/>
      <c r="AC842" s="6"/>
      <c r="AD842" s="6"/>
      <c r="AE842" s="6"/>
    </row>
    <row r="843" spans="1:31" ht="318.75" x14ac:dyDescent="0.2">
      <c r="A843" s="6" t="s">
        <v>4806</v>
      </c>
      <c r="B843" s="6" t="s">
        <v>4942</v>
      </c>
      <c r="C843" s="20" t="s">
        <v>4943</v>
      </c>
      <c r="D843" s="6" t="s">
        <v>4951</v>
      </c>
      <c r="E843" s="6"/>
      <c r="F843" s="6" t="s">
        <v>4952</v>
      </c>
      <c r="G843" s="6" t="s">
        <v>4953</v>
      </c>
      <c r="H843" s="6" t="str">
        <f t="shared" si="56"/>
        <v>WORSOE
EVE
DAPHNE
MARGARETTA
MOLL
SOLINDA
VENUS
ADAM
HARRY
NEPTUNE
SAWNY
PUNCH
PORT ROYAL(P343
P128
P344
P345
P125
P346
P193
P209
P347
P107
P339
P348
P212)</v>
      </c>
      <c r="I843" s="6" t="s">
        <v>759</v>
      </c>
      <c r="J843" s="6"/>
      <c r="K843" s="6"/>
      <c r="L843" s="6" t="s">
        <v>55</v>
      </c>
      <c r="M843" s="6" t="str">
        <f>VLOOKUP(L843, GLOSSARY!$A:$C, 2, FALSE)</f>
        <v>EGYPT ESTATE</v>
      </c>
      <c r="N843" s="6" t="s">
        <v>68</v>
      </c>
      <c r="O843" s="6"/>
      <c r="P843" s="6"/>
      <c r="Q843" s="6"/>
      <c r="R843" s="6"/>
      <c r="S843" s="6"/>
      <c r="T843" s="6"/>
      <c r="U843" s="6"/>
      <c r="V843" s="6"/>
      <c r="W843" s="6"/>
      <c r="X843" s="6"/>
      <c r="Y843" s="6"/>
      <c r="Z843" s="6"/>
      <c r="AA843" s="6"/>
      <c r="AB843" s="6"/>
      <c r="AC843" s="6"/>
      <c r="AD843" s="6"/>
      <c r="AE843" s="6"/>
    </row>
    <row r="844" spans="1:31" ht="76.5" x14ac:dyDescent="0.2">
      <c r="A844" s="6" t="s">
        <v>4806</v>
      </c>
      <c r="B844" s="6" t="s">
        <v>4927</v>
      </c>
      <c r="C844" s="20" t="s">
        <v>4943</v>
      </c>
      <c r="D844" s="6" t="s">
        <v>4954</v>
      </c>
      <c r="E844" s="6"/>
      <c r="F844" s="6" t="s">
        <v>779</v>
      </c>
      <c r="G844" s="6" t="s">
        <v>780</v>
      </c>
      <c r="H844" s="6" t="str">
        <f t="shared" si="56"/>
        <v>EGYPT FIELDHANDS(P315)</v>
      </c>
      <c r="I844" s="6" t="s">
        <v>784</v>
      </c>
      <c r="J844" s="6"/>
      <c r="K844" s="6"/>
      <c r="L844" s="6" t="s">
        <v>4955</v>
      </c>
      <c r="M844" s="6" t="s">
        <v>4956</v>
      </c>
      <c r="N844" s="6" t="s">
        <v>287</v>
      </c>
      <c r="O844" s="6"/>
      <c r="P844" s="6"/>
      <c r="Q844" s="6"/>
      <c r="R844" s="6"/>
      <c r="S844" s="6"/>
      <c r="T844" s="6"/>
      <c r="U844" s="6"/>
      <c r="V844" s="6"/>
      <c r="W844" s="6"/>
      <c r="X844" s="6"/>
      <c r="Y844" s="6"/>
      <c r="Z844" s="6"/>
      <c r="AA844" s="6"/>
      <c r="AB844" s="6"/>
      <c r="AC844" s="6"/>
      <c r="AD844" s="6"/>
      <c r="AE844" s="6"/>
    </row>
    <row r="845" spans="1:31" ht="63.75" x14ac:dyDescent="0.2">
      <c r="A845" s="6" t="s">
        <v>4957</v>
      </c>
      <c r="B845" s="6" t="s">
        <v>4958</v>
      </c>
      <c r="C845" s="20" t="s">
        <v>4959</v>
      </c>
      <c r="D845" s="6" t="s">
        <v>4960</v>
      </c>
      <c r="E845" s="6"/>
      <c r="F845" s="6" t="s">
        <v>4961</v>
      </c>
      <c r="G845" s="6" t="s">
        <v>4962</v>
      </c>
      <c r="H845" s="6" t="str">
        <f>CONCATENATE(F845," (",G845,")")</f>
        <v>JOAN [DIDO'S CHILD]
DIDO (P168
P105)</v>
      </c>
      <c r="I845" s="6" t="s">
        <v>1068</v>
      </c>
      <c r="J845" s="6"/>
      <c r="K845" s="6"/>
      <c r="L845" s="6" t="s">
        <v>55</v>
      </c>
      <c r="M845" s="6" t="str">
        <f>VLOOKUP(L845, GLOSSARY!$A:$C, 2, FALSE)</f>
        <v>EGYPT ESTATE</v>
      </c>
      <c r="N845" s="6" t="s">
        <v>68</v>
      </c>
      <c r="O845" s="6"/>
      <c r="P845" s="6"/>
      <c r="Q845" s="6"/>
      <c r="R845" s="6"/>
      <c r="S845" s="6"/>
      <c r="T845" s="6"/>
      <c r="U845" s="6"/>
      <c r="V845" s="6"/>
      <c r="W845" s="6"/>
      <c r="X845" s="6"/>
      <c r="Y845" s="6"/>
      <c r="Z845" s="6"/>
      <c r="AA845" s="6"/>
      <c r="AB845" s="6"/>
      <c r="AC845" s="6"/>
      <c r="AD845" s="6"/>
      <c r="AE845" s="6"/>
    </row>
    <row r="846" spans="1:31" ht="38.25" x14ac:dyDescent="0.2">
      <c r="A846" s="6" t="s">
        <v>4963</v>
      </c>
      <c r="B846" s="6" t="s">
        <v>4958</v>
      </c>
      <c r="C846" s="20" t="s">
        <v>4959</v>
      </c>
      <c r="D846" s="6" t="s">
        <v>4964</v>
      </c>
      <c r="E846" s="6"/>
      <c r="F846" s="6" t="s">
        <v>645</v>
      </c>
      <c r="G846" s="6" t="s">
        <v>511</v>
      </c>
      <c r="H846" s="6" t="str">
        <f t="shared" ref="H846:H855" si="57">CONCATENATE(F846,"(",G846,")")</f>
        <v>HAZAT(P87)</v>
      </c>
      <c r="I846" s="6" t="s">
        <v>112</v>
      </c>
      <c r="J846" s="6"/>
      <c r="K846" s="6"/>
      <c r="L846" s="6" t="s">
        <v>2976</v>
      </c>
      <c r="M846" s="6" t="str">
        <f>VLOOKUP(L846, GLOSSARY!$A:$C, 2, FALSE)</f>
        <v>SALT RIVER DUNGEON</v>
      </c>
      <c r="N846" s="6" t="s">
        <v>68</v>
      </c>
      <c r="O846" s="6"/>
      <c r="P846" s="6"/>
      <c r="Q846" s="6"/>
      <c r="R846" s="6"/>
      <c r="S846" s="6"/>
      <c r="T846" s="6"/>
      <c r="U846" s="6"/>
      <c r="V846" s="6"/>
      <c r="W846" s="6"/>
      <c r="X846" s="6"/>
      <c r="Y846" s="6"/>
      <c r="Z846" s="6"/>
      <c r="AA846" s="6"/>
      <c r="AB846" s="6"/>
      <c r="AC846" s="6"/>
      <c r="AD846" s="6"/>
      <c r="AE846" s="6"/>
    </row>
    <row r="847" spans="1:31" ht="153" x14ac:dyDescent="0.2">
      <c r="A847" s="6" t="s">
        <v>4806</v>
      </c>
      <c r="B847" s="6" t="s">
        <v>4958</v>
      </c>
      <c r="C847" s="20" t="s">
        <v>4959</v>
      </c>
      <c r="D847" s="6" t="s">
        <v>4965</v>
      </c>
      <c r="E847" s="6"/>
      <c r="F847" s="6" t="s">
        <v>779</v>
      </c>
      <c r="G847" s="6" t="s">
        <v>780</v>
      </c>
      <c r="H847" s="6" t="str">
        <f t="shared" si="57"/>
        <v>EGYPT FIELDHANDS(P315)</v>
      </c>
      <c r="I847" s="6" t="s">
        <v>784</v>
      </c>
      <c r="J847" s="6"/>
      <c r="K847" s="6"/>
      <c r="L847" s="6" t="s">
        <v>55</v>
      </c>
      <c r="M847" s="6" t="str">
        <f>VLOOKUP(L847, GLOSSARY!$A:$C, 2, FALSE)</f>
        <v>EGYPT ESTATE</v>
      </c>
      <c r="N847" s="6" t="s">
        <v>287</v>
      </c>
      <c r="O847" s="6"/>
      <c r="P847" s="6"/>
      <c r="Q847" s="6"/>
      <c r="R847" s="6"/>
      <c r="S847" s="6"/>
      <c r="T847" s="6"/>
      <c r="U847" s="6"/>
      <c r="V847" s="6"/>
      <c r="W847" s="6"/>
      <c r="X847" s="6"/>
      <c r="Y847" s="6"/>
      <c r="Z847" s="6"/>
      <c r="AA847" s="6"/>
      <c r="AB847" s="6"/>
      <c r="AC847" s="6"/>
      <c r="AD847" s="6"/>
      <c r="AE847" s="6"/>
    </row>
    <row r="848" spans="1:31" ht="63.75" x14ac:dyDescent="0.2">
      <c r="A848" s="6" t="s">
        <v>4806</v>
      </c>
      <c r="B848" s="6" t="s">
        <v>4966</v>
      </c>
      <c r="C848" s="20" t="s">
        <v>4967</v>
      </c>
      <c r="D848" s="6" t="s">
        <v>4968</v>
      </c>
      <c r="E848" s="6"/>
      <c r="F848" s="6" t="s">
        <v>4969</v>
      </c>
      <c r="G848" s="6" t="s">
        <v>4970</v>
      </c>
      <c r="H848" s="6" t="str">
        <f t="shared" si="57"/>
        <v>BILLY
DAVIE
HAZAT(P87
P217
P318)</v>
      </c>
      <c r="I848" s="6" t="s">
        <v>784</v>
      </c>
      <c r="J848" s="6"/>
      <c r="K848" s="6"/>
      <c r="L848" s="6" t="s">
        <v>55</v>
      </c>
      <c r="M848" s="6" t="str">
        <f>VLOOKUP(L848, GLOSSARY!$A:$C, 2, FALSE)</f>
        <v>EGYPT ESTATE</v>
      </c>
      <c r="N848" s="6"/>
      <c r="O848" s="6"/>
      <c r="P848" s="6"/>
      <c r="Q848" s="6"/>
      <c r="R848" s="6"/>
      <c r="S848" s="6"/>
      <c r="T848" s="6"/>
      <c r="U848" s="6"/>
      <c r="V848" s="6"/>
      <c r="W848" s="6"/>
      <c r="X848" s="6"/>
      <c r="Y848" s="6"/>
      <c r="Z848" s="6"/>
      <c r="AA848" s="6"/>
      <c r="AB848" s="6"/>
      <c r="AC848" s="6"/>
      <c r="AD848" s="6"/>
      <c r="AE848" s="6"/>
    </row>
    <row r="849" spans="1:31" ht="51" x14ac:dyDescent="0.2">
      <c r="A849" s="6" t="s">
        <v>4806</v>
      </c>
      <c r="B849" s="6" t="s">
        <v>4971</v>
      </c>
      <c r="C849" s="20" t="s">
        <v>4972</v>
      </c>
      <c r="D849" s="6" t="s">
        <v>4973</v>
      </c>
      <c r="E849" s="6"/>
      <c r="F849" s="6" t="s">
        <v>779</v>
      </c>
      <c r="G849" s="6" t="s">
        <v>780</v>
      </c>
      <c r="H849" s="6" t="str">
        <f t="shared" si="57"/>
        <v>EGYPT FIELDHANDS(P315)</v>
      </c>
      <c r="I849" s="6" t="s">
        <v>784</v>
      </c>
      <c r="J849" s="6"/>
      <c r="K849" s="6"/>
      <c r="L849" s="6" t="s">
        <v>4974</v>
      </c>
      <c r="M849" s="6" t="s">
        <v>4975</v>
      </c>
      <c r="N849" s="6" t="s">
        <v>287</v>
      </c>
      <c r="O849" s="6"/>
      <c r="P849" s="6"/>
      <c r="Q849" s="6"/>
      <c r="R849" s="6"/>
      <c r="S849" s="6"/>
      <c r="T849" s="6"/>
      <c r="U849" s="6"/>
      <c r="V849" s="6"/>
      <c r="W849" s="6"/>
      <c r="X849" s="6"/>
      <c r="Y849" s="6"/>
      <c r="Z849" s="6"/>
      <c r="AA849" s="6"/>
      <c r="AB849" s="6"/>
      <c r="AC849" s="6"/>
      <c r="AD849" s="6"/>
      <c r="AE849" s="6"/>
    </row>
    <row r="850" spans="1:31" ht="178.5" x14ac:dyDescent="0.2">
      <c r="A850" s="6" t="s">
        <v>4806</v>
      </c>
      <c r="B850" s="6" t="s">
        <v>4976</v>
      </c>
      <c r="C850" s="20" t="s">
        <v>4977</v>
      </c>
      <c r="D850" s="6" t="s">
        <v>4978</v>
      </c>
      <c r="E850" s="6"/>
      <c r="F850" s="6" t="s">
        <v>779</v>
      </c>
      <c r="G850" s="6" t="s">
        <v>780</v>
      </c>
      <c r="H850" s="6" t="str">
        <f t="shared" si="57"/>
        <v>EGYPT FIELDHANDS(P315)</v>
      </c>
      <c r="I850" s="6" t="s">
        <v>784</v>
      </c>
      <c r="J850" s="6"/>
      <c r="K850" s="6"/>
      <c r="L850" s="6" t="s">
        <v>4979</v>
      </c>
      <c r="M850" s="6" t="s">
        <v>4980</v>
      </c>
      <c r="N850" s="6" t="s">
        <v>287</v>
      </c>
      <c r="O850" s="6"/>
      <c r="P850" s="6"/>
      <c r="Q850" s="6"/>
      <c r="R850" s="6"/>
      <c r="S850" s="6"/>
      <c r="T850" s="6"/>
      <c r="U850" s="6"/>
      <c r="V850" s="6"/>
      <c r="W850" s="6"/>
      <c r="X850" s="6"/>
      <c r="Y850" s="6"/>
      <c r="Z850" s="6"/>
      <c r="AA850" s="6"/>
      <c r="AB850" s="6"/>
      <c r="AC850" s="6"/>
      <c r="AD850" s="6"/>
      <c r="AE850" s="6"/>
    </row>
    <row r="851" spans="1:31" ht="76.5" x14ac:dyDescent="0.2">
      <c r="A851" s="6" t="s">
        <v>4806</v>
      </c>
      <c r="B851" s="6" t="s">
        <v>4976</v>
      </c>
      <c r="C851" s="20" t="s">
        <v>4977</v>
      </c>
      <c r="D851" s="6" t="s">
        <v>4981</v>
      </c>
      <c r="E851" s="6"/>
      <c r="F851" s="6" t="s">
        <v>779</v>
      </c>
      <c r="G851" s="6" t="s">
        <v>780</v>
      </c>
      <c r="H851" s="6" t="str">
        <f t="shared" si="57"/>
        <v>EGYPT FIELDHANDS(P315)</v>
      </c>
      <c r="I851" s="6" t="s">
        <v>784</v>
      </c>
      <c r="J851" s="6"/>
      <c r="K851" s="6"/>
      <c r="L851" s="6" t="s">
        <v>1565</v>
      </c>
      <c r="M851" s="6" t="str">
        <f>VLOOKUP(L851, GLOSSARY!$A:$C, 2, FALSE)</f>
        <v>EGYPT BREADNUT TREE CANE PIECE</v>
      </c>
      <c r="N851" s="6" t="s">
        <v>287</v>
      </c>
      <c r="O851" s="6"/>
      <c r="P851" s="6"/>
      <c r="Q851" s="6"/>
      <c r="R851" s="6"/>
      <c r="S851" s="6"/>
      <c r="T851" s="6"/>
      <c r="U851" s="6"/>
      <c r="V851" s="6"/>
      <c r="W851" s="6"/>
      <c r="X851" s="6"/>
      <c r="Y851" s="6"/>
      <c r="Z851" s="6"/>
      <c r="AA851" s="6"/>
      <c r="AB851" s="6"/>
      <c r="AC851" s="6"/>
      <c r="AD851" s="6"/>
      <c r="AE851" s="6"/>
    </row>
    <row r="852" spans="1:31" ht="140.25" x14ac:dyDescent="0.2">
      <c r="A852" s="6" t="s">
        <v>4806</v>
      </c>
      <c r="B852" s="6" t="s">
        <v>4982</v>
      </c>
      <c r="C852" s="20" t="s">
        <v>4983</v>
      </c>
      <c r="D852" s="6" t="s">
        <v>4984</v>
      </c>
      <c r="E852" s="6"/>
      <c r="F852" s="6" t="s">
        <v>779</v>
      </c>
      <c r="G852" s="6" t="s">
        <v>780</v>
      </c>
      <c r="H852" s="6" t="str">
        <f t="shared" si="57"/>
        <v>EGYPT FIELDHANDS(P315)</v>
      </c>
      <c r="I852" s="6" t="s">
        <v>784</v>
      </c>
      <c r="J852" s="6"/>
      <c r="K852" s="6"/>
      <c r="L852" s="6" t="s">
        <v>1565</v>
      </c>
      <c r="M852" s="6" t="str">
        <f>VLOOKUP(L852, GLOSSARY!$A:$C, 2, FALSE)</f>
        <v>EGYPT BREADNUT TREE CANE PIECE</v>
      </c>
      <c r="N852" s="6" t="s">
        <v>287</v>
      </c>
      <c r="O852" s="6"/>
      <c r="P852" s="6"/>
      <c r="Q852" s="6"/>
      <c r="R852" s="6"/>
      <c r="S852" s="6"/>
      <c r="T852" s="6"/>
      <c r="U852" s="6"/>
      <c r="V852" s="6"/>
      <c r="W852" s="6"/>
      <c r="X852" s="6"/>
      <c r="Y852" s="6"/>
      <c r="Z852" s="6"/>
      <c r="AA852" s="6"/>
      <c r="AB852" s="6"/>
      <c r="AC852" s="6"/>
      <c r="AD852" s="6"/>
      <c r="AE852" s="6"/>
    </row>
    <row r="853" spans="1:31" ht="165.75" x14ac:dyDescent="0.2">
      <c r="A853" s="6" t="s">
        <v>4835</v>
      </c>
      <c r="B853" s="6" t="s">
        <v>4985</v>
      </c>
      <c r="C853" s="20" t="s">
        <v>4983</v>
      </c>
      <c r="D853" s="6" t="s">
        <v>4986</v>
      </c>
      <c r="E853" s="6"/>
      <c r="F853" s="6" t="s">
        <v>4987</v>
      </c>
      <c r="G853" s="6" t="s">
        <v>4988</v>
      </c>
      <c r="H853" s="6" t="str">
        <f t="shared" si="57"/>
        <v>AMBO
PRIMUS(P170
P342)</v>
      </c>
      <c r="I853" s="6" t="s">
        <v>784</v>
      </c>
      <c r="J853" s="6"/>
      <c r="K853" s="6"/>
      <c r="L853" s="6" t="s">
        <v>2930</v>
      </c>
      <c r="M853" s="6" t="str">
        <f>VLOOKUP(L853, GLOSSARY!$A:$C, 2, FALSE)</f>
        <v>EGYPT STILL HOUSE</v>
      </c>
      <c r="N853" s="6" t="s">
        <v>68</v>
      </c>
      <c r="O853" s="6"/>
      <c r="P853" s="6"/>
      <c r="Q853" s="6"/>
      <c r="R853" s="6"/>
      <c r="S853" s="6"/>
      <c r="T853" s="6"/>
      <c r="U853" s="6"/>
      <c r="V853" s="6"/>
      <c r="W853" s="6"/>
      <c r="X853" s="6"/>
      <c r="Y853" s="6"/>
      <c r="Z853" s="6"/>
      <c r="AA853" s="6"/>
      <c r="AB853" s="6"/>
      <c r="AC853" s="6"/>
      <c r="AD853" s="6"/>
      <c r="AE853" s="6"/>
    </row>
    <row r="854" spans="1:31" ht="38.25" x14ac:dyDescent="0.2">
      <c r="A854" s="6" t="s">
        <v>4806</v>
      </c>
      <c r="B854" s="6" t="s">
        <v>4989</v>
      </c>
      <c r="C854" s="20" t="s">
        <v>4990</v>
      </c>
      <c r="D854" s="6" t="s">
        <v>4991</v>
      </c>
      <c r="E854" s="6"/>
      <c r="F854" s="6" t="s">
        <v>779</v>
      </c>
      <c r="G854" s="6" t="s">
        <v>780</v>
      </c>
      <c r="H854" s="6" t="str">
        <f t="shared" si="57"/>
        <v>EGYPT FIELDHANDS(P315)</v>
      </c>
      <c r="I854" s="6" t="s">
        <v>784</v>
      </c>
      <c r="J854" s="6"/>
      <c r="K854" s="6"/>
      <c r="L854" s="6" t="s">
        <v>2855</v>
      </c>
      <c r="M854" s="6" t="str">
        <f>VLOOKUP(L854, GLOSSARY!$A:$C, 2, FALSE)</f>
        <v>EGYPT CALABASH TREE PIECE</v>
      </c>
      <c r="N854" s="6" t="s">
        <v>287</v>
      </c>
      <c r="O854" s="6"/>
      <c r="P854" s="6"/>
      <c r="Q854" s="6"/>
      <c r="R854" s="6"/>
      <c r="S854" s="6"/>
      <c r="T854" s="6"/>
      <c r="U854" s="6"/>
      <c r="V854" s="6"/>
      <c r="W854" s="6"/>
      <c r="X854" s="6"/>
      <c r="Y854" s="6"/>
      <c r="Z854" s="6"/>
      <c r="AA854" s="6"/>
      <c r="AB854" s="6"/>
      <c r="AC854" s="6"/>
      <c r="AD854" s="6"/>
      <c r="AE854" s="6"/>
    </row>
    <row r="855" spans="1:31" ht="51" x14ac:dyDescent="0.2">
      <c r="A855" s="6" t="s">
        <v>4806</v>
      </c>
      <c r="B855" s="6" t="s">
        <v>4992</v>
      </c>
      <c r="C855" s="20" t="s">
        <v>4993</v>
      </c>
      <c r="D855" s="6" t="s">
        <v>4994</v>
      </c>
      <c r="E855" s="6"/>
      <c r="F855" s="6" t="s">
        <v>779</v>
      </c>
      <c r="G855" s="6" t="s">
        <v>780</v>
      </c>
      <c r="H855" s="6" t="str">
        <f t="shared" si="57"/>
        <v>EGYPT FIELDHANDS(P315)</v>
      </c>
      <c r="I855" s="6" t="s">
        <v>784</v>
      </c>
      <c r="J855" s="6"/>
      <c r="K855" s="6"/>
      <c r="L855" s="6" t="s">
        <v>2855</v>
      </c>
      <c r="M855" s="6" t="str">
        <f>VLOOKUP(L855, GLOSSARY!$A:$C, 2, FALSE)</f>
        <v>EGYPT CALABASH TREE PIECE</v>
      </c>
      <c r="N855" s="6" t="s">
        <v>68</v>
      </c>
      <c r="O855" s="6"/>
      <c r="P855" s="6"/>
      <c r="Q855" s="6"/>
      <c r="R855" s="6"/>
      <c r="S855" s="6"/>
      <c r="T855" s="6"/>
      <c r="U855" s="6"/>
      <c r="V855" s="6"/>
      <c r="W855" s="6"/>
      <c r="X855" s="6"/>
      <c r="Y855" s="6"/>
      <c r="Z855" s="6"/>
      <c r="AA855" s="6"/>
      <c r="AB855" s="6"/>
      <c r="AC855" s="6"/>
      <c r="AD855" s="6"/>
      <c r="AE855" s="6"/>
    </row>
    <row r="856" spans="1:31" ht="63.75" x14ac:dyDescent="0.2">
      <c r="A856" s="6" t="s">
        <v>4995</v>
      </c>
      <c r="B856" s="6" t="s">
        <v>4996</v>
      </c>
      <c r="C856" s="20" t="s">
        <v>4997</v>
      </c>
      <c r="D856" s="6" t="s">
        <v>4998</v>
      </c>
      <c r="E856" s="6"/>
      <c r="F856" s="6" t="s">
        <v>2135</v>
      </c>
      <c r="G856" s="6" t="s">
        <v>4999</v>
      </c>
      <c r="H856" s="6" t="str">
        <f>CONCATENATE(F856," (",G856,")")</f>
        <v>PHIBBAH
THE OVERSEER (P7
P4307)</v>
      </c>
      <c r="I856" s="6" t="s">
        <v>409</v>
      </c>
      <c r="J856" s="6"/>
      <c r="K856" s="6"/>
      <c r="L856" s="6" t="s">
        <v>55</v>
      </c>
      <c r="M856" s="6" t="str">
        <f>VLOOKUP(L856, GLOSSARY!$A:$C, 2, FALSE)</f>
        <v>EGYPT ESTATE</v>
      </c>
      <c r="N856" s="6" t="s">
        <v>167</v>
      </c>
      <c r="O856" s="6"/>
      <c r="P856" s="6"/>
      <c r="Q856" s="6"/>
      <c r="R856" s="6"/>
      <c r="S856" s="6"/>
      <c r="T856" s="6"/>
      <c r="U856" s="6"/>
      <c r="V856" s="6"/>
      <c r="W856" s="6"/>
      <c r="X856" s="6"/>
      <c r="Y856" s="6"/>
      <c r="Z856" s="6"/>
      <c r="AA856" s="6"/>
      <c r="AB856" s="6"/>
      <c r="AC856" s="6"/>
      <c r="AD856" s="6"/>
      <c r="AE856" s="6"/>
    </row>
    <row r="857" spans="1:31" ht="38.25" x14ac:dyDescent="0.2">
      <c r="A857" s="6" t="s">
        <v>4806</v>
      </c>
      <c r="B857" s="6" t="s">
        <v>5000</v>
      </c>
      <c r="C857" s="20" t="s">
        <v>5001</v>
      </c>
      <c r="D857" s="6" t="s">
        <v>5002</v>
      </c>
      <c r="E857" s="6"/>
      <c r="F857" s="6" t="s">
        <v>779</v>
      </c>
      <c r="G857" s="6" t="s">
        <v>780</v>
      </c>
      <c r="H857" s="6" t="str">
        <f t="shared" ref="H857:H885" si="58">CONCATENATE(F857,"(",G857,")")</f>
        <v>EGYPT FIELDHANDS(P315)</v>
      </c>
      <c r="I857" s="6" t="s">
        <v>784</v>
      </c>
      <c r="J857" s="6"/>
      <c r="K857" s="6"/>
      <c r="L857" s="6" t="s">
        <v>2861</v>
      </c>
      <c r="M857" s="6" t="str">
        <f>VLOOKUP(L857, GLOSSARY!$A:$C, 2, FALSE)</f>
        <v>EGYPT COTTON TREE PIECE</v>
      </c>
      <c r="N857" s="6" t="s">
        <v>68</v>
      </c>
      <c r="O857" s="6"/>
      <c r="P857" s="6"/>
      <c r="Q857" s="6"/>
      <c r="R857" s="6"/>
      <c r="S857" s="6"/>
      <c r="T857" s="6"/>
      <c r="U857" s="6"/>
      <c r="V857" s="6"/>
      <c r="W857" s="6"/>
      <c r="X857" s="6"/>
      <c r="Y857" s="6"/>
      <c r="Z857" s="6"/>
      <c r="AA857" s="6"/>
      <c r="AB857" s="6"/>
      <c r="AC857" s="6"/>
      <c r="AD857" s="6"/>
      <c r="AE857" s="6"/>
    </row>
    <row r="858" spans="1:31" ht="102" x14ac:dyDescent="0.2">
      <c r="A858" s="6" t="s">
        <v>4806</v>
      </c>
      <c r="B858" s="6" t="s">
        <v>5003</v>
      </c>
      <c r="C858" s="20" t="s">
        <v>5004</v>
      </c>
      <c r="D858" s="6" t="s">
        <v>5005</v>
      </c>
      <c r="E858" s="6"/>
      <c r="F858" s="6" t="s">
        <v>779</v>
      </c>
      <c r="G858" s="6" t="s">
        <v>780</v>
      </c>
      <c r="H858" s="6" t="str">
        <f t="shared" si="58"/>
        <v>EGYPT FIELDHANDS(P315)</v>
      </c>
      <c r="I858" s="6" t="s">
        <v>784</v>
      </c>
      <c r="J858" s="6"/>
      <c r="K858" s="6"/>
      <c r="L858" s="6" t="s">
        <v>5006</v>
      </c>
      <c r="M858" s="6" t="s">
        <v>5007</v>
      </c>
      <c r="N858" s="6" t="s">
        <v>287</v>
      </c>
      <c r="O858" s="6"/>
      <c r="P858" s="6"/>
      <c r="Q858" s="6"/>
      <c r="R858" s="6"/>
      <c r="S858" s="6"/>
      <c r="T858" s="6"/>
      <c r="U858" s="6"/>
      <c r="V858" s="6"/>
      <c r="W858" s="6"/>
      <c r="X858" s="6"/>
      <c r="Y858" s="6"/>
      <c r="Z858" s="6"/>
      <c r="AA858" s="6"/>
      <c r="AB858" s="6"/>
      <c r="AC858" s="6"/>
      <c r="AD858" s="6"/>
      <c r="AE858" s="6"/>
    </row>
    <row r="859" spans="1:31" ht="51" x14ac:dyDescent="0.2">
      <c r="A859" s="6" t="s">
        <v>4806</v>
      </c>
      <c r="B859" s="6" t="s">
        <v>5008</v>
      </c>
      <c r="C859" s="20" t="s">
        <v>5009</v>
      </c>
      <c r="D859" s="6" t="s">
        <v>5010</v>
      </c>
      <c r="E859" s="6"/>
      <c r="F859" s="6" t="s">
        <v>1842</v>
      </c>
      <c r="G859" s="6" t="s">
        <v>780</v>
      </c>
      <c r="H859" s="6" t="str">
        <f t="shared" si="58"/>
        <v>EGYPT FIELD HANDS(P315)</v>
      </c>
      <c r="I859" s="6" t="s">
        <v>784</v>
      </c>
      <c r="J859" s="6"/>
      <c r="K859" s="6"/>
      <c r="L859" s="6" t="s">
        <v>2936</v>
      </c>
      <c r="M859" s="6" t="str">
        <f>VLOOKUP(L859, GLOSSARY!$A:$C, 2, FALSE)</f>
        <v>CABARITTA BRIDGE</v>
      </c>
      <c r="N859" s="6" t="s">
        <v>68</v>
      </c>
      <c r="O859" s="6"/>
      <c r="P859" s="6"/>
      <c r="Q859" s="6"/>
      <c r="R859" s="6"/>
      <c r="S859" s="6"/>
      <c r="T859" s="6"/>
      <c r="U859" s="6"/>
      <c r="V859" s="6"/>
      <c r="W859" s="6"/>
      <c r="X859" s="6"/>
      <c r="Y859" s="6"/>
      <c r="Z859" s="6"/>
      <c r="AA859" s="6"/>
      <c r="AB859" s="6"/>
      <c r="AC859" s="6"/>
      <c r="AD859" s="6"/>
      <c r="AE859" s="6"/>
    </row>
    <row r="860" spans="1:31" ht="114.75" x14ac:dyDescent="0.2">
      <c r="A860" s="6" t="s">
        <v>4806</v>
      </c>
      <c r="B860" s="6" t="s">
        <v>5008</v>
      </c>
      <c r="C860" s="20" t="s">
        <v>5009</v>
      </c>
      <c r="D860" s="6" t="s">
        <v>5011</v>
      </c>
      <c r="E860" s="6"/>
      <c r="F860" s="6" t="s">
        <v>5012</v>
      </c>
      <c r="G860" s="6" t="s">
        <v>5013</v>
      </c>
      <c r="H860" s="6" t="str">
        <f t="shared" si="58"/>
        <v>EGYPT FIELD HANDS
DR. GORSE
(P315
P228
)</v>
      </c>
      <c r="I860" s="6" t="s">
        <v>533</v>
      </c>
      <c r="J860" s="6"/>
      <c r="K860" s="6"/>
      <c r="L860" s="6" t="s">
        <v>1695</v>
      </c>
      <c r="M860" s="6" t="str">
        <f>VLOOKUP(L860, GLOSSARY!$A:$C, 2, FALSE)</f>
        <v>EGYPT ESTATE HOTHOUSE</v>
      </c>
      <c r="N860" s="6" t="s">
        <v>68</v>
      </c>
      <c r="O860" s="6"/>
      <c r="P860" s="6"/>
      <c r="Q860" s="6"/>
      <c r="R860" s="6"/>
      <c r="S860" s="6"/>
      <c r="T860" s="6"/>
      <c r="U860" s="6"/>
      <c r="V860" s="6"/>
      <c r="W860" s="6"/>
      <c r="X860" s="6"/>
      <c r="Y860" s="6"/>
      <c r="Z860" s="6"/>
      <c r="AA860" s="6"/>
      <c r="AB860" s="6"/>
      <c r="AC860" s="6"/>
      <c r="AD860" s="6"/>
      <c r="AE860" s="6"/>
    </row>
    <row r="861" spans="1:31" ht="114.75" x14ac:dyDescent="0.2">
      <c r="A861" s="6" t="s">
        <v>2132</v>
      </c>
      <c r="B861" s="6" t="s">
        <v>5014</v>
      </c>
      <c r="C861" s="20" t="s">
        <v>5009</v>
      </c>
      <c r="D861" s="6" t="s">
        <v>5015</v>
      </c>
      <c r="E861" s="6"/>
      <c r="F861" s="6" t="s">
        <v>5016</v>
      </c>
      <c r="G861" s="6" t="s">
        <v>5017</v>
      </c>
      <c r="H861" s="6" t="str">
        <f t="shared" si="58"/>
        <v>THE OVERSEER
PHIBBAH
HOUSE FRANKE(P43
P7
P10)</v>
      </c>
      <c r="I861" s="6" t="s">
        <v>1678</v>
      </c>
      <c r="J861" s="6"/>
      <c r="K861" s="6"/>
      <c r="L861" s="6" t="s">
        <v>55</v>
      </c>
      <c r="M861" s="6" t="str">
        <f>VLOOKUP(L861, GLOSSARY!$A:$C, 2, FALSE)</f>
        <v>EGYPT ESTATE</v>
      </c>
      <c r="N861" s="6" t="s">
        <v>167</v>
      </c>
      <c r="O861" s="6"/>
      <c r="P861" s="6"/>
      <c r="Q861" s="6"/>
      <c r="R861" s="6"/>
      <c r="S861" s="6"/>
      <c r="T861" s="6"/>
      <c r="U861" s="6"/>
      <c r="V861" s="6"/>
      <c r="W861" s="6"/>
      <c r="X861" s="6"/>
      <c r="Y861" s="6"/>
      <c r="Z861" s="6"/>
      <c r="AA861" s="6"/>
      <c r="AB861" s="6"/>
      <c r="AC861" s="6"/>
      <c r="AD861" s="6"/>
      <c r="AE861" s="6"/>
    </row>
    <row r="862" spans="1:31" ht="63.75" x14ac:dyDescent="0.2">
      <c r="A862" s="6" t="s">
        <v>4835</v>
      </c>
      <c r="B862" s="6" t="s">
        <v>5018</v>
      </c>
      <c r="C862" s="20" t="s">
        <v>5009</v>
      </c>
      <c r="D862" s="6" t="s">
        <v>5019</v>
      </c>
      <c r="E862" s="6"/>
      <c r="F862" s="6" t="s">
        <v>48</v>
      </c>
      <c r="G862" s="6" t="s">
        <v>50</v>
      </c>
      <c r="H862" s="6" t="str">
        <f t="shared" si="58"/>
        <v>THE OVERSEER(P43)</v>
      </c>
      <c r="I862" s="6" t="s">
        <v>248</v>
      </c>
      <c r="J862" s="6"/>
      <c r="K862" s="6"/>
      <c r="L862" s="6" t="s">
        <v>2922</v>
      </c>
      <c r="M862" s="6" t="str">
        <f>VLOOKUP(L862, GLOSSARY!$A:$C, 2, FALSE)</f>
        <v>EGYPT BOILING HOUSE</v>
      </c>
      <c r="N862" s="6" t="s">
        <v>167</v>
      </c>
      <c r="O862" s="6"/>
      <c r="P862" s="6"/>
      <c r="Q862" s="6"/>
      <c r="R862" s="6"/>
      <c r="S862" s="6"/>
      <c r="T862" s="6"/>
      <c r="U862" s="6"/>
      <c r="V862" s="6"/>
      <c r="W862" s="6"/>
      <c r="X862" s="6"/>
      <c r="Y862" s="6"/>
      <c r="Z862" s="6"/>
      <c r="AA862" s="6"/>
      <c r="AB862" s="6"/>
      <c r="AC862" s="6"/>
      <c r="AD862" s="6"/>
      <c r="AE862" s="6"/>
    </row>
    <row r="863" spans="1:31" ht="114.75" x14ac:dyDescent="0.2">
      <c r="A863" s="6" t="s">
        <v>4806</v>
      </c>
      <c r="B863" s="6" t="s">
        <v>5020</v>
      </c>
      <c r="C863" s="20" t="s">
        <v>5021</v>
      </c>
      <c r="D863" s="6" t="s">
        <v>5022</v>
      </c>
      <c r="E863" s="6"/>
      <c r="F863" s="6" t="s">
        <v>5023</v>
      </c>
      <c r="G863" s="6" t="s">
        <v>5024</v>
      </c>
      <c r="H863" s="6" t="str">
        <f t="shared" si="58"/>
        <v>EGYPT FIELDHANDS
EGYPT SILVIA [ADULT]
ABBA(P315
P122
P6)</v>
      </c>
      <c r="I863" s="6" t="s">
        <v>784</v>
      </c>
      <c r="J863" s="6"/>
      <c r="K863" s="6"/>
      <c r="L863" s="6" t="s">
        <v>2849</v>
      </c>
      <c r="M863" s="6" t="str">
        <f>VLOOKUP(L863, GLOSSARY!$A:$C, 2, FALSE)</f>
        <v>EGYPT POTATO PIECE</v>
      </c>
      <c r="N863" s="6" t="s">
        <v>287</v>
      </c>
      <c r="O863" s="6"/>
      <c r="P863" s="6"/>
      <c r="Q863" s="6"/>
      <c r="R863" s="6"/>
      <c r="S863" s="6"/>
      <c r="T863" s="6"/>
      <c r="U863" s="6"/>
      <c r="V863" s="6"/>
      <c r="W863" s="6"/>
      <c r="X863" s="6"/>
      <c r="Y863" s="6"/>
      <c r="Z863" s="6"/>
      <c r="AA863" s="6"/>
      <c r="AB863" s="6"/>
      <c r="AC863" s="6"/>
      <c r="AD863" s="6"/>
      <c r="AE863" s="6"/>
    </row>
    <row r="864" spans="1:31" ht="178.5" x14ac:dyDescent="0.2">
      <c r="A864" s="6" t="s">
        <v>4806</v>
      </c>
      <c r="B864" s="6" t="s">
        <v>5025</v>
      </c>
      <c r="C864" s="20" t="s">
        <v>5026</v>
      </c>
      <c r="D864" s="6" t="s">
        <v>5027</v>
      </c>
      <c r="E864" s="6"/>
      <c r="F864" s="6" t="s">
        <v>5023</v>
      </c>
      <c r="G864" s="6" t="s">
        <v>5024</v>
      </c>
      <c r="H864" s="6" t="str">
        <f t="shared" si="58"/>
        <v>EGYPT FIELDHANDS
EGYPT SILVIA [ADULT]
ABBA(P315
P122
P6)</v>
      </c>
      <c r="I864" s="6" t="s">
        <v>784</v>
      </c>
      <c r="J864" s="6"/>
      <c r="K864" s="6"/>
      <c r="L864" s="6" t="s">
        <v>5028</v>
      </c>
      <c r="M864" s="6" t="s">
        <v>5029</v>
      </c>
      <c r="N864" s="6" t="s">
        <v>287</v>
      </c>
      <c r="O864" s="6"/>
      <c r="P864" s="6"/>
      <c r="Q864" s="6"/>
      <c r="R864" s="6"/>
      <c r="S864" s="6"/>
      <c r="T864" s="6"/>
      <c r="U864" s="6"/>
      <c r="V864" s="6"/>
      <c r="W864" s="6"/>
      <c r="X864" s="6"/>
      <c r="Y864" s="6"/>
      <c r="Z864" s="6"/>
      <c r="AA864" s="6"/>
      <c r="AB864" s="6"/>
      <c r="AC864" s="6"/>
      <c r="AD864" s="6"/>
      <c r="AE864" s="6"/>
    </row>
    <row r="865" spans="1:31" ht="76.5" x14ac:dyDescent="0.2">
      <c r="A865" s="6" t="s">
        <v>4806</v>
      </c>
      <c r="B865" s="6" t="s">
        <v>5025</v>
      </c>
      <c r="C865" s="20" t="s">
        <v>5030</v>
      </c>
      <c r="D865" s="6" t="s">
        <v>5031</v>
      </c>
      <c r="E865" s="6"/>
      <c r="F865" s="6" t="s">
        <v>779</v>
      </c>
      <c r="G865" s="6" t="s">
        <v>780</v>
      </c>
      <c r="H865" s="6" t="str">
        <f t="shared" si="58"/>
        <v>EGYPT FIELDHANDS(P315)</v>
      </c>
      <c r="I865" s="6" t="s">
        <v>784</v>
      </c>
      <c r="J865" s="6"/>
      <c r="K865" s="6"/>
      <c r="L865" s="6" t="s">
        <v>5028</v>
      </c>
      <c r="M865" s="6" t="s">
        <v>5029</v>
      </c>
      <c r="N865" s="6" t="s">
        <v>287</v>
      </c>
      <c r="O865" s="6"/>
      <c r="P865" s="6"/>
      <c r="Q865" s="6"/>
      <c r="R865" s="6"/>
      <c r="S865" s="6"/>
      <c r="T865" s="6"/>
      <c r="U865" s="6"/>
      <c r="V865" s="6"/>
      <c r="W865" s="6"/>
      <c r="X865" s="6"/>
      <c r="Y865" s="6"/>
      <c r="Z865" s="6"/>
      <c r="AA865" s="6"/>
      <c r="AB865" s="6"/>
      <c r="AC865" s="6"/>
      <c r="AD865" s="6"/>
      <c r="AE865" s="6"/>
    </row>
    <row r="866" spans="1:31" ht="25.5" x14ac:dyDescent="0.2">
      <c r="A866" s="6" t="s">
        <v>5032</v>
      </c>
      <c r="B866" s="6" t="s">
        <v>4244</v>
      </c>
      <c r="C866" s="20" t="s">
        <v>5033</v>
      </c>
      <c r="D866" s="6" t="s">
        <v>5034</v>
      </c>
      <c r="E866" s="6"/>
      <c r="F866" s="6" t="s">
        <v>48</v>
      </c>
      <c r="G866" s="6" t="s">
        <v>50</v>
      </c>
      <c r="H866" s="6" t="str">
        <f t="shared" si="58"/>
        <v>THE OVERSEER(P43)</v>
      </c>
      <c r="I866" s="6" t="s">
        <v>112</v>
      </c>
      <c r="J866" s="6"/>
      <c r="K866" s="6"/>
      <c r="L866" s="6" t="s">
        <v>55</v>
      </c>
      <c r="M866" s="6" t="str">
        <f>VLOOKUP(L866, GLOSSARY!$A:$C, 2, FALSE)</f>
        <v>EGYPT ESTATE</v>
      </c>
      <c r="N866" s="6" t="s">
        <v>68</v>
      </c>
      <c r="O866" s="6"/>
      <c r="P866" s="6"/>
      <c r="Q866" s="6"/>
      <c r="R866" s="6"/>
      <c r="S866" s="6"/>
      <c r="T866" s="6"/>
      <c r="U866" s="6"/>
      <c r="V866" s="6"/>
      <c r="W866" s="6"/>
      <c r="X866" s="6"/>
      <c r="Y866" s="6"/>
      <c r="Z866" s="6"/>
      <c r="AA866" s="6"/>
      <c r="AB866" s="6"/>
      <c r="AC866" s="6"/>
      <c r="AD866" s="6"/>
      <c r="AE866" s="6"/>
    </row>
    <row r="867" spans="1:31" ht="63.75" x14ac:dyDescent="0.2">
      <c r="A867" s="6" t="s">
        <v>4514</v>
      </c>
      <c r="B867" s="6" t="s">
        <v>4244</v>
      </c>
      <c r="C867" s="20" t="s">
        <v>5033</v>
      </c>
      <c r="D867" s="6" t="s">
        <v>5035</v>
      </c>
      <c r="E867" s="6"/>
      <c r="F867" s="6" t="s">
        <v>5036</v>
      </c>
      <c r="G867" s="6" t="s">
        <v>5037</v>
      </c>
      <c r="H867" s="6" t="str">
        <f t="shared" si="58"/>
        <v>SIMON
CYRUS(P85
P210)</v>
      </c>
      <c r="I867" s="6" t="s">
        <v>784</v>
      </c>
      <c r="J867" s="6"/>
      <c r="K867" s="6"/>
      <c r="L867" s="6" t="s">
        <v>55</v>
      </c>
      <c r="M867" s="6" t="str">
        <f>VLOOKUP(L867, GLOSSARY!$A:$C, 2, FALSE)</f>
        <v>EGYPT ESTATE</v>
      </c>
      <c r="N867" s="6"/>
      <c r="O867" s="6"/>
      <c r="P867" s="6"/>
      <c r="Q867" s="6"/>
      <c r="R867" s="6"/>
      <c r="S867" s="6"/>
      <c r="T867" s="6"/>
      <c r="U867" s="6"/>
      <c r="V867" s="6"/>
      <c r="W867" s="6"/>
      <c r="X867" s="6"/>
      <c r="Y867" s="6"/>
      <c r="Z867" s="6"/>
      <c r="AA867" s="6"/>
      <c r="AB867" s="6"/>
      <c r="AC867" s="6"/>
      <c r="AD867" s="6"/>
      <c r="AE867" s="6"/>
    </row>
    <row r="868" spans="1:31" ht="38.25" x14ac:dyDescent="0.2">
      <c r="A868" s="6" t="s">
        <v>5038</v>
      </c>
      <c r="B868" s="6" t="s">
        <v>4244</v>
      </c>
      <c r="C868" s="20" t="s">
        <v>5039</v>
      </c>
      <c r="D868" s="6" t="s">
        <v>5040</v>
      </c>
      <c r="E868" s="6"/>
      <c r="F868" s="6" t="s">
        <v>5041</v>
      </c>
      <c r="G868" s="6" t="s">
        <v>5042</v>
      </c>
      <c r="H868" s="6" t="str">
        <f t="shared" si="58"/>
        <v>THE OVERSEER
SAMUEL HAYWARD(P43
P161)</v>
      </c>
      <c r="I868" s="6" t="s">
        <v>248</v>
      </c>
      <c r="J868" s="6"/>
      <c r="K868" s="6"/>
      <c r="L868" s="6" t="s">
        <v>55</v>
      </c>
      <c r="M868" s="6" t="str">
        <f>VLOOKUP(L868, GLOSSARY!$A:$C, 2, FALSE)</f>
        <v>EGYPT ESTATE</v>
      </c>
      <c r="N868" s="6" t="s">
        <v>68</v>
      </c>
      <c r="O868" s="6"/>
      <c r="P868" s="6"/>
      <c r="Q868" s="6"/>
      <c r="R868" s="6"/>
      <c r="S868" s="6"/>
      <c r="T868" s="6"/>
      <c r="U868" s="6"/>
      <c r="V868" s="6"/>
      <c r="W868" s="6"/>
      <c r="X868" s="6"/>
      <c r="Y868" s="6"/>
      <c r="Z868" s="6"/>
      <c r="AA868" s="6"/>
      <c r="AB868" s="6"/>
      <c r="AC868" s="6"/>
      <c r="AD868" s="6"/>
      <c r="AE868" s="6"/>
    </row>
    <row r="869" spans="1:31" ht="63.75" x14ac:dyDescent="0.2">
      <c r="A869" s="6" t="s">
        <v>4806</v>
      </c>
      <c r="B869" s="6" t="s">
        <v>4264</v>
      </c>
      <c r="C869" s="20" t="s">
        <v>5043</v>
      </c>
      <c r="D869" s="6" t="s">
        <v>5044</v>
      </c>
      <c r="E869" s="6"/>
      <c r="F869" s="6" t="s">
        <v>779</v>
      </c>
      <c r="G869" s="6" t="s">
        <v>780</v>
      </c>
      <c r="H869" s="6" t="str">
        <f t="shared" si="58"/>
        <v>EGYPT FIELDHANDS(P315)</v>
      </c>
      <c r="I869" s="6" t="s">
        <v>784</v>
      </c>
      <c r="J869" s="6"/>
      <c r="K869" s="6"/>
      <c r="L869" s="6" t="s">
        <v>2875</v>
      </c>
      <c r="M869" s="6" t="str">
        <f>VLOOKUP(L869, GLOSSARY!$A:$C, 2, FALSE)</f>
        <v>EGYPT PLUM TREE PIECE</v>
      </c>
      <c r="N869" s="6" t="s">
        <v>287</v>
      </c>
      <c r="O869" s="6"/>
      <c r="P869" s="6"/>
      <c r="Q869" s="6"/>
      <c r="R869" s="6"/>
      <c r="S869" s="6"/>
      <c r="T869" s="6"/>
      <c r="U869" s="6"/>
      <c r="V869" s="6"/>
      <c r="W869" s="6"/>
      <c r="X869" s="6"/>
      <c r="Y869" s="6"/>
      <c r="Z869" s="6"/>
      <c r="AA869" s="6"/>
      <c r="AB869" s="6"/>
      <c r="AC869" s="6"/>
      <c r="AD869" s="6"/>
      <c r="AE869" s="6"/>
    </row>
    <row r="870" spans="1:31" ht="25.5" x14ac:dyDescent="0.2">
      <c r="A870" s="6" t="s">
        <v>4806</v>
      </c>
      <c r="B870" s="6" t="s">
        <v>5045</v>
      </c>
      <c r="C870" s="20" t="s">
        <v>5043</v>
      </c>
      <c r="D870" s="6" t="s">
        <v>5046</v>
      </c>
      <c r="E870" s="6"/>
      <c r="F870" s="6"/>
      <c r="G870" s="6"/>
      <c r="H870" s="6" t="str">
        <f t="shared" si="58"/>
        <v>()</v>
      </c>
      <c r="I870" s="6" t="s">
        <v>869</v>
      </c>
      <c r="J870" s="6"/>
      <c r="K870" s="6"/>
      <c r="L870" s="6" t="s">
        <v>55</v>
      </c>
      <c r="M870" s="6" t="str">
        <f>VLOOKUP(L870, GLOSSARY!$A:$C, 2, FALSE)</f>
        <v>EGYPT ESTATE</v>
      </c>
      <c r="N870" s="6" t="s">
        <v>167</v>
      </c>
      <c r="O870" s="6"/>
      <c r="P870" s="6"/>
      <c r="Q870" s="6"/>
      <c r="R870" s="6"/>
      <c r="S870" s="6"/>
      <c r="T870" s="6"/>
      <c r="U870" s="6"/>
      <c r="V870" s="6"/>
      <c r="W870" s="6"/>
      <c r="X870" s="6"/>
      <c r="Y870" s="6"/>
      <c r="Z870" s="6"/>
      <c r="AA870" s="6"/>
      <c r="AB870" s="6"/>
      <c r="AC870" s="6"/>
      <c r="AD870" s="6"/>
      <c r="AE870" s="6"/>
    </row>
    <row r="871" spans="1:31" ht="25.5" x14ac:dyDescent="0.2">
      <c r="A871" s="6" t="s">
        <v>4806</v>
      </c>
      <c r="B871" s="6" t="s">
        <v>4618</v>
      </c>
      <c r="C871" s="20" t="s">
        <v>5047</v>
      </c>
      <c r="D871" s="6" t="s">
        <v>5048</v>
      </c>
      <c r="E871" s="6"/>
      <c r="F871" s="6"/>
      <c r="G871" s="6"/>
      <c r="H871" s="6" t="str">
        <f t="shared" si="58"/>
        <v>()</v>
      </c>
      <c r="I871" s="6" t="s">
        <v>869</v>
      </c>
      <c r="J871" s="6"/>
      <c r="K871" s="6"/>
      <c r="L871" s="6" t="s">
        <v>55</v>
      </c>
      <c r="M871" s="6" t="str">
        <f>VLOOKUP(L871, GLOSSARY!$A:$C, 2, FALSE)</f>
        <v>EGYPT ESTATE</v>
      </c>
      <c r="N871" s="6" t="s">
        <v>68</v>
      </c>
      <c r="O871" s="6"/>
      <c r="P871" s="6"/>
      <c r="Q871" s="6"/>
      <c r="R871" s="6"/>
      <c r="S871" s="6"/>
      <c r="T871" s="6"/>
      <c r="U871" s="6"/>
      <c r="V871" s="6"/>
      <c r="W871" s="6"/>
      <c r="X871" s="6"/>
      <c r="Y871" s="6"/>
      <c r="Z871" s="6"/>
      <c r="AA871" s="6"/>
      <c r="AB871" s="6"/>
      <c r="AC871" s="6"/>
      <c r="AD871" s="6"/>
      <c r="AE871" s="6"/>
    </row>
    <row r="872" spans="1:31" ht="63.75" x14ac:dyDescent="0.2">
      <c r="A872" s="6" t="s">
        <v>4806</v>
      </c>
      <c r="B872" s="6" t="s">
        <v>4618</v>
      </c>
      <c r="C872" s="20" t="s">
        <v>5049</v>
      </c>
      <c r="D872" s="6" t="s">
        <v>5050</v>
      </c>
      <c r="E872" s="6"/>
      <c r="F872" s="6" t="s">
        <v>779</v>
      </c>
      <c r="G872" s="6" t="s">
        <v>780</v>
      </c>
      <c r="H872" s="6" t="str">
        <f t="shared" si="58"/>
        <v>EGYPT FIELDHANDS(P315)</v>
      </c>
      <c r="I872" s="6" t="s">
        <v>784</v>
      </c>
      <c r="J872" s="6"/>
      <c r="K872" s="6"/>
      <c r="L872" s="6" t="s">
        <v>5051</v>
      </c>
      <c r="M872" s="6" t="s">
        <v>287</v>
      </c>
      <c r="N872" s="6"/>
      <c r="O872" s="6"/>
      <c r="P872" s="6"/>
      <c r="Q872" s="6"/>
      <c r="R872" s="6"/>
      <c r="S872" s="6"/>
      <c r="T872" s="6"/>
      <c r="U872" s="6"/>
      <c r="V872" s="6"/>
      <c r="W872" s="6"/>
      <c r="X872" s="6"/>
      <c r="Y872" s="6"/>
      <c r="Z872" s="6"/>
      <c r="AA872" s="6"/>
      <c r="AB872" s="6"/>
      <c r="AC872" s="6"/>
      <c r="AD872" s="6"/>
      <c r="AE872" s="6"/>
    </row>
    <row r="873" spans="1:31" ht="25.5" x14ac:dyDescent="0.2">
      <c r="A873" s="6" t="s">
        <v>4806</v>
      </c>
      <c r="B873" s="6" t="s">
        <v>4318</v>
      </c>
      <c r="C873" s="20" t="s">
        <v>5052</v>
      </c>
      <c r="D873" s="6" t="s">
        <v>5053</v>
      </c>
      <c r="E873" s="6"/>
      <c r="F873" s="6" t="s">
        <v>779</v>
      </c>
      <c r="G873" s="6" t="s">
        <v>780</v>
      </c>
      <c r="H873" s="6" t="str">
        <f t="shared" si="58"/>
        <v>EGYPT FIELDHANDS(P315)</v>
      </c>
      <c r="I873" s="6" t="s">
        <v>784</v>
      </c>
      <c r="J873" s="6"/>
      <c r="K873" s="6"/>
      <c r="L873" s="6" t="s">
        <v>1888</v>
      </c>
      <c r="M873" s="6" t="str">
        <f>VLOOKUP(L873, GLOSSARY!$A:$C, 2, FALSE)</f>
        <v>EGYPT PAPAH TREE PIECE</v>
      </c>
      <c r="N873" s="6" t="s">
        <v>287</v>
      </c>
      <c r="O873" s="6"/>
      <c r="P873" s="6"/>
      <c r="Q873" s="6"/>
      <c r="R873" s="6"/>
      <c r="S873" s="6"/>
      <c r="T873" s="6"/>
      <c r="U873" s="6"/>
      <c r="V873" s="6"/>
      <c r="W873" s="6"/>
      <c r="X873" s="6"/>
      <c r="Y873" s="6"/>
      <c r="Z873" s="6"/>
      <c r="AA873" s="6"/>
      <c r="AB873" s="6"/>
      <c r="AC873" s="6"/>
      <c r="AD873" s="6"/>
      <c r="AE873" s="6"/>
    </row>
    <row r="874" spans="1:31" ht="89.25" x14ac:dyDescent="0.2">
      <c r="A874" s="6" t="s">
        <v>4806</v>
      </c>
      <c r="B874" s="6" t="s">
        <v>4318</v>
      </c>
      <c r="C874" s="20" t="s">
        <v>5052</v>
      </c>
      <c r="D874" s="6" t="s">
        <v>5054</v>
      </c>
      <c r="E874" s="6"/>
      <c r="F874" s="6"/>
      <c r="G874" s="6"/>
      <c r="H874" s="6" t="str">
        <f t="shared" si="58"/>
        <v>()</v>
      </c>
      <c r="I874" s="6" t="s">
        <v>869</v>
      </c>
      <c r="J874" s="6"/>
      <c r="K874" s="6"/>
      <c r="L874" s="6" t="s">
        <v>55</v>
      </c>
      <c r="M874" s="6" t="str">
        <f>VLOOKUP(L874, GLOSSARY!$A:$C, 2, FALSE)</f>
        <v>EGYPT ESTATE</v>
      </c>
      <c r="N874" s="6" t="s">
        <v>68</v>
      </c>
      <c r="O874" s="6"/>
      <c r="P874" s="6"/>
      <c r="Q874" s="6"/>
      <c r="R874" s="6"/>
      <c r="S874" s="6"/>
      <c r="T874" s="6"/>
      <c r="U874" s="6"/>
      <c r="V874" s="6"/>
      <c r="W874" s="6"/>
      <c r="X874" s="6"/>
      <c r="Y874" s="6"/>
      <c r="Z874" s="6"/>
      <c r="AA874" s="6"/>
      <c r="AB874" s="6"/>
      <c r="AC874" s="6"/>
      <c r="AD874" s="6"/>
      <c r="AE874" s="6"/>
    </row>
    <row r="875" spans="1:31" ht="51" x14ac:dyDescent="0.2">
      <c r="A875" s="6" t="s">
        <v>4835</v>
      </c>
      <c r="B875" s="6" t="s">
        <v>4629</v>
      </c>
      <c r="C875" s="20" t="s">
        <v>5055</v>
      </c>
      <c r="D875" s="6" t="s">
        <v>5056</v>
      </c>
      <c r="E875" s="6"/>
      <c r="F875" s="6" t="s">
        <v>4987</v>
      </c>
      <c r="G875" s="6" t="s">
        <v>4988</v>
      </c>
      <c r="H875" s="6" t="str">
        <f t="shared" si="58"/>
        <v>AMBO
PRIMUS(P170
P342)</v>
      </c>
      <c r="I875" s="6" t="s">
        <v>784</v>
      </c>
      <c r="J875" s="6"/>
      <c r="K875" s="6"/>
      <c r="L875" s="6" t="s">
        <v>55</v>
      </c>
      <c r="M875" s="6" t="str">
        <f>VLOOKUP(L875, GLOSSARY!$A:$C, 2, FALSE)</f>
        <v>EGYPT ESTATE</v>
      </c>
      <c r="N875" s="6" t="s">
        <v>68</v>
      </c>
      <c r="O875" s="6"/>
      <c r="P875" s="6"/>
      <c r="Q875" s="6"/>
      <c r="R875" s="6"/>
      <c r="S875" s="6"/>
      <c r="T875" s="6"/>
      <c r="U875" s="6"/>
      <c r="V875" s="6"/>
      <c r="W875" s="6"/>
      <c r="X875" s="6"/>
      <c r="Y875" s="6"/>
      <c r="Z875" s="6"/>
      <c r="AA875" s="6"/>
      <c r="AB875" s="6"/>
      <c r="AC875" s="6"/>
      <c r="AD875" s="6"/>
      <c r="AE875" s="6"/>
    </row>
    <row r="876" spans="1:31" ht="76.5" x14ac:dyDescent="0.2">
      <c r="A876" s="6" t="s">
        <v>4806</v>
      </c>
      <c r="B876" s="6" t="s">
        <v>4318</v>
      </c>
      <c r="C876" s="20" t="s">
        <v>5057</v>
      </c>
      <c r="D876" s="6" t="s">
        <v>5058</v>
      </c>
      <c r="E876" s="6"/>
      <c r="F876" s="6" t="s">
        <v>779</v>
      </c>
      <c r="G876" s="6" t="s">
        <v>780</v>
      </c>
      <c r="H876" s="6" t="str">
        <f t="shared" si="58"/>
        <v>EGYPT FIELDHANDS(P315)</v>
      </c>
      <c r="I876" s="6" t="s">
        <v>784</v>
      </c>
      <c r="J876" s="6"/>
      <c r="K876" s="6"/>
      <c r="L876" s="6" t="s">
        <v>55</v>
      </c>
      <c r="M876" s="6" t="str">
        <f>VLOOKUP(L876, GLOSSARY!$A:$C, 2, FALSE)</f>
        <v>EGYPT ESTATE</v>
      </c>
      <c r="N876" s="6" t="s">
        <v>68</v>
      </c>
      <c r="O876" s="6"/>
      <c r="P876" s="6"/>
      <c r="Q876" s="6"/>
      <c r="R876" s="6"/>
      <c r="S876" s="6"/>
      <c r="T876" s="6"/>
      <c r="U876" s="6"/>
      <c r="V876" s="6"/>
      <c r="W876" s="6"/>
      <c r="X876" s="6"/>
      <c r="Y876" s="6"/>
      <c r="Z876" s="6"/>
      <c r="AA876" s="6"/>
      <c r="AB876" s="6"/>
      <c r="AC876" s="6"/>
      <c r="AD876" s="6"/>
      <c r="AE876" s="6"/>
    </row>
    <row r="877" spans="1:31" ht="38.25" x14ac:dyDescent="0.2">
      <c r="A877" s="6" t="s">
        <v>5059</v>
      </c>
      <c r="B877" s="6" t="s">
        <v>4308</v>
      </c>
      <c r="C877" s="20" t="s">
        <v>5057</v>
      </c>
      <c r="D877" s="6" t="s">
        <v>5060</v>
      </c>
      <c r="E877" s="6"/>
      <c r="F877" s="6" t="s">
        <v>5061</v>
      </c>
      <c r="G877" s="6" t="s">
        <v>5062</v>
      </c>
      <c r="H877" s="6" t="str">
        <f t="shared" si="58"/>
        <v>CYRUS
SANCHO(P210
P195)</v>
      </c>
      <c r="I877" s="6" t="s">
        <v>112</v>
      </c>
      <c r="J877" s="6"/>
      <c r="K877" s="6"/>
      <c r="L877" s="6" t="s">
        <v>55</v>
      </c>
      <c r="M877" s="6" t="str">
        <f>VLOOKUP(L877, GLOSSARY!$A:$C, 2, FALSE)</f>
        <v>EGYPT ESTATE</v>
      </c>
      <c r="N877" s="6" t="s">
        <v>68</v>
      </c>
      <c r="O877" s="6"/>
      <c r="P877" s="6"/>
      <c r="Q877" s="6"/>
      <c r="R877" s="6"/>
      <c r="S877" s="6"/>
      <c r="T877" s="6"/>
      <c r="U877" s="6"/>
      <c r="V877" s="6"/>
      <c r="W877" s="6"/>
      <c r="X877" s="6"/>
      <c r="Y877" s="6"/>
      <c r="Z877" s="6"/>
      <c r="AA877" s="6"/>
      <c r="AB877" s="6"/>
      <c r="AC877" s="6"/>
      <c r="AD877" s="6"/>
      <c r="AE877" s="6"/>
    </row>
    <row r="878" spans="1:31" ht="38.25" x14ac:dyDescent="0.2">
      <c r="A878" s="6" t="s">
        <v>4806</v>
      </c>
      <c r="B878" s="6" t="s">
        <v>4333</v>
      </c>
      <c r="C878" s="20" t="s">
        <v>5063</v>
      </c>
      <c r="D878" s="6" t="s">
        <v>5064</v>
      </c>
      <c r="E878" s="6"/>
      <c r="F878" s="6" t="s">
        <v>779</v>
      </c>
      <c r="G878" s="6" t="s">
        <v>780</v>
      </c>
      <c r="H878" s="6" t="str">
        <f t="shared" si="58"/>
        <v>EGYPT FIELDHANDS(P315)</v>
      </c>
      <c r="I878" s="6" t="s">
        <v>784</v>
      </c>
      <c r="J878" s="6"/>
      <c r="K878" s="6"/>
      <c r="L878" s="6" t="s">
        <v>2228</v>
      </c>
      <c r="M878" s="6" t="str">
        <f>VLOOKUP(L878, GLOSSARY!$A:$C, 2, FALSE)</f>
        <v>EGYPT OLD CURING HOUSE PIECE</v>
      </c>
      <c r="N878" s="6" t="s">
        <v>68</v>
      </c>
      <c r="O878" s="6"/>
      <c r="P878" s="6"/>
      <c r="Q878" s="6"/>
      <c r="R878" s="6"/>
      <c r="S878" s="6"/>
      <c r="T878" s="6"/>
      <c r="U878" s="6"/>
      <c r="V878" s="6"/>
      <c r="W878" s="6"/>
      <c r="X878" s="6"/>
      <c r="Y878" s="6"/>
      <c r="Z878" s="6"/>
      <c r="AA878" s="6"/>
      <c r="AB878" s="6"/>
      <c r="AC878" s="6"/>
      <c r="AD878" s="6"/>
      <c r="AE878" s="6"/>
    </row>
    <row r="879" spans="1:31" ht="38.25" x14ac:dyDescent="0.2">
      <c r="A879" s="6" t="s">
        <v>4806</v>
      </c>
      <c r="B879" s="6" t="s">
        <v>5065</v>
      </c>
      <c r="C879" s="20" t="s">
        <v>5066</v>
      </c>
      <c r="D879" s="6" t="s">
        <v>5067</v>
      </c>
      <c r="E879" s="6"/>
      <c r="F879" s="6" t="s">
        <v>779</v>
      </c>
      <c r="G879" s="6" t="s">
        <v>780</v>
      </c>
      <c r="H879" s="6" t="str">
        <f t="shared" si="58"/>
        <v>EGYPT FIELDHANDS(P315)</v>
      </c>
      <c r="I879" s="6" t="s">
        <v>784</v>
      </c>
      <c r="J879" s="6"/>
      <c r="K879" s="6"/>
      <c r="L879" s="6" t="s">
        <v>2228</v>
      </c>
      <c r="M879" s="6" t="str">
        <f>VLOOKUP(L879, GLOSSARY!$A:$C, 2, FALSE)</f>
        <v>EGYPT OLD CURING HOUSE PIECE</v>
      </c>
      <c r="N879" s="6" t="s">
        <v>287</v>
      </c>
      <c r="O879" s="6"/>
      <c r="P879" s="6"/>
      <c r="Q879" s="6"/>
      <c r="R879" s="6"/>
      <c r="S879" s="6"/>
      <c r="T879" s="6"/>
      <c r="U879" s="6"/>
      <c r="V879" s="6"/>
      <c r="W879" s="6"/>
      <c r="X879" s="6"/>
      <c r="Y879" s="6"/>
      <c r="Z879" s="6"/>
      <c r="AA879" s="6"/>
      <c r="AB879" s="6"/>
      <c r="AC879" s="6"/>
      <c r="AD879" s="6"/>
      <c r="AE879" s="6"/>
    </row>
    <row r="880" spans="1:31" ht="63.75" x14ac:dyDescent="0.2">
      <c r="A880" s="6" t="s">
        <v>4806</v>
      </c>
      <c r="B880" s="6" t="s">
        <v>5068</v>
      </c>
      <c r="C880" s="20" t="s">
        <v>5069</v>
      </c>
      <c r="D880" s="6" t="s">
        <v>5070</v>
      </c>
      <c r="E880" s="6"/>
      <c r="F880" s="6" t="s">
        <v>779</v>
      </c>
      <c r="G880" s="6" t="s">
        <v>780</v>
      </c>
      <c r="H880" s="6" t="str">
        <f t="shared" si="58"/>
        <v>EGYPT FIELDHANDS(P315)</v>
      </c>
      <c r="I880" s="6" t="s">
        <v>784</v>
      </c>
      <c r="J880" s="6"/>
      <c r="K880" s="6"/>
      <c r="L880" s="6" t="s">
        <v>5071</v>
      </c>
      <c r="M880" s="6" t="s">
        <v>5072</v>
      </c>
      <c r="N880" s="6" t="s">
        <v>287</v>
      </c>
      <c r="O880" s="6"/>
      <c r="P880" s="6"/>
      <c r="Q880" s="6"/>
      <c r="R880" s="6"/>
      <c r="S880" s="6"/>
      <c r="T880" s="6"/>
      <c r="U880" s="6"/>
      <c r="V880" s="6"/>
      <c r="W880" s="6"/>
      <c r="X880" s="6"/>
      <c r="Y880" s="6"/>
      <c r="Z880" s="6"/>
      <c r="AA880" s="6"/>
      <c r="AB880" s="6"/>
      <c r="AC880" s="6"/>
      <c r="AD880" s="6"/>
      <c r="AE880" s="6"/>
    </row>
    <row r="881" spans="1:31" ht="63.75" x14ac:dyDescent="0.2">
      <c r="A881" s="6" t="s">
        <v>4806</v>
      </c>
      <c r="B881" s="6" t="s">
        <v>5068</v>
      </c>
      <c r="C881" s="20" t="s">
        <v>5073</v>
      </c>
      <c r="D881" s="6" t="s">
        <v>5074</v>
      </c>
      <c r="E881" s="6"/>
      <c r="F881" s="6"/>
      <c r="G881" s="6"/>
      <c r="H881" s="6" t="str">
        <f t="shared" si="58"/>
        <v>()</v>
      </c>
      <c r="I881" s="6" t="s">
        <v>869</v>
      </c>
      <c r="J881" s="6"/>
      <c r="K881" s="6"/>
      <c r="L881" s="6" t="s">
        <v>55</v>
      </c>
      <c r="M881" s="6" t="str">
        <f>VLOOKUP(L881, GLOSSARY!$A:$C, 2, FALSE)</f>
        <v>EGYPT ESTATE</v>
      </c>
      <c r="N881" s="6" t="s">
        <v>167</v>
      </c>
      <c r="O881" s="6"/>
      <c r="P881" s="6"/>
      <c r="Q881" s="6"/>
      <c r="R881" s="6"/>
      <c r="S881" s="6"/>
      <c r="T881" s="6"/>
      <c r="U881" s="6"/>
      <c r="V881" s="6"/>
      <c r="W881" s="6"/>
      <c r="X881" s="6"/>
      <c r="Y881" s="6"/>
      <c r="Z881" s="6"/>
      <c r="AA881" s="6"/>
      <c r="AB881" s="6"/>
      <c r="AC881" s="6"/>
      <c r="AD881" s="6"/>
      <c r="AE881" s="6"/>
    </row>
    <row r="882" spans="1:31" ht="357" x14ac:dyDescent="0.2">
      <c r="A882" s="6" t="s">
        <v>4806</v>
      </c>
      <c r="B882" s="6" t="s">
        <v>4348</v>
      </c>
      <c r="C882" s="20" t="s">
        <v>5073</v>
      </c>
      <c r="D882" s="6" t="s">
        <v>5075</v>
      </c>
      <c r="E882" s="6"/>
      <c r="F882" s="6" t="s">
        <v>5076</v>
      </c>
      <c r="G882" s="6" t="s">
        <v>5077</v>
      </c>
      <c r="H882" s="6" t="str">
        <f t="shared" si="58"/>
        <v>THE OVERSEER
JEREMIAH MEYLER
COFFEE
QUAMINA
CUBBENNA
FLANDERS
MASON QUASHE(P43
P159
P353
P354
P355
P356
P25)</v>
      </c>
      <c r="I882" s="6" t="s">
        <v>759</v>
      </c>
      <c r="J882" s="6"/>
      <c r="K882" s="6"/>
      <c r="L882" s="6" t="s">
        <v>3012</v>
      </c>
      <c r="M882" s="6" t="str">
        <f>VLOOKUP(L882, GLOSSARY!$A:$C, 2, FALSE)</f>
        <v>MEYLER'S WHARF</v>
      </c>
      <c r="N882" s="6" t="s">
        <v>287</v>
      </c>
      <c r="O882" s="6"/>
      <c r="P882" s="6"/>
      <c r="Q882" s="6"/>
      <c r="R882" s="6"/>
      <c r="S882" s="6"/>
      <c r="T882" s="6"/>
      <c r="U882" s="6"/>
      <c r="V882" s="6"/>
      <c r="W882" s="6"/>
      <c r="X882" s="6"/>
      <c r="Y882" s="6"/>
      <c r="Z882" s="6"/>
      <c r="AA882" s="6"/>
      <c r="AB882" s="6"/>
      <c r="AC882" s="6"/>
      <c r="AD882" s="6"/>
      <c r="AE882" s="6"/>
    </row>
    <row r="883" spans="1:31" ht="51" x14ac:dyDescent="0.2">
      <c r="A883" s="6" t="s">
        <v>5078</v>
      </c>
      <c r="B883" s="6" t="s">
        <v>4348</v>
      </c>
      <c r="C883" s="20" t="s">
        <v>5073</v>
      </c>
      <c r="D883" s="6" t="s">
        <v>5079</v>
      </c>
      <c r="E883" s="6"/>
      <c r="F883" s="6" t="s">
        <v>5080</v>
      </c>
      <c r="G883" s="6" t="s">
        <v>5081</v>
      </c>
      <c r="H883" s="6" t="str">
        <f t="shared" si="58"/>
        <v>ABRAHAM
BENJAMIN(P360
P413)</v>
      </c>
      <c r="I883" s="6" t="s">
        <v>656</v>
      </c>
      <c r="J883" s="6"/>
      <c r="K883" s="6"/>
      <c r="L883" s="6" t="s">
        <v>55</v>
      </c>
      <c r="M883" s="6" t="str">
        <f>VLOOKUP(L883, GLOSSARY!$A:$C, 2, FALSE)</f>
        <v>EGYPT ESTATE</v>
      </c>
      <c r="N883" s="6" t="s">
        <v>68</v>
      </c>
      <c r="O883" s="6"/>
      <c r="P883" s="6"/>
      <c r="Q883" s="6"/>
      <c r="R883" s="6"/>
      <c r="S883" s="6"/>
      <c r="T883" s="6"/>
      <c r="U883" s="6"/>
      <c r="V883" s="6"/>
      <c r="W883" s="6"/>
      <c r="X883" s="6"/>
      <c r="Y883" s="6"/>
      <c r="Z883" s="6"/>
      <c r="AA883" s="6"/>
      <c r="AB883" s="6"/>
      <c r="AC883" s="6"/>
      <c r="AD883" s="6"/>
      <c r="AE883" s="6"/>
    </row>
    <row r="884" spans="1:31" ht="89.25" x14ac:dyDescent="0.2">
      <c r="A884" s="6" t="s">
        <v>4806</v>
      </c>
      <c r="B884" s="6" t="s">
        <v>5082</v>
      </c>
      <c r="C884" s="20" t="s">
        <v>5083</v>
      </c>
      <c r="D884" s="6" t="s">
        <v>5084</v>
      </c>
      <c r="E884" s="6"/>
      <c r="F884" s="6"/>
      <c r="G884" s="6"/>
      <c r="H884" s="6" t="str">
        <f t="shared" si="58"/>
        <v>()</v>
      </c>
      <c r="I884" s="6" t="s">
        <v>869</v>
      </c>
      <c r="J884" s="6"/>
      <c r="K884" s="6"/>
      <c r="L884" s="6"/>
      <c r="M884" s="6" t="e">
        <f>VLOOKUP(L884, GLOSSARY!$A:$C, 2, FALSE)</f>
        <v>#N/A</v>
      </c>
      <c r="N884" s="6" t="s">
        <v>167</v>
      </c>
      <c r="O884" s="6"/>
      <c r="P884" s="6"/>
      <c r="Q884" s="6"/>
      <c r="R884" s="6"/>
      <c r="S884" s="6"/>
      <c r="T884" s="6"/>
      <c r="U884" s="6"/>
      <c r="V884" s="6"/>
      <c r="W884" s="6"/>
      <c r="X884" s="6"/>
      <c r="Y884" s="6"/>
      <c r="Z884" s="6"/>
      <c r="AA884" s="6"/>
      <c r="AB884" s="6"/>
      <c r="AC884" s="6"/>
      <c r="AD884" s="6"/>
      <c r="AE884" s="6"/>
    </row>
    <row r="885" spans="1:31" ht="38.25" x14ac:dyDescent="0.2">
      <c r="A885" s="6" t="s">
        <v>5078</v>
      </c>
      <c r="B885" s="6" t="s">
        <v>5085</v>
      </c>
      <c r="C885" s="20" t="s">
        <v>5086</v>
      </c>
      <c r="D885" s="6" t="s">
        <v>5087</v>
      </c>
      <c r="E885" s="6"/>
      <c r="F885" s="6" t="s">
        <v>2026</v>
      </c>
      <c r="G885" s="6" t="s">
        <v>2025</v>
      </c>
      <c r="H885" s="6" t="str">
        <f t="shared" si="58"/>
        <v>ABRAHAM(P360)</v>
      </c>
      <c r="I885" s="6" t="s">
        <v>656</v>
      </c>
      <c r="J885" s="6"/>
      <c r="K885" s="6"/>
      <c r="L885" s="6" t="s">
        <v>55</v>
      </c>
      <c r="M885" s="6" t="str">
        <f>VLOOKUP(L885, GLOSSARY!$A:$C, 2, FALSE)</f>
        <v>EGYPT ESTATE</v>
      </c>
      <c r="N885" s="6" t="s">
        <v>68</v>
      </c>
      <c r="O885" s="6"/>
      <c r="P885" s="6"/>
      <c r="Q885" s="6"/>
      <c r="R885" s="6"/>
      <c r="S885" s="6"/>
      <c r="T885" s="6"/>
      <c r="U885" s="6"/>
      <c r="V885" s="6"/>
      <c r="W885" s="6"/>
      <c r="X885" s="6"/>
      <c r="Y885" s="6"/>
      <c r="Z885" s="6"/>
      <c r="AA885" s="6"/>
      <c r="AB885" s="6"/>
      <c r="AC885" s="6"/>
      <c r="AD885" s="6"/>
      <c r="AE885" s="6"/>
    </row>
    <row r="886" spans="1:31" ht="255" x14ac:dyDescent="0.2">
      <c r="A886" s="6" t="s">
        <v>4806</v>
      </c>
      <c r="B886" s="6" t="s">
        <v>4665</v>
      </c>
      <c r="C886" s="20" t="s">
        <v>5088</v>
      </c>
      <c r="D886" s="6" t="s">
        <v>5089</v>
      </c>
      <c r="E886" s="6"/>
      <c r="F886" s="6" t="s">
        <v>5090</v>
      </c>
      <c r="H886" s="6" t="str">
        <f>CONCATENATE(F886,"(",G887,")")</f>
        <v>THE OVERSEER
JEREMIAH MEYLER
(P413
P111)</v>
      </c>
      <c r="I886" s="6" t="s">
        <v>759</v>
      </c>
      <c r="J886" s="6"/>
      <c r="K886" s="6"/>
      <c r="L886" s="6" t="s">
        <v>3012</v>
      </c>
      <c r="M886" s="6" t="str">
        <f>VLOOKUP(L886, GLOSSARY!$A:$C, 2, FALSE)</f>
        <v>MEYLER'S WHARF</v>
      </c>
      <c r="N886" s="6" t="s">
        <v>68</v>
      </c>
      <c r="O886" s="6"/>
      <c r="P886" s="6"/>
      <c r="Q886" s="6"/>
      <c r="R886" s="6"/>
      <c r="S886" s="6"/>
      <c r="T886" s="6"/>
      <c r="U886" s="6"/>
      <c r="V886" s="6"/>
      <c r="W886" s="6"/>
      <c r="X886" s="6"/>
      <c r="Y886" s="6"/>
      <c r="Z886" s="6"/>
      <c r="AA886" s="6"/>
      <c r="AB886" s="6"/>
      <c r="AC886" s="6"/>
      <c r="AD886" s="6"/>
      <c r="AE886" s="6"/>
    </row>
    <row r="887" spans="1:31" ht="51" x14ac:dyDescent="0.2">
      <c r="A887" s="6" t="s">
        <v>5078</v>
      </c>
      <c r="B887" s="6" t="s">
        <v>5085</v>
      </c>
      <c r="C887" s="20" t="s">
        <v>5088</v>
      </c>
      <c r="D887" s="6" t="s">
        <v>5091</v>
      </c>
      <c r="E887" s="6"/>
      <c r="F887" s="6" t="s">
        <v>5092</v>
      </c>
      <c r="G887" s="6" t="s">
        <v>5093</v>
      </c>
      <c r="H887" s="6" t="str">
        <f>CONCATENATE(F887,"(",G887,")")</f>
        <v>BENJAMIN
RICHARD HUNGERFORD(P413
P111)</v>
      </c>
      <c r="I887" s="6" t="s">
        <v>656</v>
      </c>
      <c r="J887" s="6"/>
      <c r="K887" s="6"/>
      <c r="L887" s="6" t="s">
        <v>55</v>
      </c>
      <c r="M887" s="6" t="str">
        <f>VLOOKUP(L887, GLOSSARY!$A:$C, 2, FALSE)</f>
        <v>EGYPT ESTATE</v>
      </c>
      <c r="N887" s="6" t="s">
        <v>167</v>
      </c>
      <c r="O887" s="6"/>
      <c r="P887" s="6"/>
      <c r="Q887" s="6"/>
      <c r="R887" s="6"/>
      <c r="S887" s="6"/>
      <c r="T887" s="6"/>
      <c r="U887" s="6"/>
      <c r="V887" s="6"/>
      <c r="W887" s="6"/>
      <c r="X887" s="6"/>
      <c r="Y887" s="6"/>
      <c r="Z887" s="6"/>
      <c r="AA887" s="6"/>
      <c r="AB887" s="6"/>
      <c r="AC887" s="6"/>
      <c r="AD887" s="6"/>
      <c r="AE887" s="6"/>
    </row>
    <row r="888" spans="1:31" ht="216.75" x14ac:dyDescent="0.2">
      <c r="A888" s="6" t="s">
        <v>4806</v>
      </c>
      <c r="B888" s="6" t="s">
        <v>2098</v>
      </c>
      <c r="C888" s="20" t="s">
        <v>5094</v>
      </c>
      <c r="D888" s="6" t="s">
        <v>5095</v>
      </c>
      <c r="E888" s="6"/>
      <c r="F888" s="6" t="s">
        <v>5090</v>
      </c>
      <c r="G888" s="6" t="s">
        <v>5096</v>
      </c>
      <c r="H888" s="6" t="e">
        <f>CONCATENATE(F888,"(",#REF!,")")</f>
        <v>#REF!</v>
      </c>
      <c r="I888" s="6" t="s">
        <v>759</v>
      </c>
      <c r="J888" s="6"/>
      <c r="K888" s="6"/>
      <c r="L888" s="6" t="s">
        <v>3012</v>
      </c>
      <c r="M888" s="6" t="str">
        <f>VLOOKUP(L888, GLOSSARY!$A:$C, 2, FALSE)</f>
        <v>MEYLER'S WHARF</v>
      </c>
      <c r="N888" s="6" t="s">
        <v>68</v>
      </c>
      <c r="O888" s="6"/>
      <c r="P888" s="6"/>
      <c r="Q888" s="6"/>
      <c r="R888" s="6"/>
      <c r="S888" s="6"/>
      <c r="T888" s="6"/>
      <c r="U888" s="6"/>
      <c r="V888" s="6"/>
      <c r="W888" s="6"/>
      <c r="X888" s="6"/>
      <c r="Y888" s="6"/>
      <c r="Z888" s="6"/>
      <c r="AA888" s="6"/>
      <c r="AB888" s="6"/>
      <c r="AC888" s="6"/>
      <c r="AD888" s="6"/>
      <c r="AE888" s="6"/>
    </row>
    <row r="889" spans="1:31" ht="76.5" x14ac:dyDescent="0.2">
      <c r="A889" s="6" t="s">
        <v>4806</v>
      </c>
      <c r="B889" s="6" t="s">
        <v>5097</v>
      </c>
      <c r="C889" s="20" t="s">
        <v>5098</v>
      </c>
      <c r="D889" s="6" t="s">
        <v>5099</v>
      </c>
      <c r="E889" s="6"/>
      <c r="F889" s="6" t="s">
        <v>779</v>
      </c>
      <c r="G889" s="6" t="s">
        <v>780</v>
      </c>
      <c r="H889" s="6" t="str">
        <f t="shared" ref="H889:H896" si="59">CONCATENATE(F889,"(",G889,")")</f>
        <v>EGYPT FIELDHANDS(P315)</v>
      </c>
      <c r="I889" s="6" t="s">
        <v>784</v>
      </c>
      <c r="J889" s="6"/>
      <c r="K889" s="6"/>
      <c r="L889" s="6" t="s">
        <v>2855</v>
      </c>
      <c r="M889" s="6" t="str">
        <f>VLOOKUP(L889, GLOSSARY!$A:$C, 2, FALSE)</f>
        <v>EGYPT CALABASH TREE PIECE</v>
      </c>
      <c r="N889" s="6" t="s">
        <v>287</v>
      </c>
      <c r="O889" s="6"/>
      <c r="P889" s="6"/>
      <c r="Q889" s="6"/>
      <c r="R889" s="6"/>
      <c r="S889" s="6"/>
      <c r="T889" s="6"/>
      <c r="U889" s="6"/>
      <c r="V889" s="6"/>
      <c r="W889" s="6"/>
      <c r="X889" s="6"/>
      <c r="Y889" s="6"/>
      <c r="Z889" s="6"/>
      <c r="AA889" s="6"/>
      <c r="AB889" s="6"/>
      <c r="AC889" s="6"/>
      <c r="AD889" s="6"/>
      <c r="AE889" s="6"/>
    </row>
    <row r="890" spans="1:31" ht="76.5" x14ac:dyDescent="0.2">
      <c r="A890" s="6" t="s">
        <v>4806</v>
      </c>
      <c r="B890" s="6" t="s">
        <v>4357</v>
      </c>
      <c r="C890" s="20" t="s">
        <v>5100</v>
      </c>
      <c r="D890" s="6" t="s">
        <v>5101</v>
      </c>
      <c r="E890" s="6"/>
      <c r="F890" s="6" t="s">
        <v>779</v>
      </c>
      <c r="G890" s="6" t="s">
        <v>780</v>
      </c>
      <c r="H890" s="6" t="str">
        <f t="shared" si="59"/>
        <v>EGYPT FIELDHANDS(P315)</v>
      </c>
      <c r="I890" s="6" t="s">
        <v>784</v>
      </c>
      <c r="J890" s="6"/>
      <c r="K890" s="6"/>
      <c r="L890" s="6" t="s">
        <v>2855</v>
      </c>
      <c r="M890" s="6" t="str">
        <f>VLOOKUP(L890, GLOSSARY!$A:$C, 2, FALSE)</f>
        <v>EGYPT CALABASH TREE PIECE</v>
      </c>
      <c r="N890" s="6" t="s">
        <v>287</v>
      </c>
      <c r="O890" s="6"/>
      <c r="P890" s="6"/>
      <c r="Q890" s="6"/>
      <c r="R890" s="6"/>
      <c r="S890" s="6"/>
      <c r="T890" s="6"/>
      <c r="U890" s="6"/>
      <c r="V890" s="6"/>
      <c r="W890" s="6"/>
      <c r="X890" s="6"/>
      <c r="Y890" s="6"/>
      <c r="Z890" s="6"/>
      <c r="AA890" s="6"/>
      <c r="AB890" s="6"/>
      <c r="AC890" s="6"/>
      <c r="AD890" s="6"/>
      <c r="AE890" s="6"/>
    </row>
    <row r="891" spans="1:31" ht="51" x14ac:dyDescent="0.2">
      <c r="A891" s="6" t="s">
        <v>4806</v>
      </c>
      <c r="B891" s="6" t="s">
        <v>4364</v>
      </c>
      <c r="C891" s="20" t="s">
        <v>5102</v>
      </c>
      <c r="D891" s="6" t="s">
        <v>5103</v>
      </c>
      <c r="E891" s="6"/>
      <c r="F891" s="6" t="s">
        <v>779</v>
      </c>
      <c r="G891" s="6" t="s">
        <v>780</v>
      </c>
      <c r="H891" s="6" t="str">
        <f t="shared" si="59"/>
        <v>EGYPT FIELDHANDS(P315)</v>
      </c>
      <c r="I891" s="6" t="s">
        <v>784</v>
      </c>
      <c r="J891" s="6"/>
      <c r="K891" s="6"/>
      <c r="L891" s="6" t="s">
        <v>2892</v>
      </c>
      <c r="M891" s="6" t="str">
        <f>VLOOKUP(L891, GLOSSARY!$A:$C, 2, FALSE)</f>
        <v>EGYPT PIMENTO TREE PIECE</v>
      </c>
      <c r="N891" s="6" t="s">
        <v>287</v>
      </c>
      <c r="O891" s="6"/>
      <c r="P891" s="6"/>
      <c r="Q891" s="6"/>
      <c r="R891" s="6"/>
      <c r="S891" s="6"/>
      <c r="T891" s="6"/>
      <c r="U891" s="6"/>
      <c r="V891" s="6"/>
      <c r="W891" s="6"/>
      <c r="X891" s="6"/>
      <c r="Y891" s="6"/>
      <c r="Z891" s="6"/>
      <c r="AA891" s="6"/>
      <c r="AB891" s="6"/>
      <c r="AC891" s="6"/>
      <c r="AD891" s="6"/>
      <c r="AE891" s="6"/>
    </row>
    <row r="892" spans="1:31" ht="102" x14ac:dyDescent="0.2">
      <c r="A892" s="6" t="s">
        <v>4806</v>
      </c>
      <c r="B892" s="6" t="s">
        <v>4364</v>
      </c>
      <c r="C892" s="20" t="s">
        <v>5102</v>
      </c>
      <c r="D892" s="6" t="s">
        <v>5104</v>
      </c>
      <c r="E892" s="6"/>
      <c r="F892" s="6" t="s">
        <v>5105</v>
      </c>
      <c r="G892" s="6" t="s">
        <v>5096</v>
      </c>
      <c r="H892" s="6" t="str">
        <f t="shared" si="59"/>
        <v>THE OVERSEER
JEREMIAH MEYLER(P43
P159)</v>
      </c>
      <c r="I892" s="6" t="s">
        <v>759</v>
      </c>
      <c r="J892" s="6"/>
      <c r="K892" s="6"/>
      <c r="L892" s="6" t="s">
        <v>3012</v>
      </c>
      <c r="M892" s="6" t="str">
        <f>VLOOKUP(L892, GLOSSARY!$A:$C, 2, FALSE)</f>
        <v>MEYLER'S WHARF</v>
      </c>
      <c r="N892" s="6" t="s">
        <v>68</v>
      </c>
      <c r="O892" s="6"/>
      <c r="P892" s="6"/>
      <c r="Q892" s="6"/>
      <c r="R892" s="6"/>
      <c r="S892" s="6"/>
      <c r="T892" s="6"/>
      <c r="U892" s="6"/>
      <c r="V892" s="6"/>
      <c r="W892" s="6"/>
      <c r="X892" s="6"/>
      <c r="Y892" s="6"/>
      <c r="Z892" s="6"/>
      <c r="AA892" s="6"/>
      <c r="AB892" s="6"/>
      <c r="AC892" s="6"/>
      <c r="AD892" s="6"/>
      <c r="AE892" s="6"/>
    </row>
    <row r="893" spans="1:31" ht="51" x14ac:dyDescent="0.2">
      <c r="A893" s="6" t="s">
        <v>4806</v>
      </c>
      <c r="B893" s="6" t="s">
        <v>4364</v>
      </c>
      <c r="C893" s="20" t="s">
        <v>5106</v>
      </c>
      <c r="D893" s="6" t="s">
        <v>5107</v>
      </c>
      <c r="E893" s="6"/>
      <c r="F893" s="6" t="s">
        <v>779</v>
      </c>
      <c r="G893" s="6" t="s">
        <v>780</v>
      </c>
      <c r="H893" s="6" t="str">
        <f t="shared" si="59"/>
        <v>EGYPT FIELDHANDS(P315)</v>
      </c>
      <c r="I893" s="6" t="s">
        <v>784</v>
      </c>
      <c r="J893" s="6"/>
      <c r="K893" s="6"/>
      <c r="L893" s="6" t="s">
        <v>2892</v>
      </c>
      <c r="M893" s="6" t="str">
        <f>VLOOKUP(L893, GLOSSARY!$A:$C, 2, FALSE)</f>
        <v>EGYPT PIMENTO TREE PIECE</v>
      </c>
      <c r="N893" s="6" t="s">
        <v>287</v>
      </c>
      <c r="O893" s="6"/>
      <c r="P893" s="6"/>
      <c r="Q893" s="6"/>
      <c r="R893" s="6"/>
      <c r="S893" s="6"/>
      <c r="T893" s="6"/>
      <c r="U893" s="6"/>
      <c r="V893" s="6"/>
      <c r="W893" s="6"/>
      <c r="X893" s="6"/>
      <c r="Y893" s="6"/>
      <c r="Z893" s="6"/>
      <c r="AA893" s="6"/>
      <c r="AB893" s="6"/>
      <c r="AC893" s="6"/>
      <c r="AD893" s="6"/>
      <c r="AE893" s="6"/>
    </row>
    <row r="894" spans="1:31" ht="63.75" x14ac:dyDescent="0.2">
      <c r="A894" s="6" t="s">
        <v>4806</v>
      </c>
      <c r="B894" s="6" t="s">
        <v>5108</v>
      </c>
      <c r="C894" s="20" t="s">
        <v>5109</v>
      </c>
      <c r="D894" s="6" t="s">
        <v>5110</v>
      </c>
      <c r="E894" s="6"/>
      <c r="F894" s="6" t="s">
        <v>779</v>
      </c>
      <c r="G894" s="6" t="s">
        <v>780</v>
      </c>
      <c r="H894" s="6" t="str">
        <f t="shared" si="59"/>
        <v>EGYPT FIELDHANDS(P315)</v>
      </c>
      <c r="I894" s="6" t="s">
        <v>784</v>
      </c>
      <c r="J894" s="6"/>
      <c r="K894" s="6"/>
      <c r="L894" s="6" t="s">
        <v>2900</v>
      </c>
      <c r="M894" s="6" t="str">
        <f>VLOOKUP(L894, GLOSSARY!$A:$C, 2, FALSE)</f>
        <v>EGYPT MILKWOOD TREE PIECE</v>
      </c>
      <c r="N894" s="6" t="s">
        <v>68</v>
      </c>
      <c r="O894" s="6"/>
      <c r="P894" s="6"/>
      <c r="Q894" s="6"/>
      <c r="R894" s="6"/>
      <c r="S894" s="6"/>
      <c r="T894" s="6"/>
      <c r="U894" s="6"/>
      <c r="V894" s="6"/>
      <c r="W894" s="6"/>
      <c r="X894" s="6"/>
      <c r="Y894" s="6"/>
      <c r="Z894" s="6"/>
      <c r="AA894" s="6"/>
      <c r="AB894" s="6"/>
      <c r="AC894" s="6"/>
      <c r="AD894" s="6"/>
      <c r="AE894" s="6"/>
    </row>
    <row r="895" spans="1:31" ht="38.25" x14ac:dyDescent="0.2">
      <c r="A895" s="6" t="s">
        <v>4806</v>
      </c>
      <c r="B895" s="6" t="s">
        <v>5108</v>
      </c>
      <c r="C895" s="20" t="s">
        <v>5111</v>
      </c>
      <c r="D895" s="6" t="s">
        <v>5112</v>
      </c>
      <c r="E895" s="6"/>
      <c r="F895" s="6" t="s">
        <v>779</v>
      </c>
      <c r="G895" s="6" t="s">
        <v>780</v>
      </c>
      <c r="H895" s="6" t="str">
        <f t="shared" si="59"/>
        <v>EGYPT FIELDHANDS(P315)</v>
      </c>
      <c r="I895" s="6" t="s">
        <v>784</v>
      </c>
      <c r="J895" s="6"/>
      <c r="K895" s="6"/>
      <c r="L895" s="6" t="s">
        <v>2900</v>
      </c>
      <c r="M895" s="6" t="str">
        <f>VLOOKUP(L895, GLOSSARY!$A:$C, 2, FALSE)</f>
        <v>EGYPT MILKWOOD TREE PIECE</v>
      </c>
      <c r="N895" s="6" t="s">
        <v>68</v>
      </c>
      <c r="O895" s="6"/>
      <c r="P895" s="6"/>
      <c r="Q895" s="6"/>
      <c r="R895" s="6"/>
      <c r="S895" s="6"/>
      <c r="T895" s="6"/>
      <c r="U895" s="6"/>
      <c r="V895" s="6"/>
      <c r="W895" s="6"/>
      <c r="X895" s="6"/>
      <c r="Y895" s="6"/>
      <c r="Z895" s="6"/>
      <c r="AA895" s="6"/>
      <c r="AB895" s="6"/>
      <c r="AC895" s="6"/>
      <c r="AD895" s="6"/>
      <c r="AE895" s="6"/>
    </row>
    <row r="896" spans="1:31" ht="140.25" x14ac:dyDescent="0.2">
      <c r="A896" s="6" t="s">
        <v>4806</v>
      </c>
      <c r="B896" s="6" t="s">
        <v>5113</v>
      </c>
      <c r="C896" s="20" t="s">
        <v>5114</v>
      </c>
      <c r="D896" s="6" t="s">
        <v>5115</v>
      </c>
      <c r="E896" s="6"/>
      <c r="F896" s="6" t="s">
        <v>779</v>
      </c>
      <c r="G896" s="6" t="s">
        <v>780</v>
      </c>
      <c r="H896" s="6" t="str">
        <f t="shared" si="59"/>
        <v>EGYPT FIELDHANDS(P315)</v>
      </c>
      <c r="I896" s="6" t="s">
        <v>784</v>
      </c>
      <c r="J896" s="6"/>
      <c r="K896" s="6"/>
      <c r="L896" s="6" t="s">
        <v>2900</v>
      </c>
      <c r="M896" s="6" t="str">
        <f>VLOOKUP(L896, GLOSSARY!$A:$C, 2, FALSE)</f>
        <v>EGYPT MILKWOOD TREE PIECE</v>
      </c>
      <c r="N896" s="6" t="s">
        <v>287</v>
      </c>
      <c r="O896" s="6"/>
      <c r="P896" s="6"/>
      <c r="Q896" s="6"/>
      <c r="R896" s="6"/>
      <c r="S896" s="6"/>
      <c r="T896" s="6"/>
      <c r="U896" s="6"/>
      <c r="V896" s="6"/>
      <c r="W896" s="6"/>
      <c r="X896" s="6"/>
      <c r="Y896" s="6"/>
      <c r="Z896" s="6"/>
      <c r="AA896" s="6"/>
      <c r="AB896" s="6"/>
      <c r="AC896" s="6"/>
      <c r="AD896" s="6"/>
      <c r="AE896" s="6"/>
    </row>
    <row r="897" spans="1:31" ht="76.5" x14ac:dyDescent="0.2">
      <c r="A897" s="6" t="s">
        <v>5116</v>
      </c>
      <c r="B897" s="6" t="s">
        <v>4384</v>
      </c>
      <c r="C897" s="20" t="s">
        <v>5117</v>
      </c>
      <c r="D897" s="6" t="s">
        <v>5118</v>
      </c>
      <c r="E897" s="6"/>
      <c r="F897" s="6" t="s">
        <v>48</v>
      </c>
      <c r="G897" s="6" t="s">
        <v>50</v>
      </c>
      <c r="H897" s="6" t="str">
        <f>CONCATENATE(F897," (",G897,")")</f>
        <v>THE OVERSEER (P43)</v>
      </c>
      <c r="I897" s="6" t="s">
        <v>869</v>
      </c>
      <c r="J897" s="6"/>
      <c r="K897" s="6"/>
      <c r="L897" s="6" t="s">
        <v>55</v>
      </c>
      <c r="M897" s="6" t="str">
        <f>VLOOKUP(L897, GLOSSARY!$A:$C, 2, FALSE)</f>
        <v>EGYPT ESTATE</v>
      </c>
      <c r="N897" s="6" t="s">
        <v>167</v>
      </c>
      <c r="O897" s="6" t="s">
        <v>5119</v>
      </c>
      <c r="P897" s="6"/>
      <c r="Q897" s="6"/>
      <c r="R897" s="6"/>
      <c r="S897" s="6"/>
      <c r="T897" s="6"/>
      <c r="U897" s="6"/>
      <c r="V897" s="6"/>
      <c r="W897" s="6"/>
      <c r="X897" s="6"/>
      <c r="Y897" s="6"/>
      <c r="Z897" s="6"/>
      <c r="AA897" s="6"/>
      <c r="AB897" s="6"/>
      <c r="AC897" s="6"/>
      <c r="AD897" s="6"/>
      <c r="AE897" s="6"/>
    </row>
    <row r="898" spans="1:31" ht="25.5" x14ac:dyDescent="0.2">
      <c r="A898" s="6" t="s">
        <v>4806</v>
      </c>
      <c r="B898" s="6" t="s">
        <v>4375</v>
      </c>
      <c r="C898" s="20" t="s">
        <v>5117</v>
      </c>
      <c r="D898" s="6" t="s">
        <v>5120</v>
      </c>
      <c r="E898" s="6"/>
      <c r="F898" s="6" t="s">
        <v>779</v>
      </c>
      <c r="G898" s="6" t="s">
        <v>780</v>
      </c>
      <c r="H898" s="6" t="str">
        <f>CONCATENATE(F898,"(",G898,")")</f>
        <v>EGYPT FIELDHANDS(P315)</v>
      </c>
      <c r="I898" s="6" t="s">
        <v>784</v>
      </c>
      <c r="J898" s="6"/>
      <c r="K898" s="6"/>
      <c r="L898" s="6" t="s">
        <v>2839</v>
      </c>
      <c r="M898" s="6" t="str">
        <f>VLOOKUP(L898, GLOSSARY!$A:$C, 2, FALSE)</f>
        <v>EGYPT OLD NEGROE GROUND CANE PIECE</v>
      </c>
      <c r="N898" s="6" t="s">
        <v>287</v>
      </c>
      <c r="O898" s="6"/>
      <c r="P898" s="6"/>
      <c r="Q898" s="6"/>
      <c r="R898" s="6"/>
      <c r="S898" s="6"/>
      <c r="T898" s="6"/>
      <c r="U898" s="6"/>
      <c r="V898" s="6"/>
      <c r="W898" s="6"/>
      <c r="X898" s="6"/>
      <c r="Y898" s="6"/>
      <c r="Z898" s="6"/>
      <c r="AA898" s="6"/>
      <c r="AB898" s="6"/>
      <c r="AC898" s="6"/>
      <c r="AD898" s="6"/>
      <c r="AE898" s="6"/>
    </row>
    <row r="899" spans="1:31" ht="63.75" x14ac:dyDescent="0.2">
      <c r="A899" s="6" t="s">
        <v>5116</v>
      </c>
      <c r="B899" s="6" t="s">
        <v>4384</v>
      </c>
      <c r="C899" s="20" t="s">
        <v>5121</v>
      </c>
      <c r="D899" s="6" t="s">
        <v>5122</v>
      </c>
      <c r="E899" s="6"/>
      <c r="F899" s="6" t="s">
        <v>48</v>
      </c>
      <c r="G899" s="6" t="s">
        <v>50</v>
      </c>
      <c r="H899" s="6" t="str">
        <f>CONCATENATE(F899," (",G899,")")</f>
        <v>THE OVERSEER (P43)</v>
      </c>
      <c r="I899" s="6" t="s">
        <v>869</v>
      </c>
      <c r="J899" s="6"/>
      <c r="K899" s="6"/>
      <c r="L899" s="6" t="s">
        <v>55</v>
      </c>
      <c r="M899" s="6" t="str">
        <f>VLOOKUP(L899, GLOSSARY!$A:$C, 2, FALSE)</f>
        <v>EGYPT ESTATE</v>
      </c>
      <c r="N899" s="6" t="s">
        <v>167</v>
      </c>
      <c r="O899" s="6" t="s">
        <v>5123</v>
      </c>
      <c r="P899" s="6"/>
      <c r="Q899" s="6"/>
      <c r="R899" s="6"/>
      <c r="S899" s="6"/>
      <c r="T899" s="6"/>
      <c r="U899" s="6"/>
      <c r="V899" s="6"/>
      <c r="W899" s="6"/>
      <c r="X899" s="6"/>
      <c r="Y899" s="6"/>
      <c r="Z899" s="6"/>
      <c r="AA899" s="6"/>
      <c r="AB899" s="6"/>
      <c r="AC899" s="6"/>
      <c r="AD899" s="6"/>
      <c r="AE899" s="6"/>
    </row>
    <row r="900" spans="1:31" ht="25.5" x14ac:dyDescent="0.2">
      <c r="A900" s="6" t="s">
        <v>4806</v>
      </c>
      <c r="B900" s="6" t="s">
        <v>4384</v>
      </c>
      <c r="C900" s="20" t="s">
        <v>5121</v>
      </c>
      <c r="D900" s="6" t="s">
        <v>5124</v>
      </c>
      <c r="E900" s="6"/>
      <c r="F900" s="6"/>
      <c r="G900" s="6"/>
      <c r="H900" s="6" t="str">
        <f t="shared" ref="H900:H903" si="60">CONCATENATE(F900,"(",G900,")")</f>
        <v>()</v>
      </c>
      <c r="I900" s="6" t="s">
        <v>869</v>
      </c>
      <c r="J900" s="6"/>
      <c r="K900" s="6"/>
      <c r="L900" s="6"/>
      <c r="M900" s="6" t="e">
        <f>VLOOKUP(L900, GLOSSARY!$A:$C, 2, FALSE)</f>
        <v>#N/A</v>
      </c>
      <c r="N900" s="6" t="s">
        <v>167</v>
      </c>
      <c r="O900" s="6"/>
      <c r="P900" s="6"/>
      <c r="Q900" s="6"/>
      <c r="R900" s="6"/>
      <c r="S900" s="6"/>
      <c r="T900" s="6"/>
      <c r="U900" s="6"/>
      <c r="V900" s="6"/>
      <c r="W900" s="6"/>
      <c r="X900" s="6"/>
      <c r="Y900" s="6"/>
      <c r="Z900" s="6"/>
      <c r="AA900" s="6"/>
      <c r="AB900" s="6"/>
      <c r="AC900" s="6"/>
      <c r="AD900" s="6"/>
      <c r="AE900" s="6"/>
    </row>
    <row r="901" spans="1:31" ht="51" x14ac:dyDescent="0.2">
      <c r="A901" s="6" t="s">
        <v>4806</v>
      </c>
      <c r="B901" s="6" t="s">
        <v>4384</v>
      </c>
      <c r="C901" s="20" t="s">
        <v>5125</v>
      </c>
      <c r="D901" s="6" t="s">
        <v>5126</v>
      </c>
      <c r="E901" s="6"/>
      <c r="F901" s="6" t="s">
        <v>779</v>
      </c>
      <c r="G901" s="6" t="s">
        <v>780</v>
      </c>
      <c r="H901" s="6" t="str">
        <f t="shared" si="60"/>
        <v>EGYPT FIELDHANDS(P315)</v>
      </c>
      <c r="I901" s="6" t="s">
        <v>784</v>
      </c>
      <c r="J901" s="6"/>
      <c r="K901" s="6"/>
      <c r="L901" s="6" t="s">
        <v>5127</v>
      </c>
      <c r="M901" s="6" t="s">
        <v>5128</v>
      </c>
      <c r="N901" s="6"/>
      <c r="O901" s="6"/>
      <c r="P901" s="6"/>
      <c r="Q901" s="6"/>
      <c r="R901" s="6"/>
      <c r="S901" s="6"/>
      <c r="T901" s="6"/>
      <c r="U901" s="6"/>
      <c r="V901" s="6"/>
      <c r="W901" s="6"/>
      <c r="X901" s="6"/>
      <c r="Y901" s="6"/>
      <c r="Z901" s="6"/>
      <c r="AA901" s="6"/>
      <c r="AB901" s="6"/>
      <c r="AC901" s="6"/>
      <c r="AD901" s="6"/>
      <c r="AE901" s="6"/>
    </row>
    <row r="902" spans="1:31" ht="63.75" x14ac:dyDescent="0.2">
      <c r="A902" s="6" t="s">
        <v>5129</v>
      </c>
      <c r="B902" s="6" t="s">
        <v>4384</v>
      </c>
      <c r="C902" s="20" t="s">
        <v>5125</v>
      </c>
      <c r="D902" s="6" t="s">
        <v>5130</v>
      </c>
      <c r="E902" s="6"/>
      <c r="F902" s="6" t="s">
        <v>5131</v>
      </c>
      <c r="G902" s="6" t="s">
        <v>5132</v>
      </c>
      <c r="H902" s="6" t="str">
        <f t="shared" si="60"/>
        <v>THE OVERSEER
LEWIE(P43
P357)</v>
      </c>
      <c r="I902" s="6" t="s">
        <v>112</v>
      </c>
      <c r="J902" s="6"/>
      <c r="K902" s="6"/>
      <c r="L902" s="6" t="s">
        <v>55</v>
      </c>
      <c r="M902" s="6" t="str">
        <f>VLOOKUP(L902, GLOSSARY!$A:$C, 2, FALSE)</f>
        <v>EGYPT ESTATE</v>
      </c>
      <c r="N902" s="6" t="s">
        <v>167</v>
      </c>
      <c r="O902" s="6"/>
      <c r="P902" s="6"/>
      <c r="Q902" s="6"/>
      <c r="R902" s="6"/>
      <c r="S902" s="6"/>
      <c r="T902" s="6"/>
      <c r="U902" s="6"/>
      <c r="V902" s="6"/>
      <c r="W902" s="6"/>
      <c r="X902" s="6"/>
      <c r="Y902" s="6"/>
      <c r="Z902" s="6"/>
      <c r="AA902" s="6"/>
      <c r="AB902" s="6"/>
      <c r="AC902" s="6"/>
      <c r="AD902" s="6"/>
      <c r="AE902" s="6"/>
    </row>
    <row r="903" spans="1:31" ht="89.25" x14ac:dyDescent="0.2">
      <c r="A903" s="6" t="s">
        <v>4835</v>
      </c>
      <c r="B903" s="6" t="s">
        <v>5133</v>
      </c>
      <c r="C903" s="20" t="s">
        <v>5134</v>
      </c>
      <c r="D903" s="6" t="s">
        <v>5135</v>
      </c>
      <c r="E903" s="6"/>
      <c r="F903" s="6" t="s">
        <v>5136</v>
      </c>
      <c r="G903" s="6" t="s">
        <v>5137</v>
      </c>
      <c r="H903" s="6" t="str">
        <f t="shared" si="60"/>
        <v>AMBO
COFFEE
QUAMINA
LONDON(P170
P353
P354
P249)</v>
      </c>
      <c r="I903" s="6" t="s">
        <v>784</v>
      </c>
      <c r="J903" s="6"/>
      <c r="K903" s="6"/>
      <c r="L903" s="6" t="s">
        <v>55</v>
      </c>
      <c r="M903" s="6" t="str">
        <f>VLOOKUP(L903, GLOSSARY!$A:$C, 2, FALSE)</f>
        <v>EGYPT ESTATE</v>
      </c>
      <c r="N903" s="6" t="s">
        <v>68</v>
      </c>
      <c r="O903" s="6"/>
      <c r="P903" s="6"/>
      <c r="Q903" s="6"/>
      <c r="R903" s="6"/>
      <c r="S903" s="6"/>
      <c r="T903" s="6"/>
      <c r="U903" s="6"/>
      <c r="V903" s="6"/>
      <c r="W903" s="6"/>
      <c r="X903" s="6"/>
      <c r="Y903" s="6"/>
      <c r="Z903" s="6"/>
      <c r="AA903" s="6"/>
      <c r="AB903" s="6"/>
      <c r="AC903" s="6"/>
      <c r="AD903" s="6"/>
      <c r="AE903" s="6"/>
    </row>
    <row r="904" spans="1:31" ht="63.75" x14ac:dyDescent="0.2">
      <c r="A904" s="6" t="s">
        <v>5116</v>
      </c>
      <c r="B904" s="6" t="s">
        <v>5138</v>
      </c>
      <c r="C904" s="20" t="s">
        <v>5139</v>
      </c>
      <c r="D904" s="6" t="s">
        <v>5140</v>
      </c>
      <c r="E904" s="6"/>
      <c r="F904" s="6" t="s">
        <v>48</v>
      </c>
      <c r="G904" s="6" t="s">
        <v>50</v>
      </c>
      <c r="H904" s="6" t="str">
        <f>CONCATENATE(F904," (",G904,")")</f>
        <v>THE OVERSEER (P43)</v>
      </c>
      <c r="I904" s="6" t="s">
        <v>869</v>
      </c>
      <c r="J904" s="6"/>
      <c r="K904" s="6"/>
      <c r="L904" s="6" t="s">
        <v>55</v>
      </c>
      <c r="M904" s="6" t="str">
        <f>VLOOKUP(L904, GLOSSARY!$A:$C, 2, FALSE)</f>
        <v>EGYPT ESTATE</v>
      </c>
      <c r="N904" s="6" t="s">
        <v>167</v>
      </c>
      <c r="O904" s="6" t="s">
        <v>5141</v>
      </c>
      <c r="P904" s="6"/>
      <c r="Q904" s="6"/>
      <c r="R904" s="6"/>
      <c r="S904" s="6"/>
      <c r="T904" s="6"/>
      <c r="U904" s="6"/>
      <c r="V904" s="6"/>
      <c r="W904" s="6"/>
      <c r="X904" s="6"/>
      <c r="Y904" s="6"/>
      <c r="Z904" s="6"/>
      <c r="AA904" s="6"/>
      <c r="AB904" s="6"/>
      <c r="AC904" s="6"/>
      <c r="AD904" s="6"/>
      <c r="AE904" s="6"/>
    </row>
    <row r="905" spans="1:31" ht="12.75" x14ac:dyDescent="0.2">
      <c r="A905" s="6" t="s">
        <v>4806</v>
      </c>
      <c r="B905" s="6" t="s">
        <v>5138</v>
      </c>
      <c r="C905" s="20" t="s">
        <v>5139</v>
      </c>
      <c r="D905" s="6" t="s">
        <v>5142</v>
      </c>
      <c r="E905" s="6"/>
      <c r="F905" s="6"/>
      <c r="G905" s="6"/>
      <c r="H905" s="6" t="str">
        <f t="shared" ref="H905:H916" si="61">CONCATENATE(F905,"(",G905,")")</f>
        <v>()</v>
      </c>
      <c r="I905" s="6" t="s">
        <v>869</v>
      </c>
      <c r="J905" s="6"/>
      <c r="K905" s="6"/>
      <c r="L905" s="6" t="s">
        <v>55</v>
      </c>
      <c r="M905" s="6" t="str">
        <f>VLOOKUP(L905, GLOSSARY!$A:$C, 2, FALSE)</f>
        <v>EGYPT ESTATE</v>
      </c>
      <c r="N905" s="6" t="s">
        <v>167</v>
      </c>
      <c r="O905" s="6"/>
      <c r="P905" s="6"/>
      <c r="Q905" s="6"/>
      <c r="R905" s="6"/>
      <c r="S905" s="6"/>
      <c r="T905" s="6"/>
      <c r="U905" s="6"/>
      <c r="V905" s="6"/>
      <c r="W905" s="6"/>
      <c r="X905" s="6"/>
      <c r="Y905" s="6"/>
      <c r="Z905" s="6"/>
      <c r="AA905" s="6"/>
      <c r="AB905" s="6"/>
      <c r="AC905" s="6"/>
      <c r="AD905" s="6"/>
      <c r="AE905" s="6"/>
    </row>
    <row r="906" spans="1:31" ht="63.75" x14ac:dyDescent="0.2">
      <c r="A906" s="6" t="s">
        <v>4806</v>
      </c>
      <c r="B906" s="6" t="s">
        <v>5138</v>
      </c>
      <c r="C906" s="20" t="s">
        <v>5143</v>
      </c>
      <c r="D906" s="6" t="s">
        <v>5144</v>
      </c>
      <c r="E906" s="6"/>
      <c r="F906" s="6" t="s">
        <v>779</v>
      </c>
      <c r="G906" s="6" t="s">
        <v>780</v>
      </c>
      <c r="H906" s="6" t="str">
        <f t="shared" si="61"/>
        <v>EGYPT FIELDHANDS(P315)</v>
      </c>
      <c r="I906" s="6" t="s">
        <v>784</v>
      </c>
      <c r="J906" s="6"/>
      <c r="K906" s="6"/>
      <c r="L906" s="6" t="s">
        <v>2900</v>
      </c>
      <c r="M906" s="6" t="str">
        <f>VLOOKUP(L906, GLOSSARY!$A:$C, 2, FALSE)</f>
        <v>EGYPT MILKWOOD TREE PIECE</v>
      </c>
      <c r="N906" s="6" t="s">
        <v>287</v>
      </c>
      <c r="O906" s="6"/>
      <c r="P906" s="6"/>
      <c r="Q906" s="6"/>
      <c r="R906" s="6"/>
      <c r="S906" s="6"/>
      <c r="T906" s="6"/>
      <c r="U906" s="6"/>
      <c r="V906" s="6"/>
      <c r="W906" s="6"/>
      <c r="X906" s="6"/>
      <c r="Y906" s="6"/>
      <c r="Z906" s="6"/>
      <c r="AA906" s="6"/>
      <c r="AB906" s="6"/>
      <c r="AC906" s="6"/>
      <c r="AD906" s="6"/>
      <c r="AE906" s="6"/>
    </row>
    <row r="907" spans="1:31" ht="63.75" x14ac:dyDescent="0.2">
      <c r="A907" s="6" t="s">
        <v>4806</v>
      </c>
      <c r="B907" s="6" t="s">
        <v>5138</v>
      </c>
      <c r="C907" s="20" t="s">
        <v>5145</v>
      </c>
      <c r="D907" s="6" t="s">
        <v>5146</v>
      </c>
      <c r="E907" s="6"/>
      <c r="F907" s="6" t="s">
        <v>779</v>
      </c>
      <c r="G907" s="6" t="s">
        <v>780</v>
      </c>
      <c r="H907" s="6" t="str">
        <f t="shared" si="61"/>
        <v>EGYPT FIELDHANDS(P315)</v>
      </c>
      <c r="I907" s="6" t="s">
        <v>784</v>
      </c>
      <c r="J907" s="6"/>
      <c r="K907" s="6"/>
      <c r="L907" s="6" t="s">
        <v>5147</v>
      </c>
      <c r="M907" s="6" t="s">
        <v>5148</v>
      </c>
      <c r="N907" s="6" t="s">
        <v>287</v>
      </c>
      <c r="O907" s="6"/>
      <c r="P907" s="6"/>
      <c r="Q907" s="6"/>
      <c r="R907" s="6"/>
      <c r="S907" s="6"/>
      <c r="T907" s="6"/>
      <c r="U907" s="6"/>
      <c r="V907" s="6"/>
      <c r="W907" s="6"/>
      <c r="X907" s="6"/>
      <c r="Y907" s="6"/>
      <c r="Z907" s="6"/>
      <c r="AA907" s="6"/>
      <c r="AB907" s="6"/>
      <c r="AC907" s="6"/>
      <c r="AD907" s="6"/>
      <c r="AE907" s="6"/>
    </row>
    <row r="908" spans="1:31" ht="63.75" x14ac:dyDescent="0.2">
      <c r="A908" s="6" t="s">
        <v>4806</v>
      </c>
      <c r="B908" s="6" t="s">
        <v>5149</v>
      </c>
      <c r="C908" s="20" t="s">
        <v>5150</v>
      </c>
      <c r="D908" s="6" t="s">
        <v>5151</v>
      </c>
      <c r="E908" s="6"/>
      <c r="F908" s="6" t="s">
        <v>779</v>
      </c>
      <c r="G908" s="6" t="s">
        <v>780</v>
      </c>
      <c r="H908" s="6" t="str">
        <f t="shared" si="61"/>
        <v>EGYPT FIELDHANDS(P315)</v>
      </c>
      <c r="I908" s="6" t="s">
        <v>784</v>
      </c>
      <c r="J908" s="6"/>
      <c r="K908" s="6"/>
      <c r="L908" s="6" t="s">
        <v>2936</v>
      </c>
      <c r="M908" s="6" t="str">
        <f>VLOOKUP(L908, GLOSSARY!$A:$C, 2, FALSE)</f>
        <v>CABARITTA BRIDGE</v>
      </c>
      <c r="N908" s="6" t="s">
        <v>287</v>
      </c>
      <c r="O908" s="6"/>
      <c r="P908" s="6"/>
      <c r="Q908" s="6"/>
      <c r="R908" s="6"/>
      <c r="S908" s="6"/>
      <c r="T908" s="6"/>
      <c r="U908" s="6"/>
      <c r="V908" s="6"/>
      <c r="W908" s="6"/>
      <c r="X908" s="6"/>
      <c r="Y908" s="6"/>
      <c r="Z908" s="6"/>
      <c r="AA908" s="6"/>
      <c r="AB908" s="6"/>
      <c r="AC908" s="6"/>
      <c r="AD908" s="6"/>
      <c r="AE908" s="6"/>
    </row>
    <row r="909" spans="1:31" ht="63.75" x14ac:dyDescent="0.2">
      <c r="A909" s="6" t="s">
        <v>4806</v>
      </c>
      <c r="B909" s="6" t="s">
        <v>5152</v>
      </c>
      <c r="C909" s="20" t="s">
        <v>5153</v>
      </c>
      <c r="D909" s="6" t="s">
        <v>5154</v>
      </c>
      <c r="E909" s="6"/>
      <c r="F909" s="6" t="s">
        <v>2364</v>
      </c>
      <c r="G909" s="6" t="s">
        <v>2365</v>
      </c>
      <c r="H909" s="6" t="str">
        <f t="shared" si="61"/>
        <v>MOUNTAIN LUCY
THE OVERSEER(P30
P43)</v>
      </c>
      <c r="I909" s="6" t="s">
        <v>409</v>
      </c>
      <c r="J909" s="6"/>
      <c r="K909" s="6"/>
      <c r="L909" s="6" t="s">
        <v>3188</v>
      </c>
      <c r="M909" s="6" t="str">
        <f>VLOOKUP(L909, GLOSSARY!$A:$C, 2, FALSE)</f>
        <v>HYNE'S LAND</v>
      </c>
      <c r="N909" s="6" t="s">
        <v>68</v>
      </c>
      <c r="O909" s="6"/>
      <c r="P909" s="6"/>
      <c r="Q909" s="6"/>
      <c r="R909" s="6"/>
      <c r="S909" s="6"/>
      <c r="T909" s="6"/>
      <c r="U909" s="6"/>
      <c r="V909" s="6"/>
      <c r="W909" s="6"/>
      <c r="X909" s="6"/>
      <c r="Y909" s="6"/>
      <c r="Z909" s="6"/>
      <c r="AA909" s="6"/>
      <c r="AB909" s="6"/>
      <c r="AC909" s="6"/>
      <c r="AD909" s="6"/>
      <c r="AE909" s="6"/>
    </row>
    <row r="910" spans="1:31" ht="114.75" x14ac:dyDescent="0.2">
      <c r="A910" s="6" t="s">
        <v>5155</v>
      </c>
      <c r="B910" s="6" t="s">
        <v>5152</v>
      </c>
      <c r="C910" s="20" t="s">
        <v>5156</v>
      </c>
      <c r="D910" s="6" t="s">
        <v>5157</v>
      </c>
      <c r="E910" s="6"/>
      <c r="F910" s="6" t="s">
        <v>48</v>
      </c>
      <c r="G910" s="6" t="s">
        <v>50</v>
      </c>
      <c r="H910" s="6" t="str">
        <f t="shared" si="61"/>
        <v>THE OVERSEER(P43)</v>
      </c>
      <c r="I910" s="6" t="s">
        <v>859</v>
      </c>
      <c r="J910" s="6"/>
      <c r="K910" s="6"/>
      <c r="L910" s="6" t="s">
        <v>55</v>
      </c>
      <c r="M910" s="6" t="str">
        <f>VLOOKUP(L910, GLOSSARY!$A:$C, 2, FALSE)</f>
        <v>EGYPT ESTATE</v>
      </c>
      <c r="N910" s="6"/>
      <c r="O910" s="6"/>
      <c r="P910" s="6"/>
      <c r="Q910" s="6"/>
      <c r="R910" s="6"/>
      <c r="S910" s="6"/>
      <c r="T910" s="6"/>
      <c r="U910" s="6"/>
      <c r="V910" s="6"/>
      <c r="W910" s="6"/>
      <c r="X910" s="6"/>
      <c r="Y910" s="6"/>
      <c r="Z910" s="6"/>
      <c r="AA910" s="6"/>
      <c r="AB910" s="6"/>
      <c r="AC910" s="6"/>
      <c r="AD910" s="6"/>
      <c r="AE910" s="6"/>
    </row>
    <row r="911" spans="1:31" ht="38.25" x14ac:dyDescent="0.2">
      <c r="A911" s="6" t="s">
        <v>2163</v>
      </c>
      <c r="B911" s="6" t="s">
        <v>5158</v>
      </c>
      <c r="C911" s="20" t="s">
        <v>5159</v>
      </c>
      <c r="D911" s="6" t="s">
        <v>5160</v>
      </c>
      <c r="E911" s="6"/>
      <c r="F911" s="6" t="s">
        <v>645</v>
      </c>
      <c r="G911" s="6" t="s">
        <v>511</v>
      </c>
      <c r="H911" s="6" t="str">
        <f t="shared" si="61"/>
        <v>HAZAT(P87)</v>
      </c>
      <c r="I911" s="6" t="s">
        <v>533</v>
      </c>
      <c r="J911" s="6"/>
      <c r="K911" s="6"/>
      <c r="L911" s="6" t="s">
        <v>93</v>
      </c>
      <c r="M911" s="6" t="str">
        <f>VLOOKUP(L911, GLOSSARY!$A:$C, 2, FALSE)</f>
        <v>SALT RIVER ESTATE</v>
      </c>
      <c r="N911" s="6" t="s">
        <v>68</v>
      </c>
      <c r="O911" s="6"/>
      <c r="P911" s="6"/>
      <c r="Q911" s="6"/>
      <c r="R911" s="6"/>
      <c r="S911" s="6"/>
      <c r="T911" s="6"/>
      <c r="U911" s="6"/>
      <c r="V911" s="6"/>
      <c r="W911" s="6"/>
      <c r="X911" s="6"/>
      <c r="Y911" s="6"/>
      <c r="Z911" s="6"/>
      <c r="AA911" s="6"/>
      <c r="AB911" s="6"/>
      <c r="AC911" s="6"/>
      <c r="AD911" s="6"/>
      <c r="AE911" s="6"/>
    </row>
    <row r="912" spans="1:31" ht="114.75" x14ac:dyDescent="0.2">
      <c r="A912" s="6" t="s">
        <v>4806</v>
      </c>
      <c r="B912" s="6" t="s">
        <v>5161</v>
      </c>
      <c r="C912" s="20" t="s">
        <v>5159</v>
      </c>
      <c r="D912" s="6" t="s">
        <v>5162</v>
      </c>
      <c r="E912" s="6"/>
      <c r="F912" s="6" t="s">
        <v>48</v>
      </c>
      <c r="G912" s="6" t="s">
        <v>50</v>
      </c>
      <c r="H912" s="6" t="str">
        <f t="shared" si="61"/>
        <v>THE OVERSEER(P43)</v>
      </c>
      <c r="I912" s="6" t="s">
        <v>759</v>
      </c>
      <c r="J912" s="6"/>
      <c r="K912" s="6"/>
      <c r="L912" s="6" t="s">
        <v>3012</v>
      </c>
      <c r="M912" s="6" t="str">
        <f>VLOOKUP(L912, GLOSSARY!$A:$C, 2, FALSE)</f>
        <v>MEYLER'S WHARF</v>
      </c>
      <c r="N912" s="6"/>
      <c r="O912" s="6"/>
      <c r="P912" s="6"/>
      <c r="Q912" s="6"/>
      <c r="R912" s="6"/>
      <c r="S912" s="6"/>
      <c r="T912" s="6"/>
      <c r="U912" s="6"/>
      <c r="V912" s="6"/>
      <c r="W912" s="6"/>
      <c r="X912" s="6"/>
      <c r="Y912" s="6"/>
      <c r="Z912" s="6"/>
      <c r="AA912" s="6"/>
      <c r="AB912" s="6"/>
      <c r="AC912" s="6"/>
      <c r="AD912" s="6"/>
      <c r="AE912" s="6"/>
    </row>
    <row r="913" spans="1:31" ht="114.75" x14ac:dyDescent="0.2">
      <c r="A913" s="6" t="s">
        <v>4806</v>
      </c>
      <c r="B913" s="6" t="s">
        <v>3910</v>
      </c>
      <c r="C913" s="20" t="s">
        <v>5163</v>
      </c>
      <c r="D913" s="6" t="s">
        <v>5164</v>
      </c>
      <c r="E913" s="6"/>
      <c r="F913" s="6" t="s">
        <v>48</v>
      </c>
      <c r="G913" s="6" t="s">
        <v>50</v>
      </c>
      <c r="H913" s="6" t="str">
        <f t="shared" si="61"/>
        <v>THE OVERSEER(P43)</v>
      </c>
      <c r="I913" s="6" t="s">
        <v>759</v>
      </c>
      <c r="J913" s="6"/>
      <c r="K913" s="6"/>
      <c r="L913" s="6" t="s">
        <v>3012</v>
      </c>
      <c r="M913" s="6" t="str">
        <f>VLOOKUP(L913, GLOSSARY!$A:$C, 2, FALSE)</f>
        <v>MEYLER'S WHARF</v>
      </c>
      <c r="N913" s="6" t="s">
        <v>68</v>
      </c>
      <c r="O913" s="6"/>
      <c r="P913" s="6"/>
      <c r="Q913" s="6"/>
      <c r="R913" s="6"/>
      <c r="S913" s="6"/>
      <c r="T913" s="6"/>
      <c r="U913" s="6"/>
      <c r="V913" s="6"/>
      <c r="W913" s="6"/>
      <c r="X913" s="6"/>
      <c r="Y913" s="6"/>
      <c r="Z913" s="6"/>
      <c r="AA913" s="6"/>
      <c r="AB913" s="6"/>
      <c r="AC913" s="6"/>
      <c r="AD913" s="6"/>
      <c r="AE913" s="6"/>
    </row>
    <row r="914" spans="1:31" ht="114.75" x14ac:dyDescent="0.2">
      <c r="A914" s="6" t="s">
        <v>4806</v>
      </c>
      <c r="B914" s="6" t="s">
        <v>5165</v>
      </c>
      <c r="C914" s="20" t="s">
        <v>5166</v>
      </c>
      <c r="D914" s="6" t="s">
        <v>5167</v>
      </c>
      <c r="E914" s="6"/>
      <c r="F914" s="6"/>
      <c r="G914" s="6"/>
      <c r="H914" s="6" t="str">
        <f t="shared" si="61"/>
        <v>()</v>
      </c>
      <c r="I914" s="6" t="s">
        <v>759</v>
      </c>
      <c r="J914" s="6"/>
      <c r="K914" s="6"/>
      <c r="L914" s="6" t="s">
        <v>55</v>
      </c>
      <c r="M914" s="6" t="str">
        <f>VLOOKUP(L914, GLOSSARY!$A:$C, 2, FALSE)</f>
        <v>EGYPT ESTATE</v>
      </c>
      <c r="N914" s="6" t="s">
        <v>68</v>
      </c>
      <c r="O914" s="6"/>
      <c r="P914" s="6"/>
      <c r="Q914" s="6"/>
      <c r="R914" s="6"/>
      <c r="S914" s="6"/>
      <c r="T914" s="6"/>
      <c r="U914" s="6"/>
      <c r="V914" s="6"/>
      <c r="W914" s="6"/>
      <c r="X914" s="6"/>
      <c r="Y914" s="6"/>
      <c r="Z914" s="6"/>
      <c r="AA914" s="6"/>
      <c r="AB914" s="6"/>
      <c r="AC914" s="6"/>
      <c r="AD914" s="6"/>
      <c r="AE914" s="6"/>
    </row>
    <row r="915" spans="1:31" ht="216.75" x14ac:dyDescent="0.2">
      <c r="A915" s="6" t="s">
        <v>4806</v>
      </c>
      <c r="B915" s="6" t="s">
        <v>5168</v>
      </c>
      <c r="C915" s="20" t="s">
        <v>5169</v>
      </c>
      <c r="D915" s="6" t="s">
        <v>5170</v>
      </c>
      <c r="E915" s="6"/>
      <c r="F915" s="6" t="s">
        <v>779</v>
      </c>
      <c r="G915" s="6" t="s">
        <v>780</v>
      </c>
      <c r="H915" s="6" t="str">
        <f t="shared" si="61"/>
        <v>EGYPT FIELDHANDS(P315)</v>
      </c>
      <c r="I915" s="6" t="s">
        <v>784</v>
      </c>
      <c r="J915" s="6"/>
      <c r="K915" s="6"/>
      <c r="L915" s="6" t="s">
        <v>5171</v>
      </c>
      <c r="M915" s="6" t="s">
        <v>5172</v>
      </c>
      <c r="N915" s="6" t="s">
        <v>287</v>
      </c>
      <c r="O915" s="6"/>
      <c r="P915" s="6"/>
      <c r="Q915" s="6"/>
      <c r="R915" s="6"/>
      <c r="S915" s="6"/>
      <c r="T915" s="6"/>
      <c r="U915" s="6"/>
      <c r="V915" s="6"/>
      <c r="W915" s="6"/>
      <c r="X915" s="6"/>
      <c r="Y915" s="6"/>
      <c r="Z915" s="6"/>
      <c r="AA915" s="6"/>
      <c r="AB915" s="6"/>
      <c r="AC915" s="6"/>
      <c r="AD915" s="6"/>
      <c r="AE915" s="6"/>
    </row>
    <row r="916" spans="1:31" ht="89.25" x14ac:dyDescent="0.2">
      <c r="A916" s="6" t="s">
        <v>4806</v>
      </c>
      <c r="B916" s="6" t="s">
        <v>5168</v>
      </c>
      <c r="C916" s="20" t="s">
        <v>5173</v>
      </c>
      <c r="D916" s="6" t="s">
        <v>5174</v>
      </c>
      <c r="E916" s="6"/>
      <c r="F916" s="6" t="s">
        <v>779</v>
      </c>
      <c r="G916" s="6" t="s">
        <v>780</v>
      </c>
      <c r="H916" s="6" t="str">
        <f t="shared" si="61"/>
        <v>EGYPT FIELDHANDS(P315)</v>
      </c>
      <c r="I916" s="6" t="s">
        <v>784</v>
      </c>
      <c r="J916" s="6"/>
      <c r="K916" s="6"/>
      <c r="L916" s="6" t="s">
        <v>2228</v>
      </c>
      <c r="M916" s="6" t="str">
        <f>VLOOKUP(L916, GLOSSARY!$A:$C, 2, FALSE)</f>
        <v>EGYPT OLD CURING HOUSE PIECE</v>
      </c>
      <c r="N916" s="6" t="s">
        <v>287</v>
      </c>
      <c r="O916" s="6"/>
      <c r="P916" s="6"/>
      <c r="Q916" s="6"/>
      <c r="R916" s="6"/>
      <c r="S916" s="6"/>
      <c r="T916" s="6"/>
      <c r="U916" s="6"/>
      <c r="V916" s="6"/>
      <c r="W916" s="6"/>
      <c r="X916" s="6"/>
      <c r="Y916" s="6"/>
      <c r="Z916" s="6"/>
      <c r="AA916" s="6"/>
      <c r="AB916" s="6"/>
      <c r="AC916" s="6"/>
      <c r="AD916" s="6"/>
      <c r="AE916" s="6"/>
    </row>
    <row r="917" spans="1:31" ht="38.25" x14ac:dyDescent="0.2">
      <c r="A917" s="6" t="s">
        <v>4957</v>
      </c>
      <c r="B917" s="6" t="s">
        <v>5175</v>
      </c>
      <c r="C917" s="20" t="s">
        <v>5176</v>
      </c>
      <c r="D917" s="6" t="s">
        <v>5177</v>
      </c>
      <c r="E917" s="6"/>
      <c r="F917" s="6" t="s">
        <v>332</v>
      </c>
      <c r="G917" s="6" t="s">
        <v>330</v>
      </c>
      <c r="H917" s="6" t="str">
        <f>CONCATENATE(F917," (",G917,")")</f>
        <v>DIDO (P105)</v>
      </c>
      <c r="I917" s="6" t="s">
        <v>1068</v>
      </c>
      <c r="J917" s="6"/>
      <c r="K917" s="6"/>
      <c r="L917" s="6" t="s">
        <v>55</v>
      </c>
      <c r="M917" s="6" t="str">
        <f>VLOOKUP(L917, GLOSSARY!$A:$C, 2, FALSE)</f>
        <v>EGYPT ESTATE</v>
      </c>
      <c r="N917" s="6" t="s">
        <v>68</v>
      </c>
      <c r="O917" s="6"/>
      <c r="P917" s="6"/>
      <c r="Q917" s="6"/>
      <c r="R917" s="6"/>
      <c r="S917" s="6"/>
      <c r="T917" s="6"/>
      <c r="U917" s="6"/>
      <c r="V917" s="6"/>
      <c r="W917" s="6"/>
      <c r="X917" s="6"/>
      <c r="Y917" s="6"/>
      <c r="Z917" s="6"/>
      <c r="AA917" s="6"/>
      <c r="AB917" s="6"/>
      <c r="AC917" s="6"/>
      <c r="AD917" s="6"/>
      <c r="AE917" s="6"/>
    </row>
    <row r="918" spans="1:31" ht="12.75" x14ac:dyDescent="0.2">
      <c r="A918" s="6" t="s">
        <v>5178</v>
      </c>
      <c r="B918" s="6" t="s">
        <v>5175</v>
      </c>
      <c r="C918" s="20" t="s">
        <v>5176</v>
      </c>
      <c r="D918" s="6" t="s">
        <v>5179</v>
      </c>
      <c r="E918" s="6"/>
      <c r="F918" s="6" t="s">
        <v>90</v>
      </c>
      <c r="G918" s="6" t="s">
        <v>89</v>
      </c>
      <c r="H918" s="6" t="str">
        <f t="shared" ref="H918:H924" si="62">CONCATENATE(F918,"(",G918,")")</f>
        <v>ABBA(P6)</v>
      </c>
      <c r="I918" s="6" t="s">
        <v>656</v>
      </c>
      <c r="J918" s="6"/>
      <c r="K918" s="6"/>
      <c r="L918" s="6" t="s">
        <v>55</v>
      </c>
      <c r="M918" s="6" t="str">
        <f>VLOOKUP(L918, GLOSSARY!$A:$C, 2, FALSE)</f>
        <v>EGYPT ESTATE</v>
      </c>
      <c r="N918" s="6" t="s">
        <v>68</v>
      </c>
      <c r="O918" s="6"/>
      <c r="P918" s="6"/>
      <c r="Q918" s="6"/>
      <c r="R918" s="6"/>
      <c r="S918" s="6"/>
      <c r="T918" s="6"/>
      <c r="U918" s="6"/>
      <c r="V918" s="6"/>
      <c r="W918" s="6"/>
      <c r="X918" s="6"/>
      <c r="Y918" s="6"/>
      <c r="Z918" s="6"/>
      <c r="AA918" s="6"/>
      <c r="AB918" s="6"/>
      <c r="AC918" s="6"/>
      <c r="AD918" s="6"/>
      <c r="AE918" s="6"/>
    </row>
    <row r="919" spans="1:31" ht="89.25" x14ac:dyDescent="0.2">
      <c r="A919" s="6" t="s">
        <v>4806</v>
      </c>
      <c r="B919" s="6" t="s">
        <v>5175</v>
      </c>
      <c r="C919" s="20" t="s">
        <v>5176</v>
      </c>
      <c r="D919" s="6" t="s">
        <v>5180</v>
      </c>
      <c r="E919" s="6"/>
      <c r="F919" s="6" t="s">
        <v>779</v>
      </c>
      <c r="G919" s="6" t="s">
        <v>780</v>
      </c>
      <c r="H919" s="6" t="str">
        <f t="shared" si="62"/>
        <v>EGYPT FIELDHANDS(P315)</v>
      </c>
      <c r="I919" s="6" t="s">
        <v>784</v>
      </c>
      <c r="J919" s="6"/>
      <c r="K919" s="6"/>
      <c r="L919" s="6" t="s">
        <v>2841</v>
      </c>
      <c r="M919" s="6" t="str">
        <f>VLOOKUP(L919, GLOSSARY!$A:$C, 2, FALSE)</f>
        <v>EGYPT COFFEE GROUND PIECE</v>
      </c>
      <c r="N919" s="6" t="s">
        <v>287</v>
      </c>
      <c r="O919" s="6"/>
      <c r="P919" s="6"/>
      <c r="Q919" s="6"/>
      <c r="R919" s="6"/>
      <c r="S919" s="6"/>
      <c r="T919" s="6"/>
      <c r="U919" s="6"/>
      <c r="V919" s="6"/>
      <c r="W919" s="6"/>
      <c r="X919" s="6"/>
      <c r="Y919" s="6"/>
      <c r="Z919" s="6"/>
      <c r="AA919" s="6"/>
      <c r="AB919" s="6"/>
      <c r="AC919" s="6"/>
      <c r="AD919" s="6"/>
      <c r="AE919" s="6"/>
    </row>
    <row r="920" spans="1:31" ht="63.75" x14ac:dyDescent="0.2">
      <c r="A920" s="6" t="s">
        <v>5178</v>
      </c>
      <c r="B920" s="6" t="s">
        <v>3930</v>
      </c>
      <c r="C920" s="20" t="s">
        <v>5181</v>
      </c>
      <c r="D920" s="6" t="s">
        <v>5182</v>
      </c>
      <c r="E920" s="6"/>
      <c r="F920" s="6" t="s">
        <v>5183</v>
      </c>
      <c r="G920" s="6" t="s">
        <v>5184</v>
      </c>
      <c r="H920" s="6" t="str">
        <f t="shared" si="62"/>
        <v>ABBA
JOB(P6
P29)</v>
      </c>
      <c r="I920" s="6" t="s">
        <v>656</v>
      </c>
      <c r="J920" s="6"/>
      <c r="K920" s="6"/>
      <c r="L920" s="6" t="s">
        <v>55</v>
      </c>
      <c r="M920" s="6" t="str">
        <f>VLOOKUP(L920, GLOSSARY!$A:$C, 2, FALSE)</f>
        <v>EGYPT ESTATE</v>
      </c>
      <c r="N920" s="6" t="s">
        <v>68</v>
      </c>
      <c r="O920" s="6"/>
      <c r="P920" s="6"/>
      <c r="Q920" s="6"/>
      <c r="R920" s="6"/>
      <c r="S920" s="6"/>
      <c r="T920" s="6"/>
      <c r="U920" s="6"/>
      <c r="V920" s="6"/>
      <c r="W920" s="6"/>
      <c r="X920" s="6"/>
      <c r="Y920" s="6"/>
      <c r="Z920" s="6"/>
      <c r="AA920" s="6"/>
      <c r="AB920" s="6"/>
      <c r="AC920" s="6"/>
      <c r="AD920" s="6"/>
      <c r="AE920" s="6"/>
    </row>
    <row r="921" spans="1:31" ht="63.75" x14ac:dyDescent="0.2">
      <c r="A921" s="6" t="s">
        <v>5032</v>
      </c>
      <c r="B921" s="6" t="s">
        <v>5185</v>
      </c>
      <c r="C921" s="20" t="s">
        <v>5186</v>
      </c>
      <c r="D921" s="6" t="s">
        <v>5187</v>
      </c>
      <c r="E921" s="6"/>
      <c r="F921" s="6" t="s">
        <v>5188</v>
      </c>
      <c r="G921" s="6" t="s">
        <v>5189</v>
      </c>
      <c r="H921" s="6" t="str">
        <f t="shared" si="62"/>
        <v>POLLY COPE
PHIBBAH(P318
P7)</v>
      </c>
      <c r="I921" s="6" t="s">
        <v>248</v>
      </c>
      <c r="J921" s="6"/>
      <c r="K921" s="6"/>
      <c r="L921" s="6" t="s">
        <v>99</v>
      </c>
      <c r="M921" s="6" t="str">
        <f>VLOOKUP(L921, GLOSSARY!$A:$C, 2, FALSE)</f>
        <v>PARADISE ESTATE</v>
      </c>
      <c r="N921" s="6" t="s">
        <v>68</v>
      </c>
      <c r="O921" s="6"/>
      <c r="P921" s="6"/>
      <c r="Q921" s="6"/>
      <c r="R921" s="6"/>
      <c r="S921" s="6"/>
      <c r="T921" s="6"/>
      <c r="U921" s="6"/>
      <c r="V921" s="6"/>
      <c r="W921" s="6"/>
      <c r="X921" s="6"/>
      <c r="Y921" s="6"/>
      <c r="Z921" s="6"/>
      <c r="AA921" s="6"/>
      <c r="AB921" s="6"/>
      <c r="AC921" s="6"/>
      <c r="AD921" s="6"/>
      <c r="AE921" s="6"/>
    </row>
    <row r="922" spans="1:31" ht="114.75" x14ac:dyDescent="0.2">
      <c r="A922" s="6" t="s">
        <v>5178</v>
      </c>
      <c r="B922" s="6" t="s">
        <v>4424</v>
      </c>
      <c r="C922" s="20" t="s">
        <v>5190</v>
      </c>
      <c r="D922" s="6" t="s">
        <v>5191</v>
      </c>
      <c r="E922" s="6"/>
      <c r="F922" s="6" t="s">
        <v>5192</v>
      </c>
      <c r="G922" s="6" t="s">
        <v>5193</v>
      </c>
      <c r="H922" s="6" t="str">
        <f t="shared" si="62"/>
        <v>SANCHO
JOB
ABBA(P195
P29
P6)</v>
      </c>
      <c r="I922" s="6" t="s">
        <v>656</v>
      </c>
      <c r="J922" s="6"/>
      <c r="K922" s="6"/>
      <c r="L922" s="6" t="s">
        <v>55</v>
      </c>
      <c r="M922" s="6" t="str">
        <f>VLOOKUP(L922, GLOSSARY!$A:$C, 2, FALSE)</f>
        <v>EGYPT ESTATE</v>
      </c>
      <c r="N922" s="6" t="s">
        <v>68</v>
      </c>
      <c r="O922" s="6"/>
      <c r="P922" s="6"/>
      <c r="Q922" s="6"/>
      <c r="R922" s="6"/>
      <c r="S922" s="6"/>
      <c r="T922" s="6"/>
      <c r="U922" s="6"/>
      <c r="V922" s="6"/>
      <c r="W922" s="6"/>
      <c r="X922" s="6"/>
      <c r="Y922" s="6"/>
      <c r="Z922" s="6"/>
      <c r="AA922" s="6"/>
      <c r="AB922" s="6"/>
      <c r="AC922" s="6"/>
      <c r="AD922" s="6"/>
      <c r="AE922" s="6"/>
    </row>
    <row r="923" spans="1:31" ht="63.75" x14ac:dyDescent="0.2">
      <c r="A923" s="6" t="s">
        <v>4806</v>
      </c>
      <c r="B923" s="6" t="s">
        <v>3937</v>
      </c>
      <c r="C923" s="20" t="s">
        <v>5194</v>
      </c>
      <c r="D923" s="6" t="s">
        <v>5195</v>
      </c>
      <c r="E923" s="6"/>
      <c r="F923" s="6" t="s">
        <v>779</v>
      </c>
      <c r="G923" s="6" t="s">
        <v>780</v>
      </c>
      <c r="H923" s="6" t="str">
        <f t="shared" si="62"/>
        <v>EGYPT FIELDHANDS(P315)</v>
      </c>
      <c r="I923" s="6" t="s">
        <v>784</v>
      </c>
      <c r="J923" s="6"/>
      <c r="K923" s="6"/>
      <c r="L923" s="6" t="s">
        <v>5196</v>
      </c>
      <c r="M923" s="6" t="e">
        <f>VLOOKUP(L923, GLOSSARY!$A:$C, 2, FALSE)</f>
        <v>#N/A</v>
      </c>
      <c r="N923" s="6" t="s">
        <v>5197</v>
      </c>
      <c r="O923" s="6"/>
      <c r="P923" s="6"/>
      <c r="Q923" s="6"/>
      <c r="R923" s="6"/>
      <c r="S923" s="6"/>
      <c r="T923" s="6"/>
      <c r="U923" s="6"/>
      <c r="V923" s="6"/>
      <c r="W923" s="6"/>
      <c r="X923" s="6"/>
      <c r="Y923" s="6"/>
      <c r="Z923" s="6"/>
      <c r="AA923" s="6"/>
      <c r="AB923" s="6"/>
      <c r="AC923" s="6"/>
      <c r="AD923" s="6"/>
      <c r="AE923" s="6"/>
    </row>
    <row r="924" spans="1:31" ht="114.75" x14ac:dyDescent="0.2">
      <c r="A924" s="6" t="s">
        <v>4806</v>
      </c>
      <c r="B924" s="6" t="s">
        <v>4724</v>
      </c>
      <c r="C924" s="20" t="s">
        <v>5198</v>
      </c>
      <c r="D924" s="6" t="s">
        <v>5199</v>
      </c>
      <c r="E924" s="6"/>
      <c r="F924" s="6" t="s">
        <v>5200</v>
      </c>
      <c r="G924" s="6" t="s">
        <v>5201</v>
      </c>
      <c r="H924" s="6" t="str">
        <f t="shared" si="62"/>
        <v>EGYPT FIELDHANDS
THE OVERSEER
DIDO(P315
P43
P105)</v>
      </c>
      <c r="I924" s="6" t="s">
        <v>784</v>
      </c>
      <c r="J924" s="6"/>
      <c r="K924" s="6"/>
      <c r="L924" s="6" t="s">
        <v>2855</v>
      </c>
      <c r="M924" s="6" t="str">
        <f>VLOOKUP(L924, GLOSSARY!$A:$C, 2, FALSE)</f>
        <v>EGYPT CALABASH TREE PIECE</v>
      </c>
      <c r="N924" s="6" t="s">
        <v>287</v>
      </c>
      <c r="O924" s="6"/>
      <c r="P924" s="6"/>
      <c r="Q924" s="6"/>
      <c r="R924" s="6"/>
      <c r="S924" s="6"/>
      <c r="T924" s="6"/>
      <c r="U924" s="6"/>
      <c r="V924" s="6"/>
      <c r="W924" s="6"/>
      <c r="X924" s="6"/>
      <c r="Y924" s="6"/>
      <c r="Z924" s="6"/>
      <c r="AA924" s="6"/>
      <c r="AB924" s="6"/>
      <c r="AC924" s="6"/>
      <c r="AD924" s="6"/>
      <c r="AE924" s="6"/>
    </row>
    <row r="925" spans="1:31" ht="89.25" x14ac:dyDescent="0.2">
      <c r="A925" s="6" t="s">
        <v>5202</v>
      </c>
      <c r="B925" s="6" t="s">
        <v>5203</v>
      </c>
      <c r="C925" s="20" t="s">
        <v>5204</v>
      </c>
      <c r="D925" s="6" t="s">
        <v>5205</v>
      </c>
      <c r="E925" s="6"/>
      <c r="F925" s="6" t="s">
        <v>5206</v>
      </c>
      <c r="G925" s="6" t="s">
        <v>5207</v>
      </c>
      <c r="H925" s="6" t="str">
        <f t="shared" ref="H925:H926" si="63">CONCATENATE(F925," (",G925,")")</f>
        <v>HOUSE FRANKE
EGYPT LUCY
THE OVERSEER (P10
P3
P43)</v>
      </c>
      <c r="I925" s="6" t="s">
        <v>957</v>
      </c>
      <c r="J925" s="6"/>
      <c r="K925" s="6"/>
      <c r="L925" s="6" t="s">
        <v>55</v>
      </c>
      <c r="M925" s="6" t="str">
        <f>VLOOKUP(L925, GLOSSARY!$A:$C, 2, FALSE)</f>
        <v>EGYPT ESTATE</v>
      </c>
      <c r="N925" s="6" t="s">
        <v>68</v>
      </c>
      <c r="O925" s="6"/>
      <c r="P925" s="6"/>
      <c r="Q925" s="6"/>
      <c r="R925" s="6"/>
      <c r="S925" s="6"/>
      <c r="T925" s="6"/>
      <c r="U925" s="6"/>
      <c r="V925" s="6"/>
      <c r="W925" s="6"/>
      <c r="X925" s="6"/>
      <c r="Y925" s="6"/>
      <c r="Z925" s="6"/>
      <c r="AA925" s="6"/>
      <c r="AB925" s="6"/>
      <c r="AC925" s="6"/>
      <c r="AD925" s="6"/>
      <c r="AE925" s="6"/>
    </row>
    <row r="926" spans="1:31" ht="76.5" x14ac:dyDescent="0.2">
      <c r="A926" s="6" t="s">
        <v>5208</v>
      </c>
      <c r="B926" s="6" t="s">
        <v>5209</v>
      </c>
      <c r="C926" s="20" t="s">
        <v>5210</v>
      </c>
      <c r="D926" s="6" t="s">
        <v>5211</v>
      </c>
      <c r="E926" s="6"/>
      <c r="F926" s="6" t="s">
        <v>5212</v>
      </c>
      <c r="G926" s="6" t="s">
        <v>5213</v>
      </c>
      <c r="H926" s="6" t="str">
        <f t="shared" si="63"/>
        <v>THE OVERSEER
LITTLE AGNES
AMBO
BETTY (P134
P169
P170)</v>
      </c>
      <c r="I926" s="6" t="s">
        <v>1068</v>
      </c>
      <c r="J926" s="6"/>
      <c r="K926" s="6"/>
      <c r="L926" s="6" t="s">
        <v>55</v>
      </c>
      <c r="M926" s="6" t="str">
        <f>VLOOKUP(L926, GLOSSARY!$A:$C, 2, FALSE)</f>
        <v>EGYPT ESTATE</v>
      </c>
      <c r="N926" s="6" t="s">
        <v>68</v>
      </c>
      <c r="O926" s="6"/>
      <c r="P926" s="6"/>
      <c r="Q926" s="6"/>
      <c r="R926" s="6"/>
      <c r="S926" s="6"/>
      <c r="T926" s="6"/>
      <c r="U926" s="6"/>
      <c r="V926" s="6"/>
      <c r="W926" s="6"/>
      <c r="X926" s="6"/>
      <c r="Y926" s="6"/>
      <c r="Z926" s="6"/>
      <c r="AA926" s="6"/>
      <c r="AB926" s="6"/>
      <c r="AC926" s="6"/>
      <c r="AD926" s="6"/>
      <c r="AE926" s="6"/>
    </row>
    <row r="927" spans="1:31" ht="165.75" x14ac:dyDescent="0.2">
      <c r="A927" s="6" t="s">
        <v>4806</v>
      </c>
      <c r="B927" s="6" t="s">
        <v>5209</v>
      </c>
      <c r="C927" s="20" t="s">
        <v>5210</v>
      </c>
      <c r="D927" s="6" t="s">
        <v>5214</v>
      </c>
      <c r="E927" s="6"/>
      <c r="F927" s="6" t="s">
        <v>5215</v>
      </c>
      <c r="G927" s="6" t="s">
        <v>5216</v>
      </c>
      <c r="H927" s="6" t="str">
        <f t="shared" ref="H927:H931" si="64">CONCATENATE(F927,"(",G927,")")</f>
        <v>EGYPT FIELDHANDS
WONGA/PRINCESS
HECTOR
THE OVERSEER(P315
P43
P27
P358)</v>
      </c>
      <c r="I927" s="6" t="s">
        <v>784</v>
      </c>
      <c r="J927" s="6"/>
      <c r="K927" s="6"/>
      <c r="L927" s="6" t="s">
        <v>2855</v>
      </c>
      <c r="M927" s="6" t="str">
        <f>VLOOKUP(L927, GLOSSARY!$A:$C, 2, FALSE)</f>
        <v>EGYPT CALABASH TREE PIECE</v>
      </c>
      <c r="N927" s="6" t="s">
        <v>287</v>
      </c>
      <c r="O927" s="6"/>
      <c r="P927" s="6"/>
      <c r="Q927" s="6"/>
      <c r="R927" s="6"/>
      <c r="S927" s="6"/>
      <c r="T927" s="6"/>
      <c r="U927" s="6"/>
      <c r="V927" s="6"/>
      <c r="W927" s="6"/>
      <c r="X927" s="6"/>
      <c r="Y927" s="6"/>
      <c r="Z927" s="6"/>
      <c r="AA927" s="6"/>
      <c r="AB927" s="6"/>
      <c r="AC927" s="6"/>
      <c r="AD927" s="6"/>
      <c r="AE927" s="6"/>
    </row>
    <row r="928" spans="1:31" ht="38.25" x14ac:dyDescent="0.2">
      <c r="A928" s="6" t="s">
        <v>4806</v>
      </c>
      <c r="B928" s="6" t="s">
        <v>4731</v>
      </c>
      <c r="C928" s="20" t="s">
        <v>5217</v>
      </c>
      <c r="D928" s="6" t="s">
        <v>5218</v>
      </c>
      <c r="E928" s="6"/>
      <c r="F928" s="6" t="s">
        <v>779</v>
      </c>
      <c r="G928" s="6" t="s">
        <v>780</v>
      </c>
      <c r="H928" s="6" t="str">
        <f t="shared" si="64"/>
        <v>EGYPT FIELDHANDS(P315)</v>
      </c>
      <c r="I928" s="6" t="s">
        <v>784</v>
      </c>
      <c r="J928" s="6"/>
      <c r="K928" s="6"/>
      <c r="L928" s="6" t="s">
        <v>55</v>
      </c>
      <c r="M928" s="6" t="str">
        <f>VLOOKUP(L928, GLOSSARY!$A:$C, 2, FALSE)</f>
        <v>EGYPT ESTATE</v>
      </c>
      <c r="N928" s="6" t="s">
        <v>287</v>
      </c>
      <c r="O928" s="6"/>
      <c r="P928" s="6"/>
      <c r="Q928" s="6"/>
      <c r="R928" s="6"/>
      <c r="S928" s="6"/>
      <c r="T928" s="6"/>
      <c r="U928" s="6"/>
      <c r="V928" s="6"/>
      <c r="W928" s="6"/>
      <c r="X928" s="6"/>
      <c r="Y928" s="6"/>
      <c r="Z928" s="6"/>
      <c r="AA928" s="6"/>
      <c r="AB928" s="6"/>
      <c r="AC928" s="6"/>
      <c r="AD928" s="6"/>
      <c r="AE928" s="6"/>
    </row>
    <row r="929" spans="1:31" ht="38.25" x14ac:dyDescent="0.2">
      <c r="A929" s="6" t="s">
        <v>2163</v>
      </c>
      <c r="B929" s="6" t="s">
        <v>5219</v>
      </c>
      <c r="C929" s="20" t="s">
        <v>5220</v>
      </c>
      <c r="D929" s="6" t="s">
        <v>5221</v>
      </c>
      <c r="E929" s="6"/>
      <c r="F929" s="6" t="s">
        <v>645</v>
      </c>
      <c r="G929" s="6" t="s">
        <v>511</v>
      </c>
      <c r="H929" s="6" t="str">
        <f t="shared" si="64"/>
        <v>HAZAT(P87)</v>
      </c>
      <c r="I929" s="6" t="s">
        <v>533</v>
      </c>
      <c r="J929" s="6"/>
      <c r="K929" s="6"/>
      <c r="L929" s="6" t="s">
        <v>55</v>
      </c>
      <c r="M929" s="6" t="str">
        <f>VLOOKUP(L929, GLOSSARY!$A:$C, 2, FALSE)</f>
        <v>EGYPT ESTATE</v>
      </c>
      <c r="N929" s="6" t="s">
        <v>68</v>
      </c>
      <c r="O929" s="6"/>
      <c r="P929" s="6"/>
      <c r="Q929" s="6"/>
      <c r="R929" s="6"/>
      <c r="S929" s="6"/>
      <c r="T929" s="6"/>
      <c r="U929" s="6"/>
      <c r="V929" s="6"/>
      <c r="W929" s="6"/>
      <c r="X929" s="6"/>
      <c r="Y929" s="6"/>
      <c r="Z929" s="6"/>
      <c r="AA929" s="6"/>
      <c r="AB929" s="6"/>
      <c r="AC929" s="6"/>
      <c r="AD929" s="6"/>
      <c r="AE929" s="6"/>
    </row>
    <row r="930" spans="1:31" ht="89.25" x14ac:dyDescent="0.2">
      <c r="A930" s="6" t="s">
        <v>4806</v>
      </c>
      <c r="B930" s="6" t="s">
        <v>5219</v>
      </c>
      <c r="C930" s="20" t="s">
        <v>5222</v>
      </c>
      <c r="D930" s="6" t="s">
        <v>5223</v>
      </c>
      <c r="E930" s="6"/>
      <c r="F930" s="6" t="s">
        <v>779</v>
      </c>
      <c r="G930" s="6" t="s">
        <v>780</v>
      </c>
      <c r="H930" s="6" t="str">
        <f t="shared" si="64"/>
        <v>EGYPT FIELDHANDS(P315)</v>
      </c>
      <c r="I930" s="6" t="s">
        <v>784</v>
      </c>
      <c r="J930" s="6"/>
      <c r="K930" s="6"/>
      <c r="L930" s="6" t="s">
        <v>2855</v>
      </c>
      <c r="M930" s="6" t="str">
        <f>VLOOKUP(L930, GLOSSARY!$A:$C, 2, FALSE)</f>
        <v>EGYPT CALABASH TREE PIECE</v>
      </c>
      <c r="N930" s="6" t="s">
        <v>68</v>
      </c>
      <c r="O930" s="6"/>
      <c r="P930" s="6"/>
      <c r="Q930" s="6"/>
      <c r="R930" s="6"/>
      <c r="S930" s="6"/>
      <c r="T930" s="6"/>
      <c r="U930" s="6"/>
      <c r="V930" s="6"/>
      <c r="W930" s="6"/>
      <c r="X930" s="6"/>
      <c r="Y930" s="6"/>
      <c r="Z930" s="6"/>
      <c r="AA930" s="6"/>
      <c r="AB930" s="6"/>
      <c r="AC930" s="6"/>
      <c r="AD930" s="6"/>
      <c r="AE930" s="6"/>
    </row>
    <row r="931" spans="1:31" ht="63.75" x14ac:dyDescent="0.2">
      <c r="A931" s="6" t="s">
        <v>4806</v>
      </c>
      <c r="B931" s="6" t="s">
        <v>3520</v>
      </c>
      <c r="C931" s="20" t="s">
        <v>5224</v>
      </c>
      <c r="D931" s="6" t="s">
        <v>5225</v>
      </c>
      <c r="E931" s="6"/>
      <c r="F931" s="6" t="s">
        <v>4918</v>
      </c>
      <c r="G931" s="6" t="s">
        <v>4919</v>
      </c>
      <c r="H931" s="6" t="str">
        <f t="shared" si="64"/>
        <v>EGYPT FIELDHANDS
THE OVERSEER(P315
P43)</v>
      </c>
      <c r="I931" s="6" t="s">
        <v>784</v>
      </c>
      <c r="J931" s="6"/>
      <c r="K931" s="6"/>
      <c r="L931" s="6" t="s">
        <v>55</v>
      </c>
      <c r="M931" s="6" t="str">
        <f>VLOOKUP(L931, GLOSSARY!$A:$C, 2, FALSE)</f>
        <v>EGYPT ESTATE</v>
      </c>
      <c r="N931" s="6" t="s">
        <v>68</v>
      </c>
      <c r="O931" s="6"/>
      <c r="P931" s="6"/>
      <c r="Q931" s="6"/>
      <c r="R931" s="6"/>
      <c r="S931" s="6"/>
      <c r="T931" s="6"/>
      <c r="U931" s="6"/>
      <c r="V931" s="6"/>
      <c r="W931" s="6"/>
      <c r="X931" s="6"/>
      <c r="Y931" s="6"/>
      <c r="Z931" s="6"/>
      <c r="AA931" s="6"/>
      <c r="AB931" s="6"/>
      <c r="AC931" s="6"/>
      <c r="AD931" s="6"/>
      <c r="AE931" s="6"/>
    </row>
    <row r="932" spans="1:31" ht="178.5" x14ac:dyDescent="0.2">
      <c r="A932" s="6" t="s">
        <v>5226</v>
      </c>
      <c r="B932" s="6" t="s">
        <v>5227</v>
      </c>
      <c r="C932" s="20" t="s">
        <v>5228</v>
      </c>
      <c r="D932" s="6" t="s">
        <v>5229</v>
      </c>
      <c r="E932" s="6"/>
      <c r="F932" s="6"/>
      <c r="G932" s="6"/>
      <c r="H932" s="6" t="str">
        <f>CONCATENATE(F932," (",G932,")")</f>
        <v xml:space="preserve"> ()</v>
      </c>
      <c r="I932" s="6" t="s">
        <v>139</v>
      </c>
      <c r="J932" s="6"/>
      <c r="K932" s="6"/>
      <c r="L932" s="6"/>
      <c r="M932" s="6"/>
      <c r="N932" s="6"/>
      <c r="O932" s="6"/>
      <c r="P932" s="6"/>
      <c r="Q932" s="6"/>
      <c r="R932" s="6"/>
      <c r="S932" s="6"/>
      <c r="T932" s="6"/>
      <c r="U932" s="6"/>
      <c r="V932" s="6"/>
      <c r="W932" s="6"/>
      <c r="X932" s="6"/>
      <c r="Y932" s="6"/>
      <c r="Z932" s="6"/>
      <c r="AA932" s="6"/>
      <c r="AB932" s="6"/>
      <c r="AC932" s="6"/>
      <c r="AD932" s="6"/>
      <c r="AE932" s="6"/>
    </row>
    <row r="933" spans="1:31" ht="89.25" x14ac:dyDescent="0.2">
      <c r="A933" s="6" t="s">
        <v>4806</v>
      </c>
      <c r="B933" s="6" t="s">
        <v>5230</v>
      </c>
      <c r="C933" s="20" t="s">
        <v>5231</v>
      </c>
      <c r="D933" s="6" t="s">
        <v>5232</v>
      </c>
      <c r="E933" s="6"/>
      <c r="F933" s="6" t="s">
        <v>779</v>
      </c>
      <c r="G933" s="6" t="s">
        <v>780</v>
      </c>
      <c r="H933" s="6" t="str">
        <f>CONCATENATE(F933,"(",G933,")")</f>
        <v>EGYPT FIELDHANDS(P315)</v>
      </c>
      <c r="I933" s="6" t="s">
        <v>784</v>
      </c>
      <c r="J933" s="6"/>
      <c r="K933" s="6"/>
      <c r="L933" s="6" t="s">
        <v>2906</v>
      </c>
      <c r="M933" s="6" t="str">
        <f>VLOOKUP(L933, GLOSSARY!$A:$C, 2, FALSE)</f>
        <v>EGYPT JUDE HOUSE POND PIECE</v>
      </c>
      <c r="N933" s="6" t="s">
        <v>287</v>
      </c>
      <c r="O933" s="6"/>
      <c r="P933" s="6"/>
      <c r="Q933" s="6"/>
      <c r="R933" s="6"/>
      <c r="S933" s="6"/>
      <c r="T933" s="6"/>
      <c r="U933" s="6"/>
      <c r="V933" s="6"/>
      <c r="W933" s="6"/>
      <c r="X933" s="6"/>
      <c r="Y933" s="6"/>
      <c r="Z933" s="6"/>
      <c r="AA933" s="6"/>
      <c r="AB933" s="6"/>
      <c r="AC933" s="6"/>
      <c r="AD933" s="6"/>
      <c r="AE933" s="6"/>
    </row>
    <row r="934" spans="1:31" ht="38.25" x14ac:dyDescent="0.2">
      <c r="A934" s="6" t="s">
        <v>5233</v>
      </c>
      <c r="B934" s="6" t="s">
        <v>5230</v>
      </c>
      <c r="C934" s="20" t="s">
        <v>5234</v>
      </c>
      <c r="D934" s="6" t="s">
        <v>5235</v>
      </c>
      <c r="E934" s="6"/>
      <c r="F934" s="6" t="s">
        <v>5236</v>
      </c>
      <c r="G934" s="6" t="s">
        <v>5237</v>
      </c>
      <c r="H934" s="6" t="str">
        <f>CONCATENATE(F934," (",G934,")")</f>
        <v>LITTLE DICK
PRINCESS (P27
P171)</v>
      </c>
      <c r="I934" s="6" t="s">
        <v>1068</v>
      </c>
      <c r="J934" s="6"/>
      <c r="K934" s="6"/>
      <c r="L934" s="6" t="s">
        <v>55</v>
      </c>
      <c r="M934" s="6" t="str">
        <f>VLOOKUP(L934, GLOSSARY!$A:$C, 2, FALSE)</f>
        <v>EGYPT ESTATE</v>
      </c>
      <c r="N934" s="6" t="s">
        <v>68</v>
      </c>
      <c r="O934" s="6"/>
      <c r="P934" s="6"/>
      <c r="Q934" s="6"/>
      <c r="R934" s="6"/>
      <c r="S934" s="6"/>
      <c r="T934" s="6"/>
      <c r="U934" s="6"/>
      <c r="V934" s="6"/>
      <c r="W934" s="6"/>
      <c r="X934" s="6"/>
      <c r="Y934" s="6"/>
      <c r="Z934" s="6"/>
      <c r="AA934" s="6"/>
      <c r="AB934" s="6"/>
      <c r="AC934" s="6"/>
      <c r="AD934" s="6"/>
      <c r="AE934" s="6"/>
    </row>
    <row r="935" spans="1:31" ht="76.5" x14ac:dyDescent="0.2">
      <c r="A935" s="6" t="s">
        <v>4806</v>
      </c>
      <c r="B935" s="6" t="s">
        <v>5238</v>
      </c>
      <c r="C935" s="20" t="s">
        <v>5239</v>
      </c>
      <c r="D935" s="6" t="s">
        <v>5240</v>
      </c>
      <c r="E935" s="6"/>
      <c r="F935" s="6" t="s">
        <v>5241</v>
      </c>
      <c r="G935" s="6" t="s">
        <v>5242</v>
      </c>
      <c r="H935" s="6" t="str">
        <f t="shared" ref="H935:H972" si="65">CONCATENATE(F935,"(",G935,")")</f>
        <v>EGYPT FIELDHANDS
LITTLE QUASHE [EGYPT DRIVER](P315
P359)</v>
      </c>
      <c r="I935" s="6" t="s">
        <v>784</v>
      </c>
      <c r="J935" s="6"/>
      <c r="K935" s="6"/>
      <c r="L935" s="6" t="s">
        <v>2906</v>
      </c>
      <c r="M935" s="6" t="str">
        <f>VLOOKUP(L935, GLOSSARY!$A:$C, 2, FALSE)</f>
        <v>EGYPT JUDE HOUSE POND PIECE</v>
      </c>
      <c r="N935" s="6" t="s">
        <v>287</v>
      </c>
      <c r="O935" s="6"/>
      <c r="P935" s="6"/>
      <c r="Q935" s="6"/>
      <c r="R935" s="6"/>
      <c r="S935" s="6"/>
      <c r="T935" s="6"/>
      <c r="U935" s="6"/>
      <c r="V935" s="6"/>
      <c r="W935" s="6"/>
      <c r="X935" s="6"/>
      <c r="Y935" s="6"/>
      <c r="Z935" s="6"/>
      <c r="AA935" s="6"/>
      <c r="AB935" s="6"/>
      <c r="AC935" s="6"/>
      <c r="AD935" s="6"/>
      <c r="AE935" s="6"/>
    </row>
    <row r="936" spans="1:31" ht="51" x14ac:dyDescent="0.2">
      <c r="A936" s="6" t="s">
        <v>5243</v>
      </c>
      <c r="B936" s="6" t="s">
        <v>5238</v>
      </c>
      <c r="C936" s="20" t="s">
        <v>5239</v>
      </c>
      <c r="D936" s="6" t="s">
        <v>5244</v>
      </c>
      <c r="E936" s="6"/>
      <c r="F936" s="6" t="s">
        <v>779</v>
      </c>
      <c r="G936" s="6" t="s">
        <v>780</v>
      </c>
      <c r="H936" s="6" t="str">
        <f t="shared" si="65"/>
        <v>EGYPT FIELDHANDS(P315)</v>
      </c>
      <c r="I936" s="6" t="s">
        <v>784</v>
      </c>
      <c r="J936" s="6"/>
      <c r="K936" s="6"/>
      <c r="L936" s="6" t="s">
        <v>2892</v>
      </c>
      <c r="M936" s="6" t="str">
        <f>VLOOKUP(L936, GLOSSARY!$A:$C, 2, FALSE)</f>
        <v>EGYPT PIMENTO TREE PIECE</v>
      </c>
      <c r="N936" s="6" t="s">
        <v>68</v>
      </c>
      <c r="O936" s="6"/>
      <c r="P936" s="6"/>
      <c r="Q936" s="6"/>
      <c r="R936" s="6"/>
      <c r="S936" s="6"/>
      <c r="T936" s="6"/>
      <c r="U936" s="6"/>
      <c r="V936" s="6"/>
      <c r="W936" s="6"/>
      <c r="X936" s="6"/>
      <c r="Y936" s="6"/>
      <c r="Z936" s="6"/>
      <c r="AA936" s="6"/>
      <c r="AB936" s="6"/>
      <c r="AC936" s="6"/>
      <c r="AD936" s="6"/>
      <c r="AE936" s="6"/>
    </row>
    <row r="937" spans="1:31" ht="51" x14ac:dyDescent="0.2">
      <c r="A937" s="6" t="s">
        <v>5245</v>
      </c>
      <c r="B937" s="6" t="s">
        <v>5238</v>
      </c>
      <c r="C937" s="20" t="s">
        <v>5239</v>
      </c>
      <c r="D937" s="6" t="s">
        <v>5246</v>
      </c>
      <c r="E937" s="6"/>
      <c r="F937" s="6" t="s">
        <v>1307</v>
      </c>
      <c r="G937" s="6" t="s">
        <v>1306</v>
      </c>
      <c r="H937" s="6" t="str">
        <f t="shared" si="65"/>
        <v>CYRUS(P210)</v>
      </c>
      <c r="I937" s="6" t="s">
        <v>248</v>
      </c>
      <c r="J937" s="6"/>
      <c r="K937" s="6"/>
      <c r="L937" s="6" t="s">
        <v>55</v>
      </c>
      <c r="M937" s="6" t="str">
        <f>VLOOKUP(L937, GLOSSARY!$A:$C, 2, FALSE)</f>
        <v>EGYPT ESTATE</v>
      </c>
      <c r="N937" s="6" t="s">
        <v>287</v>
      </c>
      <c r="O937" s="6"/>
      <c r="P937" s="6"/>
      <c r="Q937" s="6"/>
      <c r="R937" s="6"/>
      <c r="S937" s="6"/>
      <c r="T937" s="6"/>
      <c r="U937" s="6"/>
      <c r="V937" s="6"/>
      <c r="W937" s="6"/>
      <c r="X937" s="6"/>
      <c r="Y937" s="6"/>
      <c r="Z937" s="6"/>
      <c r="AA937" s="6"/>
      <c r="AB937" s="6"/>
      <c r="AC937" s="6"/>
      <c r="AD937" s="6"/>
      <c r="AE937" s="6"/>
    </row>
    <row r="938" spans="1:31" ht="63.75" x14ac:dyDescent="0.2">
      <c r="A938" s="6" t="s">
        <v>4806</v>
      </c>
      <c r="B938" s="6" t="s">
        <v>5247</v>
      </c>
      <c r="C938" s="20" t="s">
        <v>5248</v>
      </c>
      <c r="D938" s="6" t="s">
        <v>5249</v>
      </c>
      <c r="E938" s="6"/>
      <c r="F938" s="6" t="s">
        <v>5250</v>
      </c>
      <c r="G938" s="6" t="s">
        <v>5251</v>
      </c>
      <c r="H938" s="6" t="str">
        <f t="shared" si="65"/>
        <v>THE OVERSEER
SARAH(P43
P106)</v>
      </c>
      <c r="I938" s="6" t="s">
        <v>784</v>
      </c>
      <c r="J938" s="6"/>
      <c r="K938" s="6"/>
      <c r="L938" s="6" t="s">
        <v>55</v>
      </c>
      <c r="M938" s="6" t="str">
        <f>VLOOKUP(L938, GLOSSARY!$A:$C, 2, FALSE)</f>
        <v>EGYPT ESTATE</v>
      </c>
      <c r="N938" s="6" t="s">
        <v>68</v>
      </c>
      <c r="O938" s="6"/>
      <c r="P938" s="6"/>
      <c r="Q938" s="6"/>
      <c r="R938" s="6"/>
      <c r="S938" s="6"/>
      <c r="T938" s="6"/>
      <c r="U938" s="6"/>
      <c r="V938" s="6"/>
      <c r="W938" s="6"/>
      <c r="X938" s="6"/>
      <c r="Y938" s="6"/>
      <c r="Z938" s="6"/>
      <c r="AA938" s="6"/>
      <c r="AB938" s="6"/>
      <c r="AC938" s="6"/>
      <c r="AD938" s="6"/>
      <c r="AE938" s="6"/>
    </row>
    <row r="939" spans="1:31" ht="76.5" x14ac:dyDescent="0.2">
      <c r="A939" s="6" t="s">
        <v>4806</v>
      </c>
      <c r="B939" s="6" t="s">
        <v>4798</v>
      </c>
      <c r="C939" s="20" t="s">
        <v>5252</v>
      </c>
      <c r="D939" s="6" t="s">
        <v>5253</v>
      </c>
      <c r="E939" s="6"/>
      <c r="F939" s="6" t="s">
        <v>779</v>
      </c>
      <c r="G939" s="6" t="s">
        <v>780</v>
      </c>
      <c r="H939" s="6" t="str">
        <f t="shared" si="65"/>
        <v>EGYPT FIELDHANDS(P315)</v>
      </c>
      <c r="I939" s="6" t="s">
        <v>784</v>
      </c>
      <c r="J939" s="6"/>
      <c r="K939" s="6"/>
      <c r="L939" s="6" t="s">
        <v>2839</v>
      </c>
      <c r="M939" s="6" t="str">
        <f>VLOOKUP(L939, GLOSSARY!$A:$C, 2, FALSE)</f>
        <v>EGYPT OLD NEGROE GROUND CANE PIECE</v>
      </c>
      <c r="N939" s="6" t="s">
        <v>287</v>
      </c>
      <c r="O939" s="6"/>
      <c r="P939" s="6"/>
      <c r="Q939" s="6"/>
      <c r="R939" s="6"/>
      <c r="S939" s="6"/>
      <c r="T939" s="6"/>
      <c r="U939" s="6"/>
      <c r="V939" s="6"/>
      <c r="W939" s="6"/>
      <c r="X939" s="6"/>
      <c r="Y939" s="6"/>
      <c r="Z939" s="6"/>
      <c r="AA939" s="6"/>
      <c r="AB939" s="6"/>
      <c r="AC939" s="6"/>
      <c r="AD939" s="6"/>
      <c r="AE939" s="6"/>
    </row>
    <row r="940" spans="1:31" ht="242.25" x14ac:dyDescent="0.2">
      <c r="A940" s="6" t="s">
        <v>4806</v>
      </c>
      <c r="B940" s="6" t="s">
        <v>4798</v>
      </c>
      <c r="C940" s="20" t="s">
        <v>5254</v>
      </c>
      <c r="D940" s="6" t="s">
        <v>5255</v>
      </c>
      <c r="E940" s="6"/>
      <c r="F940" s="6" t="s">
        <v>5241</v>
      </c>
      <c r="G940" s="6" t="s">
        <v>5242</v>
      </c>
      <c r="H940" s="6" t="str">
        <f t="shared" si="65"/>
        <v>EGYPT FIELDHANDS
LITTLE QUASHE [EGYPT DRIVER](P315
P359)</v>
      </c>
      <c r="I940" s="6" t="s">
        <v>784</v>
      </c>
      <c r="J940" s="6"/>
      <c r="K940" s="6"/>
      <c r="L940" s="6" t="s">
        <v>5256</v>
      </c>
      <c r="M940" s="6" t="s">
        <v>5257</v>
      </c>
      <c r="N940" s="6" t="s">
        <v>287</v>
      </c>
      <c r="O940" s="6"/>
      <c r="P940" s="6"/>
      <c r="Q940" s="6"/>
      <c r="R940" s="6"/>
      <c r="S940" s="6"/>
      <c r="T940" s="6"/>
      <c r="U940" s="6"/>
      <c r="V940" s="6"/>
      <c r="W940" s="6"/>
      <c r="X940" s="6"/>
      <c r="Y940" s="6"/>
      <c r="Z940" s="6"/>
      <c r="AA940" s="6"/>
      <c r="AB940" s="6"/>
      <c r="AC940" s="6"/>
      <c r="AD940" s="6"/>
      <c r="AE940" s="6"/>
    </row>
    <row r="941" spans="1:31" ht="331.5" x14ac:dyDescent="0.2">
      <c r="A941" s="6" t="s">
        <v>4806</v>
      </c>
      <c r="B941" s="6" t="s">
        <v>5258</v>
      </c>
      <c r="C941" s="20" t="s">
        <v>5259</v>
      </c>
      <c r="D941" s="6" t="s">
        <v>5260</v>
      </c>
      <c r="E941" s="6"/>
      <c r="F941" s="6" t="s">
        <v>779</v>
      </c>
      <c r="G941" s="6" t="s">
        <v>780</v>
      </c>
      <c r="H941" s="6" t="str">
        <f t="shared" si="65"/>
        <v>EGYPT FIELDHANDS(P315)</v>
      </c>
      <c r="I941" s="6" t="s">
        <v>784</v>
      </c>
      <c r="J941" s="6"/>
      <c r="K941" s="6"/>
      <c r="L941" s="6" t="s">
        <v>5261</v>
      </c>
      <c r="M941" s="6" t="s">
        <v>5262</v>
      </c>
      <c r="N941" s="6" t="s">
        <v>287</v>
      </c>
      <c r="O941" s="6"/>
      <c r="P941" s="6"/>
      <c r="Q941" s="6"/>
      <c r="R941" s="6"/>
      <c r="S941" s="6"/>
      <c r="T941" s="6"/>
      <c r="U941" s="6"/>
      <c r="V941" s="6"/>
      <c r="W941" s="6"/>
      <c r="X941" s="6"/>
      <c r="Y941" s="6"/>
      <c r="Z941" s="6"/>
      <c r="AA941" s="6"/>
      <c r="AB941" s="6"/>
      <c r="AC941" s="6"/>
      <c r="AD941" s="6"/>
      <c r="AE941" s="6"/>
    </row>
    <row r="942" spans="1:31" ht="191.25" x14ac:dyDescent="0.2">
      <c r="A942" s="6" t="s">
        <v>4806</v>
      </c>
      <c r="B942" s="6" t="s">
        <v>5263</v>
      </c>
      <c r="C942" s="20" t="s">
        <v>5264</v>
      </c>
      <c r="D942" s="6" t="s">
        <v>5265</v>
      </c>
      <c r="E942" s="6"/>
      <c r="F942" s="6" t="s">
        <v>5266</v>
      </c>
      <c r="G942" s="6" t="s">
        <v>5267</v>
      </c>
      <c r="H942" s="6" t="str">
        <f t="shared" si="65"/>
        <v>EGYPT FIELDHANDS
ACHILLES
EGYPT SUSANNAH
MOUNTAIN SUSANNAH(P254
P296)</v>
      </c>
      <c r="I942" s="6" t="s">
        <v>784</v>
      </c>
      <c r="J942" s="6"/>
      <c r="K942" s="6"/>
      <c r="L942" s="6" t="s">
        <v>2900</v>
      </c>
      <c r="M942" s="6" t="str">
        <f>VLOOKUP(L942, GLOSSARY!$A:$C, 2, FALSE)</f>
        <v>EGYPT MILKWOOD TREE PIECE</v>
      </c>
      <c r="N942" s="6" t="s">
        <v>287</v>
      </c>
      <c r="O942" s="6"/>
      <c r="P942" s="6"/>
      <c r="Q942" s="6"/>
      <c r="R942" s="6"/>
      <c r="S942" s="6"/>
      <c r="T942" s="6"/>
      <c r="U942" s="6"/>
      <c r="V942" s="6"/>
      <c r="W942" s="6"/>
      <c r="X942" s="6"/>
      <c r="Y942" s="6"/>
      <c r="Z942" s="6"/>
      <c r="AA942" s="6"/>
      <c r="AB942" s="6"/>
      <c r="AC942" s="6"/>
      <c r="AD942" s="6"/>
      <c r="AE942" s="6"/>
    </row>
    <row r="943" spans="1:31" ht="255" x14ac:dyDescent="0.2">
      <c r="A943" s="6" t="s">
        <v>4806</v>
      </c>
      <c r="B943" s="6" t="s">
        <v>5268</v>
      </c>
      <c r="C943" s="20" t="s">
        <v>5269</v>
      </c>
      <c r="D943" s="6" t="s">
        <v>5270</v>
      </c>
      <c r="E943" s="6"/>
      <c r="F943" s="6" t="s">
        <v>5271</v>
      </c>
      <c r="G943" s="6" t="s">
        <v>5242</v>
      </c>
      <c r="H943" s="6" t="str">
        <f t="shared" si="65"/>
        <v>EGYPT FIELDHANDS
LITTLE QUASHE [DRIVER](P315
P359)</v>
      </c>
      <c r="I943" s="6" t="s">
        <v>784</v>
      </c>
      <c r="J943" s="6"/>
      <c r="K943" s="6"/>
      <c r="L943" s="6" t="s">
        <v>5272</v>
      </c>
      <c r="M943" s="6" t="s">
        <v>5273</v>
      </c>
      <c r="N943" s="6" t="s">
        <v>287</v>
      </c>
      <c r="O943" s="6"/>
      <c r="P943" s="6"/>
      <c r="Q943" s="6"/>
      <c r="R943" s="6"/>
      <c r="S943" s="6"/>
      <c r="T943" s="6"/>
      <c r="U943" s="6"/>
      <c r="V943" s="6"/>
      <c r="W943" s="6"/>
      <c r="X943" s="6"/>
      <c r="Y943" s="6"/>
      <c r="Z943" s="6"/>
      <c r="AA943" s="6"/>
      <c r="AB943" s="6"/>
      <c r="AC943" s="6"/>
      <c r="AD943" s="6"/>
      <c r="AE943" s="6"/>
    </row>
    <row r="944" spans="1:31" ht="89.25" x14ac:dyDescent="0.2">
      <c r="A944" s="6" t="s">
        <v>2132</v>
      </c>
      <c r="B944" s="6" t="s">
        <v>5274</v>
      </c>
      <c r="C944" s="20" t="s">
        <v>5275</v>
      </c>
      <c r="D944" s="6" t="s">
        <v>5276</v>
      </c>
      <c r="E944" s="6"/>
      <c r="F944" s="6" t="s">
        <v>1648</v>
      </c>
      <c r="G944" s="6" t="s">
        <v>5017</v>
      </c>
      <c r="H944" s="6" t="str">
        <f t="shared" si="65"/>
        <v>THE OVERSEER
PHIBBAH(P43
P7
P10)</v>
      </c>
      <c r="I944" s="6" t="s">
        <v>1678</v>
      </c>
      <c r="J944" s="6"/>
      <c r="K944" s="6"/>
      <c r="L944" s="6" t="s">
        <v>55</v>
      </c>
      <c r="M944" s="6" t="str">
        <f>VLOOKUP(L944, GLOSSARY!$A:$C, 2, FALSE)</f>
        <v>EGYPT ESTATE</v>
      </c>
      <c r="N944" s="6" t="s">
        <v>68</v>
      </c>
      <c r="O944" s="6"/>
      <c r="P944" s="6"/>
      <c r="Q944" s="6"/>
      <c r="R944" s="6"/>
      <c r="S944" s="6"/>
      <c r="T944" s="6"/>
      <c r="U944" s="6"/>
      <c r="V944" s="6"/>
      <c r="W944" s="6"/>
      <c r="X944" s="6"/>
      <c r="Y944" s="6"/>
      <c r="Z944" s="6"/>
      <c r="AA944" s="6"/>
      <c r="AB944" s="6"/>
      <c r="AC944" s="6"/>
      <c r="AD944" s="6"/>
      <c r="AE944" s="6"/>
    </row>
    <row r="945" spans="1:31" ht="38.25" x14ac:dyDescent="0.2">
      <c r="A945" s="6" t="s">
        <v>2132</v>
      </c>
      <c r="B945" s="6" t="s">
        <v>5274</v>
      </c>
      <c r="C945" s="20" t="s">
        <v>5277</v>
      </c>
      <c r="D945" s="6" t="s">
        <v>5278</v>
      </c>
      <c r="E945" s="6"/>
      <c r="F945" s="6" t="s">
        <v>101</v>
      </c>
      <c r="G945" s="6" t="s">
        <v>100</v>
      </c>
      <c r="H945" s="6" t="str">
        <f t="shared" si="65"/>
        <v>PHIBBAH(P7)</v>
      </c>
      <c r="I945" s="6" t="s">
        <v>1678</v>
      </c>
      <c r="J945" s="6"/>
      <c r="K945" s="6"/>
      <c r="L945" s="6" t="s">
        <v>914</v>
      </c>
      <c r="M945" s="6" t="str">
        <f>VLOOKUP(L945, GLOSSARY!$A:$C, 2, FALSE)</f>
        <v>EGYPT ESTATE NEGROE HOUSES</v>
      </c>
      <c r="N945" s="6" t="s">
        <v>167</v>
      </c>
      <c r="O945" s="6"/>
      <c r="P945" s="6"/>
      <c r="Q945" s="6"/>
      <c r="R945" s="6"/>
      <c r="S945" s="6"/>
      <c r="T945" s="6"/>
      <c r="U945" s="6"/>
      <c r="V945" s="6"/>
      <c r="W945" s="6"/>
      <c r="X945" s="6"/>
      <c r="Y945" s="6"/>
      <c r="Z945" s="6"/>
      <c r="AA945" s="6"/>
      <c r="AB945" s="6"/>
      <c r="AC945" s="6"/>
      <c r="AD945" s="6"/>
      <c r="AE945" s="6"/>
    </row>
    <row r="946" spans="1:31" ht="127.5" x14ac:dyDescent="0.2">
      <c r="A946" s="6" t="s">
        <v>4806</v>
      </c>
      <c r="B946" s="6" t="s">
        <v>5274</v>
      </c>
      <c r="C946" s="20" t="s">
        <v>5277</v>
      </c>
      <c r="D946" s="6" t="s">
        <v>5279</v>
      </c>
      <c r="E946" s="6"/>
      <c r="F946" s="6" t="s">
        <v>5271</v>
      </c>
      <c r="G946" s="6" t="s">
        <v>5242</v>
      </c>
      <c r="H946" s="6" t="str">
        <f t="shared" si="65"/>
        <v>EGYPT FIELDHANDS
LITTLE QUASHE [DRIVER](P315
P359)</v>
      </c>
      <c r="I946" s="6" t="s">
        <v>784</v>
      </c>
      <c r="J946" s="6"/>
      <c r="K946" s="6"/>
      <c r="L946" s="6" t="s">
        <v>5280</v>
      </c>
      <c r="M946" s="6" t="s">
        <v>5281</v>
      </c>
      <c r="N946" s="6" t="s">
        <v>287</v>
      </c>
      <c r="O946" s="6"/>
      <c r="P946" s="6"/>
      <c r="Q946" s="6"/>
      <c r="R946" s="6"/>
      <c r="S946" s="6"/>
      <c r="T946" s="6"/>
      <c r="U946" s="6"/>
      <c r="V946" s="6"/>
      <c r="W946" s="6"/>
      <c r="X946" s="6"/>
      <c r="Y946" s="6"/>
      <c r="Z946" s="6"/>
      <c r="AA946" s="6"/>
      <c r="AB946" s="6"/>
      <c r="AC946" s="6"/>
      <c r="AD946" s="6"/>
      <c r="AE946" s="6"/>
    </row>
    <row r="947" spans="1:31" ht="63.75" x14ac:dyDescent="0.2">
      <c r="A947" s="6" t="s">
        <v>5282</v>
      </c>
      <c r="B947" s="6" t="s">
        <v>5283</v>
      </c>
      <c r="C947" s="58" t="s">
        <v>5284</v>
      </c>
      <c r="D947" s="6" t="s">
        <v>5285</v>
      </c>
      <c r="E947" s="6"/>
      <c r="F947" s="6" t="s">
        <v>5286</v>
      </c>
      <c r="G947" s="6" t="s">
        <v>5287</v>
      </c>
      <c r="H947" s="6" t="str">
        <f t="shared" si="65"/>
        <v>JAMES WEDDERBURN
CLOE'S CHILD(P95
P319)</v>
      </c>
      <c r="I947" s="6" t="s">
        <v>533</v>
      </c>
      <c r="J947" s="6"/>
      <c r="K947" s="6"/>
      <c r="L947" s="6" t="s">
        <v>55</v>
      </c>
      <c r="M947" s="6" t="str">
        <f>VLOOKUP(L947, GLOSSARY!$A:$C, 2, FALSE)</f>
        <v>EGYPT ESTATE</v>
      </c>
      <c r="N947" s="6" t="s">
        <v>68</v>
      </c>
      <c r="O947" s="6"/>
      <c r="P947" s="6"/>
      <c r="Q947" s="6"/>
      <c r="R947" s="6"/>
      <c r="S947" s="6"/>
      <c r="T947" s="6"/>
      <c r="U947" s="6"/>
      <c r="V947" s="6"/>
      <c r="W947" s="6"/>
      <c r="X947" s="6"/>
      <c r="Y947" s="6"/>
      <c r="Z947" s="6"/>
      <c r="AA947" s="6"/>
      <c r="AB947" s="6"/>
      <c r="AC947" s="6"/>
      <c r="AD947" s="6"/>
      <c r="AE947" s="6"/>
    </row>
    <row r="948" spans="1:31" ht="293.25" x14ac:dyDescent="0.2">
      <c r="A948" s="6" t="s">
        <v>4806</v>
      </c>
      <c r="B948" s="6" t="s">
        <v>5288</v>
      </c>
      <c r="C948" s="20" t="s">
        <v>5289</v>
      </c>
      <c r="D948" s="6" t="s">
        <v>5290</v>
      </c>
      <c r="E948" s="6"/>
      <c r="F948" s="6" t="s">
        <v>5291</v>
      </c>
      <c r="G948" s="6" t="s">
        <v>5292</v>
      </c>
      <c r="H948" s="6" t="str">
        <f t="shared" si="65"/>
        <v>EGYPT FIELDHANDS
LITTLE QUASHE [DRIVER]
AMBO
CYRUS(P315
P359
P170
P210)</v>
      </c>
      <c r="I948" s="6" t="s">
        <v>784</v>
      </c>
      <c r="J948" s="6"/>
      <c r="K948" s="6"/>
      <c r="L948" s="6" t="s">
        <v>5293</v>
      </c>
      <c r="M948" s="6" t="s">
        <v>5294</v>
      </c>
      <c r="N948" s="6" t="s">
        <v>287</v>
      </c>
      <c r="O948" s="6"/>
      <c r="P948" s="6"/>
      <c r="Q948" s="6"/>
      <c r="R948" s="6"/>
      <c r="S948" s="6"/>
      <c r="T948" s="6"/>
      <c r="U948" s="6"/>
      <c r="V948" s="6"/>
      <c r="W948" s="6"/>
      <c r="X948" s="6"/>
      <c r="Y948" s="6"/>
      <c r="Z948" s="6"/>
      <c r="AA948" s="6"/>
      <c r="AB948" s="6"/>
      <c r="AC948" s="6"/>
      <c r="AD948" s="6"/>
      <c r="AE948" s="6"/>
    </row>
    <row r="949" spans="1:31" ht="63.75" x14ac:dyDescent="0.2">
      <c r="A949" s="6" t="s">
        <v>2132</v>
      </c>
      <c r="B949" s="6" t="s">
        <v>5283</v>
      </c>
      <c r="C949" s="20" t="s">
        <v>5295</v>
      </c>
      <c r="D949" s="6" t="s">
        <v>5296</v>
      </c>
      <c r="E949" s="6"/>
      <c r="F949" s="6" t="s">
        <v>101</v>
      </c>
      <c r="G949" s="6" t="s">
        <v>100</v>
      </c>
      <c r="H949" s="6" t="str">
        <f t="shared" si="65"/>
        <v>PHIBBAH(P7)</v>
      </c>
      <c r="I949" s="6" t="s">
        <v>1678</v>
      </c>
      <c r="J949" s="6"/>
      <c r="K949" s="6"/>
      <c r="L949" s="6" t="s">
        <v>914</v>
      </c>
      <c r="M949" s="6" t="str">
        <f>VLOOKUP(L949, GLOSSARY!$A:$C, 2, FALSE)</f>
        <v>EGYPT ESTATE NEGROE HOUSES</v>
      </c>
      <c r="N949" s="6" t="s">
        <v>167</v>
      </c>
      <c r="O949" s="6"/>
      <c r="P949" s="6"/>
      <c r="Q949" s="6"/>
      <c r="R949" s="6"/>
      <c r="S949" s="6"/>
      <c r="T949" s="6"/>
      <c r="U949" s="6"/>
      <c r="V949" s="6"/>
      <c r="W949" s="6"/>
      <c r="X949" s="6"/>
      <c r="Y949" s="6"/>
      <c r="Z949" s="6"/>
      <c r="AA949" s="6"/>
      <c r="AB949" s="6"/>
      <c r="AC949" s="6"/>
      <c r="AD949" s="6"/>
      <c r="AE949" s="6"/>
    </row>
    <row r="950" spans="1:31" ht="127.5" x14ac:dyDescent="0.2">
      <c r="A950" s="6" t="s">
        <v>4806</v>
      </c>
      <c r="B950" s="6" t="s">
        <v>5283</v>
      </c>
      <c r="C950" s="20" t="s">
        <v>5295</v>
      </c>
      <c r="D950" s="6" t="s">
        <v>5297</v>
      </c>
      <c r="E950" s="6"/>
      <c r="F950" s="6" t="s">
        <v>5271</v>
      </c>
      <c r="G950" s="6" t="s">
        <v>5242</v>
      </c>
      <c r="H950" s="6" t="str">
        <f t="shared" si="65"/>
        <v>EGYPT FIELDHANDS
LITTLE QUASHE [DRIVER](P315
P359)</v>
      </c>
      <c r="I950" s="6" t="s">
        <v>784</v>
      </c>
      <c r="J950" s="6"/>
      <c r="K950" s="6"/>
      <c r="L950" s="6" t="s">
        <v>5298</v>
      </c>
      <c r="M950" s="6" t="s">
        <v>5299</v>
      </c>
      <c r="N950" s="6" t="s">
        <v>287</v>
      </c>
      <c r="O950" s="6"/>
      <c r="P950" s="6"/>
      <c r="Q950" s="6"/>
      <c r="R950" s="6"/>
      <c r="S950" s="6"/>
      <c r="T950" s="6"/>
      <c r="U950" s="6"/>
      <c r="V950" s="6"/>
      <c r="W950" s="6"/>
      <c r="X950" s="6"/>
      <c r="Y950" s="6"/>
      <c r="Z950" s="6"/>
      <c r="AA950" s="6"/>
      <c r="AB950" s="6"/>
      <c r="AC950" s="6"/>
      <c r="AD950" s="6"/>
      <c r="AE950" s="6"/>
    </row>
    <row r="951" spans="1:31" ht="12.75" x14ac:dyDescent="0.2">
      <c r="A951" s="6" t="s">
        <v>2132</v>
      </c>
      <c r="B951" s="6" t="s">
        <v>5300</v>
      </c>
      <c r="C951" s="20" t="s">
        <v>5301</v>
      </c>
      <c r="D951" s="6" t="s">
        <v>5302</v>
      </c>
      <c r="E951" s="6"/>
      <c r="F951" s="6" t="s">
        <v>101</v>
      </c>
      <c r="G951" s="6" t="s">
        <v>100</v>
      </c>
      <c r="H951" s="6" t="str">
        <f t="shared" si="65"/>
        <v>PHIBBAH(P7)</v>
      </c>
      <c r="I951" s="6" t="s">
        <v>1678</v>
      </c>
      <c r="J951" s="6"/>
      <c r="K951" s="6"/>
      <c r="L951" s="6" t="s">
        <v>55</v>
      </c>
      <c r="M951" s="6" t="str">
        <f>VLOOKUP(L951, GLOSSARY!$A:$C, 2, FALSE)</f>
        <v>EGYPT ESTATE</v>
      </c>
      <c r="N951" s="6" t="s">
        <v>167</v>
      </c>
      <c r="O951" s="6"/>
      <c r="P951" s="6"/>
      <c r="Q951" s="6"/>
      <c r="R951" s="6"/>
      <c r="S951" s="6"/>
      <c r="T951" s="6"/>
      <c r="U951" s="6"/>
      <c r="V951" s="6"/>
      <c r="W951" s="6"/>
      <c r="X951" s="6"/>
      <c r="Y951" s="6"/>
      <c r="Z951" s="6"/>
      <c r="AA951" s="6"/>
      <c r="AB951" s="6"/>
      <c r="AC951" s="6"/>
      <c r="AD951" s="6"/>
      <c r="AE951" s="6"/>
    </row>
    <row r="952" spans="1:31" ht="153" x14ac:dyDescent="0.2">
      <c r="A952" s="6" t="s">
        <v>4806</v>
      </c>
      <c r="B952" s="6" t="s">
        <v>5300</v>
      </c>
      <c r="C952" s="20" t="s">
        <v>5301</v>
      </c>
      <c r="D952" s="6" t="s">
        <v>5303</v>
      </c>
      <c r="E952" s="6"/>
      <c r="F952" s="6" t="s">
        <v>5271</v>
      </c>
      <c r="G952" s="6" t="s">
        <v>5242</v>
      </c>
      <c r="H952" s="6" t="str">
        <f t="shared" si="65"/>
        <v>EGYPT FIELDHANDS
LITTLE QUASHE [DRIVER](P315
P359)</v>
      </c>
      <c r="I952" s="6" t="s">
        <v>784</v>
      </c>
      <c r="J952" s="6"/>
      <c r="K952" s="6"/>
      <c r="L952" s="6" t="s">
        <v>5304</v>
      </c>
      <c r="M952" s="6" t="s">
        <v>5305</v>
      </c>
      <c r="N952" s="6" t="s">
        <v>287</v>
      </c>
      <c r="O952" s="6"/>
      <c r="P952" s="6"/>
      <c r="Q952" s="6"/>
      <c r="R952" s="6"/>
      <c r="S952" s="6"/>
      <c r="T952" s="6"/>
      <c r="U952" s="6"/>
      <c r="V952" s="6"/>
      <c r="W952" s="6"/>
      <c r="X952" s="6"/>
      <c r="Y952" s="6"/>
      <c r="Z952" s="6"/>
      <c r="AA952" s="6"/>
      <c r="AB952" s="6"/>
      <c r="AC952" s="6"/>
      <c r="AD952" s="6"/>
      <c r="AE952" s="6"/>
    </row>
    <row r="953" spans="1:31" ht="165.75" x14ac:dyDescent="0.2">
      <c r="A953" s="6" t="s">
        <v>2132</v>
      </c>
      <c r="B953" s="6" t="s">
        <v>5306</v>
      </c>
      <c r="C953" s="20" t="s">
        <v>5307</v>
      </c>
      <c r="D953" s="6" t="s">
        <v>5308</v>
      </c>
      <c r="E953" s="6"/>
      <c r="F953" s="6" t="s">
        <v>5309</v>
      </c>
      <c r="G953" s="6" t="s">
        <v>5310</v>
      </c>
      <c r="H953" s="6" t="str">
        <f t="shared" si="65"/>
        <v>MOUNTAIN SUSANAH
THE OVERSEER
PHIBBAH
DAGO(P254
P43
P7
P121)</v>
      </c>
      <c r="I953" s="6" t="s">
        <v>409</v>
      </c>
      <c r="J953" s="6"/>
      <c r="K953" s="6"/>
      <c r="L953" s="6" t="s">
        <v>55</v>
      </c>
      <c r="M953" s="6" t="str">
        <f>VLOOKUP(L953, GLOSSARY!$A:$C, 2, FALSE)</f>
        <v>EGYPT ESTATE</v>
      </c>
      <c r="N953" s="6" t="s">
        <v>167</v>
      </c>
      <c r="O953" s="6"/>
      <c r="P953" s="6"/>
      <c r="Q953" s="6"/>
      <c r="R953" s="6"/>
      <c r="S953" s="6"/>
      <c r="T953" s="6"/>
      <c r="U953" s="6"/>
      <c r="V953" s="6"/>
      <c r="W953" s="6"/>
      <c r="X953" s="6"/>
      <c r="Y953" s="6"/>
      <c r="Z953" s="6"/>
      <c r="AA953" s="6"/>
      <c r="AB953" s="6"/>
      <c r="AC953" s="6"/>
      <c r="AD953" s="6"/>
      <c r="AE953" s="6"/>
    </row>
    <row r="954" spans="1:31" ht="12.75" x14ac:dyDescent="0.2">
      <c r="A954" s="6" t="s">
        <v>2132</v>
      </c>
      <c r="B954" s="6" t="s">
        <v>5306</v>
      </c>
      <c r="C954" s="20" t="s">
        <v>5311</v>
      </c>
      <c r="D954" s="6" t="s">
        <v>5302</v>
      </c>
      <c r="E954" s="6"/>
      <c r="F954" s="6" t="s">
        <v>101</v>
      </c>
      <c r="G954" s="6" t="s">
        <v>100</v>
      </c>
      <c r="H954" s="6" t="str">
        <f t="shared" si="65"/>
        <v>PHIBBAH(P7)</v>
      </c>
      <c r="I954" s="6" t="s">
        <v>1678</v>
      </c>
      <c r="J954" s="6"/>
      <c r="K954" s="6"/>
      <c r="L954" s="6" t="s">
        <v>55</v>
      </c>
      <c r="M954" s="6" t="str">
        <f>VLOOKUP(L954, GLOSSARY!$A:$C, 2, FALSE)</f>
        <v>EGYPT ESTATE</v>
      </c>
      <c r="N954" s="6" t="s">
        <v>167</v>
      </c>
      <c r="O954" s="6"/>
      <c r="P954" s="6"/>
      <c r="Q954" s="6"/>
      <c r="R954" s="6"/>
      <c r="S954" s="6"/>
      <c r="T954" s="6"/>
      <c r="U954" s="6"/>
      <c r="V954" s="6"/>
      <c r="W954" s="6"/>
      <c r="X954" s="6"/>
      <c r="Y954" s="6"/>
      <c r="Z954" s="6"/>
      <c r="AA954" s="6"/>
      <c r="AB954" s="6"/>
      <c r="AC954" s="6"/>
      <c r="AD954" s="6"/>
      <c r="AE954" s="6"/>
    </row>
    <row r="955" spans="1:31" ht="63.75" x14ac:dyDescent="0.2">
      <c r="A955" s="6" t="s">
        <v>2132</v>
      </c>
      <c r="B955" s="6" t="s">
        <v>5312</v>
      </c>
      <c r="C955" s="20" t="s">
        <v>5313</v>
      </c>
      <c r="D955" s="6" t="s">
        <v>5314</v>
      </c>
      <c r="E955" s="6"/>
      <c r="F955" s="6" t="s">
        <v>5315</v>
      </c>
      <c r="G955" s="6" t="s">
        <v>5316</v>
      </c>
      <c r="H955" s="6" t="str">
        <f t="shared" si="65"/>
        <v>PHIBBAH
DAGO(P7
P121)</v>
      </c>
      <c r="I955" s="6" t="s">
        <v>1678</v>
      </c>
      <c r="J955" s="6"/>
      <c r="K955" s="6"/>
      <c r="L955" s="6" t="s">
        <v>55</v>
      </c>
      <c r="M955" s="6" t="str">
        <f>VLOOKUP(L955, GLOSSARY!$A:$C, 2, FALSE)</f>
        <v>EGYPT ESTATE</v>
      </c>
      <c r="N955" s="6" t="s">
        <v>167</v>
      </c>
      <c r="O955" s="6"/>
      <c r="P955" s="6"/>
      <c r="Q955" s="6"/>
      <c r="R955" s="6"/>
      <c r="S955" s="6"/>
      <c r="T955" s="6"/>
      <c r="U955" s="6"/>
      <c r="V955" s="6"/>
      <c r="W955" s="6"/>
      <c r="X955" s="6"/>
      <c r="Y955" s="6"/>
      <c r="Z955" s="6"/>
      <c r="AA955" s="6"/>
      <c r="AB955" s="6"/>
      <c r="AC955" s="6"/>
      <c r="AD955" s="6"/>
      <c r="AE955" s="6"/>
    </row>
    <row r="956" spans="1:31" ht="76.5" x14ac:dyDescent="0.2">
      <c r="A956" s="6" t="s">
        <v>1664</v>
      </c>
      <c r="B956" s="6" t="s">
        <v>5317</v>
      </c>
      <c r="C956" s="20" t="s">
        <v>5318</v>
      </c>
      <c r="D956" s="6" t="s">
        <v>5319</v>
      </c>
      <c r="E956" s="6"/>
      <c r="F956" s="6" t="s">
        <v>48</v>
      </c>
      <c r="G956" s="6" t="s">
        <v>50</v>
      </c>
      <c r="H956" s="6" t="str">
        <f t="shared" si="65"/>
        <v>THE OVERSEER(P43)</v>
      </c>
      <c r="I956" s="6" t="s">
        <v>533</v>
      </c>
      <c r="J956" s="6"/>
      <c r="K956" s="6"/>
      <c r="L956" s="6" t="s">
        <v>55</v>
      </c>
      <c r="M956" s="6" t="str">
        <f>VLOOKUP(L956, GLOSSARY!$A:$C, 2, FALSE)</f>
        <v>EGYPT ESTATE</v>
      </c>
      <c r="N956" s="6"/>
      <c r="O956" s="6"/>
      <c r="P956" s="6"/>
      <c r="Q956" s="6"/>
      <c r="R956" s="6"/>
      <c r="S956" s="6"/>
      <c r="T956" s="6"/>
      <c r="U956" s="6"/>
      <c r="V956" s="6"/>
      <c r="W956" s="6"/>
      <c r="X956" s="6"/>
      <c r="Y956" s="6"/>
      <c r="Z956" s="6"/>
      <c r="AA956" s="6"/>
      <c r="AB956" s="6"/>
      <c r="AC956" s="6"/>
      <c r="AD956" s="6"/>
      <c r="AE956" s="6"/>
    </row>
    <row r="957" spans="1:31" ht="12.75" x14ac:dyDescent="0.2">
      <c r="A957" s="6" t="s">
        <v>2132</v>
      </c>
      <c r="B957" s="6" t="s">
        <v>5317</v>
      </c>
      <c r="C957" s="20" t="s">
        <v>5320</v>
      </c>
      <c r="D957" s="6" t="s">
        <v>5321</v>
      </c>
      <c r="E957" s="6"/>
      <c r="F957" s="6" t="s">
        <v>101</v>
      </c>
      <c r="G957" s="6" t="s">
        <v>100</v>
      </c>
      <c r="H957" s="6" t="str">
        <f t="shared" si="65"/>
        <v>PHIBBAH(P7)</v>
      </c>
      <c r="I957" s="6" t="s">
        <v>1678</v>
      </c>
      <c r="J957" s="6"/>
      <c r="K957" s="6"/>
      <c r="L957" s="6" t="s">
        <v>55</v>
      </c>
      <c r="M957" s="6" t="str">
        <f>VLOOKUP(L957, GLOSSARY!$A:$C, 2, FALSE)</f>
        <v>EGYPT ESTATE</v>
      </c>
      <c r="N957" s="6" t="s">
        <v>167</v>
      </c>
      <c r="O957" s="6"/>
      <c r="P957" s="6"/>
      <c r="Q957" s="6"/>
      <c r="R957" s="6"/>
      <c r="S957" s="6"/>
      <c r="T957" s="6"/>
      <c r="U957" s="6"/>
      <c r="V957" s="6"/>
      <c r="W957" s="6"/>
      <c r="X957" s="6"/>
      <c r="Y957" s="6"/>
      <c r="Z957" s="6"/>
      <c r="AA957" s="6"/>
      <c r="AB957" s="6"/>
      <c r="AC957" s="6"/>
      <c r="AD957" s="6"/>
      <c r="AE957" s="6"/>
    </row>
    <row r="958" spans="1:31" ht="89.25" x14ac:dyDescent="0.2">
      <c r="A958" s="6" t="s">
        <v>2132</v>
      </c>
      <c r="B958" s="6" t="s">
        <v>5322</v>
      </c>
      <c r="C958" s="20" t="s">
        <v>5323</v>
      </c>
      <c r="D958" s="6" t="s">
        <v>5324</v>
      </c>
      <c r="E958" s="6"/>
      <c r="F958" s="6" t="s">
        <v>5325</v>
      </c>
      <c r="G958" s="6" t="s">
        <v>5326</v>
      </c>
      <c r="H958" s="6" t="str">
        <f t="shared" si="65"/>
        <v>MOULD'S LYDDE
THE OVERSEER(P326
P43
P7)</v>
      </c>
      <c r="I958" s="6" t="s">
        <v>409</v>
      </c>
      <c r="J958" s="6"/>
      <c r="K958" s="6"/>
      <c r="L958" s="6" t="s">
        <v>55</v>
      </c>
      <c r="M958" s="6" t="str">
        <f>VLOOKUP(L958, GLOSSARY!$A:$C, 2, FALSE)</f>
        <v>EGYPT ESTATE</v>
      </c>
      <c r="N958" s="6" t="s">
        <v>167</v>
      </c>
      <c r="O958" s="6"/>
      <c r="P958" s="6"/>
      <c r="Q958" s="6"/>
      <c r="R958" s="6"/>
      <c r="S958" s="6"/>
      <c r="T958" s="6"/>
      <c r="U958" s="6"/>
      <c r="V958" s="6"/>
      <c r="W958" s="6"/>
      <c r="X958" s="6"/>
      <c r="Y958" s="6"/>
      <c r="Z958" s="6"/>
      <c r="AA958" s="6"/>
      <c r="AB958" s="6"/>
      <c r="AC958" s="6"/>
      <c r="AD958" s="6"/>
      <c r="AE958" s="6"/>
    </row>
    <row r="959" spans="1:31" ht="76.5" x14ac:dyDescent="0.2">
      <c r="A959" s="6" t="s">
        <v>5327</v>
      </c>
      <c r="B959" s="6" t="s">
        <v>5328</v>
      </c>
      <c r="C959" s="20" t="s">
        <v>5329</v>
      </c>
      <c r="D959" s="6" t="s">
        <v>5330</v>
      </c>
      <c r="E959" s="6"/>
      <c r="F959" s="6" t="s">
        <v>5331</v>
      </c>
      <c r="G959" s="6" t="s">
        <v>1993</v>
      </c>
      <c r="H959" s="6" t="str">
        <f t="shared" si="65"/>
        <v>THE PLANTER
THE PLANTER'S WIFE(P44
P45)</v>
      </c>
      <c r="I959" s="6" t="s">
        <v>1678</v>
      </c>
      <c r="J959" s="6"/>
      <c r="K959" s="6"/>
      <c r="L959" s="6" t="s">
        <v>55</v>
      </c>
      <c r="M959" s="6" t="str">
        <f>VLOOKUP(L959, GLOSSARY!$A:$C, 2, FALSE)</f>
        <v>EGYPT ESTATE</v>
      </c>
      <c r="N959" s="6" t="s">
        <v>167</v>
      </c>
      <c r="O959" s="6"/>
      <c r="P959" s="6"/>
      <c r="Q959" s="6"/>
      <c r="R959" s="6"/>
      <c r="S959" s="6"/>
      <c r="T959" s="6"/>
      <c r="U959" s="6"/>
      <c r="V959" s="6"/>
      <c r="W959" s="6"/>
      <c r="X959" s="6"/>
      <c r="Y959" s="6"/>
      <c r="Z959" s="6"/>
      <c r="AA959" s="6"/>
      <c r="AB959" s="6"/>
      <c r="AC959" s="6"/>
      <c r="AD959" s="6"/>
      <c r="AE959" s="6"/>
    </row>
    <row r="960" spans="1:31" ht="165.75" x14ac:dyDescent="0.2">
      <c r="A960" s="6" t="s">
        <v>5327</v>
      </c>
      <c r="B960" s="6" t="s">
        <v>5322</v>
      </c>
      <c r="C960" s="20" t="s">
        <v>5332</v>
      </c>
      <c r="D960" s="6" t="s">
        <v>5333</v>
      </c>
      <c r="E960" s="6"/>
      <c r="F960" s="6" t="s">
        <v>5334</v>
      </c>
      <c r="G960" s="6" t="s">
        <v>5335</v>
      </c>
      <c r="H960" s="6" t="str">
        <f t="shared" si="65"/>
        <v>THE PLANTER'S WIFE
POLLY COPE
DINAH
ACCUBAH(P45
P16
P328
P318)</v>
      </c>
      <c r="I960" s="6" t="s">
        <v>1678</v>
      </c>
      <c r="J960" s="6"/>
      <c r="K960" s="6"/>
      <c r="L960" s="6" t="s">
        <v>55</v>
      </c>
      <c r="M960" s="6" t="str">
        <f>VLOOKUP(L960, GLOSSARY!$A:$C, 2, FALSE)</f>
        <v>EGYPT ESTATE</v>
      </c>
      <c r="N960" s="6" t="s">
        <v>68</v>
      </c>
      <c r="O960" s="6"/>
      <c r="P960" s="6"/>
      <c r="Q960" s="6"/>
      <c r="R960" s="6"/>
      <c r="S960" s="6"/>
      <c r="T960" s="6"/>
      <c r="U960" s="6"/>
      <c r="V960" s="6"/>
      <c r="W960" s="6"/>
      <c r="X960" s="6"/>
      <c r="Y960" s="6"/>
      <c r="Z960" s="6"/>
      <c r="AA960" s="6"/>
      <c r="AB960" s="6"/>
      <c r="AC960" s="6"/>
      <c r="AD960" s="6"/>
      <c r="AE960" s="6"/>
    </row>
    <row r="961" spans="1:31" ht="76.5" x14ac:dyDescent="0.2">
      <c r="A961" s="6" t="s">
        <v>5327</v>
      </c>
      <c r="B961" s="6" t="s">
        <v>5322</v>
      </c>
      <c r="C961" s="20" t="s">
        <v>5336</v>
      </c>
      <c r="D961" s="6" t="s">
        <v>5337</v>
      </c>
      <c r="E961" s="6"/>
      <c r="F961" s="6" t="s">
        <v>5331</v>
      </c>
      <c r="G961" s="6" t="s">
        <v>5338</v>
      </c>
      <c r="H961" s="6" t="str">
        <f t="shared" si="65"/>
        <v>THE PLANTER
THE PLANTER'S WIFE(P45
P44)</v>
      </c>
      <c r="I961" s="6" t="s">
        <v>1678</v>
      </c>
      <c r="J961" s="6"/>
      <c r="K961" s="6"/>
      <c r="L961" s="6" t="s">
        <v>5339</v>
      </c>
      <c r="M961" s="6" t="s">
        <v>5340</v>
      </c>
      <c r="N961" s="6" t="s">
        <v>287</v>
      </c>
      <c r="O961" s="6"/>
      <c r="P961" s="6"/>
      <c r="Q961" s="6"/>
      <c r="R961" s="6"/>
      <c r="S961" s="6"/>
      <c r="T961" s="6"/>
      <c r="U961" s="6"/>
      <c r="V961" s="6"/>
      <c r="W961" s="6"/>
      <c r="X961" s="6"/>
      <c r="Y961" s="6"/>
      <c r="Z961" s="6"/>
      <c r="AA961" s="6"/>
      <c r="AB961" s="6"/>
      <c r="AC961" s="6"/>
      <c r="AD961" s="6"/>
      <c r="AE961" s="6"/>
    </row>
    <row r="962" spans="1:31" ht="114.75" x14ac:dyDescent="0.2">
      <c r="A962" s="6" t="s">
        <v>5341</v>
      </c>
      <c r="B962" s="6" t="s">
        <v>5342</v>
      </c>
      <c r="C962" s="20" t="s">
        <v>5343</v>
      </c>
      <c r="D962" s="6" t="s">
        <v>5344</v>
      </c>
      <c r="E962" s="6"/>
      <c r="F962" s="6" t="s">
        <v>5345</v>
      </c>
      <c r="G962" s="6" t="s">
        <v>5346</v>
      </c>
      <c r="H962" s="6" t="str">
        <f t="shared" si="65"/>
        <v>THE OVERSEER
EMOTSON'S EVE
ABBA(P43
P320
P6)</v>
      </c>
      <c r="I962" s="6" t="s">
        <v>859</v>
      </c>
      <c r="J962" s="6"/>
      <c r="K962" s="6"/>
      <c r="L962" s="6" t="s">
        <v>3085</v>
      </c>
      <c r="M962" s="6" t="str">
        <f>VLOOKUP(L962, GLOSSARY!$A:$C, 2, FALSE)</f>
        <v>EMOTSON'S TAVERN</v>
      </c>
      <c r="N962" s="6" t="s">
        <v>167</v>
      </c>
      <c r="O962" s="6"/>
      <c r="P962" s="6"/>
      <c r="Q962" s="6"/>
      <c r="R962" s="6"/>
      <c r="S962" s="6"/>
      <c r="T962" s="6"/>
      <c r="U962" s="6"/>
      <c r="V962" s="6"/>
      <c r="W962" s="6"/>
      <c r="X962" s="6"/>
      <c r="Y962" s="6"/>
      <c r="Z962" s="6"/>
      <c r="AA962" s="6"/>
      <c r="AB962" s="6"/>
      <c r="AC962" s="6"/>
      <c r="AD962" s="6"/>
      <c r="AE962" s="6"/>
    </row>
    <row r="963" spans="1:31" ht="25.5" x14ac:dyDescent="0.2">
      <c r="A963" s="6" t="s">
        <v>2132</v>
      </c>
      <c r="B963" s="6" t="s">
        <v>5342</v>
      </c>
      <c r="C963" s="20" t="s">
        <v>5343</v>
      </c>
      <c r="D963" s="6" t="s">
        <v>5347</v>
      </c>
      <c r="E963" s="6"/>
      <c r="F963" s="6" t="s">
        <v>101</v>
      </c>
      <c r="G963" s="6" t="s">
        <v>100</v>
      </c>
      <c r="H963" s="6" t="str">
        <f t="shared" si="65"/>
        <v>PHIBBAH(P7)</v>
      </c>
      <c r="I963" s="6" t="s">
        <v>1678</v>
      </c>
      <c r="J963" s="6"/>
      <c r="K963" s="6"/>
      <c r="L963" s="6" t="s">
        <v>55</v>
      </c>
      <c r="M963" s="6" t="str">
        <f>VLOOKUP(L963, GLOSSARY!$A:$C, 2, FALSE)</f>
        <v>EGYPT ESTATE</v>
      </c>
      <c r="N963" s="6" t="s">
        <v>167</v>
      </c>
      <c r="O963" s="6"/>
      <c r="P963" s="6"/>
      <c r="Q963" s="6"/>
      <c r="R963" s="6"/>
      <c r="S963" s="6"/>
      <c r="T963" s="6"/>
      <c r="U963" s="6"/>
      <c r="V963" s="6"/>
      <c r="W963" s="6"/>
      <c r="X963" s="6"/>
      <c r="Y963" s="6"/>
      <c r="Z963" s="6"/>
      <c r="AA963" s="6"/>
      <c r="AB963" s="6"/>
      <c r="AC963" s="6"/>
      <c r="AD963" s="6"/>
      <c r="AE963" s="6"/>
    </row>
    <row r="964" spans="1:31" ht="51" x14ac:dyDescent="0.2">
      <c r="A964" s="6" t="s">
        <v>5327</v>
      </c>
      <c r="B964" s="6" t="s">
        <v>5342</v>
      </c>
      <c r="C964" s="20" t="s">
        <v>5343</v>
      </c>
      <c r="D964" s="6" t="s">
        <v>5348</v>
      </c>
      <c r="E964" s="6"/>
      <c r="F964" s="6" t="s">
        <v>398</v>
      </c>
      <c r="G964" s="6" t="s">
        <v>397</v>
      </c>
      <c r="H964" s="6" t="str">
        <f t="shared" si="65"/>
        <v>THE PLANTER(P44)</v>
      </c>
      <c r="I964" s="6" t="s">
        <v>248</v>
      </c>
      <c r="J964" s="6"/>
      <c r="K964" s="6"/>
      <c r="L964" s="6" t="s">
        <v>55</v>
      </c>
      <c r="M964" s="6" t="str">
        <f>VLOOKUP(L964, GLOSSARY!$A:$C, 2, FALSE)</f>
        <v>EGYPT ESTATE</v>
      </c>
      <c r="N964" s="6" t="s">
        <v>167</v>
      </c>
      <c r="O964" s="6"/>
      <c r="P964" s="6"/>
      <c r="Q964" s="6"/>
      <c r="R964" s="6"/>
      <c r="S964" s="6"/>
      <c r="T964" s="6"/>
      <c r="U964" s="6"/>
      <c r="V964" s="6"/>
      <c r="W964" s="6"/>
      <c r="X964" s="6"/>
      <c r="Y964" s="6"/>
      <c r="Z964" s="6"/>
      <c r="AA964" s="6"/>
      <c r="AB964" s="6"/>
      <c r="AC964" s="6"/>
      <c r="AD964" s="6"/>
      <c r="AE964" s="6"/>
    </row>
    <row r="965" spans="1:31" ht="114.75" x14ac:dyDescent="0.2">
      <c r="A965" s="6" t="s">
        <v>5327</v>
      </c>
      <c r="B965" s="6" t="s">
        <v>5349</v>
      </c>
      <c r="C965" s="20" t="s">
        <v>5350</v>
      </c>
      <c r="D965" s="6" t="s">
        <v>5351</v>
      </c>
      <c r="E965" s="6"/>
      <c r="F965" s="6" t="s">
        <v>5352</v>
      </c>
      <c r="G965" s="6" t="s">
        <v>4388</v>
      </c>
      <c r="H965" s="6" t="str">
        <f t="shared" si="65"/>
        <v>THE PLANTER
THE PLANTER'S WIFE
THE OVERSEER(P43
P44
P45)</v>
      </c>
      <c r="I965" s="6" t="s">
        <v>1678</v>
      </c>
      <c r="J965" s="6"/>
      <c r="K965" s="6"/>
      <c r="L965" s="6" t="s">
        <v>5353</v>
      </c>
      <c r="M965" s="6" t="s">
        <v>5354</v>
      </c>
      <c r="N965" s="6" t="s">
        <v>167</v>
      </c>
      <c r="O965" s="6"/>
      <c r="P965" s="6"/>
      <c r="Q965" s="6"/>
      <c r="R965" s="6"/>
      <c r="S965" s="6"/>
      <c r="T965" s="6"/>
      <c r="U965" s="6"/>
      <c r="V965" s="6"/>
      <c r="W965" s="6"/>
      <c r="X965" s="6"/>
      <c r="Y965" s="6"/>
      <c r="Z965" s="6"/>
      <c r="AA965" s="6"/>
      <c r="AB965" s="6"/>
      <c r="AC965" s="6"/>
      <c r="AD965" s="6"/>
      <c r="AE965" s="6"/>
    </row>
    <row r="966" spans="1:31" ht="306" x14ac:dyDescent="0.2">
      <c r="A966" s="6" t="s">
        <v>5327</v>
      </c>
      <c r="B966" s="6" t="s">
        <v>5349</v>
      </c>
      <c r="C966" s="20" t="s">
        <v>5355</v>
      </c>
      <c r="D966" s="6" t="s">
        <v>5356</v>
      </c>
      <c r="E966" s="6"/>
      <c r="F966" s="6" t="s">
        <v>5357</v>
      </c>
      <c r="G966" s="6" t="s">
        <v>5358</v>
      </c>
      <c r="H966" s="6" t="str">
        <f t="shared" si="65"/>
        <v>THE PLANTER
THE PLANTER'S WIFE
DINAH
ACCUBAH
POLLY COPE
DAGO
KENT
(P45
P45
P328
P318
P121
P329)</v>
      </c>
      <c r="I966" s="6" t="s">
        <v>248</v>
      </c>
      <c r="J966" s="6"/>
      <c r="K966" s="6"/>
      <c r="L966" s="6" t="s">
        <v>99</v>
      </c>
      <c r="M966" s="6" t="str">
        <f>VLOOKUP(L966, GLOSSARY!$A:$C, 2, FALSE)</f>
        <v>PARADISE ESTATE</v>
      </c>
      <c r="N966" s="6" t="s">
        <v>68</v>
      </c>
      <c r="O966" s="6"/>
      <c r="P966" s="6"/>
      <c r="Q966" s="6"/>
      <c r="R966" s="6"/>
      <c r="S966" s="6"/>
      <c r="T966" s="6"/>
      <c r="U966" s="6"/>
      <c r="V966" s="6"/>
      <c r="W966" s="6"/>
      <c r="X966" s="6"/>
      <c r="Y966" s="6"/>
      <c r="Z966" s="6"/>
      <c r="AA966" s="6"/>
      <c r="AB966" s="6"/>
      <c r="AC966" s="6"/>
      <c r="AD966" s="6"/>
      <c r="AE966" s="6"/>
    </row>
    <row r="967" spans="1:31" ht="114.75" x14ac:dyDescent="0.2">
      <c r="A967" s="6" t="s">
        <v>4806</v>
      </c>
      <c r="B967" s="6" t="s">
        <v>5349</v>
      </c>
      <c r="C967" s="20" t="s">
        <v>5355</v>
      </c>
      <c r="D967" s="6" t="s">
        <v>5359</v>
      </c>
      <c r="E967" s="6"/>
      <c r="F967" s="6" t="s">
        <v>5360</v>
      </c>
      <c r="G967" s="6" t="s">
        <v>5361</v>
      </c>
      <c r="H967" s="6" t="str">
        <f t="shared" si="65"/>
        <v>EGYPT FIELDHANDS
JOB
CYRUS(P315
P29
P210)</v>
      </c>
      <c r="I967" s="6" t="s">
        <v>784</v>
      </c>
      <c r="J967" s="6"/>
      <c r="K967" s="6"/>
      <c r="L967" s="6" t="s">
        <v>5362</v>
      </c>
      <c r="M967" s="6" t="s">
        <v>5363</v>
      </c>
      <c r="N967" s="6" t="s">
        <v>287</v>
      </c>
      <c r="O967" s="6"/>
      <c r="P967" s="6"/>
      <c r="Q967" s="6"/>
      <c r="R967" s="6"/>
      <c r="S967" s="6"/>
      <c r="T967" s="6"/>
      <c r="U967" s="6"/>
      <c r="V967" s="6"/>
      <c r="W967" s="6"/>
      <c r="X967" s="6"/>
      <c r="Y967" s="6"/>
      <c r="Z967" s="6"/>
      <c r="AA967" s="6"/>
      <c r="AB967" s="6"/>
      <c r="AC967" s="6"/>
      <c r="AD967" s="6"/>
      <c r="AE967" s="6"/>
    </row>
    <row r="968" spans="1:31" ht="114.75" x14ac:dyDescent="0.2">
      <c r="A968" s="6" t="s">
        <v>5364</v>
      </c>
      <c r="B968" s="6" t="s">
        <v>5365</v>
      </c>
      <c r="C968" s="20" t="s">
        <v>5366</v>
      </c>
      <c r="D968" s="6" t="s">
        <v>5367</v>
      </c>
      <c r="E968" s="6"/>
      <c r="F968" s="6" t="s">
        <v>5368</v>
      </c>
      <c r="G968" s="6" t="s">
        <v>5369</v>
      </c>
      <c r="H968" s="6" t="str">
        <f t="shared" si="65"/>
        <v>EGYPT SUSANAH
THE OVERSEER
PHIBBAH(P296
P43
P7)</v>
      </c>
      <c r="I968" s="6" t="s">
        <v>409</v>
      </c>
      <c r="J968" s="6"/>
      <c r="K968" s="6"/>
      <c r="L968" s="6" t="s">
        <v>55</v>
      </c>
      <c r="M968" s="6" t="str">
        <f>VLOOKUP(L968, GLOSSARY!$A:$C, 2, FALSE)</f>
        <v>EGYPT ESTATE</v>
      </c>
      <c r="N968" s="6" t="s">
        <v>167</v>
      </c>
      <c r="O968" s="6"/>
      <c r="P968" s="6"/>
      <c r="Q968" s="6"/>
      <c r="R968" s="6"/>
      <c r="S968" s="6"/>
      <c r="T968" s="6"/>
      <c r="U968" s="6"/>
      <c r="V968" s="6"/>
      <c r="W968" s="6"/>
      <c r="X968" s="6"/>
      <c r="Y968" s="6"/>
      <c r="Z968" s="6"/>
      <c r="AA968" s="6"/>
      <c r="AB968" s="6"/>
      <c r="AC968" s="6"/>
      <c r="AD968" s="6"/>
      <c r="AE968" s="6"/>
    </row>
    <row r="969" spans="1:31" ht="89.25" x14ac:dyDescent="0.2">
      <c r="A969" s="6" t="s">
        <v>2132</v>
      </c>
      <c r="B969" s="6" t="s">
        <v>5365</v>
      </c>
      <c r="C969" s="20" t="s">
        <v>5366</v>
      </c>
      <c r="D969" s="6" t="s">
        <v>5370</v>
      </c>
      <c r="E969" s="6"/>
      <c r="F969" s="6" t="s">
        <v>1648</v>
      </c>
      <c r="G969" s="6" t="s">
        <v>5017</v>
      </c>
      <c r="H969" s="6" t="str">
        <f t="shared" si="65"/>
        <v>THE OVERSEER
PHIBBAH(P43
P7
P10)</v>
      </c>
      <c r="I969" s="6" t="s">
        <v>409</v>
      </c>
      <c r="J969" s="6"/>
      <c r="K969" s="6"/>
      <c r="L969" s="6" t="s">
        <v>55</v>
      </c>
      <c r="M969" s="6" t="str">
        <f>VLOOKUP(L969, GLOSSARY!$A:$C, 2, FALSE)</f>
        <v>EGYPT ESTATE</v>
      </c>
      <c r="N969" s="6" t="s">
        <v>167</v>
      </c>
      <c r="O969" s="6"/>
      <c r="P969" s="6"/>
      <c r="Q969" s="6"/>
      <c r="R969" s="6"/>
      <c r="S969" s="6"/>
      <c r="T969" s="6"/>
      <c r="U969" s="6"/>
      <c r="V969" s="6"/>
      <c r="W969" s="6"/>
      <c r="X969" s="6"/>
      <c r="Y969" s="6"/>
      <c r="Z969" s="6"/>
      <c r="AA969" s="6"/>
      <c r="AB969" s="6"/>
      <c r="AC969" s="6"/>
      <c r="AD969" s="6"/>
      <c r="AE969" s="6"/>
    </row>
    <row r="970" spans="1:31" ht="127.5" x14ac:dyDescent="0.2">
      <c r="A970" s="6" t="s">
        <v>4806</v>
      </c>
      <c r="B970" s="6" t="s">
        <v>5365</v>
      </c>
      <c r="C970" s="20" t="s">
        <v>5366</v>
      </c>
      <c r="D970" s="6" t="s">
        <v>5371</v>
      </c>
      <c r="E970" s="6"/>
      <c r="F970" s="6" t="s">
        <v>5372</v>
      </c>
      <c r="G970" s="6" t="s">
        <v>5373</v>
      </c>
      <c r="H970" s="6" t="str">
        <f t="shared" si="65"/>
        <v>EGYPT FIELDHANDS
JOB
PORT ROYAL
(P315
P29
P212)</v>
      </c>
      <c r="I970" s="6" t="s">
        <v>784</v>
      </c>
      <c r="J970" s="6"/>
      <c r="K970" s="6"/>
      <c r="L970" s="6" t="s">
        <v>5374</v>
      </c>
      <c r="M970" s="6" t="s">
        <v>5375</v>
      </c>
      <c r="N970" s="6" t="s">
        <v>287</v>
      </c>
      <c r="O970" s="6"/>
      <c r="P970" s="6"/>
      <c r="Q970" s="6"/>
      <c r="R970" s="6"/>
      <c r="S970" s="6"/>
      <c r="T970" s="6"/>
      <c r="U970" s="6"/>
      <c r="V970" s="6"/>
      <c r="W970" s="6"/>
      <c r="X970" s="6"/>
      <c r="Y970" s="6"/>
      <c r="Z970" s="6"/>
      <c r="AA970" s="6"/>
      <c r="AB970" s="6"/>
      <c r="AC970" s="6"/>
      <c r="AD970" s="6"/>
      <c r="AE970" s="6"/>
    </row>
    <row r="971" spans="1:31" ht="63.75" x14ac:dyDescent="0.2">
      <c r="A971" s="6" t="s">
        <v>5376</v>
      </c>
      <c r="B971" s="6" t="s">
        <v>5377</v>
      </c>
      <c r="C971" s="20" t="s">
        <v>5378</v>
      </c>
      <c r="D971" s="6" t="s">
        <v>5379</v>
      </c>
      <c r="E971" s="6"/>
      <c r="F971" s="6" t="s">
        <v>5380</v>
      </c>
      <c r="G971" s="6" t="s">
        <v>5381</v>
      </c>
      <c r="H971" s="6" t="str">
        <f t="shared" si="65"/>
        <v>ABRAHAM
THE OVERSEER(P360
P43)</v>
      </c>
      <c r="I971" s="6" t="s">
        <v>112</v>
      </c>
      <c r="J971" s="6"/>
      <c r="K971" s="6"/>
      <c r="L971" s="6" t="s">
        <v>55</v>
      </c>
      <c r="M971" s="6" t="str">
        <f>VLOOKUP(L971, GLOSSARY!$A:$C, 2, FALSE)</f>
        <v>EGYPT ESTATE</v>
      </c>
      <c r="N971" s="6" t="s">
        <v>68</v>
      </c>
      <c r="O971" s="6"/>
      <c r="P971" s="6"/>
      <c r="Q971" s="6"/>
      <c r="R971" s="6"/>
      <c r="S971" s="6"/>
      <c r="T971" s="6"/>
      <c r="U971" s="6"/>
      <c r="V971" s="6"/>
      <c r="W971" s="6"/>
      <c r="X971" s="6"/>
      <c r="Y971" s="6"/>
      <c r="Z971" s="6"/>
      <c r="AA971" s="6"/>
      <c r="AB971" s="6"/>
      <c r="AC971" s="6"/>
      <c r="AD971" s="6"/>
      <c r="AE971" s="6"/>
    </row>
    <row r="972" spans="1:31" ht="76.5" x14ac:dyDescent="0.2">
      <c r="A972" s="6" t="s">
        <v>4806</v>
      </c>
      <c r="B972" s="6" t="s">
        <v>5377</v>
      </c>
      <c r="C972" s="20" t="s">
        <v>5382</v>
      </c>
      <c r="D972" s="6" t="s">
        <v>5383</v>
      </c>
      <c r="E972" s="6"/>
      <c r="F972" s="6" t="s">
        <v>4918</v>
      </c>
      <c r="G972" s="6" t="s">
        <v>5384</v>
      </c>
      <c r="H972" s="6" t="str">
        <f t="shared" si="65"/>
        <v>EGYPT FIELDHANDS
THE OVERSEER(P315
P43
)</v>
      </c>
      <c r="I972" s="6" t="s">
        <v>784</v>
      </c>
      <c r="J972" s="6"/>
      <c r="K972" s="6"/>
      <c r="L972" s="6" t="s">
        <v>55</v>
      </c>
      <c r="M972" s="6" t="str">
        <f>VLOOKUP(L972, GLOSSARY!$A:$C, 2, FALSE)</f>
        <v>EGYPT ESTATE</v>
      </c>
      <c r="N972" s="6" t="s">
        <v>68</v>
      </c>
      <c r="O972" s="6"/>
      <c r="P972" s="6"/>
      <c r="Q972" s="6"/>
      <c r="R972" s="6"/>
      <c r="S972" s="6"/>
      <c r="T972" s="6"/>
      <c r="U972" s="6"/>
      <c r="V972" s="6"/>
      <c r="W972" s="6"/>
      <c r="X972" s="6"/>
      <c r="Y972" s="6"/>
      <c r="Z972" s="6"/>
      <c r="AA972" s="6"/>
      <c r="AB972" s="6"/>
      <c r="AC972" s="6"/>
      <c r="AD972" s="6"/>
      <c r="AE972" s="6"/>
    </row>
    <row r="973" spans="1:31" ht="63.75" x14ac:dyDescent="0.2">
      <c r="A973" s="6" t="s">
        <v>5385</v>
      </c>
      <c r="B973" s="6" t="s">
        <v>5386</v>
      </c>
      <c r="C973" s="20" t="s">
        <v>5382</v>
      </c>
      <c r="D973" s="6" t="s">
        <v>5387</v>
      </c>
      <c r="E973" s="6"/>
      <c r="F973" s="6"/>
      <c r="G973" s="6"/>
      <c r="H973" s="6"/>
      <c r="I973" s="6" t="s">
        <v>26</v>
      </c>
      <c r="J973" s="6"/>
      <c r="K973" s="6"/>
      <c r="L973" s="6" t="s">
        <v>55</v>
      </c>
      <c r="M973" s="6" t="str">
        <f>VLOOKUP(L973, GLOSSARY!$A:$C, 2, FALSE)</f>
        <v>EGYPT ESTATE</v>
      </c>
      <c r="N973" s="6" t="s">
        <v>287</v>
      </c>
      <c r="O973" s="6"/>
      <c r="P973" s="6"/>
      <c r="Q973" s="6"/>
      <c r="R973" s="6"/>
      <c r="S973" s="6"/>
      <c r="T973" s="6"/>
      <c r="U973" s="6"/>
      <c r="V973" s="6"/>
      <c r="W973" s="6"/>
      <c r="X973" s="6"/>
      <c r="Y973" s="6"/>
      <c r="Z973" s="6"/>
      <c r="AA973" s="6"/>
      <c r="AB973" s="6"/>
      <c r="AC973" s="6"/>
      <c r="AD973" s="6"/>
      <c r="AE973" s="6"/>
    </row>
    <row r="974" spans="1:31" ht="63.75" x14ac:dyDescent="0.2">
      <c r="A974" s="6" t="s">
        <v>5385</v>
      </c>
      <c r="B974" s="6" t="s">
        <v>5386</v>
      </c>
      <c r="C974" s="20" t="s">
        <v>5388</v>
      </c>
      <c r="D974" s="6" t="s">
        <v>5389</v>
      </c>
      <c r="E974" s="6"/>
      <c r="F974" s="6"/>
      <c r="G974" s="6"/>
      <c r="H974" s="6"/>
      <c r="I974" s="6" t="s">
        <v>26</v>
      </c>
      <c r="J974" s="6"/>
      <c r="K974" s="6"/>
      <c r="L974" s="6" t="s">
        <v>55</v>
      </c>
      <c r="M974" s="6" t="str">
        <f>VLOOKUP(L974, GLOSSARY!$A:$C, 2, FALSE)</f>
        <v>EGYPT ESTATE</v>
      </c>
      <c r="N974" s="6" t="s">
        <v>287</v>
      </c>
      <c r="O974" s="6"/>
      <c r="P974" s="6"/>
      <c r="Q974" s="6"/>
      <c r="R974" s="6"/>
      <c r="S974" s="6"/>
      <c r="T974" s="6"/>
      <c r="U974" s="6"/>
      <c r="V974" s="6"/>
      <c r="W974" s="6"/>
      <c r="X974" s="6"/>
      <c r="Y974" s="6"/>
      <c r="Z974" s="6"/>
      <c r="AA974" s="6"/>
      <c r="AB974" s="6"/>
      <c r="AC974" s="6"/>
      <c r="AD974" s="6"/>
      <c r="AE974" s="6"/>
    </row>
    <row r="975" spans="1:31" ht="63.75" x14ac:dyDescent="0.2">
      <c r="A975" s="6" t="s">
        <v>2132</v>
      </c>
      <c r="B975" s="6" t="s">
        <v>5390</v>
      </c>
      <c r="C975" s="20" t="s">
        <v>5391</v>
      </c>
      <c r="D975" s="6" t="s">
        <v>5392</v>
      </c>
      <c r="E975" s="6"/>
      <c r="F975" s="6" t="s">
        <v>5393</v>
      </c>
      <c r="G975" s="6" t="s">
        <v>5394</v>
      </c>
      <c r="H975" s="6" t="str">
        <f>CONCATENATE(F975,"(",G975,")")</f>
        <v>THE PLANTER
PHIBBAH(P44
P7)</v>
      </c>
      <c r="I975" s="6" t="s">
        <v>1678</v>
      </c>
      <c r="J975" s="6"/>
      <c r="K975" s="6"/>
      <c r="L975" s="6" t="s">
        <v>55</v>
      </c>
      <c r="M975" s="6" t="str">
        <f>VLOOKUP(L975, GLOSSARY!$A:$C, 2, FALSE)</f>
        <v>EGYPT ESTATE</v>
      </c>
      <c r="N975" s="6" t="s">
        <v>287</v>
      </c>
      <c r="O975" s="6"/>
      <c r="P975" s="6"/>
      <c r="Q975" s="6"/>
      <c r="R975" s="6"/>
      <c r="S975" s="6"/>
      <c r="T975" s="6"/>
      <c r="U975" s="6"/>
      <c r="V975" s="6"/>
      <c r="W975" s="6"/>
      <c r="X975" s="6"/>
      <c r="Y975" s="6"/>
      <c r="Z975" s="6"/>
      <c r="AA975" s="6"/>
      <c r="AB975" s="6"/>
      <c r="AC975" s="6"/>
      <c r="AD975" s="6"/>
      <c r="AE975" s="6"/>
    </row>
    <row r="976" spans="1:31" ht="89.25" x14ac:dyDescent="0.2">
      <c r="A976" s="6" t="s">
        <v>5385</v>
      </c>
      <c r="B976" s="6" t="s">
        <v>5386</v>
      </c>
      <c r="C976" s="20" t="s">
        <v>5391</v>
      </c>
      <c r="D976" s="6" t="s">
        <v>5395</v>
      </c>
      <c r="E976" s="6"/>
      <c r="F976" s="6"/>
      <c r="G976" s="6"/>
      <c r="H976" s="6"/>
      <c r="I976" s="6" t="s">
        <v>26</v>
      </c>
      <c r="J976" s="6"/>
      <c r="K976" s="6"/>
      <c r="L976" s="6" t="s">
        <v>55</v>
      </c>
      <c r="M976" s="6" t="str">
        <f>VLOOKUP(L976, GLOSSARY!$A:$C, 2, FALSE)</f>
        <v>EGYPT ESTATE</v>
      </c>
      <c r="N976" s="6" t="s">
        <v>287</v>
      </c>
      <c r="O976" s="6"/>
      <c r="P976" s="6"/>
      <c r="Q976" s="6"/>
      <c r="R976" s="6"/>
      <c r="S976" s="6"/>
      <c r="T976" s="6"/>
      <c r="U976" s="6"/>
      <c r="V976" s="6"/>
      <c r="W976" s="6"/>
      <c r="X976" s="6"/>
      <c r="Y976" s="6"/>
      <c r="Z976" s="6"/>
      <c r="AA976" s="6"/>
      <c r="AB976" s="6"/>
      <c r="AC976" s="6"/>
      <c r="AD976" s="6"/>
      <c r="AE976" s="6"/>
    </row>
    <row r="977" spans="1:31" ht="63.75" x14ac:dyDescent="0.2">
      <c r="A977" s="6" t="s">
        <v>5385</v>
      </c>
      <c r="B977" s="6" t="s">
        <v>5386</v>
      </c>
      <c r="C977" s="20" t="s">
        <v>5396</v>
      </c>
      <c r="D977" s="6" t="s">
        <v>5397</v>
      </c>
      <c r="E977" s="6"/>
      <c r="F977" s="6"/>
      <c r="G977" s="6"/>
      <c r="H977" s="6"/>
      <c r="I977" s="6" t="s">
        <v>26</v>
      </c>
      <c r="J977" s="6"/>
      <c r="K977" s="6"/>
      <c r="L977" s="6" t="s">
        <v>55</v>
      </c>
      <c r="M977" s="6" t="str">
        <f>VLOOKUP(L977, GLOSSARY!$A:$C, 2, FALSE)</f>
        <v>EGYPT ESTATE</v>
      </c>
      <c r="N977" s="6" t="s">
        <v>287</v>
      </c>
      <c r="O977" s="6"/>
      <c r="P977" s="6"/>
      <c r="Q977" s="6"/>
      <c r="R977" s="6"/>
      <c r="S977" s="6"/>
      <c r="T977" s="6"/>
      <c r="U977" s="6"/>
      <c r="V977" s="6"/>
      <c r="W977" s="6"/>
      <c r="X977" s="6"/>
      <c r="Y977" s="6"/>
      <c r="Z977" s="6"/>
      <c r="AA977" s="6"/>
      <c r="AB977" s="6"/>
      <c r="AC977" s="6"/>
      <c r="AD977" s="6"/>
      <c r="AE977" s="6"/>
    </row>
    <row r="978" spans="1:31" ht="229.5" x14ac:dyDescent="0.2">
      <c r="A978" s="6" t="s">
        <v>5398</v>
      </c>
      <c r="B978" s="6" t="s">
        <v>5399</v>
      </c>
      <c r="C978" s="20" t="s">
        <v>5400</v>
      </c>
      <c r="D978" s="6" t="s">
        <v>5401</v>
      </c>
      <c r="E978" s="6"/>
      <c r="F978" s="6" t="s">
        <v>5402</v>
      </c>
      <c r="G978" s="6" t="s">
        <v>5403</v>
      </c>
      <c r="H978" s="6" t="str">
        <f t="shared" ref="H978:H979" si="66">CONCATENATE(F978,"(",G978,")")</f>
        <v>BARNETT'S NANCY
COL. BARCLAY'S NEGROES
THE OVERSEER
JOHN CUNNINGHAM
DANIEL(P321
P322
P164
P42
P43)</v>
      </c>
      <c r="I978" s="6" t="s">
        <v>656</v>
      </c>
      <c r="J978" s="6"/>
      <c r="K978" s="6"/>
      <c r="L978" s="6" t="s">
        <v>2976</v>
      </c>
      <c r="M978" s="6" t="str">
        <f>VLOOKUP(L978, GLOSSARY!$A:$C, 2, FALSE)</f>
        <v>SALT RIVER DUNGEON</v>
      </c>
      <c r="N978" s="6" t="s">
        <v>68</v>
      </c>
      <c r="O978" s="6"/>
      <c r="P978" s="6"/>
      <c r="Q978" s="6"/>
      <c r="R978" s="6"/>
      <c r="S978" s="6"/>
      <c r="T978" s="6"/>
      <c r="U978" s="6"/>
      <c r="V978" s="6"/>
      <c r="W978" s="6"/>
      <c r="X978" s="6"/>
      <c r="Y978" s="6"/>
      <c r="Z978" s="6"/>
      <c r="AA978" s="6"/>
      <c r="AB978" s="6"/>
      <c r="AC978" s="6"/>
      <c r="AD978" s="6"/>
      <c r="AE978" s="6"/>
    </row>
    <row r="979" spans="1:31" ht="267.75" x14ac:dyDescent="0.2">
      <c r="A979" s="6" t="s">
        <v>4806</v>
      </c>
      <c r="B979" s="6" t="s">
        <v>5404</v>
      </c>
      <c r="C979" s="20" t="s">
        <v>5400</v>
      </c>
      <c r="D979" s="6" t="s">
        <v>5405</v>
      </c>
      <c r="E979" s="6"/>
      <c r="F979" s="6" t="s">
        <v>779</v>
      </c>
      <c r="G979" s="6" t="s">
        <v>780</v>
      </c>
      <c r="H979" s="6" t="str">
        <f t="shared" si="66"/>
        <v>EGYPT FIELDHANDS(P315)</v>
      </c>
      <c r="I979" s="6" t="s">
        <v>784</v>
      </c>
      <c r="J979" s="6"/>
      <c r="K979" s="6"/>
      <c r="L979" s="6" t="s">
        <v>2855</v>
      </c>
      <c r="M979" s="6" t="str">
        <f>VLOOKUP(L979, GLOSSARY!$A:$C, 2, FALSE)</f>
        <v>EGYPT CALABASH TREE PIECE</v>
      </c>
      <c r="N979" s="6" t="s">
        <v>287</v>
      </c>
      <c r="O979" s="6"/>
      <c r="P979" s="6"/>
      <c r="Q979" s="6"/>
      <c r="R979" s="6"/>
      <c r="S979" s="6"/>
      <c r="T979" s="6"/>
      <c r="U979" s="6"/>
      <c r="V979" s="6"/>
      <c r="W979" s="6"/>
      <c r="X979" s="6"/>
      <c r="Y979" s="6"/>
      <c r="Z979" s="6"/>
      <c r="AA979" s="6"/>
      <c r="AB979" s="6"/>
      <c r="AC979" s="6"/>
      <c r="AD979" s="6"/>
      <c r="AE979" s="6"/>
    </row>
    <row r="980" spans="1:31" ht="76.5" x14ac:dyDescent="0.2">
      <c r="A980" s="6" t="s">
        <v>5385</v>
      </c>
      <c r="B980" s="6" t="s">
        <v>5386</v>
      </c>
      <c r="C980" s="20" t="s">
        <v>5400</v>
      </c>
      <c r="D980" s="6" t="s">
        <v>5406</v>
      </c>
      <c r="E980" s="6"/>
      <c r="F980" s="6"/>
      <c r="G980" s="6"/>
      <c r="H980" s="6"/>
      <c r="I980" s="6" t="s">
        <v>26</v>
      </c>
      <c r="J980" s="6"/>
      <c r="K980" s="6"/>
      <c r="L980" s="6" t="s">
        <v>55</v>
      </c>
      <c r="M980" s="6" t="str">
        <f>VLOOKUP(L980, GLOSSARY!$A:$C, 2, FALSE)</f>
        <v>EGYPT ESTATE</v>
      </c>
      <c r="N980" s="6" t="s">
        <v>287</v>
      </c>
      <c r="O980" s="6"/>
      <c r="P980" s="6"/>
      <c r="Q980" s="6"/>
      <c r="R980" s="6"/>
      <c r="S980" s="6"/>
      <c r="T980" s="6"/>
      <c r="U980" s="6"/>
      <c r="V980" s="6"/>
      <c r="W980" s="6"/>
      <c r="X980" s="6"/>
      <c r="Y980" s="6"/>
      <c r="Z980" s="6"/>
      <c r="AA980" s="6"/>
      <c r="AB980" s="6"/>
      <c r="AC980" s="6"/>
      <c r="AD980" s="6"/>
      <c r="AE980" s="6"/>
    </row>
    <row r="981" spans="1:31" ht="63.75" x14ac:dyDescent="0.2">
      <c r="A981" s="6" t="s">
        <v>5385</v>
      </c>
      <c r="B981" s="6" t="s">
        <v>5386</v>
      </c>
      <c r="C981" s="20" t="s">
        <v>5407</v>
      </c>
      <c r="D981" s="6" t="s">
        <v>5408</v>
      </c>
      <c r="E981" s="6"/>
      <c r="F981" s="6"/>
      <c r="G981" s="6"/>
      <c r="H981" s="6"/>
      <c r="I981" s="6" t="s">
        <v>26</v>
      </c>
      <c r="J981" s="6"/>
      <c r="K981" s="6"/>
      <c r="L981" s="6" t="s">
        <v>55</v>
      </c>
      <c r="M981" s="6" t="str">
        <f>VLOOKUP(L981, GLOSSARY!$A:$C, 2, FALSE)</f>
        <v>EGYPT ESTATE</v>
      </c>
      <c r="N981" s="6" t="s">
        <v>287</v>
      </c>
      <c r="O981" s="6"/>
      <c r="P981" s="6"/>
      <c r="Q981" s="6"/>
      <c r="R981" s="6"/>
      <c r="S981" s="6"/>
      <c r="T981" s="6"/>
      <c r="U981" s="6"/>
      <c r="V981" s="6"/>
      <c r="W981" s="6"/>
      <c r="X981" s="6"/>
      <c r="Y981" s="6"/>
      <c r="Z981" s="6"/>
      <c r="AA981" s="6"/>
      <c r="AB981" s="6"/>
      <c r="AC981" s="6"/>
      <c r="AD981" s="6"/>
      <c r="AE981" s="6"/>
    </row>
    <row r="982" spans="1:31" ht="165.75" x14ac:dyDescent="0.2">
      <c r="A982" s="6" t="s">
        <v>4806</v>
      </c>
      <c r="B982" s="6" t="s">
        <v>5409</v>
      </c>
      <c r="C982" s="20" t="s">
        <v>5410</v>
      </c>
      <c r="D982" s="6" t="s">
        <v>5411</v>
      </c>
      <c r="E982" s="6"/>
      <c r="F982" s="6" t="s">
        <v>779</v>
      </c>
      <c r="G982" s="6" t="s">
        <v>780</v>
      </c>
      <c r="H982" s="6" t="str">
        <f>CONCATENATE(F982,"(",G982,")")</f>
        <v>EGYPT FIELDHANDS(P315)</v>
      </c>
      <c r="I982" s="6" t="s">
        <v>784</v>
      </c>
      <c r="J982" s="6"/>
      <c r="K982" s="6"/>
      <c r="L982" s="6" t="s">
        <v>5412</v>
      </c>
      <c r="M982" s="6" t="s">
        <v>5413</v>
      </c>
      <c r="N982" s="6" t="s">
        <v>287</v>
      </c>
      <c r="O982" s="6"/>
      <c r="P982" s="6"/>
      <c r="Q982" s="6"/>
      <c r="R982" s="6"/>
      <c r="S982" s="6"/>
      <c r="T982" s="6"/>
      <c r="U982" s="6"/>
      <c r="V982" s="6"/>
      <c r="W982" s="6"/>
      <c r="X982" s="6"/>
      <c r="Y982" s="6"/>
      <c r="Z982" s="6"/>
      <c r="AA982" s="6"/>
      <c r="AB982" s="6"/>
      <c r="AC982" s="6"/>
      <c r="AD982" s="6"/>
      <c r="AE982" s="6"/>
    </row>
    <row r="983" spans="1:31" ht="127.5" x14ac:dyDescent="0.2">
      <c r="A983" s="6" t="s">
        <v>5385</v>
      </c>
      <c r="B983" s="6" t="s">
        <v>5386</v>
      </c>
      <c r="C983" s="20" t="s">
        <v>5410</v>
      </c>
      <c r="D983" s="6" t="s">
        <v>5414</v>
      </c>
      <c r="E983" s="6"/>
      <c r="F983" s="6"/>
      <c r="G983" s="6"/>
      <c r="H983" s="6"/>
      <c r="I983" s="6" t="s">
        <v>26</v>
      </c>
      <c r="J983" s="6"/>
      <c r="K983" s="6"/>
      <c r="L983" s="6" t="s">
        <v>55</v>
      </c>
      <c r="M983" s="6" t="str">
        <f>VLOOKUP(L983, GLOSSARY!$A:$C, 2, FALSE)</f>
        <v>EGYPT ESTATE</v>
      </c>
      <c r="N983" s="6" t="s">
        <v>287</v>
      </c>
      <c r="O983" s="6"/>
      <c r="P983" s="6"/>
      <c r="Q983" s="6"/>
      <c r="R983" s="6"/>
      <c r="S983" s="6"/>
      <c r="T983" s="6"/>
      <c r="U983" s="6"/>
      <c r="V983" s="6"/>
      <c r="W983" s="6"/>
      <c r="X983" s="6"/>
      <c r="Y983" s="6"/>
      <c r="Z983" s="6"/>
      <c r="AA983" s="6"/>
      <c r="AB983" s="6"/>
      <c r="AC983" s="6"/>
      <c r="AD983" s="6"/>
      <c r="AE983" s="6"/>
    </row>
    <row r="984" spans="1:31" ht="140.25" x14ac:dyDescent="0.2">
      <c r="A984" s="6" t="s">
        <v>5385</v>
      </c>
      <c r="B984" s="6" t="s">
        <v>5415</v>
      </c>
      <c r="C984" s="20" t="s">
        <v>5416</v>
      </c>
      <c r="D984" s="6" t="s">
        <v>5417</v>
      </c>
      <c r="E984" s="6"/>
      <c r="F984" s="6"/>
      <c r="G984" s="6"/>
      <c r="H984" s="6"/>
      <c r="I984" s="6" t="s">
        <v>26</v>
      </c>
      <c r="J984" s="6"/>
      <c r="K984" s="6"/>
      <c r="L984" s="6" t="s">
        <v>55</v>
      </c>
      <c r="M984" s="6" t="str">
        <f>VLOOKUP(L984, GLOSSARY!$A:$C, 2, FALSE)</f>
        <v>EGYPT ESTATE</v>
      </c>
      <c r="N984" s="6" t="s">
        <v>287</v>
      </c>
      <c r="O984" s="6"/>
      <c r="P984" s="6"/>
      <c r="Q984" s="6"/>
      <c r="R984" s="6"/>
      <c r="S984" s="6"/>
      <c r="T984" s="6"/>
      <c r="U984" s="6"/>
      <c r="V984" s="6"/>
      <c r="W984" s="6"/>
      <c r="X984" s="6"/>
      <c r="Y984" s="6"/>
      <c r="Z984" s="6"/>
      <c r="AA984" s="6"/>
      <c r="AB984" s="6"/>
      <c r="AC984" s="6"/>
      <c r="AD984" s="6"/>
      <c r="AE984" s="6"/>
    </row>
    <row r="985" spans="1:31" ht="51" x14ac:dyDescent="0.2">
      <c r="A985" s="6" t="s">
        <v>5385</v>
      </c>
      <c r="B985" s="6" t="s">
        <v>5415</v>
      </c>
      <c r="C985" s="20" t="s">
        <v>5418</v>
      </c>
      <c r="D985" s="6" t="s">
        <v>5419</v>
      </c>
      <c r="E985" s="6"/>
      <c r="F985" s="6"/>
      <c r="G985" s="6"/>
      <c r="H985" s="6"/>
      <c r="I985" s="6" t="s">
        <v>26</v>
      </c>
      <c r="J985" s="6"/>
      <c r="K985" s="6"/>
      <c r="L985" s="6" t="s">
        <v>55</v>
      </c>
      <c r="M985" s="6" t="str">
        <f>VLOOKUP(L985, GLOSSARY!$A:$C, 2, FALSE)</f>
        <v>EGYPT ESTATE</v>
      </c>
      <c r="N985" s="6" t="s">
        <v>287</v>
      </c>
      <c r="O985" s="6"/>
      <c r="P985" s="6"/>
      <c r="Q985" s="6"/>
      <c r="R985" s="6"/>
      <c r="S985" s="6"/>
      <c r="T985" s="6"/>
      <c r="U985" s="6"/>
      <c r="V985" s="6"/>
      <c r="W985" s="6"/>
      <c r="X985" s="6"/>
      <c r="Y985" s="6"/>
      <c r="Z985" s="6"/>
      <c r="AA985" s="6"/>
      <c r="AB985" s="6"/>
      <c r="AC985" s="6"/>
      <c r="AD985" s="6"/>
      <c r="AE985" s="6"/>
    </row>
    <row r="986" spans="1:31" ht="63.75" x14ac:dyDescent="0.2">
      <c r="A986" s="6" t="s">
        <v>5233</v>
      </c>
      <c r="B986" s="6" t="s">
        <v>5420</v>
      </c>
      <c r="C986" s="20" t="s">
        <v>5421</v>
      </c>
      <c r="D986" s="6" t="s">
        <v>5422</v>
      </c>
      <c r="E986" s="6"/>
      <c r="F986" s="6" t="s">
        <v>5423</v>
      </c>
      <c r="G986" s="6" t="s">
        <v>5424</v>
      </c>
      <c r="H986" s="6" t="str">
        <f>CONCATENATE(F986,"(",G986,")")</f>
        <v>CYRUS
LITTLE DICK(P210
P171)</v>
      </c>
      <c r="I986" s="6" t="s">
        <v>2834</v>
      </c>
      <c r="J986" s="6"/>
      <c r="K986" s="6"/>
      <c r="L986" s="6" t="s">
        <v>55</v>
      </c>
      <c r="M986" s="6" t="str">
        <f>VLOOKUP(L986, GLOSSARY!$A:$C, 2, FALSE)</f>
        <v>EGYPT ESTATE</v>
      </c>
      <c r="N986" s="6" t="s">
        <v>167</v>
      </c>
      <c r="O986" s="6"/>
      <c r="P986" s="6"/>
      <c r="Q986" s="6"/>
      <c r="R986" s="6"/>
      <c r="S986" s="6"/>
      <c r="T986" s="6"/>
      <c r="U986" s="6"/>
      <c r="V986" s="6"/>
      <c r="W986" s="6"/>
      <c r="X986" s="6"/>
      <c r="Y986" s="6"/>
      <c r="Z986" s="6"/>
      <c r="AA986" s="6"/>
      <c r="AB986" s="6"/>
      <c r="AC986" s="6"/>
      <c r="AD986" s="6"/>
      <c r="AE986" s="6"/>
    </row>
    <row r="987" spans="1:31" ht="25.5" x14ac:dyDescent="0.2">
      <c r="A987" s="6" t="s">
        <v>5385</v>
      </c>
      <c r="B987" s="6" t="s">
        <v>5415</v>
      </c>
      <c r="C987" s="20" t="s">
        <v>5421</v>
      </c>
      <c r="D987" s="6" t="s">
        <v>5425</v>
      </c>
      <c r="E987" s="6"/>
      <c r="F987" s="6"/>
      <c r="G987" s="6"/>
      <c r="H987" s="6"/>
      <c r="I987" s="6" t="s">
        <v>26</v>
      </c>
      <c r="J987" s="6"/>
      <c r="K987" s="6"/>
      <c r="L987" s="6" t="s">
        <v>55</v>
      </c>
      <c r="M987" s="6" t="str">
        <f>VLOOKUP(L987, GLOSSARY!$A:$C, 2, FALSE)</f>
        <v>EGYPT ESTATE</v>
      </c>
      <c r="N987" s="6" t="s">
        <v>287</v>
      </c>
      <c r="O987" s="6"/>
      <c r="P987" s="6"/>
      <c r="Q987" s="6"/>
      <c r="R987" s="6"/>
      <c r="S987" s="6"/>
      <c r="T987" s="6"/>
      <c r="U987" s="6"/>
      <c r="V987" s="6"/>
      <c r="W987" s="6"/>
      <c r="X987" s="6"/>
      <c r="Y987" s="6"/>
      <c r="Z987" s="6"/>
      <c r="AA987" s="6"/>
      <c r="AB987" s="6"/>
      <c r="AC987" s="6"/>
      <c r="AD987" s="6"/>
      <c r="AE987" s="6"/>
    </row>
    <row r="988" spans="1:31" ht="63.75" x14ac:dyDescent="0.2">
      <c r="A988" s="6" t="s">
        <v>5426</v>
      </c>
      <c r="B988" s="6" t="s">
        <v>5427</v>
      </c>
      <c r="C988" s="20" t="s">
        <v>5428</v>
      </c>
      <c r="D988" s="6" t="s">
        <v>5429</v>
      </c>
      <c r="E988" s="6"/>
      <c r="F988" s="6" t="s">
        <v>5430</v>
      </c>
      <c r="G988" s="6" t="s">
        <v>5431</v>
      </c>
      <c r="H988" s="6" t="str">
        <f>CONCATENATE(F988,"(",G988,")")</f>
        <v>ELLIN
ELLIN'S CHILD(P33
P172)</v>
      </c>
      <c r="I988" s="6" t="s">
        <v>96</v>
      </c>
      <c r="J988" s="6"/>
      <c r="K988" s="6"/>
      <c r="L988" s="6" t="s">
        <v>914</v>
      </c>
      <c r="M988" s="6" t="str">
        <f>VLOOKUP(L988, GLOSSARY!$A:$C, 2, FALSE)</f>
        <v>EGYPT ESTATE NEGROE HOUSES</v>
      </c>
      <c r="N988" s="6" t="s">
        <v>68</v>
      </c>
      <c r="O988" s="6"/>
      <c r="P988" s="6"/>
      <c r="Q988" s="6"/>
      <c r="R988" s="6"/>
      <c r="S988" s="6"/>
      <c r="T988" s="6"/>
      <c r="U988" s="6"/>
      <c r="V988" s="6"/>
      <c r="W988" s="6"/>
      <c r="X988" s="6"/>
      <c r="Y988" s="6"/>
      <c r="Z988" s="6"/>
      <c r="AA988" s="6"/>
      <c r="AB988" s="6"/>
      <c r="AC988" s="6"/>
      <c r="AD988" s="6"/>
      <c r="AE988" s="6"/>
    </row>
    <row r="989" spans="1:31" ht="25.5" x14ac:dyDescent="0.2">
      <c r="A989" s="6" t="s">
        <v>5385</v>
      </c>
      <c r="B989" s="6" t="s">
        <v>5415</v>
      </c>
      <c r="C989" s="20" t="s">
        <v>5428</v>
      </c>
      <c r="D989" s="6" t="s">
        <v>5432</v>
      </c>
      <c r="E989" s="6"/>
      <c r="F989" s="6"/>
      <c r="G989" s="6"/>
      <c r="H989" s="6"/>
      <c r="I989" s="6" t="s">
        <v>26</v>
      </c>
      <c r="J989" s="6"/>
      <c r="K989" s="6"/>
      <c r="L989" s="6" t="s">
        <v>55</v>
      </c>
      <c r="M989" s="6" t="str">
        <f>VLOOKUP(L989, GLOSSARY!$A:$C, 2, FALSE)</f>
        <v>EGYPT ESTATE</v>
      </c>
      <c r="N989" s="6" t="s">
        <v>287</v>
      </c>
      <c r="O989" s="6"/>
      <c r="P989" s="6"/>
      <c r="Q989" s="6"/>
      <c r="R989" s="6"/>
      <c r="S989" s="6"/>
      <c r="T989" s="6"/>
      <c r="U989" s="6"/>
      <c r="V989" s="6"/>
      <c r="W989" s="6"/>
      <c r="X989" s="6"/>
      <c r="Y989" s="6"/>
      <c r="Z989" s="6"/>
      <c r="AA989" s="6"/>
      <c r="AB989" s="6"/>
      <c r="AC989" s="6"/>
      <c r="AD989" s="6"/>
      <c r="AE989" s="6"/>
    </row>
    <row r="990" spans="1:31" ht="38.25" x14ac:dyDescent="0.2">
      <c r="A990" s="6" t="s">
        <v>5426</v>
      </c>
      <c r="B990" s="6" t="s">
        <v>5427</v>
      </c>
      <c r="C990" s="20" t="s">
        <v>5433</v>
      </c>
      <c r="D990" s="6" t="s">
        <v>5434</v>
      </c>
      <c r="E990" s="6"/>
      <c r="F990" s="6" t="s">
        <v>324</v>
      </c>
      <c r="G990" s="6" t="s">
        <v>322</v>
      </c>
      <c r="H990" s="6" t="str">
        <f t="shared" ref="H990:H992" si="67">CONCATENATE(F990,"(",G990,")")</f>
        <v>ELLIN(P33)</v>
      </c>
      <c r="I990" s="6" t="s">
        <v>96</v>
      </c>
      <c r="J990" s="6"/>
      <c r="K990" s="6"/>
      <c r="L990" s="6" t="s">
        <v>55</v>
      </c>
      <c r="M990" s="6" t="str">
        <f>VLOOKUP(L990, GLOSSARY!$A:$C, 2, FALSE)</f>
        <v>EGYPT ESTATE</v>
      </c>
      <c r="N990" s="6" t="s">
        <v>68</v>
      </c>
      <c r="O990" s="6"/>
      <c r="P990" s="6"/>
      <c r="Q990" s="6"/>
      <c r="R990" s="6"/>
      <c r="S990" s="6"/>
      <c r="T990" s="6"/>
      <c r="U990" s="6"/>
      <c r="V990" s="6"/>
      <c r="W990" s="6"/>
      <c r="X990" s="6"/>
      <c r="Y990" s="6"/>
      <c r="Z990" s="6"/>
      <c r="AA990" s="6"/>
      <c r="AB990" s="6"/>
      <c r="AC990" s="6"/>
      <c r="AD990" s="6"/>
      <c r="AE990" s="6"/>
    </row>
    <row r="991" spans="1:31" ht="12.75" x14ac:dyDescent="0.2">
      <c r="A991" s="6" t="s">
        <v>5426</v>
      </c>
      <c r="B991" s="6" t="s">
        <v>5435</v>
      </c>
      <c r="C991" s="20" t="s">
        <v>5436</v>
      </c>
      <c r="D991" s="6" t="s">
        <v>5437</v>
      </c>
      <c r="E991" s="6"/>
      <c r="F991" s="6" t="s">
        <v>1405</v>
      </c>
      <c r="G991" s="6" t="s">
        <v>1404</v>
      </c>
      <c r="H991" s="6" t="str">
        <f t="shared" si="67"/>
        <v>DR. GORSE(P228)</v>
      </c>
      <c r="I991" s="6" t="s">
        <v>96</v>
      </c>
      <c r="J991" s="6"/>
      <c r="K991" s="6"/>
      <c r="L991" s="6" t="s">
        <v>55</v>
      </c>
      <c r="M991" s="6" t="str">
        <f>VLOOKUP(L991, GLOSSARY!$A:$C, 2, FALSE)</f>
        <v>EGYPT ESTATE</v>
      </c>
      <c r="N991" s="6" t="s">
        <v>68</v>
      </c>
      <c r="O991" s="6"/>
      <c r="P991" s="6"/>
      <c r="Q991" s="6"/>
      <c r="R991" s="6"/>
      <c r="S991" s="6"/>
      <c r="T991" s="6"/>
      <c r="U991" s="6"/>
      <c r="V991" s="6"/>
      <c r="W991" s="6"/>
      <c r="X991" s="6"/>
      <c r="Y991" s="6"/>
      <c r="Z991" s="6"/>
      <c r="AA991" s="6"/>
      <c r="AB991" s="6"/>
      <c r="AC991" s="6"/>
      <c r="AD991" s="6"/>
      <c r="AE991" s="6"/>
    </row>
    <row r="992" spans="1:31" ht="127.5" x14ac:dyDescent="0.2">
      <c r="A992" s="6" t="s">
        <v>4806</v>
      </c>
      <c r="B992" s="6" t="s">
        <v>5438</v>
      </c>
      <c r="C992" s="20" t="s">
        <v>5439</v>
      </c>
      <c r="D992" s="6" t="s">
        <v>5440</v>
      </c>
      <c r="E992" s="6"/>
      <c r="F992" s="6" t="s">
        <v>5441</v>
      </c>
      <c r="G992" s="6" t="s">
        <v>5442</v>
      </c>
      <c r="H992" s="6" t="str">
        <f t="shared" si="67"/>
        <v>EGYPT FIELDHANDS
LITTLE QUASHE [DRIVER]
AMBO(P170
P315
P359)</v>
      </c>
      <c r="I992" s="6" t="s">
        <v>784</v>
      </c>
      <c r="J992" s="6"/>
      <c r="K992" s="6"/>
      <c r="L992" s="6" t="s">
        <v>5443</v>
      </c>
      <c r="M992" s="6" t="s">
        <v>5444</v>
      </c>
      <c r="N992" s="6" t="s">
        <v>287</v>
      </c>
      <c r="O992" s="6"/>
      <c r="P992" s="6"/>
      <c r="Q992" s="6"/>
      <c r="R992" s="6"/>
      <c r="S992" s="6"/>
      <c r="T992" s="6"/>
      <c r="U992" s="6"/>
      <c r="V992" s="6"/>
      <c r="W992" s="6"/>
      <c r="X992" s="6"/>
      <c r="Y992" s="6"/>
      <c r="Z992" s="6"/>
      <c r="AA992" s="6"/>
      <c r="AB992" s="6"/>
      <c r="AC992" s="6"/>
      <c r="AD992" s="6"/>
      <c r="AE992" s="6"/>
    </row>
    <row r="993" spans="1:31" ht="344.25" x14ac:dyDescent="0.2">
      <c r="A993" s="6" t="s">
        <v>5445</v>
      </c>
      <c r="B993" s="6" t="s">
        <v>5446</v>
      </c>
      <c r="C993" s="20" t="s">
        <v>5447</v>
      </c>
      <c r="D993" s="6" t="s">
        <v>5448</v>
      </c>
      <c r="E993" s="6"/>
      <c r="F993" s="6"/>
      <c r="G993" s="6"/>
      <c r="H993" s="6" t="str">
        <f t="shared" ref="H993:H994" si="68">CONCATENATE(F993," (",G993,")")</f>
        <v xml:space="preserve"> ()</v>
      </c>
      <c r="I993" s="6" t="s">
        <v>1047</v>
      </c>
      <c r="J993" s="6"/>
      <c r="K993" s="6"/>
      <c r="L993" s="6" t="s">
        <v>785</v>
      </c>
      <c r="M993" s="6" t="str">
        <f>VLOOKUP(L993, GLOSSARY!$A:$C, 2, FALSE)</f>
        <v>EGYPT ESTATE</v>
      </c>
      <c r="N993" s="6"/>
      <c r="O993" s="6"/>
      <c r="P993" s="6"/>
      <c r="Q993" s="6"/>
      <c r="R993" s="6"/>
      <c r="S993" s="6"/>
      <c r="T993" s="6"/>
      <c r="U993" s="6"/>
      <c r="V993" s="6"/>
      <c r="W993" s="6"/>
      <c r="X993" s="6"/>
      <c r="Y993" s="6"/>
      <c r="Z993" s="6"/>
      <c r="AA993" s="6"/>
      <c r="AB993" s="6"/>
      <c r="AC993" s="6"/>
      <c r="AD993" s="6"/>
      <c r="AE993" s="6"/>
    </row>
    <row r="994" spans="1:31" ht="76.5" x14ac:dyDescent="0.2">
      <c r="A994" s="6" t="s">
        <v>5426</v>
      </c>
      <c r="B994" s="6" t="s">
        <v>5449</v>
      </c>
      <c r="C994" s="20" t="s">
        <v>5450</v>
      </c>
      <c r="D994" s="6" t="s">
        <v>5451</v>
      </c>
      <c r="E994" s="6"/>
      <c r="F994" s="6" t="s">
        <v>5452</v>
      </c>
      <c r="G994" s="6" t="s">
        <v>5453</v>
      </c>
      <c r="H994" s="6" t="str">
        <f t="shared" si="68"/>
        <v>ELLIN
ELLIN'S CHILD (P33
P172)</v>
      </c>
      <c r="I994" s="6" t="s">
        <v>1068</v>
      </c>
      <c r="J994" s="6"/>
      <c r="K994" s="6"/>
      <c r="L994" s="6" t="s">
        <v>55</v>
      </c>
      <c r="M994" s="6" t="str">
        <f>VLOOKUP(L994, GLOSSARY!$A:$C, 2, FALSE)</f>
        <v>EGYPT ESTATE</v>
      </c>
      <c r="N994" s="6" t="s">
        <v>68</v>
      </c>
      <c r="O994" s="6"/>
      <c r="P994" s="6"/>
      <c r="Q994" s="6"/>
      <c r="R994" s="6"/>
      <c r="S994" s="6"/>
      <c r="T994" s="6"/>
      <c r="U994" s="6"/>
      <c r="V994" s="6"/>
      <c r="W994" s="6"/>
      <c r="X994" s="6"/>
      <c r="Y994" s="6"/>
      <c r="Z994" s="6"/>
      <c r="AA994" s="6"/>
      <c r="AB994" s="6"/>
      <c r="AC994" s="6"/>
      <c r="AD994" s="6"/>
      <c r="AE994" s="6"/>
    </row>
    <row r="995" spans="1:31" ht="114.75" x14ac:dyDescent="0.2">
      <c r="A995" s="6" t="s">
        <v>5155</v>
      </c>
      <c r="B995" s="6" t="s">
        <v>5449</v>
      </c>
      <c r="C995" s="20" t="s">
        <v>5450</v>
      </c>
      <c r="D995" s="6" t="s">
        <v>5454</v>
      </c>
      <c r="E995" s="6"/>
      <c r="F995" s="6" t="s">
        <v>5455</v>
      </c>
      <c r="G995" s="6" t="s">
        <v>5456</v>
      </c>
      <c r="H995" s="6" t="str">
        <f t="shared" ref="H995:H1002" si="69">CONCATENATE(F995,"(",G995,")")</f>
        <v>THE OVERSEER
ABIGAIL
MRS. WHEATLEY(P43
P118
P323)</v>
      </c>
      <c r="I995" s="6" t="s">
        <v>784</v>
      </c>
      <c r="J995" s="6"/>
      <c r="K995" s="6"/>
      <c r="L995" s="6" t="s">
        <v>55</v>
      </c>
      <c r="M995" s="6" t="str">
        <f>VLOOKUP(L995, GLOSSARY!$A:$C, 2, FALSE)</f>
        <v>EGYPT ESTATE</v>
      </c>
      <c r="N995" s="6" t="s">
        <v>68</v>
      </c>
      <c r="O995" s="6"/>
      <c r="P995" s="6"/>
      <c r="Q995" s="6"/>
      <c r="R995" s="6"/>
      <c r="S995" s="6"/>
      <c r="T995" s="6"/>
      <c r="U995" s="6"/>
      <c r="V995" s="6"/>
      <c r="W995" s="6"/>
      <c r="X995" s="6"/>
      <c r="Y995" s="6"/>
      <c r="Z995" s="6"/>
      <c r="AA995" s="6"/>
      <c r="AB995" s="6"/>
      <c r="AC995" s="6"/>
      <c r="AD995" s="6"/>
      <c r="AE995" s="6"/>
    </row>
    <row r="996" spans="1:31" ht="102" x14ac:dyDescent="0.2">
      <c r="A996" s="6" t="s">
        <v>4806</v>
      </c>
      <c r="B996" s="6" t="s">
        <v>5457</v>
      </c>
      <c r="C996" s="20" t="s">
        <v>5458</v>
      </c>
      <c r="D996" s="6" t="s">
        <v>5459</v>
      </c>
      <c r="E996" s="6"/>
      <c r="F996" s="6" t="s">
        <v>5271</v>
      </c>
      <c r="G996" s="6" t="s">
        <v>5242</v>
      </c>
      <c r="H996" s="6" t="str">
        <f t="shared" si="69"/>
        <v>EGYPT FIELDHANDS
LITTLE QUASHE [DRIVER](P315
P359)</v>
      </c>
      <c r="I996" s="6" t="s">
        <v>784</v>
      </c>
      <c r="J996" s="6"/>
      <c r="K996" s="6"/>
      <c r="L996" s="6" t="s">
        <v>5460</v>
      </c>
      <c r="M996" s="6" t="s">
        <v>5461</v>
      </c>
      <c r="N996" s="6" t="s">
        <v>287</v>
      </c>
      <c r="O996" s="6"/>
      <c r="P996" s="6"/>
      <c r="Q996" s="6"/>
      <c r="R996" s="6"/>
      <c r="S996" s="6"/>
      <c r="T996" s="6"/>
      <c r="U996" s="6"/>
      <c r="V996" s="6"/>
      <c r="W996" s="6"/>
      <c r="X996" s="6"/>
      <c r="Y996" s="6"/>
      <c r="Z996" s="6"/>
      <c r="AA996" s="6"/>
      <c r="AB996" s="6"/>
      <c r="AC996" s="6"/>
      <c r="AD996" s="6"/>
      <c r="AE996" s="6"/>
    </row>
    <row r="997" spans="1:31" ht="165.75" x14ac:dyDescent="0.2">
      <c r="A997" s="6" t="s">
        <v>5462</v>
      </c>
      <c r="B997" s="6" t="s">
        <v>5457</v>
      </c>
      <c r="C997" s="20" t="s">
        <v>5458</v>
      </c>
      <c r="D997" s="6" t="s">
        <v>5463</v>
      </c>
      <c r="E997" s="6"/>
      <c r="F997" s="6" t="s">
        <v>5464</v>
      </c>
      <c r="G997" s="6" t="s">
        <v>5465</v>
      </c>
      <c r="H997" s="6" t="str">
        <f t="shared" si="69"/>
        <v>LEWIE
THE OVERSEER 
ROBERT LAWRENCE
AMBO(P357
P43
P327
P170)</v>
      </c>
      <c r="I997" s="6" t="s">
        <v>112</v>
      </c>
      <c r="J997" s="6"/>
      <c r="K997" s="6"/>
      <c r="L997" s="6" t="s">
        <v>55</v>
      </c>
      <c r="M997" s="6" t="str">
        <f>VLOOKUP(L997, GLOSSARY!$A:$C, 2, FALSE)</f>
        <v>EGYPT ESTATE</v>
      </c>
      <c r="N997" s="6" t="s">
        <v>167</v>
      </c>
      <c r="O997" s="6"/>
      <c r="P997" s="6"/>
      <c r="Q997" s="6"/>
      <c r="R997" s="6"/>
      <c r="S997" s="6"/>
      <c r="T997" s="6"/>
      <c r="U997" s="6"/>
      <c r="V997" s="6"/>
      <c r="W997" s="6"/>
      <c r="X997" s="6"/>
      <c r="Y997" s="6"/>
      <c r="Z997" s="6"/>
      <c r="AA997" s="6"/>
      <c r="AB997" s="6"/>
      <c r="AC997" s="6"/>
      <c r="AD997" s="6"/>
      <c r="AE997" s="6"/>
    </row>
    <row r="998" spans="1:31" ht="63.75" x14ac:dyDescent="0.2">
      <c r="A998" s="6" t="s">
        <v>4806</v>
      </c>
      <c r="B998" s="6" t="s">
        <v>5457</v>
      </c>
      <c r="C998" s="20" t="s">
        <v>5466</v>
      </c>
      <c r="D998" s="6" t="s">
        <v>5467</v>
      </c>
      <c r="E998" s="6"/>
      <c r="F998" s="6" t="s">
        <v>5468</v>
      </c>
      <c r="G998" s="6" t="s">
        <v>5469</v>
      </c>
      <c r="H998" s="6" t="str">
        <f t="shared" si="69"/>
        <v>EGYPT FIELDHANDS
AGNES(P315
P124)</v>
      </c>
      <c r="I998" s="6" t="s">
        <v>784</v>
      </c>
      <c r="J998" s="6"/>
      <c r="K998" s="6"/>
      <c r="L998" s="6" t="s">
        <v>55</v>
      </c>
      <c r="M998" s="6" t="str">
        <f>VLOOKUP(L998, GLOSSARY!$A:$C, 2, FALSE)</f>
        <v>EGYPT ESTATE</v>
      </c>
      <c r="N998" s="6" t="s">
        <v>68</v>
      </c>
      <c r="O998" s="6"/>
      <c r="P998" s="6"/>
      <c r="Q998" s="6"/>
      <c r="R998" s="6"/>
      <c r="S998" s="6"/>
      <c r="T998" s="6"/>
      <c r="U998" s="6"/>
      <c r="V998" s="6"/>
      <c r="W998" s="6"/>
      <c r="X998" s="6"/>
      <c r="Y998" s="6"/>
      <c r="Z998" s="6"/>
      <c r="AA998" s="6"/>
      <c r="AB998" s="6"/>
      <c r="AC998" s="6"/>
      <c r="AD998" s="6"/>
      <c r="AE998" s="6"/>
    </row>
    <row r="999" spans="1:31" ht="63.75" x14ac:dyDescent="0.2">
      <c r="A999" s="6" t="s">
        <v>4806</v>
      </c>
      <c r="B999" s="6" t="s">
        <v>5457</v>
      </c>
      <c r="C999" s="20" t="s">
        <v>5470</v>
      </c>
      <c r="D999" s="6" t="s">
        <v>5471</v>
      </c>
      <c r="E999" s="6"/>
      <c r="F999" s="6" t="s">
        <v>779</v>
      </c>
      <c r="G999" s="6" t="s">
        <v>780</v>
      </c>
      <c r="H999" s="6" t="str">
        <f t="shared" si="69"/>
        <v>EGYPT FIELDHANDS(P315)</v>
      </c>
      <c r="I999" s="6" t="s">
        <v>784</v>
      </c>
      <c r="J999" s="6"/>
      <c r="K999" s="6"/>
      <c r="L999" s="6" t="s">
        <v>55</v>
      </c>
      <c r="M999" s="6" t="str">
        <f>VLOOKUP(L999, GLOSSARY!$A:$C, 2, FALSE)</f>
        <v>EGYPT ESTATE</v>
      </c>
      <c r="N999" s="6" t="s">
        <v>68</v>
      </c>
      <c r="O999" s="6"/>
      <c r="P999" s="6"/>
      <c r="Q999" s="6"/>
      <c r="R999" s="6"/>
      <c r="S999" s="6"/>
      <c r="T999" s="6"/>
      <c r="U999" s="6"/>
      <c r="V999" s="6"/>
      <c r="W999" s="6"/>
      <c r="X999" s="6"/>
      <c r="Y999" s="6"/>
      <c r="Z999" s="6"/>
      <c r="AA999" s="6"/>
      <c r="AB999" s="6"/>
      <c r="AC999" s="6"/>
      <c r="AD999" s="6"/>
      <c r="AE999" s="6"/>
    </row>
    <row r="1000" spans="1:31" ht="140.25" x14ac:dyDescent="0.2">
      <c r="A1000" s="6" t="s">
        <v>4806</v>
      </c>
      <c r="B1000" s="6" t="s">
        <v>5472</v>
      </c>
      <c r="C1000" s="20" t="s">
        <v>5473</v>
      </c>
      <c r="D1000" s="6" t="s">
        <v>5474</v>
      </c>
      <c r="E1000" s="6"/>
      <c r="F1000" s="6" t="s">
        <v>5475</v>
      </c>
      <c r="G1000" s="6" t="s">
        <v>5476</v>
      </c>
      <c r="H1000" s="6" t="str">
        <f t="shared" si="69"/>
        <v>EGYPT FIELDHANDS
LITTLE QUASHE [DRIVER]
ROBERT LAWRENCE(P315
P327
P359)</v>
      </c>
      <c r="I1000" s="6" t="s">
        <v>784</v>
      </c>
      <c r="J1000" s="6"/>
      <c r="K1000" s="6"/>
      <c r="L1000" s="6" t="s">
        <v>5477</v>
      </c>
      <c r="M1000" s="6" t="s">
        <v>5478</v>
      </c>
      <c r="N1000" s="6" t="s">
        <v>68</v>
      </c>
      <c r="O1000" s="6"/>
      <c r="P1000" s="6"/>
      <c r="Q1000" s="6"/>
      <c r="R1000" s="6"/>
      <c r="S1000" s="6"/>
      <c r="T1000" s="6"/>
      <c r="U1000" s="6"/>
      <c r="V1000" s="6"/>
      <c r="W1000" s="6"/>
      <c r="X1000" s="6"/>
      <c r="Y1000" s="6"/>
      <c r="Z1000" s="6"/>
      <c r="AA1000" s="6"/>
      <c r="AB1000" s="6"/>
      <c r="AC1000" s="6"/>
      <c r="AD1000" s="6"/>
      <c r="AE1000" s="6"/>
    </row>
    <row r="1001" spans="1:31" ht="63.75" x14ac:dyDescent="0.2">
      <c r="A1001" s="6" t="s">
        <v>4806</v>
      </c>
      <c r="B1001" s="6" t="s">
        <v>5479</v>
      </c>
      <c r="C1001" s="20" t="s">
        <v>5480</v>
      </c>
      <c r="D1001" s="6" t="s">
        <v>5481</v>
      </c>
      <c r="E1001" s="6"/>
      <c r="F1001" s="6" t="s">
        <v>4918</v>
      </c>
      <c r="G1001" s="6" t="s">
        <v>4919</v>
      </c>
      <c r="H1001" s="6" t="str">
        <f t="shared" si="69"/>
        <v>EGYPT FIELDHANDS
THE OVERSEER(P315
P43)</v>
      </c>
      <c r="I1001" s="6" t="s">
        <v>248</v>
      </c>
      <c r="J1001" s="6"/>
      <c r="K1001" s="6"/>
      <c r="L1001" s="6" t="s">
        <v>55</v>
      </c>
      <c r="M1001" s="6" t="str">
        <f>VLOOKUP(L1001, GLOSSARY!$A:$C, 2, FALSE)</f>
        <v>EGYPT ESTATE</v>
      </c>
      <c r="N1001" s="6" t="s">
        <v>68</v>
      </c>
      <c r="O1001" s="6"/>
      <c r="P1001" s="6"/>
      <c r="Q1001" s="6"/>
      <c r="R1001" s="6"/>
      <c r="S1001" s="6"/>
      <c r="T1001" s="6"/>
      <c r="U1001" s="6"/>
      <c r="V1001" s="6"/>
      <c r="W1001" s="6"/>
      <c r="X1001" s="6"/>
      <c r="Y1001" s="6"/>
      <c r="Z1001" s="6"/>
      <c r="AA1001" s="6"/>
      <c r="AB1001" s="6"/>
      <c r="AC1001" s="6"/>
      <c r="AD1001" s="6"/>
      <c r="AE1001" s="6"/>
    </row>
    <row r="1002" spans="1:31" ht="63.75" x14ac:dyDescent="0.2">
      <c r="A1002" s="6" t="s">
        <v>5482</v>
      </c>
      <c r="B1002" s="6" t="s">
        <v>5479</v>
      </c>
      <c r="C1002" s="20" t="s">
        <v>5480</v>
      </c>
      <c r="D1002" s="6" t="s">
        <v>5483</v>
      </c>
      <c r="E1002" s="6"/>
      <c r="F1002" s="6" t="s">
        <v>2150</v>
      </c>
      <c r="G1002" s="6" t="s">
        <v>2151</v>
      </c>
      <c r="H1002" s="6" t="str">
        <f t="shared" si="69"/>
        <v>THE OVERSEER
MOUNTAIN LUCY(P43
P30)</v>
      </c>
      <c r="I1002" s="6" t="s">
        <v>409</v>
      </c>
      <c r="J1002" s="6"/>
      <c r="K1002" s="6"/>
      <c r="L1002" s="6" t="s">
        <v>55</v>
      </c>
      <c r="M1002" s="6" t="str">
        <f>VLOOKUP(L1002, GLOSSARY!$A:$C, 2, FALSE)</f>
        <v>EGYPT ESTATE</v>
      </c>
      <c r="N1002" s="6" t="s">
        <v>68</v>
      </c>
      <c r="O1002" s="6"/>
      <c r="P1002" s="6"/>
      <c r="Q1002" s="6"/>
      <c r="R1002" s="6"/>
      <c r="S1002" s="6"/>
      <c r="T1002" s="6"/>
      <c r="U1002" s="6"/>
      <c r="V1002" s="6"/>
      <c r="W1002" s="6"/>
      <c r="X1002" s="6"/>
      <c r="Y1002" s="6"/>
      <c r="Z1002" s="6"/>
      <c r="AA1002" s="6"/>
      <c r="AB1002" s="6"/>
      <c r="AC1002" s="6"/>
      <c r="AD1002" s="6"/>
      <c r="AE1002" s="6"/>
    </row>
    <row r="1003" spans="1:31" ht="153" x14ac:dyDescent="0.2">
      <c r="A1003" s="6" t="s">
        <v>5484</v>
      </c>
      <c r="B1003" s="6" t="s">
        <v>5479</v>
      </c>
      <c r="C1003" s="20" t="s">
        <v>5485</v>
      </c>
      <c r="D1003" s="6" t="s">
        <v>5486</v>
      </c>
      <c r="E1003" s="6"/>
      <c r="F1003" s="6" t="s">
        <v>5487</v>
      </c>
      <c r="G1003" s="6" t="s">
        <v>5488</v>
      </c>
      <c r="H1003" s="6" t="str">
        <f t="shared" ref="H1003:H1004" si="70">CONCATENATE(F1003," (",G1003,")")</f>
        <v>THE OVERSEER
PRINCE
JOHN CUNNINGHAM
OLD DAPHNE
ANJAW
ANJAW'S CHILD/SON (P43
P11
P164
P165
P166
P167)</v>
      </c>
      <c r="I1003" s="6" t="s">
        <v>96</v>
      </c>
      <c r="J1003" s="6"/>
      <c r="K1003" s="6"/>
      <c r="L1003" s="6" t="s">
        <v>805</v>
      </c>
      <c r="M1003" s="6" t="s">
        <v>1899</v>
      </c>
      <c r="N1003" s="6" t="s">
        <v>287</v>
      </c>
      <c r="O1003" s="6"/>
      <c r="P1003" s="6"/>
      <c r="Q1003" s="6"/>
      <c r="R1003" s="6"/>
      <c r="S1003" s="6"/>
      <c r="T1003" s="6"/>
      <c r="U1003" s="6"/>
      <c r="V1003" s="6"/>
      <c r="W1003" s="6"/>
      <c r="X1003" s="6"/>
      <c r="Y1003" s="6"/>
      <c r="Z1003" s="6"/>
      <c r="AA1003" s="6"/>
      <c r="AB1003" s="6"/>
      <c r="AC1003" s="6"/>
      <c r="AD1003" s="6"/>
      <c r="AE1003" s="6"/>
    </row>
    <row r="1004" spans="1:31" ht="178.5" x14ac:dyDescent="0.2">
      <c r="A1004" s="6" t="s">
        <v>5484</v>
      </c>
      <c r="B1004" s="6" t="s">
        <v>5489</v>
      </c>
      <c r="C1004" s="20" t="s">
        <v>5490</v>
      </c>
      <c r="D1004" s="6" t="s">
        <v>5491</v>
      </c>
      <c r="E1004" s="6"/>
      <c r="F1004" s="6" t="s">
        <v>5492</v>
      </c>
      <c r="G1004" s="6" t="s">
        <v>5493</v>
      </c>
      <c r="H1004" s="6" t="str">
        <f t="shared" si="70"/>
        <v>THE OVERSEER
JOHN COPE
ANJAW'S CHILD/SON
MOULD'S FRANKE
ANJAW
DR. GORSE (P43
P44
P167
P235
P166
P228)</v>
      </c>
      <c r="I1004" s="6" t="s">
        <v>1047</v>
      </c>
      <c r="J1004" s="6"/>
      <c r="K1004" s="6"/>
      <c r="L1004" s="6" t="s">
        <v>5494</v>
      </c>
      <c r="M1004" s="6" t="s">
        <v>232</v>
      </c>
      <c r="N1004" s="6" t="s">
        <v>68</v>
      </c>
      <c r="O1004" s="6"/>
      <c r="P1004" s="6"/>
      <c r="Q1004" s="6"/>
      <c r="R1004" s="6"/>
      <c r="S1004" s="6"/>
      <c r="T1004" s="6"/>
      <c r="U1004" s="6"/>
      <c r="V1004" s="6"/>
      <c r="W1004" s="6"/>
      <c r="X1004" s="6"/>
      <c r="Y1004" s="6"/>
      <c r="Z1004" s="6"/>
      <c r="AA1004" s="6"/>
      <c r="AB1004" s="6"/>
      <c r="AC1004" s="6"/>
      <c r="AD1004" s="6"/>
      <c r="AE1004" s="6"/>
    </row>
    <row r="1005" spans="1:31" ht="76.5" x14ac:dyDescent="0.2">
      <c r="A1005" s="6" t="s">
        <v>4806</v>
      </c>
      <c r="B1005" s="6" t="s">
        <v>5489</v>
      </c>
      <c r="C1005" s="20" t="s">
        <v>5490</v>
      </c>
      <c r="D1005" s="6" t="s">
        <v>5495</v>
      </c>
      <c r="E1005" s="6"/>
      <c r="F1005" s="6" t="s">
        <v>779</v>
      </c>
      <c r="G1005" s="6" t="s">
        <v>780</v>
      </c>
      <c r="H1005" s="6" t="str">
        <f t="shared" ref="H1005:H1025" si="71">CONCATENATE(F1005,"(",G1005,")")</f>
        <v>EGYPT FIELDHANDS(P315)</v>
      </c>
      <c r="I1005" s="6" t="s">
        <v>784</v>
      </c>
      <c r="J1005" s="6"/>
      <c r="K1005" s="6"/>
      <c r="L1005" s="6" t="s">
        <v>1888</v>
      </c>
      <c r="M1005" s="6" t="str">
        <f>VLOOKUP(L1005, GLOSSARY!$A:$C, 2, FALSE)</f>
        <v>EGYPT PAPAH TREE PIECE</v>
      </c>
      <c r="N1005" s="6" t="s">
        <v>68</v>
      </c>
      <c r="O1005" s="6"/>
      <c r="P1005" s="6"/>
      <c r="Q1005" s="6"/>
      <c r="R1005" s="6"/>
      <c r="S1005" s="6"/>
      <c r="T1005" s="6"/>
      <c r="U1005" s="6"/>
      <c r="V1005" s="6"/>
      <c r="W1005" s="6"/>
      <c r="X1005" s="6"/>
      <c r="Y1005" s="6"/>
      <c r="Z1005" s="6"/>
      <c r="AA1005" s="6"/>
      <c r="AB1005" s="6"/>
      <c r="AC1005" s="6"/>
      <c r="AD1005" s="6"/>
      <c r="AE1005" s="6"/>
    </row>
    <row r="1006" spans="1:31" ht="63.75" x14ac:dyDescent="0.2">
      <c r="A1006" s="6" t="s">
        <v>5327</v>
      </c>
      <c r="B1006" s="6" t="s">
        <v>5496</v>
      </c>
      <c r="C1006" s="20" t="s">
        <v>5497</v>
      </c>
      <c r="D1006" s="6" t="s">
        <v>5498</v>
      </c>
      <c r="E1006" s="6"/>
      <c r="F1006" s="6" t="s">
        <v>5499</v>
      </c>
      <c r="G1006" s="6" t="s">
        <v>5500</v>
      </c>
      <c r="H1006" s="6" t="str">
        <f t="shared" si="71"/>
        <v>THE PLANTER
MIMBER(P44
P80)</v>
      </c>
      <c r="I1006" s="6" t="s">
        <v>409</v>
      </c>
      <c r="J1006" s="6"/>
      <c r="K1006" s="6"/>
      <c r="L1006" s="6" t="s">
        <v>55</v>
      </c>
      <c r="M1006" s="6" t="str">
        <f>VLOOKUP(L1006, GLOSSARY!$A:$C, 2, FALSE)</f>
        <v>EGYPT ESTATE</v>
      </c>
      <c r="N1006" s="6" t="s">
        <v>167</v>
      </c>
      <c r="O1006" s="6"/>
      <c r="P1006" s="6"/>
      <c r="Q1006" s="6"/>
      <c r="R1006" s="6"/>
      <c r="S1006" s="6"/>
      <c r="T1006" s="6"/>
      <c r="U1006" s="6"/>
      <c r="V1006" s="6"/>
      <c r="W1006" s="6"/>
      <c r="X1006" s="6"/>
      <c r="Y1006" s="6"/>
      <c r="Z1006" s="6"/>
      <c r="AA1006" s="6"/>
      <c r="AB1006" s="6"/>
      <c r="AC1006" s="6"/>
      <c r="AD1006" s="6"/>
      <c r="AE1006" s="6"/>
    </row>
    <row r="1007" spans="1:31" ht="89.25" x14ac:dyDescent="0.2">
      <c r="A1007" s="6" t="s">
        <v>4806</v>
      </c>
      <c r="B1007" s="6" t="s">
        <v>5496</v>
      </c>
      <c r="C1007" s="20" t="s">
        <v>5497</v>
      </c>
      <c r="D1007" s="6" t="s">
        <v>5501</v>
      </c>
      <c r="E1007" s="6"/>
      <c r="F1007" s="6" t="s">
        <v>779</v>
      </c>
      <c r="G1007" s="6" t="s">
        <v>780</v>
      </c>
      <c r="H1007" s="6" t="str">
        <f t="shared" si="71"/>
        <v>EGYPT FIELDHANDS(P315)</v>
      </c>
      <c r="I1007" s="6" t="s">
        <v>784</v>
      </c>
      <c r="J1007" s="6"/>
      <c r="K1007" s="6"/>
      <c r="L1007" s="6" t="s">
        <v>1888</v>
      </c>
      <c r="M1007" s="6" t="str">
        <f>VLOOKUP(L1007, GLOSSARY!$A:$C, 2, FALSE)</f>
        <v>EGYPT PAPAH TREE PIECE</v>
      </c>
      <c r="N1007" s="6" t="s">
        <v>68</v>
      </c>
      <c r="O1007" s="6"/>
      <c r="P1007" s="6"/>
      <c r="Q1007" s="6"/>
      <c r="R1007" s="6"/>
      <c r="S1007" s="6"/>
      <c r="T1007" s="6"/>
      <c r="U1007" s="6"/>
      <c r="V1007" s="6"/>
      <c r="W1007" s="6"/>
      <c r="X1007" s="6"/>
      <c r="Y1007" s="6"/>
      <c r="Z1007" s="6"/>
      <c r="AA1007" s="6"/>
      <c r="AB1007" s="6"/>
      <c r="AC1007" s="6"/>
      <c r="AD1007" s="6"/>
      <c r="AE1007" s="6"/>
    </row>
    <row r="1008" spans="1:31" ht="38.25" x14ac:dyDescent="0.2">
      <c r="A1008" s="6" t="s">
        <v>4806</v>
      </c>
      <c r="B1008" s="6" t="s">
        <v>5496</v>
      </c>
      <c r="C1008" s="20" t="s">
        <v>5502</v>
      </c>
      <c r="D1008" s="6" t="s">
        <v>5503</v>
      </c>
      <c r="E1008" s="6"/>
      <c r="F1008" s="6" t="s">
        <v>779</v>
      </c>
      <c r="G1008" s="6" t="s">
        <v>780</v>
      </c>
      <c r="H1008" s="6" t="str">
        <f t="shared" si="71"/>
        <v>EGYPT FIELDHANDS(P315)</v>
      </c>
      <c r="I1008" s="6" t="s">
        <v>784</v>
      </c>
      <c r="J1008" s="6"/>
      <c r="K1008" s="6"/>
      <c r="L1008" s="6" t="s">
        <v>2855</v>
      </c>
      <c r="M1008" s="6" t="str">
        <f>VLOOKUP(L1008, GLOSSARY!$A:$C, 2, FALSE)</f>
        <v>EGYPT CALABASH TREE PIECE</v>
      </c>
      <c r="N1008" s="6" t="s">
        <v>287</v>
      </c>
      <c r="O1008" s="6"/>
      <c r="P1008" s="6"/>
      <c r="Q1008" s="6"/>
      <c r="R1008" s="6"/>
      <c r="S1008" s="6"/>
      <c r="T1008" s="6"/>
      <c r="U1008" s="6"/>
      <c r="V1008" s="6"/>
      <c r="W1008" s="6"/>
      <c r="X1008" s="6"/>
      <c r="Y1008" s="6"/>
      <c r="Z1008" s="6"/>
      <c r="AA1008" s="6"/>
      <c r="AB1008" s="6"/>
      <c r="AC1008" s="6"/>
      <c r="AD1008" s="6"/>
      <c r="AE1008" s="6"/>
    </row>
    <row r="1009" spans="1:31" ht="51" x14ac:dyDescent="0.2">
      <c r="A1009" s="6" t="s">
        <v>4806</v>
      </c>
      <c r="B1009" s="6" t="s">
        <v>5504</v>
      </c>
      <c r="C1009" s="20" t="s">
        <v>5502</v>
      </c>
      <c r="D1009" s="6" t="s">
        <v>5505</v>
      </c>
      <c r="E1009" s="6"/>
      <c r="F1009" s="6"/>
      <c r="G1009" s="6"/>
      <c r="H1009" s="6" t="str">
        <f t="shared" si="71"/>
        <v>()</v>
      </c>
      <c r="I1009" s="6" t="s">
        <v>869</v>
      </c>
      <c r="J1009" s="6"/>
      <c r="K1009" s="6"/>
      <c r="L1009" s="6" t="s">
        <v>55</v>
      </c>
      <c r="M1009" s="6" t="str">
        <f>VLOOKUP(L1009, GLOSSARY!$A:$C, 2, FALSE)</f>
        <v>EGYPT ESTATE</v>
      </c>
      <c r="N1009" s="6" t="s">
        <v>68</v>
      </c>
      <c r="O1009" s="6"/>
      <c r="P1009" s="6"/>
      <c r="Q1009" s="6"/>
      <c r="R1009" s="6"/>
      <c r="S1009" s="6"/>
      <c r="T1009" s="6"/>
      <c r="U1009" s="6"/>
      <c r="V1009" s="6"/>
      <c r="W1009" s="6"/>
      <c r="X1009" s="6"/>
      <c r="Y1009" s="6"/>
      <c r="Z1009" s="6"/>
      <c r="AA1009" s="6"/>
      <c r="AB1009" s="6"/>
      <c r="AC1009" s="6"/>
      <c r="AD1009" s="6"/>
      <c r="AE1009" s="6"/>
    </row>
    <row r="1010" spans="1:31" ht="127.5" x14ac:dyDescent="0.2">
      <c r="A1010" s="6" t="s">
        <v>4806</v>
      </c>
      <c r="B1010" s="6" t="s">
        <v>5504</v>
      </c>
      <c r="C1010" s="55" t="s">
        <v>5506</v>
      </c>
      <c r="D1010" s="6" t="s">
        <v>5507</v>
      </c>
      <c r="E1010" s="6"/>
      <c r="F1010" s="6" t="s">
        <v>779</v>
      </c>
      <c r="G1010" s="6" t="s">
        <v>780</v>
      </c>
      <c r="H1010" s="6" t="str">
        <f t="shared" si="71"/>
        <v>EGYPT FIELDHANDS(P315)</v>
      </c>
      <c r="I1010" s="6" t="s">
        <v>784</v>
      </c>
      <c r="J1010" s="6"/>
      <c r="K1010" s="6"/>
      <c r="L1010" s="6" t="s">
        <v>5412</v>
      </c>
      <c r="M1010" s="6" t="s">
        <v>5413</v>
      </c>
      <c r="N1010" s="6" t="s">
        <v>287</v>
      </c>
      <c r="O1010" s="6"/>
      <c r="P1010" s="6"/>
      <c r="Q1010" s="6"/>
      <c r="R1010" s="6"/>
      <c r="S1010" s="6"/>
      <c r="T1010" s="6"/>
      <c r="U1010" s="6"/>
      <c r="V1010" s="6"/>
      <c r="W1010" s="6"/>
      <c r="X1010" s="6"/>
      <c r="Y1010" s="6"/>
      <c r="Z1010" s="6"/>
      <c r="AA1010" s="6"/>
      <c r="AB1010" s="6"/>
      <c r="AC1010" s="6"/>
      <c r="AD1010" s="6"/>
      <c r="AE1010" s="6"/>
    </row>
    <row r="1011" spans="1:31" ht="51" x14ac:dyDescent="0.2">
      <c r="A1011" s="6" t="s">
        <v>4806</v>
      </c>
      <c r="B1011" s="6" t="s">
        <v>5508</v>
      </c>
      <c r="C1011" s="20" t="s">
        <v>5509</v>
      </c>
      <c r="D1011" s="6" t="s">
        <v>5510</v>
      </c>
      <c r="E1011" s="6"/>
      <c r="F1011" s="6"/>
      <c r="G1011" s="6"/>
      <c r="H1011" s="6" t="str">
        <f t="shared" si="71"/>
        <v>()</v>
      </c>
      <c r="I1011" s="6" t="s">
        <v>139</v>
      </c>
      <c r="J1011" s="6"/>
      <c r="K1011" s="6"/>
      <c r="L1011" s="6" t="s">
        <v>1888</v>
      </c>
      <c r="M1011" s="6" t="str">
        <f>VLOOKUP(L1011, GLOSSARY!$A:$C, 2, FALSE)</f>
        <v>EGYPT PAPAH TREE PIECE</v>
      </c>
      <c r="N1011" s="6" t="s">
        <v>68</v>
      </c>
      <c r="O1011" s="6"/>
      <c r="P1011" s="6"/>
      <c r="Q1011" s="6"/>
      <c r="R1011" s="6"/>
      <c r="S1011" s="6"/>
      <c r="T1011" s="6"/>
      <c r="U1011" s="6"/>
      <c r="V1011" s="6"/>
      <c r="W1011" s="6"/>
      <c r="X1011" s="6"/>
      <c r="Y1011" s="6"/>
      <c r="Z1011" s="6"/>
      <c r="AA1011" s="6"/>
      <c r="AB1011" s="6"/>
      <c r="AC1011" s="6"/>
      <c r="AD1011" s="6"/>
      <c r="AE1011" s="6"/>
    </row>
    <row r="1012" spans="1:31" ht="127.5" x14ac:dyDescent="0.2">
      <c r="A1012" s="6" t="s">
        <v>4806</v>
      </c>
      <c r="B1012" s="6" t="s">
        <v>5508</v>
      </c>
      <c r="C1012" s="20" t="s">
        <v>5511</v>
      </c>
      <c r="D1012" s="6" t="s">
        <v>5512</v>
      </c>
      <c r="E1012" s="6"/>
      <c r="F1012" s="6" t="s">
        <v>779</v>
      </c>
      <c r="G1012" s="6" t="s">
        <v>780</v>
      </c>
      <c r="H1012" s="6" t="str">
        <f t="shared" si="71"/>
        <v>EGYPT FIELDHANDS(P315)</v>
      </c>
      <c r="I1012" s="6" t="s">
        <v>784</v>
      </c>
      <c r="J1012" s="6"/>
      <c r="K1012" s="6"/>
      <c r="L1012" s="6" t="s">
        <v>1888</v>
      </c>
      <c r="M1012" s="6" t="str">
        <f>VLOOKUP(L1012, GLOSSARY!$A:$C, 2, FALSE)</f>
        <v>EGYPT PAPAH TREE PIECE</v>
      </c>
      <c r="N1012" s="6"/>
      <c r="O1012" s="6"/>
      <c r="P1012" s="6"/>
      <c r="Q1012" s="6"/>
      <c r="R1012" s="6"/>
      <c r="S1012" s="6"/>
      <c r="T1012" s="6"/>
      <c r="U1012" s="6"/>
      <c r="V1012" s="6"/>
      <c r="W1012" s="6"/>
      <c r="X1012" s="6"/>
      <c r="Y1012" s="6"/>
      <c r="Z1012" s="6"/>
      <c r="AA1012" s="6"/>
      <c r="AB1012" s="6"/>
      <c r="AC1012" s="6"/>
      <c r="AD1012" s="6"/>
      <c r="AE1012" s="6"/>
    </row>
    <row r="1013" spans="1:31" ht="38.25" x14ac:dyDescent="0.2">
      <c r="A1013" s="6" t="s">
        <v>5513</v>
      </c>
      <c r="B1013" s="6" t="s">
        <v>5508</v>
      </c>
      <c r="C1013" s="50" t="s">
        <v>5514</v>
      </c>
      <c r="D1013" s="59" t="s">
        <v>5515</v>
      </c>
      <c r="E1013" s="6"/>
      <c r="F1013" s="6"/>
      <c r="G1013" s="6"/>
      <c r="H1013" s="6" t="str">
        <f t="shared" si="71"/>
        <v>()</v>
      </c>
      <c r="I1013" s="6" t="s">
        <v>26</v>
      </c>
      <c r="J1013" s="6"/>
      <c r="K1013" s="6"/>
      <c r="L1013" s="6" t="s">
        <v>55</v>
      </c>
      <c r="M1013" s="6" t="str">
        <f>VLOOKUP(L1013, GLOSSARY!$A:$C, 2, FALSE)</f>
        <v>EGYPT ESTATE</v>
      </c>
      <c r="N1013" s="6" t="s">
        <v>167</v>
      </c>
      <c r="O1013" s="6"/>
      <c r="P1013" s="6"/>
      <c r="Q1013" s="6"/>
      <c r="R1013" s="6"/>
      <c r="S1013" s="6"/>
      <c r="T1013" s="6"/>
      <c r="U1013" s="6"/>
      <c r="V1013" s="6"/>
      <c r="W1013" s="6"/>
      <c r="X1013" s="6"/>
      <c r="Y1013" s="6"/>
      <c r="Z1013" s="6"/>
      <c r="AA1013" s="6"/>
      <c r="AB1013" s="6"/>
      <c r="AC1013" s="6"/>
      <c r="AD1013" s="6"/>
      <c r="AE1013" s="6"/>
    </row>
    <row r="1014" spans="1:31" ht="63.75" x14ac:dyDescent="0.2">
      <c r="A1014" s="6" t="s">
        <v>1254</v>
      </c>
      <c r="B1014" s="6" t="s">
        <v>5508</v>
      </c>
      <c r="C1014" s="20" t="s">
        <v>5511</v>
      </c>
      <c r="D1014" s="6" t="s">
        <v>5516</v>
      </c>
      <c r="E1014" s="6"/>
      <c r="F1014" s="6" t="s">
        <v>1258</v>
      </c>
      <c r="G1014" s="6" t="s">
        <v>1259</v>
      </c>
      <c r="H1014" s="6" t="str">
        <f t="shared" si="71"/>
        <v>THE OVERSEER
AMBO(P43
P170)</v>
      </c>
      <c r="I1014" s="6" t="s">
        <v>112</v>
      </c>
      <c r="J1014" s="6"/>
      <c r="K1014" s="6"/>
      <c r="L1014" s="6" t="s">
        <v>55</v>
      </c>
      <c r="M1014" s="6" t="str">
        <f>VLOOKUP(L1014, GLOSSARY!$A:$C, 2, FALSE)</f>
        <v>EGYPT ESTATE</v>
      </c>
      <c r="N1014" s="6" t="s">
        <v>167</v>
      </c>
      <c r="O1014" s="6"/>
      <c r="P1014" s="6"/>
      <c r="Q1014" s="6"/>
      <c r="R1014" s="6"/>
      <c r="S1014" s="6"/>
      <c r="T1014" s="6"/>
      <c r="U1014" s="6"/>
      <c r="V1014" s="6"/>
      <c r="W1014" s="6"/>
      <c r="X1014" s="6"/>
      <c r="Y1014" s="6"/>
      <c r="Z1014" s="6"/>
      <c r="AA1014" s="6"/>
      <c r="AB1014" s="6"/>
      <c r="AC1014" s="6"/>
      <c r="AD1014" s="6"/>
      <c r="AE1014" s="6"/>
    </row>
    <row r="1015" spans="1:31" ht="153" x14ac:dyDescent="0.2">
      <c r="A1015" s="6" t="s">
        <v>4806</v>
      </c>
      <c r="B1015" s="6" t="s">
        <v>5508</v>
      </c>
      <c r="C1015" s="20" t="s">
        <v>5517</v>
      </c>
      <c r="D1015" s="6" t="s">
        <v>5518</v>
      </c>
      <c r="E1015" s="6"/>
      <c r="F1015" s="6" t="s">
        <v>5271</v>
      </c>
      <c r="G1015" s="6" t="s">
        <v>5242</v>
      </c>
      <c r="H1015" s="6" t="str">
        <f t="shared" si="71"/>
        <v>EGYPT FIELDHANDS
LITTLE QUASHE [DRIVER](P315
P359)</v>
      </c>
      <c r="I1015" s="6" t="s">
        <v>784</v>
      </c>
      <c r="J1015" s="6"/>
      <c r="K1015" s="6"/>
      <c r="L1015" s="6" t="s">
        <v>5519</v>
      </c>
      <c r="M1015" s="6" t="s">
        <v>5520</v>
      </c>
      <c r="N1015" s="6" t="s">
        <v>287</v>
      </c>
      <c r="O1015" s="6"/>
      <c r="P1015" s="6"/>
      <c r="Q1015" s="6"/>
      <c r="R1015" s="6"/>
      <c r="S1015" s="6"/>
      <c r="T1015" s="6"/>
      <c r="U1015" s="6"/>
      <c r="V1015" s="6"/>
      <c r="W1015" s="6"/>
      <c r="X1015" s="6"/>
      <c r="Y1015" s="6"/>
      <c r="Z1015" s="6"/>
      <c r="AA1015" s="6"/>
      <c r="AB1015" s="6"/>
      <c r="AC1015" s="6"/>
      <c r="AD1015" s="6"/>
      <c r="AE1015" s="6"/>
    </row>
    <row r="1016" spans="1:31" ht="229.5" x14ac:dyDescent="0.2">
      <c r="A1016" s="6" t="s">
        <v>4806</v>
      </c>
      <c r="B1016" s="6" t="s">
        <v>5521</v>
      </c>
      <c r="C1016" s="20" t="s">
        <v>5522</v>
      </c>
      <c r="D1016" s="6" t="s">
        <v>5523</v>
      </c>
      <c r="E1016" s="6"/>
      <c r="F1016" s="6" t="s">
        <v>5524</v>
      </c>
      <c r="G1016" s="6" t="s">
        <v>5525</v>
      </c>
      <c r="H1016" s="6" t="str">
        <f t="shared" si="71"/>
        <v>EGYPT FIELDHANDS
LITTLE QUASHE [DRIVER]
THE PLANTER
SANCHO
CYRUS(P315
P359
P44
P195
P210)</v>
      </c>
      <c r="I1016" s="6" t="s">
        <v>784</v>
      </c>
      <c r="J1016" s="6"/>
      <c r="K1016" s="6"/>
      <c r="L1016" s="6" t="s">
        <v>5526</v>
      </c>
      <c r="M1016" s="6" t="s">
        <v>5527</v>
      </c>
      <c r="N1016" s="6" t="s">
        <v>287</v>
      </c>
      <c r="O1016" s="6"/>
      <c r="P1016" s="6"/>
      <c r="Q1016" s="6"/>
      <c r="R1016" s="6"/>
      <c r="S1016" s="6"/>
      <c r="T1016" s="6"/>
      <c r="U1016" s="6"/>
      <c r="V1016" s="6"/>
      <c r="W1016" s="6"/>
      <c r="X1016" s="6"/>
      <c r="Y1016" s="6"/>
      <c r="Z1016" s="6"/>
      <c r="AA1016" s="6"/>
      <c r="AB1016" s="6"/>
      <c r="AC1016" s="6"/>
      <c r="AD1016" s="6"/>
      <c r="AE1016" s="6"/>
    </row>
    <row r="1017" spans="1:31" ht="89.25" x14ac:dyDescent="0.2">
      <c r="A1017" s="6" t="s">
        <v>4806</v>
      </c>
      <c r="B1017" s="6" t="s">
        <v>5521</v>
      </c>
      <c r="C1017" s="20" t="s">
        <v>5528</v>
      </c>
      <c r="D1017" s="6" t="s">
        <v>5529</v>
      </c>
      <c r="E1017" s="6"/>
      <c r="F1017" s="6" t="s">
        <v>5530</v>
      </c>
      <c r="G1017" s="6" t="s">
        <v>5242</v>
      </c>
      <c r="H1017" s="6" t="str">
        <f t="shared" si="71"/>
        <v>EGYPT FIELD HANDS
LITTLE QUASHE [DRIVER](P315
P359)</v>
      </c>
      <c r="I1017" s="6" t="s">
        <v>784</v>
      </c>
      <c r="J1017" s="6"/>
      <c r="K1017" s="6"/>
      <c r="L1017" s="6" t="s">
        <v>2906</v>
      </c>
      <c r="M1017" s="6" t="str">
        <f>VLOOKUP(L1017, GLOSSARY!$A:$C, 2, FALSE)</f>
        <v>EGYPT JUDE HOUSE POND PIECE</v>
      </c>
      <c r="N1017" s="6" t="s">
        <v>287</v>
      </c>
      <c r="O1017" s="6"/>
      <c r="P1017" s="6"/>
      <c r="Q1017" s="6"/>
      <c r="R1017" s="6"/>
      <c r="S1017" s="6"/>
      <c r="T1017" s="6"/>
      <c r="U1017" s="6"/>
      <c r="V1017" s="6"/>
      <c r="W1017" s="6"/>
      <c r="X1017" s="6"/>
      <c r="Y1017" s="6"/>
      <c r="Z1017" s="6"/>
      <c r="AA1017" s="6"/>
      <c r="AB1017" s="6"/>
      <c r="AC1017" s="6"/>
      <c r="AD1017" s="6"/>
      <c r="AE1017" s="6"/>
    </row>
    <row r="1018" spans="1:31" ht="76.5" x14ac:dyDescent="0.2">
      <c r="A1018" s="6" t="s">
        <v>5531</v>
      </c>
      <c r="B1018" s="6" t="s">
        <v>5532</v>
      </c>
      <c r="C1018" s="20" t="s">
        <v>5528</v>
      </c>
      <c r="D1018" s="6" t="s">
        <v>5533</v>
      </c>
      <c r="E1018" s="6"/>
      <c r="F1018" s="6" t="s">
        <v>5534</v>
      </c>
      <c r="G1018" s="6" t="s">
        <v>5535</v>
      </c>
      <c r="H1018" s="6" t="str">
        <f t="shared" si="71"/>
        <v>DR. GORSE
EGYPT LITTLE PHIBBAH(P325
P228)</v>
      </c>
      <c r="I1018" s="6" t="s">
        <v>533</v>
      </c>
      <c r="J1018" s="6"/>
      <c r="K1018" s="6"/>
      <c r="L1018" s="6" t="s">
        <v>55</v>
      </c>
      <c r="M1018" s="6" t="str">
        <f>VLOOKUP(L1018, GLOSSARY!$A:$C, 2, FALSE)</f>
        <v>EGYPT ESTATE</v>
      </c>
      <c r="N1018" s="6" t="s">
        <v>287</v>
      </c>
      <c r="O1018" s="6"/>
      <c r="P1018" s="6"/>
      <c r="Q1018" s="6"/>
      <c r="R1018" s="6"/>
      <c r="S1018" s="6"/>
      <c r="T1018" s="6"/>
      <c r="U1018" s="6"/>
      <c r="V1018" s="6"/>
      <c r="W1018" s="6"/>
      <c r="X1018" s="6"/>
      <c r="Y1018" s="6"/>
      <c r="Z1018" s="6"/>
      <c r="AA1018" s="6"/>
      <c r="AB1018" s="6"/>
      <c r="AC1018" s="6"/>
      <c r="AD1018" s="6"/>
      <c r="AE1018" s="6"/>
    </row>
    <row r="1019" spans="1:31" ht="204" x14ac:dyDescent="0.2">
      <c r="A1019" s="6" t="s">
        <v>5536</v>
      </c>
      <c r="B1019" s="6" t="s">
        <v>5532</v>
      </c>
      <c r="C1019" s="20" t="s">
        <v>5528</v>
      </c>
      <c r="D1019" s="6" t="s">
        <v>5537</v>
      </c>
      <c r="E1019" s="6"/>
      <c r="F1019" s="6" t="s">
        <v>5538</v>
      </c>
      <c r="G1019" s="6" t="s">
        <v>5539</v>
      </c>
      <c r="H1019" s="6" t="str">
        <f t="shared" si="71"/>
        <v>JOHN CUNNINGHAM
OLD DAPHNE
MOUNTAIN LUCY
MOUNTAIN LUCY'S CHILD(
P30
P164
P173
P11)</v>
      </c>
      <c r="I1019" s="6" t="s">
        <v>96</v>
      </c>
      <c r="J1019" s="6"/>
      <c r="K1019" s="6"/>
      <c r="L1019" s="6" t="s">
        <v>55</v>
      </c>
      <c r="M1019" s="6" t="str">
        <f>VLOOKUP(L1019, GLOSSARY!$A:$C, 2, FALSE)</f>
        <v>EGYPT ESTATE</v>
      </c>
      <c r="N1019" s="6" t="s">
        <v>287</v>
      </c>
      <c r="O1019" s="6"/>
      <c r="P1019" s="6"/>
      <c r="Q1019" s="6"/>
      <c r="R1019" s="6"/>
      <c r="S1019" s="6"/>
      <c r="T1019" s="6"/>
      <c r="U1019" s="6"/>
      <c r="V1019" s="6"/>
      <c r="W1019" s="6"/>
      <c r="X1019" s="6"/>
      <c r="Y1019" s="6"/>
      <c r="Z1019" s="6"/>
      <c r="AA1019" s="6"/>
      <c r="AB1019" s="6"/>
      <c r="AC1019" s="6"/>
      <c r="AD1019" s="6"/>
      <c r="AE1019" s="6"/>
    </row>
    <row r="1020" spans="1:31" ht="127.5" x14ac:dyDescent="0.2">
      <c r="A1020" s="6" t="s">
        <v>5536</v>
      </c>
      <c r="B1020" s="6" t="s">
        <v>5540</v>
      </c>
      <c r="C1020" s="20" t="s">
        <v>5541</v>
      </c>
      <c r="D1020" s="6" t="s">
        <v>5542</v>
      </c>
      <c r="E1020" s="6"/>
      <c r="F1020" s="6" t="s">
        <v>5543</v>
      </c>
      <c r="G1020" s="6" t="s">
        <v>5544</v>
      </c>
      <c r="H1020" s="6" t="str">
        <f t="shared" si="71"/>
        <v>WORSOE
MOUNTAIN LUCY'S CHILD
OLD DAPHNE(P173
P11
P343)</v>
      </c>
      <c r="I1020" s="6" t="s">
        <v>1047</v>
      </c>
      <c r="J1020" s="6"/>
      <c r="K1020" s="6"/>
      <c r="L1020" s="6" t="s">
        <v>55</v>
      </c>
      <c r="M1020" s="6" t="str">
        <f>VLOOKUP(L1020, GLOSSARY!$A:$C, 2, FALSE)</f>
        <v>EGYPT ESTATE</v>
      </c>
      <c r="N1020" s="6" t="s">
        <v>287</v>
      </c>
      <c r="O1020" s="6"/>
      <c r="P1020" s="6"/>
      <c r="Q1020" s="6"/>
      <c r="R1020" s="6"/>
      <c r="S1020" s="6"/>
      <c r="T1020" s="6"/>
      <c r="U1020" s="6"/>
      <c r="V1020" s="6"/>
      <c r="W1020" s="6"/>
      <c r="X1020" s="6"/>
      <c r="Y1020" s="6"/>
      <c r="Z1020" s="6"/>
      <c r="AA1020" s="6"/>
      <c r="AB1020" s="6"/>
      <c r="AC1020" s="6"/>
      <c r="AD1020" s="6"/>
      <c r="AE1020" s="6"/>
    </row>
    <row r="1021" spans="1:31" ht="51" x14ac:dyDescent="0.2">
      <c r="A1021" s="6" t="s">
        <v>5545</v>
      </c>
      <c r="B1021" s="6" t="s">
        <v>5540</v>
      </c>
      <c r="C1021" s="20" t="s">
        <v>5541</v>
      </c>
      <c r="D1021" s="6" t="s">
        <v>5546</v>
      </c>
      <c r="E1021" s="6"/>
      <c r="F1021" s="6" t="s">
        <v>48</v>
      </c>
      <c r="G1021" s="6" t="s">
        <v>50</v>
      </c>
      <c r="H1021" s="6" t="str">
        <f t="shared" si="71"/>
        <v>THE OVERSEER(P43)</v>
      </c>
      <c r="I1021" s="6" t="s">
        <v>198</v>
      </c>
      <c r="J1021" s="6"/>
      <c r="K1021" s="6"/>
      <c r="L1021" s="6" t="s">
        <v>55</v>
      </c>
      <c r="M1021" s="6" t="str">
        <f>VLOOKUP(L1021, GLOSSARY!$A:$C, 2, FALSE)</f>
        <v>EGYPT ESTATE</v>
      </c>
      <c r="N1021" s="6" t="s">
        <v>68</v>
      </c>
      <c r="O1021" s="6"/>
      <c r="P1021" s="6"/>
      <c r="Q1021" s="6"/>
      <c r="R1021" s="6"/>
      <c r="S1021" s="6"/>
      <c r="T1021" s="6"/>
      <c r="U1021" s="6"/>
      <c r="V1021" s="6"/>
      <c r="W1021" s="6"/>
      <c r="X1021" s="6"/>
      <c r="Y1021" s="6"/>
      <c r="Z1021" s="6"/>
      <c r="AA1021" s="6"/>
      <c r="AB1021" s="6"/>
      <c r="AC1021" s="6"/>
      <c r="AD1021" s="6"/>
      <c r="AE1021" s="6"/>
    </row>
    <row r="1022" spans="1:31" ht="216.75" x14ac:dyDescent="0.2">
      <c r="A1022" s="6" t="s">
        <v>4806</v>
      </c>
      <c r="B1022" s="6" t="s">
        <v>5540</v>
      </c>
      <c r="C1022" s="20" t="s">
        <v>5547</v>
      </c>
      <c r="D1022" s="6" t="s">
        <v>5548</v>
      </c>
      <c r="E1022" s="6"/>
      <c r="F1022" s="6" t="s">
        <v>5549</v>
      </c>
      <c r="G1022" s="6" t="s">
        <v>5550</v>
      </c>
      <c r="H1022" s="6" t="str">
        <f t="shared" si="71"/>
        <v>EGYPT FIELD HANDS
JACKIE
JOB
PORT ROYAL
CAMBRIDGE(P315
P102
P29
P212
P337)</v>
      </c>
      <c r="I1022" s="6" t="s">
        <v>784</v>
      </c>
      <c r="J1022" s="6"/>
      <c r="K1022" s="6"/>
      <c r="L1022" s="6" t="s">
        <v>5551</v>
      </c>
      <c r="M1022" s="6" t="s">
        <v>3242</v>
      </c>
      <c r="N1022" s="6" t="s">
        <v>287</v>
      </c>
      <c r="O1022" s="6"/>
      <c r="P1022" s="6"/>
      <c r="Q1022" s="6"/>
      <c r="R1022" s="6"/>
      <c r="S1022" s="6"/>
      <c r="T1022" s="6"/>
      <c r="U1022" s="6"/>
      <c r="V1022" s="6"/>
      <c r="W1022" s="6"/>
      <c r="X1022" s="6"/>
      <c r="Y1022" s="6"/>
      <c r="Z1022" s="6"/>
      <c r="AA1022" s="6"/>
      <c r="AB1022" s="6"/>
      <c r="AC1022" s="6"/>
      <c r="AD1022" s="6"/>
      <c r="AE1022" s="6"/>
    </row>
    <row r="1023" spans="1:31" ht="25.5" x14ac:dyDescent="0.2">
      <c r="A1023" s="6" t="s">
        <v>5552</v>
      </c>
      <c r="B1023" s="6" t="s">
        <v>5553</v>
      </c>
      <c r="C1023" s="20" t="s">
        <v>5554</v>
      </c>
      <c r="D1023" s="6" t="s">
        <v>5555</v>
      </c>
      <c r="E1023" s="6"/>
      <c r="F1023" s="6"/>
      <c r="G1023" s="6"/>
      <c r="H1023" s="6" t="str">
        <f t="shared" si="71"/>
        <v>()</v>
      </c>
      <c r="I1023" s="6" t="s">
        <v>784</v>
      </c>
      <c r="J1023" s="6"/>
      <c r="K1023" s="6"/>
      <c r="L1023" s="6" t="s">
        <v>55</v>
      </c>
      <c r="M1023" s="6" t="str">
        <f>VLOOKUP(L1023, GLOSSARY!$A:$C, 2, FALSE)</f>
        <v>EGYPT ESTATE</v>
      </c>
      <c r="N1023" s="6" t="s">
        <v>68</v>
      </c>
      <c r="O1023" s="6"/>
      <c r="P1023" s="6"/>
      <c r="Q1023" s="6"/>
      <c r="R1023" s="6"/>
      <c r="S1023" s="6"/>
      <c r="T1023" s="6"/>
      <c r="U1023" s="6"/>
      <c r="V1023" s="6"/>
      <c r="W1023" s="6"/>
      <c r="X1023" s="6"/>
      <c r="Y1023" s="6"/>
      <c r="Z1023" s="6"/>
      <c r="AA1023" s="6"/>
      <c r="AB1023" s="6"/>
      <c r="AC1023" s="6"/>
      <c r="AD1023" s="6"/>
      <c r="AE1023" s="6"/>
    </row>
    <row r="1024" spans="1:31" ht="63.75" x14ac:dyDescent="0.2">
      <c r="A1024" s="6" t="s">
        <v>5536</v>
      </c>
      <c r="B1024" s="6" t="s">
        <v>5556</v>
      </c>
      <c r="C1024" s="20" t="s">
        <v>5557</v>
      </c>
      <c r="D1024" s="6" t="s">
        <v>5558</v>
      </c>
      <c r="E1024" s="6"/>
      <c r="F1024" s="6" t="s">
        <v>5559</v>
      </c>
      <c r="G1024" s="6" t="s">
        <v>5560</v>
      </c>
      <c r="H1024" s="6" t="str">
        <f t="shared" si="71"/>
        <v>MOUNTAIN LUCY
DR. GORSE(P173
P228)</v>
      </c>
      <c r="I1024" s="6" t="s">
        <v>1047</v>
      </c>
      <c r="J1024" s="6"/>
      <c r="K1024" s="6"/>
      <c r="L1024" s="6" t="s">
        <v>55</v>
      </c>
      <c r="M1024" s="6" t="str">
        <f>VLOOKUP(L1024, GLOSSARY!$A:$C, 2, FALSE)</f>
        <v>EGYPT ESTATE</v>
      </c>
      <c r="N1024" s="6" t="s">
        <v>68</v>
      </c>
      <c r="O1024" s="6"/>
      <c r="P1024" s="6"/>
      <c r="Q1024" s="6"/>
      <c r="R1024" s="6"/>
      <c r="S1024" s="6"/>
      <c r="T1024" s="6"/>
      <c r="U1024" s="6"/>
      <c r="V1024" s="6"/>
      <c r="W1024" s="6"/>
      <c r="X1024" s="6"/>
      <c r="Y1024" s="6"/>
      <c r="Z1024" s="6"/>
      <c r="AA1024" s="6"/>
      <c r="AB1024" s="6"/>
      <c r="AC1024" s="6"/>
      <c r="AD1024" s="6"/>
      <c r="AE1024" s="6"/>
    </row>
    <row r="1025" spans="1:31" ht="76.5" x14ac:dyDescent="0.2">
      <c r="A1025" s="6" t="s">
        <v>5561</v>
      </c>
      <c r="B1025" s="6" t="s">
        <v>5556</v>
      </c>
      <c r="C1025" s="20" t="s">
        <v>5557</v>
      </c>
      <c r="D1025" s="6" t="s">
        <v>5562</v>
      </c>
      <c r="E1025" s="6"/>
      <c r="F1025" s="6"/>
      <c r="G1025" s="6"/>
      <c r="H1025" s="6" t="str">
        <f t="shared" si="71"/>
        <v>()</v>
      </c>
      <c r="I1025" s="6" t="s">
        <v>26</v>
      </c>
      <c r="J1025" s="6"/>
      <c r="K1025" s="6"/>
      <c r="L1025" s="6" t="s">
        <v>3031</v>
      </c>
      <c r="M1025" s="6" t="str">
        <f>VLOOKUP(L1025, GLOSSARY!$A:$C, 2, FALSE)</f>
        <v>ATLANTIC OCEAN</v>
      </c>
      <c r="N1025" s="6" t="s">
        <v>167</v>
      </c>
      <c r="O1025" s="6"/>
      <c r="P1025" s="6"/>
      <c r="Q1025" s="6"/>
      <c r="R1025" s="6"/>
      <c r="S1025" s="6"/>
      <c r="T1025" s="6"/>
      <c r="U1025" s="6"/>
      <c r="V1025" s="6"/>
      <c r="W1025" s="6"/>
      <c r="X1025" s="6"/>
      <c r="Y1025" s="6"/>
      <c r="Z1025" s="6"/>
      <c r="AA1025" s="6"/>
      <c r="AB1025" s="6"/>
      <c r="AC1025" s="6"/>
      <c r="AD1025" s="6"/>
      <c r="AE1025" s="6"/>
    </row>
    <row r="1026" spans="1:31" ht="51" x14ac:dyDescent="0.2">
      <c r="A1026" s="6" t="s">
        <v>5536</v>
      </c>
      <c r="B1026" s="6" t="s">
        <v>5556</v>
      </c>
      <c r="C1026" s="20" t="s">
        <v>5563</v>
      </c>
      <c r="D1026" s="6" t="s">
        <v>5564</v>
      </c>
      <c r="E1026" s="6"/>
      <c r="F1026" s="6" t="s">
        <v>5565</v>
      </c>
      <c r="G1026" s="6" t="s">
        <v>5566</v>
      </c>
      <c r="H1026" s="6" t="str">
        <f>CONCATENATE(F1026," (",G1026,")")</f>
        <v>MOUNTAIN LUCY
MOUNTAIN LUCY'S CHILD (P30
P173)</v>
      </c>
      <c r="I1026" s="6" t="s">
        <v>1068</v>
      </c>
      <c r="J1026" s="6"/>
      <c r="K1026" s="6"/>
      <c r="L1026" s="6" t="s">
        <v>55</v>
      </c>
      <c r="M1026" s="6" t="str">
        <f>VLOOKUP(L1026, GLOSSARY!$A:$C, 2, FALSE)</f>
        <v>EGYPT ESTATE</v>
      </c>
      <c r="N1026" s="6" t="s">
        <v>167</v>
      </c>
      <c r="O1026" s="6"/>
      <c r="P1026" s="6"/>
      <c r="Q1026" s="6"/>
      <c r="R1026" s="6"/>
      <c r="S1026" s="6"/>
      <c r="T1026" s="6"/>
      <c r="U1026" s="6"/>
      <c r="V1026" s="6"/>
      <c r="W1026" s="6"/>
      <c r="X1026" s="6"/>
      <c r="Y1026" s="6"/>
      <c r="Z1026" s="6"/>
      <c r="AA1026" s="6"/>
      <c r="AB1026" s="6"/>
      <c r="AC1026" s="6"/>
      <c r="AD1026" s="6"/>
      <c r="AE1026" s="6"/>
    </row>
    <row r="1027" spans="1:31" ht="76.5" x14ac:dyDescent="0.2">
      <c r="A1027" s="6" t="s">
        <v>4806</v>
      </c>
      <c r="B1027" s="6" t="s">
        <v>5556</v>
      </c>
      <c r="C1027" s="20" t="s">
        <v>5563</v>
      </c>
      <c r="D1027" s="6" t="s">
        <v>5567</v>
      </c>
      <c r="E1027" s="6"/>
      <c r="F1027" s="6" t="s">
        <v>5271</v>
      </c>
      <c r="G1027" s="6" t="s">
        <v>5242</v>
      </c>
      <c r="H1027" s="6" t="str">
        <f t="shared" ref="H1027:H1029" si="72">CONCATENATE(F1027,"(",G1027,")")</f>
        <v>EGYPT FIELDHANDS
LITTLE QUASHE [DRIVER](P315
P359)</v>
      </c>
      <c r="I1027" s="6" t="s">
        <v>784</v>
      </c>
      <c r="J1027" s="6"/>
      <c r="K1027" s="6"/>
      <c r="L1027" s="6" t="s">
        <v>55</v>
      </c>
      <c r="M1027" s="6" t="str">
        <f>VLOOKUP(L1027, GLOSSARY!$A:$C, 2, FALSE)</f>
        <v>EGYPT ESTATE</v>
      </c>
      <c r="N1027" s="6" t="s">
        <v>68</v>
      </c>
      <c r="O1027" s="6"/>
      <c r="P1027" s="6"/>
      <c r="Q1027" s="6"/>
      <c r="R1027" s="6"/>
      <c r="S1027" s="6"/>
      <c r="T1027" s="6"/>
      <c r="U1027" s="6"/>
      <c r="V1027" s="6"/>
      <c r="W1027" s="6"/>
      <c r="X1027" s="6"/>
      <c r="Y1027" s="6"/>
      <c r="Z1027" s="6"/>
      <c r="AA1027" s="6"/>
      <c r="AB1027" s="6"/>
      <c r="AC1027" s="6"/>
      <c r="AD1027" s="6"/>
      <c r="AE1027" s="6"/>
    </row>
    <row r="1028" spans="1:31" ht="114.75" x14ac:dyDescent="0.2">
      <c r="A1028" s="6" t="s">
        <v>5552</v>
      </c>
      <c r="B1028" s="6" t="s">
        <v>5568</v>
      </c>
      <c r="C1028" s="20" t="s">
        <v>5569</v>
      </c>
      <c r="D1028" s="6" t="s">
        <v>5570</v>
      </c>
      <c r="E1028" s="6"/>
      <c r="F1028" s="6"/>
      <c r="G1028" s="6"/>
      <c r="H1028" s="6" t="str">
        <f t="shared" si="72"/>
        <v>()</v>
      </c>
      <c r="I1028" s="6" t="s">
        <v>784</v>
      </c>
      <c r="J1028" s="6"/>
      <c r="K1028" s="6"/>
      <c r="L1028" s="6" t="s">
        <v>55</v>
      </c>
      <c r="M1028" s="6" t="str">
        <f>VLOOKUP(L1028, GLOSSARY!$A:$C, 2, FALSE)</f>
        <v>EGYPT ESTATE</v>
      </c>
      <c r="N1028" s="6" t="s">
        <v>167</v>
      </c>
      <c r="O1028" s="6"/>
      <c r="P1028" s="6"/>
      <c r="Q1028" s="6"/>
      <c r="R1028" s="6"/>
      <c r="S1028" s="6"/>
      <c r="T1028" s="6"/>
      <c r="U1028" s="6"/>
      <c r="V1028" s="6"/>
      <c r="W1028" s="6"/>
      <c r="X1028" s="6"/>
      <c r="Y1028" s="6"/>
      <c r="Z1028" s="6"/>
      <c r="AA1028" s="6"/>
      <c r="AB1028" s="6"/>
      <c r="AC1028" s="6"/>
      <c r="AD1028" s="6"/>
      <c r="AE1028" s="6"/>
    </row>
    <row r="1029" spans="1:31" ht="140.25" x14ac:dyDescent="0.2">
      <c r="A1029" s="6" t="s">
        <v>4806</v>
      </c>
      <c r="B1029" s="6" t="s">
        <v>5571</v>
      </c>
      <c r="C1029" s="20" t="s">
        <v>5569</v>
      </c>
      <c r="D1029" s="6" t="s">
        <v>5572</v>
      </c>
      <c r="E1029" s="6"/>
      <c r="F1029" s="6" t="s">
        <v>779</v>
      </c>
      <c r="G1029" s="6" t="s">
        <v>5242</v>
      </c>
      <c r="H1029" s="6" t="str">
        <f t="shared" si="72"/>
        <v>EGYPT FIELDHANDS(P315
P359)</v>
      </c>
      <c r="I1029" s="6" t="s">
        <v>784</v>
      </c>
      <c r="J1029" s="6"/>
      <c r="K1029" s="6"/>
      <c r="L1029" s="6" t="s">
        <v>2906</v>
      </c>
      <c r="M1029" s="6" t="str">
        <f>VLOOKUP(L1029, GLOSSARY!$A:$C, 2, FALSE)</f>
        <v>EGYPT JUDE HOUSE POND PIECE</v>
      </c>
      <c r="N1029" s="6" t="s">
        <v>287</v>
      </c>
      <c r="O1029" s="6"/>
      <c r="P1029" s="6"/>
      <c r="Q1029" s="6"/>
      <c r="R1029" s="6"/>
      <c r="S1029" s="6"/>
      <c r="T1029" s="6"/>
      <c r="U1029" s="6"/>
      <c r="V1029" s="6"/>
      <c r="W1029" s="6"/>
      <c r="X1029" s="6"/>
      <c r="Y1029" s="6"/>
      <c r="Z1029" s="6"/>
      <c r="AA1029" s="6"/>
      <c r="AB1029" s="6"/>
      <c r="AC1029" s="6"/>
      <c r="AD1029" s="6"/>
      <c r="AE1029" s="6"/>
    </row>
    <row r="1030" spans="1:31" ht="25.5" x14ac:dyDescent="0.2">
      <c r="A1030" s="6" t="s">
        <v>4657</v>
      </c>
      <c r="B1030" s="6" t="s">
        <v>5573</v>
      </c>
      <c r="C1030" s="20" t="s">
        <v>5574</v>
      </c>
      <c r="D1030" s="6" t="s">
        <v>5575</v>
      </c>
      <c r="E1030" s="6"/>
      <c r="F1030" s="6" t="s">
        <v>101</v>
      </c>
      <c r="G1030" s="6" t="s">
        <v>100</v>
      </c>
      <c r="H1030" s="6" t="str">
        <f>CONCATENATE(F1030," (",G1030,")")</f>
        <v>PHIBBAH (P7)</v>
      </c>
      <c r="I1030" s="6" t="s">
        <v>96</v>
      </c>
      <c r="J1030" s="6"/>
      <c r="K1030" s="6"/>
      <c r="L1030" s="6" t="s">
        <v>55</v>
      </c>
      <c r="M1030" s="6" t="str">
        <f>VLOOKUP(L1030, GLOSSARY!$A:$C, 2, FALSE)</f>
        <v>EGYPT ESTATE</v>
      </c>
      <c r="N1030" s="6" t="s">
        <v>68</v>
      </c>
      <c r="O1030" s="6"/>
      <c r="P1030" s="6"/>
      <c r="Q1030" s="6"/>
      <c r="R1030" s="6"/>
      <c r="S1030" s="6"/>
      <c r="T1030" s="6"/>
      <c r="U1030" s="6"/>
      <c r="V1030" s="6"/>
      <c r="W1030" s="6"/>
      <c r="X1030" s="6"/>
      <c r="Y1030" s="6"/>
      <c r="Z1030" s="6"/>
      <c r="AA1030" s="6"/>
      <c r="AB1030" s="6"/>
      <c r="AC1030" s="6"/>
      <c r="AD1030" s="6"/>
      <c r="AE1030" s="6"/>
    </row>
    <row r="1031" spans="1:31" ht="216.75" x14ac:dyDescent="0.2">
      <c r="A1031" s="6" t="s">
        <v>4806</v>
      </c>
      <c r="B1031" s="6" t="s">
        <v>5571</v>
      </c>
      <c r="C1031" s="20" t="s">
        <v>5574</v>
      </c>
      <c r="D1031" s="6" t="s">
        <v>5576</v>
      </c>
      <c r="E1031" s="6"/>
      <c r="F1031" s="6" t="s">
        <v>779</v>
      </c>
      <c r="G1031" s="6" t="s">
        <v>780</v>
      </c>
      <c r="H1031" s="6" t="str">
        <f t="shared" ref="H1031:H1035" si="73">CONCATENATE(F1031,"(",G1031,")")</f>
        <v>EGYPT FIELDHANDS(P315)</v>
      </c>
      <c r="I1031" s="6" t="s">
        <v>784</v>
      </c>
      <c r="J1031" s="6"/>
      <c r="K1031" s="6"/>
      <c r="L1031" s="6" t="s">
        <v>5577</v>
      </c>
      <c r="M1031" s="6" t="s">
        <v>5578</v>
      </c>
      <c r="N1031" s="6" t="s">
        <v>287</v>
      </c>
      <c r="O1031" s="6"/>
      <c r="P1031" s="6"/>
      <c r="Q1031" s="6"/>
      <c r="R1031" s="6"/>
      <c r="S1031" s="6"/>
      <c r="T1031" s="6"/>
      <c r="U1031" s="6"/>
      <c r="V1031" s="6"/>
      <c r="W1031" s="6"/>
      <c r="X1031" s="6"/>
      <c r="Y1031" s="6"/>
      <c r="Z1031" s="6"/>
      <c r="AA1031" s="6"/>
      <c r="AB1031" s="6"/>
      <c r="AC1031" s="6"/>
      <c r="AD1031" s="6"/>
      <c r="AE1031" s="6"/>
    </row>
    <row r="1032" spans="1:31" ht="102" x14ac:dyDescent="0.2">
      <c r="A1032" s="6" t="s">
        <v>4806</v>
      </c>
      <c r="B1032" s="6" t="s">
        <v>5573</v>
      </c>
      <c r="C1032" s="20" t="s">
        <v>5579</v>
      </c>
      <c r="D1032" s="6" t="s">
        <v>5580</v>
      </c>
      <c r="E1032" s="6"/>
      <c r="F1032" s="6" t="s">
        <v>779</v>
      </c>
      <c r="G1032" s="6" t="s">
        <v>780</v>
      </c>
      <c r="H1032" s="6" t="str">
        <f t="shared" si="73"/>
        <v>EGYPT FIELDHANDS(P315)</v>
      </c>
      <c r="I1032" s="6" t="s">
        <v>784</v>
      </c>
      <c r="J1032" s="6"/>
      <c r="K1032" s="6"/>
      <c r="L1032" s="6" t="s">
        <v>5581</v>
      </c>
      <c r="M1032" s="6" t="s">
        <v>5582</v>
      </c>
      <c r="N1032" s="6"/>
      <c r="O1032" s="6"/>
      <c r="P1032" s="6"/>
      <c r="Q1032" s="6"/>
      <c r="R1032" s="6"/>
      <c r="S1032" s="6"/>
      <c r="T1032" s="6"/>
      <c r="U1032" s="6"/>
      <c r="V1032" s="6"/>
      <c r="W1032" s="6"/>
      <c r="X1032" s="6"/>
      <c r="Y1032" s="6"/>
      <c r="Z1032" s="6"/>
      <c r="AA1032" s="6"/>
      <c r="AB1032" s="6"/>
      <c r="AC1032" s="6"/>
      <c r="AD1032" s="6"/>
      <c r="AE1032" s="6"/>
    </row>
    <row r="1033" spans="1:31" ht="38.25" x14ac:dyDescent="0.2">
      <c r="A1033" s="6" t="s">
        <v>5583</v>
      </c>
      <c r="B1033" s="6" t="s">
        <v>5573</v>
      </c>
      <c r="C1033" s="50" t="s">
        <v>5584</v>
      </c>
      <c r="D1033" s="6" t="s">
        <v>5585</v>
      </c>
      <c r="E1033" s="6"/>
      <c r="F1033" s="6"/>
      <c r="G1033" s="6"/>
      <c r="H1033" s="6" t="str">
        <f t="shared" si="73"/>
        <v>()</v>
      </c>
      <c r="I1033" s="6" t="s">
        <v>26</v>
      </c>
      <c r="J1033" s="6"/>
      <c r="K1033" s="6"/>
      <c r="L1033" s="6"/>
      <c r="M1033" s="6" t="e">
        <f>VLOOKUP(L1033, GLOSSARY!$A:$C, 2, FALSE)</f>
        <v>#N/A</v>
      </c>
      <c r="N1033" s="6" t="s">
        <v>287</v>
      </c>
      <c r="O1033" s="6"/>
      <c r="P1033" s="6"/>
      <c r="Q1033" s="6"/>
      <c r="R1033" s="6"/>
      <c r="S1033" s="6"/>
      <c r="T1033" s="6"/>
      <c r="U1033" s="6"/>
      <c r="V1033" s="6"/>
      <c r="W1033" s="6"/>
      <c r="X1033" s="6"/>
      <c r="Y1033" s="6"/>
      <c r="Z1033" s="6"/>
      <c r="AA1033" s="6"/>
      <c r="AB1033" s="6"/>
      <c r="AC1033" s="6"/>
      <c r="AD1033" s="6"/>
      <c r="AE1033" s="6"/>
    </row>
    <row r="1034" spans="1:31" ht="38.25" x14ac:dyDescent="0.2">
      <c r="A1034" s="6" t="s">
        <v>5552</v>
      </c>
      <c r="B1034" s="6" t="s">
        <v>5586</v>
      </c>
      <c r="C1034" s="20" t="s">
        <v>5587</v>
      </c>
      <c r="D1034" s="6" t="s">
        <v>5588</v>
      </c>
      <c r="E1034" s="6"/>
      <c r="F1034" s="6"/>
      <c r="G1034" s="6"/>
      <c r="H1034" s="6" t="str">
        <f t="shared" si="73"/>
        <v>()</v>
      </c>
      <c r="I1034" s="6" t="s">
        <v>784</v>
      </c>
      <c r="J1034" s="6"/>
      <c r="K1034" s="6"/>
      <c r="L1034" s="6" t="s">
        <v>55</v>
      </c>
      <c r="M1034" s="6" t="str">
        <f>VLOOKUP(L1034, GLOSSARY!$A:$C, 2, FALSE)</f>
        <v>EGYPT ESTATE</v>
      </c>
      <c r="N1034" s="6" t="s">
        <v>68</v>
      </c>
      <c r="O1034" s="6"/>
      <c r="P1034" s="6"/>
      <c r="Q1034" s="6"/>
      <c r="R1034" s="6"/>
      <c r="S1034" s="6"/>
      <c r="T1034" s="6"/>
      <c r="U1034" s="6"/>
      <c r="V1034" s="6"/>
      <c r="W1034" s="6"/>
      <c r="X1034" s="6"/>
      <c r="Y1034" s="6"/>
      <c r="Z1034" s="6"/>
      <c r="AA1034" s="6"/>
      <c r="AB1034" s="6"/>
      <c r="AC1034" s="6"/>
      <c r="AD1034" s="6"/>
      <c r="AE1034" s="6"/>
    </row>
    <row r="1035" spans="1:31" ht="102" x14ac:dyDescent="0.2">
      <c r="A1035" s="6" t="s">
        <v>4806</v>
      </c>
      <c r="B1035" s="6" t="s">
        <v>5589</v>
      </c>
      <c r="C1035" s="20" t="s">
        <v>5587</v>
      </c>
      <c r="D1035" s="6" t="s">
        <v>5590</v>
      </c>
      <c r="E1035" s="6"/>
      <c r="F1035" s="6" t="s">
        <v>779</v>
      </c>
      <c r="G1035" s="6" t="s">
        <v>780</v>
      </c>
      <c r="H1035" s="6" t="str">
        <f t="shared" si="73"/>
        <v>EGYPT FIELDHANDS(P315)</v>
      </c>
      <c r="I1035" s="6" t="s">
        <v>784</v>
      </c>
      <c r="J1035" s="6"/>
      <c r="K1035" s="6"/>
      <c r="L1035" s="6" t="s">
        <v>5581</v>
      </c>
      <c r="M1035" s="6" t="s">
        <v>5591</v>
      </c>
      <c r="N1035" s="6"/>
      <c r="O1035" s="6"/>
      <c r="P1035" s="6"/>
      <c r="Q1035" s="6"/>
      <c r="R1035" s="6"/>
      <c r="S1035" s="6"/>
      <c r="T1035" s="6"/>
      <c r="U1035" s="6"/>
      <c r="V1035" s="6"/>
      <c r="W1035" s="6"/>
      <c r="X1035" s="6"/>
      <c r="Y1035" s="6"/>
      <c r="Z1035" s="6"/>
      <c r="AA1035" s="6"/>
      <c r="AB1035" s="6"/>
      <c r="AC1035" s="6"/>
      <c r="AD1035" s="6"/>
      <c r="AE1035" s="6"/>
    </row>
    <row r="1036" spans="1:31" ht="63.75" x14ac:dyDescent="0.2">
      <c r="A1036" s="6" t="s">
        <v>5592</v>
      </c>
      <c r="B1036" s="6" t="s">
        <v>5593</v>
      </c>
      <c r="C1036" s="20" t="s">
        <v>5594</v>
      </c>
      <c r="D1036" s="6" t="s">
        <v>5595</v>
      </c>
      <c r="E1036" s="6"/>
      <c r="F1036" s="6" t="s">
        <v>2136</v>
      </c>
      <c r="G1036" s="6" t="s">
        <v>2135</v>
      </c>
      <c r="H1036" s="6" t="str">
        <f>CONCATENATE(F1036," (",G1036,")")</f>
        <v>P7
P43 (PHIBBAH
THE OVERSEER)</v>
      </c>
      <c r="I1036" s="6" t="s">
        <v>1678</v>
      </c>
      <c r="J1036" s="6"/>
      <c r="K1036" s="6"/>
      <c r="L1036" s="6" t="s">
        <v>55</v>
      </c>
      <c r="M1036" s="6" t="str">
        <f>VLOOKUP(L1036, GLOSSARY!$A:$C, 2, FALSE)</f>
        <v>EGYPT ESTATE</v>
      </c>
      <c r="N1036" s="6" t="s">
        <v>167</v>
      </c>
      <c r="O1036" s="6"/>
      <c r="P1036" s="6"/>
      <c r="Q1036" s="6"/>
      <c r="R1036" s="6"/>
      <c r="S1036" s="6"/>
      <c r="T1036" s="6"/>
      <c r="U1036" s="6"/>
      <c r="V1036" s="6"/>
      <c r="W1036" s="6"/>
      <c r="X1036" s="6"/>
      <c r="Y1036" s="6"/>
      <c r="Z1036" s="6"/>
      <c r="AA1036" s="6"/>
      <c r="AB1036" s="6"/>
      <c r="AC1036" s="6"/>
      <c r="AD1036" s="6"/>
      <c r="AE1036" s="6"/>
    </row>
    <row r="1037" spans="1:31" ht="102" x14ac:dyDescent="0.2">
      <c r="A1037" s="6" t="s">
        <v>4806</v>
      </c>
      <c r="B1037" s="6" t="s">
        <v>5589</v>
      </c>
      <c r="C1037" s="20" t="s">
        <v>5594</v>
      </c>
      <c r="D1037" s="6" t="s">
        <v>5596</v>
      </c>
      <c r="E1037" s="6"/>
      <c r="F1037" s="6" t="s">
        <v>779</v>
      </c>
      <c r="G1037" s="6" t="s">
        <v>780</v>
      </c>
      <c r="H1037" s="6" t="str">
        <f t="shared" ref="H1037:H1049" si="74">CONCATENATE(F1037,"(",G1037,")")</f>
        <v>EGYPT FIELDHANDS(P315)</v>
      </c>
      <c r="I1037" s="6" t="s">
        <v>784</v>
      </c>
      <c r="J1037" s="6"/>
      <c r="K1037" s="6"/>
      <c r="L1037" s="6" t="s">
        <v>5597</v>
      </c>
      <c r="M1037" s="6" t="s">
        <v>5598</v>
      </c>
      <c r="N1037" s="6" t="s">
        <v>287</v>
      </c>
      <c r="O1037" s="6"/>
      <c r="P1037" s="6"/>
      <c r="Q1037" s="6"/>
      <c r="R1037" s="6"/>
      <c r="S1037" s="6"/>
      <c r="T1037" s="6"/>
      <c r="U1037" s="6"/>
      <c r="V1037" s="6"/>
      <c r="W1037" s="6"/>
      <c r="X1037" s="6"/>
      <c r="Y1037" s="6"/>
      <c r="Z1037" s="6"/>
      <c r="AA1037" s="6"/>
      <c r="AB1037" s="6"/>
      <c r="AC1037" s="6"/>
      <c r="AD1037" s="6"/>
      <c r="AE1037" s="6"/>
    </row>
    <row r="1038" spans="1:31" ht="76.5" x14ac:dyDescent="0.2">
      <c r="A1038" s="6" t="s">
        <v>4806</v>
      </c>
      <c r="B1038" s="6" t="s">
        <v>5599</v>
      </c>
      <c r="C1038" s="20" t="s">
        <v>5600</v>
      </c>
      <c r="D1038" s="6" t="s">
        <v>5601</v>
      </c>
      <c r="E1038" s="6"/>
      <c r="F1038" s="6" t="s">
        <v>5271</v>
      </c>
      <c r="G1038" s="6" t="s">
        <v>5242</v>
      </c>
      <c r="H1038" s="6" t="str">
        <f t="shared" si="74"/>
        <v>EGYPT FIELDHANDS
LITTLE QUASHE [DRIVER](P315
P359)</v>
      </c>
      <c r="I1038" s="6" t="s">
        <v>784</v>
      </c>
      <c r="J1038" s="6"/>
      <c r="K1038" s="6"/>
      <c r="L1038" s="6" t="s">
        <v>2909</v>
      </c>
      <c r="M1038" s="6" t="str">
        <f>VLOOKUP(L1038, GLOSSARY!$A:$C, 2, FALSE)</f>
        <v>EGYPT OLD SHEEP PEN PIECE</v>
      </c>
      <c r="N1038" s="6" t="s">
        <v>287</v>
      </c>
      <c r="O1038" s="6"/>
      <c r="P1038" s="6"/>
      <c r="Q1038" s="6"/>
      <c r="R1038" s="6"/>
      <c r="S1038" s="6"/>
      <c r="T1038" s="6"/>
      <c r="U1038" s="6"/>
      <c r="V1038" s="6"/>
      <c r="W1038" s="6"/>
      <c r="X1038" s="6"/>
      <c r="Y1038" s="6"/>
      <c r="Z1038" s="6"/>
      <c r="AA1038" s="6"/>
      <c r="AB1038" s="6"/>
      <c r="AC1038" s="6"/>
      <c r="AD1038" s="6"/>
      <c r="AE1038" s="6"/>
    </row>
    <row r="1039" spans="1:31" ht="89.25" x14ac:dyDescent="0.2">
      <c r="A1039" s="6" t="s">
        <v>4806</v>
      </c>
      <c r="B1039" s="6" t="s">
        <v>5602</v>
      </c>
      <c r="C1039" s="20" t="s">
        <v>5600</v>
      </c>
      <c r="D1039" s="6" t="s">
        <v>5603</v>
      </c>
      <c r="E1039" s="6"/>
      <c r="F1039" s="6"/>
      <c r="G1039" s="6"/>
      <c r="H1039" s="6" t="str">
        <f t="shared" si="74"/>
        <v>()</v>
      </c>
      <c r="I1039" s="6" t="s">
        <v>26</v>
      </c>
      <c r="J1039" s="6"/>
      <c r="K1039" s="6"/>
      <c r="L1039" s="6" t="s">
        <v>55</v>
      </c>
      <c r="M1039" s="6" t="str">
        <f>VLOOKUP(L1039, GLOSSARY!$A:$C, 2, FALSE)</f>
        <v>EGYPT ESTATE</v>
      </c>
      <c r="N1039" s="6" t="s">
        <v>167</v>
      </c>
      <c r="O1039" s="6"/>
      <c r="P1039" s="6"/>
      <c r="Q1039" s="6"/>
      <c r="R1039" s="6"/>
      <c r="S1039" s="6"/>
      <c r="T1039" s="6"/>
      <c r="U1039" s="6"/>
      <c r="V1039" s="6"/>
      <c r="W1039" s="6"/>
      <c r="X1039" s="6"/>
      <c r="Y1039" s="6"/>
      <c r="Z1039" s="6"/>
      <c r="AA1039" s="6"/>
      <c r="AB1039" s="6"/>
      <c r="AC1039" s="6"/>
      <c r="AD1039" s="6"/>
      <c r="AE1039" s="6"/>
    </row>
    <row r="1040" spans="1:31" ht="267.75" x14ac:dyDescent="0.2">
      <c r="A1040" s="6" t="s">
        <v>5604</v>
      </c>
      <c r="B1040" s="6" t="s">
        <v>5602</v>
      </c>
      <c r="C1040" s="20" t="s">
        <v>5605</v>
      </c>
      <c r="D1040" s="6" t="s">
        <v>5606</v>
      </c>
      <c r="E1040" s="6"/>
      <c r="F1040" s="6" t="s">
        <v>5607</v>
      </c>
      <c r="G1040" s="6" t="s">
        <v>5608</v>
      </c>
      <c r="H1040" s="6" t="str">
        <f t="shared" si="74"/>
        <v>LEWIE
QUACO
BECK
BIG MIMBER
BIG DOLL
CLOE(P317
P298
P361
P362
P363
P101)</v>
      </c>
      <c r="I1040" s="6" t="s">
        <v>533</v>
      </c>
      <c r="J1040" s="6"/>
      <c r="K1040" s="6"/>
      <c r="L1040" s="6" t="s">
        <v>55</v>
      </c>
      <c r="M1040" s="6" t="str">
        <f>VLOOKUP(L1040, GLOSSARY!$A:$C, 2, FALSE)</f>
        <v>EGYPT ESTATE</v>
      </c>
      <c r="N1040" s="6" t="s">
        <v>287</v>
      </c>
      <c r="O1040" s="6"/>
      <c r="P1040" s="6"/>
      <c r="Q1040" s="6"/>
      <c r="R1040" s="6"/>
      <c r="S1040" s="6"/>
      <c r="T1040" s="6"/>
      <c r="U1040" s="6"/>
      <c r="V1040" s="6"/>
      <c r="W1040" s="6"/>
      <c r="X1040" s="6"/>
      <c r="Y1040" s="6"/>
      <c r="Z1040" s="6"/>
      <c r="AA1040" s="6"/>
      <c r="AB1040" s="6"/>
      <c r="AC1040" s="6"/>
      <c r="AD1040" s="6"/>
      <c r="AE1040" s="6"/>
    </row>
    <row r="1041" spans="1:31" ht="76.5" x14ac:dyDescent="0.2">
      <c r="A1041" s="6" t="s">
        <v>5552</v>
      </c>
      <c r="B1041" s="6" t="s">
        <v>5609</v>
      </c>
      <c r="C1041" s="20" t="s">
        <v>5610</v>
      </c>
      <c r="D1041" s="6" t="s">
        <v>5611</v>
      </c>
      <c r="E1041" s="6"/>
      <c r="F1041" s="6"/>
      <c r="G1041" s="6"/>
      <c r="H1041" s="6" t="str">
        <f t="shared" si="74"/>
        <v>()</v>
      </c>
      <c r="I1041" s="6" t="s">
        <v>784</v>
      </c>
      <c r="J1041" s="6"/>
      <c r="K1041" s="6"/>
      <c r="L1041" s="6" t="s">
        <v>55</v>
      </c>
      <c r="M1041" s="6" t="str">
        <f>VLOOKUP(L1041, GLOSSARY!$A:$C, 2, FALSE)</f>
        <v>EGYPT ESTATE</v>
      </c>
      <c r="N1041" s="6" t="s">
        <v>68</v>
      </c>
      <c r="O1041" s="6"/>
      <c r="P1041" s="6"/>
      <c r="Q1041" s="6"/>
      <c r="R1041" s="6"/>
      <c r="S1041" s="6"/>
      <c r="T1041" s="6"/>
      <c r="U1041" s="6"/>
      <c r="V1041" s="6"/>
      <c r="W1041" s="6"/>
      <c r="X1041" s="6"/>
      <c r="Y1041" s="6"/>
      <c r="Z1041" s="6"/>
      <c r="AA1041" s="6"/>
      <c r="AB1041" s="6"/>
      <c r="AC1041" s="6"/>
      <c r="AD1041" s="6"/>
      <c r="AE1041" s="6"/>
    </row>
    <row r="1042" spans="1:31" ht="76.5" x14ac:dyDescent="0.2">
      <c r="A1042" s="6" t="s">
        <v>4806</v>
      </c>
      <c r="B1042" s="6" t="s">
        <v>5609</v>
      </c>
      <c r="C1042" s="20" t="s">
        <v>5610</v>
      </c>
      <c r="D1042" s="6" t="s">
        <v>5612</v>
      </c>
      <c r="E1042" s="6"/>
      <c r="F1042" s="6" t="s">
        <v>5530</v>
      </c>
      <c r="G1042" s="6" t="s">
        <v>5242</v>
      </c>
      <c r="H1042" s="6" t="str">
        <f t="shared" si="74"/>
        <v>EGYPT FIELD HANDS
LITTLE QUASHE [DRIVER](P315
P359)</v>
      </c>
      <c r="I1042" s="6" t="s">
        <v>784</v>
      </c>
      <c r="J1042" s="6"/>
      <c r="K1042" s="6"/>
      <c r="L1042" s="6" t="s">
        <v>55</v>
      </c>
      <c r="M1042" s="6" t="str">
        <f>VLOOKUP(L1042, GLOSSARY!$A:$C, 2, FALSE)</f>
        <v>EGYPT ESTATE</v>
      </c>
      <c r="N1042" s="6" t="s">
        <v>287</v>
      </c>
      <c r="O1042" s="6"/>
      <c r="P1042" s="6"/>
      <c r="Q1042" s="6"/>
      <c r="R1042" s="6"/>
      <c r="S1042" s="6"/>
      <c r="T1042" s="6"/>
      <c r="U1042" s="6"/>
      <c r="V1042" s="6"/>
      <c r="W1042" s="6"/>
      <c r="X1042" s="6"/>
      <c r="Y1042" s="6"/>
      <c r="Z1042" s="6"/>
      <c r="AA1042" s="6"/>
      <c r="AB1042" s="6"/>
      <c r="AC1042" s="6"/>
      <c r="AD1042" s="6"/>
      <c r="AE1042" s="6"/>
    </row>
    <row r="1043" spans="1:31" ht="63.75" x14ac:dyDescent="0.2">
      <c r="A1043" s="6" t="s">
        <v>5613</v>
      </c>
      <c r="B1043" s="6" t="s">
        <v>5614</v>
      </c>
      <c r="C1043" s="20" t="s">
        <v>5615</v>
      </c>
      <c r="D1043" s="6" t="s">
        <v>5616</v>
      </c>
      <c r="E1043" s="6"/>
      <c r="F1043" s="6" t="s">
        <v>5617</v>
      </c>
      <c r="G1043" s="6" t="s">
        <v>5618</v>
      </c>
      <c r="H1043" s="6" t="str">
        <f t="shared" si="74"/>
        <v>ROBERT LAWRENCE
EGYPT QUASHEBA(P327
P240)</v>
      </c>
      <c r="I1043" s="6" t="s">
        <v>409</v>
      </c>
      <c r="J1043" s="6"/>
      <c r="K1043" s="6"/>
      <c r="L1043" s="6" t="s">
        <v>55</v>
      </c>
      <c r="M1043" s="6" t="str">
        <f>VLOOKUP(L1043, GLOSSARY!$A:$C, 2, FALSE)</f>
        <v>EGYPT ESTATE</v>
      </c>
      <c r="N1043" s="6" t="s">
        <v>167</v>
      </c>
      <c r="O1043" s="6"/>
      <c r="P1043" s="6"/>
      <c r="Q1043" s="6"/>
      <c r="R1043" s="6"/>
      <c r="S1043" s="6"/>
      <c r="T1043" s="6"/>
      <c r="U1043" s="6"/>
      <c r="V1043" s="6"/>
      <c r="W1043" s="6"/>
      <c r="X1043" s="6"/>
      <c r="Y1043" s="6"/>
      <c r="Z1043" s="6"/>
      <c r="AA1043" s="6"/>
      <c r="AB1043" s="6"/>
      <c r="AC1043" s="6"/>
      <c r="AD1043" s="6"/>
      <c r="AE1043" s="6"/>
    </row>
    <row r="1044" spans="1:31" ht="127.5" x14ac:dyDescent="0.2">
      <c r="A1044" s="6" t="s">
        <v>5613</v>
      </c>
      <c r="B1044" s="6" t="s">
        <v>5619</v>
      </c>
      <c r="C1044" s="20" t="s">
        <v>5620</v>
      </c>
      <c r="D1044" s="6" t="s">
        <v>5621</v>
      </c>
      <c r="E1044" s="6"/>
      <c r="F1044" s="6" t="s">
        <v>5617</v>
      </c>
      <c r="G1044" s="6" t="s">
        <v>5618</v>
      </c>
      <c r="H1044" s="6" t="str">
        <f t="shared" si="74"/>
        <v>ROBERT LAWRENCE
EGYPT QUASHEBA(P327
P240)</v>
      </c>
      <c r="I1044" s="6" t="s">
        <v>248</v>
      </c>
      <c r="J1044" s="6"/>
      <c r="K1044" s="6"/>
      <c r="L1044" s="6" t="s">
        <v>55</v>
      </c>
      <c r="M1044" s="6" t="str">
        <f>VLOOKUP(L1044, GLOSSARY!$A:$C, 2, FALSE)</f>
        <v>EGYPT ESTATE</v>
      </c>
      <c r="N1044" s="6" t="s">
        <v>167</v>
      </c>
      <c r="O1044" s="6"/>
      <c r="P1044" s="6"/>
      <c r="Q1044" s="6"/>
      <c r="R1044" s="6"/>
      <c r="S1044" s="6"/>
      <c r="T1044" s="6"/>
      <c r="U1044" s="6"/>
      <c r="V1044" s="6"/>
      <c r="W1044" s="6"/>
      <c r="X1044" s="6"/>
      <c r="Y1044" s="6"/>
      <c r="Z1044" s="6"/>
      <c r="AA1044" s="6"/>
      <c r="AB1044" s="6"/>
      <c r="AC1044" s="6"/>
      <c r="AD1044" s="6"/>
      <c r="AE1044" s="6"/>
    </row>
    <row r="1045" spans="1:31" ht="76.5" x14ac:dyDescent="0.2">
      <c r="A1045" s="6" t="s">
        <v>4806</v>
      </c>
      <c r="B1045" s="6" t="s">
        <v>5622</v>
      </c>
      <c r="C1045" s="20" t="s">
        <v>5620</v>
      </c>
      <c r="D1045" s="6" t="s">
        <v>5623</v>
      </c>
      <c r="E1045" s="6"/>
      <c r="F1045" s="6" t="s">
        <v>5530</v>
      </c>
      <c r="G1045" s="6" t="s">
        <v>5242</v>
      </c>
      <c r="H1045" s="6" t="str">
        <f t="shared" si="74"/>
        <v>EGYPT FIELD HANDS
LITTLE QUASHE [DRIVER](P315
P359)</v>
      </c>
      <c r="I1045" s="6" t="s">
        <v>784</v>
      </c>
      <c r="J1045" s="6"/>
      <c r="K1045" s="6"/>
      <c r="L1045" s="6" t="s">
        <v>2909</v>
      </c>
      <c r="M1045" s="6" t="s">
        <v>2910</v>
      </c>
      <c r="N1045" s="6" t="s">
        <v>287</v>
      </c>
      <c r="O1045" s="6"/>
      <c r="P1045" s="6"/>
      <c r="Q1045" s="6"/>
      <c r="R1045" s="6"/>
      <c r="S1045" s="6"/>
      <c r="T1045" s="6"/>
      <c r="U1045" s="6"/>
      <c r="V1045" s="6"/>
      <c r="W1045" s="6"/>
      <c r="X1045" s="6"/>
      <c r="Y1045" s="6"/>
      <c r="Z1045" s="6"/>
      <c r="AA1045" s="6"/>
      <c r="AB1045" s="6"/>
      <c r="AC1045" s="6"/>
      <c r="AD1045" s="6"/>
      <c r="AE1045" s="6"/>
    </row>
    <row r="1046" spans="1:31" ht="89.25" x14ac:dyDescent="0.2">
      <c r="A1046" s="6" t="s">
        <v>5327</v>
      </c>
      <c r="B1046" s="6" t="s">
        <v>5624</v>
      </c>
      <c r="C1046" s="20" t="s">
        <v>5625</v>
      </c>
      <c r="D1046" s="6" t="s">
        <v>5626</v>
      </c>
      <c r="E1046" s="6"/>
      <c r="F1046" s="6" t="s">
        <v>412</v>
      </c>
      <c r="G1046" s="6" t="s">
        <v>410</v>
      </c>
      <c r="H1046" s="6" t="str">
        <f t="shared" si="74"/>
        <v>THE PLANTER'S WIFE(P45)</v>
      </c>
      <c r="I1046" s="6" t="s">
        <v>198</v>
      </c>
      <c r="J1046" s="6"/>
      <c r="K1046" s="6"/>
      <c r="L1046" s="6" t="s">
        <v>55</v>
      </c>
      <c r="M1046" s="6" t="str">
        <f>VLOOKUP(L1046, GLOSSARY!$A:$C, 2, FALSE)</f>
        <v>EGYPT ESTATE</v>
      </c>
      <c r="N1046" s="6" t="s">
        <v>68</v>
      </c>
      <c r="O1046" s="6"/>
      <c r="P1046" s="6"/>
      <c r="Q1046" s="6"/>
      <c r="R1046" s="6"/>
      <c r="S1046" s="6"/>
      <c r="T1046" s="6"/>
      <c r="U1046" s="6"/>
      <c r="V1046" s="6"/>
      <c r="W1046" s="6"/>
      <c r="X1046" s="6"/>
      <c r="Y1046" s="6"/>
      <c r="Z1046" s="6"/>
      <c r="AA1046" s="6"/>
      <c r="AB1046" s="6"/>
      <c r="AC1046" s="6"/>
      <c r="AD1046" s="6"/>
      <c r="AE1046" s="6"/>
    </row>
    <row r="1047" spans="1:31" ht="38.25" x14ac:dyDescent="0.2">
      <c r="A1047" s="6" t="s">
        <v>5552</v>
      </c>
      <c r="B1047" s="6" t="s">
        <v>5627</v>
      </c>
      <c r="C1047" s="20" t="s">
        <v>5628</v>
      </c>
      <c r="D1047" s="6" t="s">
        <v>5629</v>
      </c>
      <c r="E1047" s="6"/>
      <c r="F1047" s="6"/>
      <c r="G1047" s="6"/>
      <c r="H1047" s="6" t="str">
        <f t="shared" si="74"/>
        <v>()</v>
      </c>
      <c r="I1047" s="6" t="s">
        <v>784</v>
      </c>
      <c r="J1047" s="6"/>
      <c r="K1047" s="6"/>
      <c r="L1047" s="6" t="s">
        <v>55</v>
      </c>
      <c r="M1047" s="6" t="str">
        <f>VLOOKUP(L1047, GLOSSARY!$A:$C, 2, FALSE)</f>
        <v>EGYPT ESTATE</v>
      </c>
      <c r="N1047" s="6" t="s">
        <v>68</v>
      </c>
      <c r="O1047" s="6"/>
      <c r="P1047" s="6"/>
      <c r="Q1047" s="6"/>
      <c r="R1047" s="6"/>
      <c r="S1047" s="6"/>
      <c r="T1047" s="6"/>
      <c r="U1047" s="6"/>
      <c r="V1047" s="6"/>
      <c r="W1047" s="6"/>
      <c r="X1047" s="6"/>
      <c r="Y1047" s="6"/>
      <c r="Z1047" s="6"/>
      <c r="AA1047" s="6"/>
      <c r="AB1047" s="6"/>
      <c r="AC1047" s="6"/>
      <c r="AD1047" s="6"/>
      <c r="AE1047" s="6"/>
    </row>
    <row r="1048" spans="1:31" ht="76.5" x14ac:dyDescent="0.2">
      <c r="A1048" s="6" t="s">
        <v>5552</v>
      </c>
      <c r="B1048" s="6" t="s">
        <v>5630</v>
      </c>
      <c r="C1048" s="20" t="s">
        <v>5631</v>
      </c>
      <c r="D1048" s="6" t="s">
        <v>5632</v>
      </c>
      <c r="E1048" s="6"/>
      <c r="F1048" s="6"/>
      <c r="G1048" s="6"/>
      <c r="H1048" s="6" t="str">
        <f t="shared" si="74"/>
        <v>()</v>
      </c>
      <c r="I1048" s="6" t="s">
        <v>784</v>
      </c>
      <c r="J1048" s="6"/>
      <c r="K1048" s="6"/>
      <c r="L1048" s="6" t="s">
        <v>55</v>
      </c>
      <c r="M1048" s="6" t="str">
        <f>VLOOKUP(L1048, GLOSSARY!$A:$C, 2, FALSE)</f>
        <v>EGYPT ESTATE</v>
      </c>
      <c r="N1048" s="6" t="s">
        <v>167</v>
      </c>
      <c r="O1048" s="6"/>
      <c r="P1048" s="6"/>
      <c r="Q1048" s="6"/>
      <c r="R1048" s="6"/>
      <c r="S1048" s="6"/>
      <c r="T1048" s="6"/>
      <c r="U1048" s="6"/>
      <c r="V1048" s="6"/>
      <c r="W1048" s="6"/>
      <c r="X1048" s="6"/>
      <c r="Y1048" s="6"/>
      <c r="Z1048" s="6"/>
      <c r="AA1048" s="6"/>
      <c r="AB1048" s="6"/>
      <c r="AC1048" s="6"/>
      <c r="AD1048" s="6"/>
      <c r="AE1048" s="6"/>
    </row>
    <row r="1049" spans="1:31" ht="127.5" x14ac:dyDescent="0.2">
      <c r="A1049" s="6" t="s">
        <v>4806</v>
      </c>
      <c r="B1049" s="6" t="s">
        <v>5630</v>
      </c>
      <c r="C1049" s="20" t="s">
        <v>5631</v>
      </c>
      <c r="D1049" s="6" t="s">
        <v>5633</v>
      </c>
      <c r="E1049" s="6"/>
      <c r="F1049" s="6" t="s">
        <v>1842</v>
      </c>
      <c r="G1049" s="6" t="s">
        <v>780</v>
      </c>
      <c r="H1049" s="6" t="str">
        <f t="shared" si="74"/>
        <v>EGYPT FIELD HANDS(P315)</v>
      </c>
      <c r="I1049" s="6" t="s">
        <v>784</v>
      </c>
      <c r="J1049" s="6"/>
      <c r="K1049" s="6"/>
      <c r="L1049" s="6" t="s">
        <v>5634</v>
      </c>
      <c r="M1049" s="6" t="s">
        <v>5635</v>
      </c>
      <c r="N1049" s="6" t="s">
        <v>287</v>
      </c>
      <c r="O1049" s="6"/>
      <c r="P1049" s="6"/>
      <c r="Q1049" s="6"/>
      <c r="R1049" s="6"/>
      <c r="S1049" s="6"/>
      <c r="T1049" s="6"/>
      <c r="U1049" s="6"/>
      <c r="V1049" s="6"/>
      <c r="W1049" s="6"/>
      <c r="X1049" s="6"/>
      <c r="Y1049" s="6"/>
      <c r="Z1049" s="6"/>
      <c r="AA1049" s="6"/>
      <c r="AB1049" s="6"/>
      <c r="AC1049" s="6"/>
      <c r="AD1049" s="6"/>
      <c r="AE1049" s="6"/>
    </row>
    <row r="1050" spans="1:31" ht="51" x14ac:dyDescent="0.2">
      <c r="A1050" s="6" t="s">
        <v>5636</v>
      </c>
      <c r="B1050" s="6" t="s">
        <v>5637</v>
      </c>
      <c r="C1050" s="20" t="s">
        <v>5638</v>
      </c>
      <c r="D1050" s="6" t="s">
        <v>5639</v>
      </c>
      <c r="E1050" s="6"/>
      <c r="F1050" s="6" t="s">
        <v>5640</v>
      </c>
      <c r="G1050" s="6" t="s">
        <v>5641</v>
      </c>
      <c r="H1050" s="6" t="str">
        <f t="shared" ref="H1050:H1051" si="75">CONCATENATE(F1050," (",G1050,")")</f>
        <v>SARAH
SARAH'S CHILD/SON (P106
P174)</v>
      </c>
      <c r="I1050" s="6" t="s">
        <v>96</v>
      </c>
      <c r="J1050" s="6"/>
      <c r="K1050" s="6"/>
      <c r="L1050" s="6" t="s">
        <v>55</v>
      </c>
      <c r="M1050" s="6" t="str">
        <f>VLOOKUP(L1050, GLOSSARY!$A:$C, 2, FALSE)</f>
        <v>EGYPT ESTATE</v>
      </c>
      <c r="N1050" s="6" t="s">
        <v>68</v>
      </c>
      <c r="O1050" s="6"/>
      <c r="P1050" s="6"/>
      <c r="Q1050" s="6"/>
      <c r="R1050" s="6"/>
      <c r="S1050" s="6"/>
      <c r="T1050" s="6"/>
      <c r="U1050" s="6"/>
      <c r="V1050" s="6"/>
      <c r="W1050" s="6"/>
      <c r="X1050" s="6"/>
      <c r="Y1050" s="6"/>
      <c r="Z1050" s="6"/>
      <c r="AA1050" s="6"/>
      <c r="AB1050" s="6"/>
      <c r="AC1050" s="6"/>
      <c r="AD1050" s="6"/>
      <c r="AE1050" s="6"/>
    </row>
    <row r="1051" spans="1:31" ht="25.5" x14ac:dyDescent="0.2">
      <c r="A1051" s="6" t="s">
        <v>5636</v>
      </c>
      <c r="B1051" s="6" t="s">
        <v>5642</v>
      </c>
      <c r="C1051" s="20" t="s">
        <v>5643</v>
      </c>
      <c r="D1051" s="6" t="s">
        <v>5644</v>
      </c>
      <c r="E1051" s="6"/>
      <c r="F1051" s="6" t="s">
        <v>1105</v>
      </c>
      <c r="G1051" s="6" t="s">
        <v>1104</v>
      </c>
      <c r="H1051" s="6" t="str">
        <f t="shared" si="75"/>
        <v>SARAH'S CHILD/SON (P174)</v>
      </c>
      <c r="I1051" s="6" t="s">
        <v>1047</v>
      </c>
      <c r="J1051" s="6"/>
      <c r="K1051" s="6"/>
      <c r="L1051" s="6" t="s">
        <v>55</v>
      </c>
      <c r="M1051" s="6" t="str">
        <f>VLOOKUP(L1051, GLOSSARY!$A:$C, 2, FALSE)</f>
        <v>EGYPT ESTATE</v>
      </c>
      <c r="N1051" s="6" t="s">
        <v>68</v>
      </c>
      <c r="O1051" s="6"/>
      <c r="P1051" s="6"/>
      <c r="Q1051" s="6"/>
      <c r="R1051" s="6"/>
      <c r="S1051" s="6"/>
      <c r="T1051" s="6"/>
      <c r="U1051" s="6"/>
      <c r="V1051" s="6"/>
      <c r="W1051" s="6"/>
      <c r="X1051" s="6"/>
      <c r="Y1051" s="6"/>
      <c r="Z1051" s="6"/>
      <c r="AA1051" s="6"/>
      <c r="AB1051" s="6"/>
      <c r="AC1051" s="6"/>
      <c r="AD1051" s="6"/>
      <c r="AE1051" s="6"/>
    </row>
    <row r="1052" spans="1:31" ht="63.75" x14ac:dyDescent="0.2">
      <c r="A1052" s="6" t="s">
        <v>5613</v>
      </c>
      <c r="B1052" s="6" t="s">
        <v>5642</v>
      </c>
      <c r="C1052" s="20" t="s">
        <v>5645</v>
      </c>
      <c r="D1052" s="6" t="s">
        <v>5646</v>
      </c>
      <c r="E1052" s="6"/>
      <c r="F1052" s="6" t="s">
        <v>5617</v>
      </c>
      <c r="G1052" s="6" t="s">
        <v>5618</v>
      </c>
      <c r="H1052" s="6" t="str">
        <f t="shared" ref="H1052:H1056" si="76">CONCATENATE(F1052,"(",G1052,")")</f>
        <v>ROBERT LAWRENCE
EGYPT QUASHEBA(P327
P240)</v>
      </c>
      <c r="I1052" s="6" t="s">
        <v>248</v>
      </c>
      <c r="J1052" s="6"/>
      <c r="K1052" s="6"/>
      <c r="L1052" s="6" t="s">
        <v>785</v>
      </c>
      <c r="M1052" s="6" t="str">
        <f>VLOOKUP(L1052, GLOSSARY!$A:$C, 2, FALSE)</f>
        <v>EGYPT ESTATE</v>
      </c>
      <c r="N1052" s="6" t="s">
        <v>167</v>
      </c>
      <c r="O1052" s="6"/>
      <c r="P1052" s="6"/>
      <c r="Q1052" s="6"/>
      <c r="R1052" s="6"/>
      <c r="S1052" s="6"/>
      <c r="T1052" s="6"/>
      <c r="U1052" s="6"/>
      <c r="V1052" s="6"/>
      <c r="W1052" s="6"/>
      <c r="X1052" s="6"/>
      <c r="Y1052" s="6"/>
      <c r="Z1052" s="6"/>
      <c r="AA1052" s="6"/>
      <c r="AB1052" s="6"/>
      <c r="AC1052" s="6"/>
      <c r="AD1052" s="6"/>
      <c r="AE1052" s="6"/>
    </row>
    <row r="1053" spans="1:31" ht="114.75" x14ac:dyDescent="0.2">
      <c r="A1053" s="6" t="s">
        <v>5613</v>
      </c>
      <c r="B1053" s="6" t="s">
        <v>5642</v>
      </c>
      <c r="C1053" s="20" t="s">
        <v>5647</v>
      </c>
      <c r="D1053" s="6" t="s">
        <v>5648</v>
      </c>
      <c r="E1053" s="6"/>
      <c r="F1053" s="6" t="s">
        <v>5649</v>
      </c>
      <c r="G1053" s="6" t="s">
        <v>5650</v>
      </c>
      <c r="H1053" s="6" t="str">
        <f t="shared" si="76"/>
        <v>THE OVERSEER
ROBERT LAWRENCE
EGYPT QUASHEBA(P43
P327
P240)</v>
      </c>
      <c r="I1053" s="6" t="s">
        <v>248</v>
      </c>
      <c r="J1053" s="6"/>
      <c r="K1053" s="6"/>
      <c r="L1053" s="6" t="s">
        <v>55</v>
      </c>
      <c r="M1053" s="6" t="str">
        <f>VLOOKUP(L1053, GLOSSARY!$A:$C, 2, FALSE)</f>
        <v>EGYPT ESTATE</v>
      </c>
      <c r="N1053" s="6" t="s">
        <v>167</v>
      </c>
      <c r="O1053" s="6"/>
      <c r="P1053" s="6"/>
      <c r="Q1053" s="6"/>
      <c r="R1053" s="6"/>
      <c r="S1053" s="6"/>
      <c r="T1053" s="6"/>
      <c r="U1053" s="6"/>
      <c r="V1053" s="6"/>
      <c r="W1053" s="6"/>
      <c r="X1053" s="6"/>
      <c r="Y1053" s="6"/>
      <c r="Z1053" s="6"/>
      <c r="AA1053" s="6"/>
      <c r="AB1053" s="6"/>
      <c r="AC1053" s="6"/>
      <c r="AD1053" s="6"/>
      <c r="AE1053" s="6"/>
    </row>
    <row r="1054" spans="1:31" ht="51" x14ac:dyDescent="0.2">
      <c r="A1054" s="6" t="s">
        <v>5613</v>
      </c>
      <c r="B1054" s="6" t="s">
        <v>5651</v>
      </c>
      <c r="C1054" s="20" t="s">
        <v>5652</v>
      </c>
      <c r="D1054" s="6" t="s">
        <v>5653</v>
      </c>
      <c r="E1054" s="6"/>
      <c r="F1054" s="6" t="s">
        <v>1893</v>
      </c>
      <c r="G1054" s="6" t="s">
        <v>5618</v>
      </c>
      <c r="H1054" s="6" t="str">
        <f t="shared" si="76"/>
        <v>ROBERT LAWRENCE(P327
P240)</v>
      </c>
      <c r="I1054" s="6" t="s">
        <v>248</v>
      </c>
      <c r="J1054" s="6"/>
      <c r="K1054" s="6"/>
      <c r="L1054" s="6"/>
      <c r="M1054" s="6" t="e">
        <f>VLOOKUP(L1054, GLOSSARY!$A:$C, 2, FALSE)</f>
        <v>#N/A</v>
      </c>
      <c r="N1054" s="6" t="s">
        <v>68</v>
      </c>
      <c r="O1054" s="6"/>
      <c r="P1054" s="6"/>
      <c r="Q1054" s="6"/>
      <c r="R1054" s="6"/>
      <c r="S1054" s="6"/>
      <c r="T1054" s="6"/>
      <c r="U1054" s="6"/>
      <c r="V1054" s="6"/>
      <c r="W1054" s="6"/>
      <c r="X1054" s="6"/>
      <c r="Y1054" s="6"/>
      <c r="Z1054" s="6"/>
      <c r="AA1054" s="6"/>
      <c r="AB1054" s="6"/>
      <c r="AC1054" s="6"/>
      <c r="AD1054" s="6"/>
      <c r="AE1054" s="6"/>
    </row>
    <row r="1055" spans="1:31" ht="127.5" x14ac:dyDescent="0.2">
      <c r="A1055" s="6" t="s">
        <v>4806</v>
      </c>
      <c r="B1055" s="6" t="s">
        <v>5651</v>
      </c>
      <c r="C1055" s="20" t="s">
        <v>5652</v>
      </c>
      <c r="D1055" s="6" t="s">
        <v>5654</v>
      </c>
      <c r="E1055" s="6"/>
      <c r="F1055" s="6" t="s">
        <v>5655</v>
      </c>
      <c r="G1055" s="6" t="s">
        <v>5656</v>
      </c>
      <c r="H1055" s="6" t="str">
        <f t="shared" si="76"/>
        <v>EGYPT FIELD HANDS
LITTLE QUASHE [DRIVER]
ELLIN(P315
P359
P33)</v>
      </c>
      <c r="I1055" s="6" t="s">
        <v>784</v>
      </c>
      <c r="J1055" s="6"/>
      <c r="K1055" s="6"/>
      <c r="L1055" s="6" t="s">
        <v>5634</v>
      </c>
      <c r="M1055" s="6" t="s">
        <v>5635</v>
      </c>
      <c r="N1055" s="6" t="s">
        <v>287</v>
      </c>
      <c r="O1055" s="6"/>
      <c r="P1055" s="6"/>
      <c r="Q1055" s="6"/>
      <c r="R1055" s="6"/>
      <c r="S1055" s="6"/>
      <c r="T1055" s="6"/>
      <c r="U1055" s="6"/>
      <c r="V1055" s="6"/>
      <c r="W1055" s="6"/>
      <c r="X1055" s="6"/>
      <c r="Y1055" s="6"/>
      <c r="Z1055" s="6"/>
      <c r="AA1055" s="6"/>
      <c r="AB1055" s="6"/>
      <c r="AC1055" s="6"/>
      <c r="AD1055" s="6"/>
      <c r="AE1055" s="6"/>
    </row>
    <row r="1056" spans="1:31" ht="76.5" x14ac:dyDescent="0.2">
      <c r="A1056" s="6" t="s">
        <v>5657</v>
      </c>
      <c r="B1056" s="6" t="s">
        <v>5651</v>
      </c>
      <c r="C1056" s="20" t="s">
        <v>5652</v>
      </c>
      <c r="D1056" s="6" t="s">
        <v>5658</v>
      </c>
      <c r="E1056" s="6"/>
      <c r="F1056" s="6" t="s">
        <v>5534</v>
      </c>
      <c r="G1056" s="6" t="s">
        <v>5659</v>
      </c>
      <c r="H1056" s="6" t="str">
        <f t="shared" si="76"/>
        <v>DR. GORSE
EGYPT LITTLE PHIBBAH(P228
P325)</v>
      </c>
      <c r="I1056" s="6" t="s">
        <v>533</v>
      </c>
      <c r="J1056" s="6"/>
      <c r="K1056" s="6"/>
      <c r="L1056" s="6" t="s">
        <v>55</v>
      </c>
      <c r="M1056" s="6" t="str">
        <f>VLOOKUP(L1056, GLOSSARY!$A:$C, 2, FALSE)</f>
        <v>EGYPT ESTATE</v>
      </c>
      <c r="N1056" s="6" t="s">
        <v>287</v>
      </c>
      <c r="O1056" s="6"/>
      <c r="P1056" s="6"/>
      <c r="Q1056" s="6"/>
      <c r="R1056" s="6"/>
      <c r="S1056" s="6"/>
      <c r="T1056" s="6"/>
      <c r="U1056" s="6"/>
      <c r="V1056" s="6"/>
      <c r="W1056" s="6"/>
      <c r="X1056" s="6"/>
      <c r="Y1056" s="6"/>
      <c r="Z1056" s="6"/>
      <c r="AA1056" s="6"/>
      <c r="AB1056" s="6"/>
      <c r="AC1056" s="6"/>
      <c r="AD1056" s="6"/>
      <c r="AE1056" s="6"/>
    </row>
    <row r="1057" spans="1:31" ht="102" x14ac:dyDescent="0.2">
      <c r="A1057" s="6" t="s">
        <v>5660</v>
      </c>
      <c r="B1057" s="6" t="s">
        <v>5642</v>
      </c>
      <c r="C1057" s="20" t="s">
        <v>5661</v>
      </c>
      <c r="D1057" s="6" t="s">
        <v>5662</v>
      </c>
      <c r="E1057" s="6"/>
      <c r="F1057" s="6"/>
      <c r="G1057" s="6"/>
      <c r="H1057" s="6"/>
      <c r="I1057" s="6" t="s">
        <v>784</v>
      </c>
      <c r="J1057" s="6"/>
      <c r="K1057" s="6"/>
      <c r="L1057" s="6" t="s">
        <v>55</v>
      </c>
      <c r="M1057" s="6" t="str">
        <f>VLOOKUP(L1057, GLOSSARY!$A:$C, 2, FALSE)</f>
        <v>EGYPT ESTATE</v>
      </c>
      <c r="N1057" s="6" t="s">
        <v>68</v>
      </c>
      <c r="O1057" s="6"/>
      <c r="P1057" s="6"/>
      <c r="Q1057" s="6"/>
      <c r="R1057" s="6"/>
      <c r="S1057" s="6"/>
      <c r="T1057" s="6"/>
      <c r="U1057" s="6"/>
      <c r="V1057" s="6"/>
      <c r="W1057" s="6"/>
      <c r="X1057" s="6"/>
      <c r="Y1057" s="6"/>
      <c r="Z1057" s="6"/>
      <c r="AA1057" s="6"/>
      <c r="AB1057" s="6"/>
      <c r="AC1057" s="6"/>
      <c r="AD1057" s="6"/>
      <c r="AE1057" s="6"/>
    </row>
    <row r="1058" spans="1:31" ht="102" x14ac:dyDescent="0.2">
      <c r="A1058" s="6" t="s">
        <v>4806</v>
      </c>
      <c r="B1058" s="6" t="s">
        <v>5663</v>
      </c>
      <c r="C1058" s="20" t="s">
        <v>5661</v>
      </c>
      <c r="D1058" s="6" t="s">
        <v>5664</v>
      </c>
      <c r="E1058" s="6"/>
      <c r="F1058" s="6" t="s">
        <v>5271</v>
      </c>
      <c r="G1058" s="6" t="s">
        <v>5242</v>
      </c>
      <c r="H1058" s="6" t="str">
        <f>CONCATENATE(F1058,"(",G1058,")")</f>
        <v>EGYPT FIELDHANDS
LITTLE QUASHE [DRIVER](P315
P359)</v>
      </c>
      <c r="I1058" s="6" t="s">
        <v>784</v>
      </c>
      <c r="J1058" s="6"/>
      <c r="K1058" s="6"/>
      <c r="L1058" s="6" t="s">
        <v>5665</v>
      </c>
      <c r="M1058" s="6" t="s">
        <v>5666</v>
      </c>
      <c r="N1058" s="6" t="s">
        <v>287</v>
      </c>
      <c r="O1058" s="6"/>
      <c r="P1058" s="6"/>
      <c r="Q1058" s="6"/>
      <c r="R1058" s="6"/>
      <c r="S1058" s="6"/>
      <c r="T1058" s="6"/>
      <c r="U1058" s="6"/>
      <c r="V1058" s="6"/>
      <c r="W1058" s="6"/>
      <c r="X1058" s="6"/>
      <c r="Y1058" s="6"/>
      <c r="Z1058" s="6"/>
      <c r="AA1058" s="6"/>
      <c r="AB1058" s="6"/>
      <c r="AC1058" s="6"/>
      <c r="AD1058" s="6"/>
      <c r="AE1058" s="6"/>
    </row>
    <row r="1059" spans="1:31" ht="38.25" x14ac:dyDescent="0.2">
      <c r="A1059" s="6" t="s">
        <v>5636</v>
      </c>
      <c r="B1059" s="6" t="s">
        <v>5663</v>
      </c>
      <c r="C1059" s="20" t="s">
        <v>5667</v>
      </c>
      <c r="D1059" s="6" t="s">
        <v>5668</v>
      </c>
      <c r="E1059" s="6"/>
      <c r="F1059" s="6" t="s">
        <v>5669</v>
      </c>
      <c r="G1059" s="6" t="s">
        <v>5670</v>
      </c>
      <c r="H1059" s="6" t="str">
        <f t="shared" ref="H1059:H1060" si="77">CONCATENATE(F1059," (",G1059,")")</f>
        <v>SARAH'S CHILD/SON
OLD DAPHNE (P174
P11)</v>
      </c>
      <c r="I1059" s="6" t="s">
        <v>1068</v>
      </c>
      <c r="J1059" s="6"/>
      <c r="K1059" s="6"/>
      <c r="L1059" s="6" t="s">
        <v>55</v>
      </c>
      <c r="M1059" s="6" t="str">
        <f>VLOOKUP(L1059, GLOSSARY!$A:$C, 2, FALSE)</f>
        <v>EGYPT ESTATE</v>
      </c>
      <c r="N1059" s="6" t="s">
        <v>68</v>
      </c>
      <c r="O1059" s="6"/>
      <c r="P1059" s="6"/>
      <c r="Q1059" s="6"/>
      <c r="R1059" s="6"/>
      <c r="S1059" s="6"/>
      <c r="T1059" s="6"/>
      <c r="U1059" s="6"/>
      <c r="V1059" s="6"/>
      <c r="W1059" s="6"/>
      <c r="X1059" s="6"/>
      <c r="Y1059" s="6"/>
      <c r="Z1059" s="6"/>
      <c r="AA1059" s="6"/>
      <c r="AB1059" s="6"/>
      <c r="AC1059" s="6"/>
      <c r="AD1059" s="6"/>
      <c r="AE1059" s="6"/>
    </row>
    <row r="1060" spans="1:31" ht="25.5" x14ac:dyDescent="0.2">
      <c r="A1060" s="6" t="s">
        <v>4657</v>
      </c>
      <c r="B1060" s="6" t="s">
        <v>5663</v>
      </c>
      <c r="C1060" s="20" t="s">
        <v>5667</v>
      </c>
      <c r="D1060" s="6" t="s">
        <v>5671</v>
      </c>
      <c r="E1060" s="6"/>
      <c r="F1060" s="6" t="s">
        <v>52</v>
      </c>
      <c r="G1060" s="6" t="s">
        <v>51</v>
      </c>
      <c r="H1060" s="6" t="str">
        <f t="shared" si="77"/>
        <v>EGYPT LUCY (P3)</v>
      </c>
      <c r="I1060" s="6" t="s">
        <v>96</v>
      </c>
      <c r="J1060" s="6"/>
      <c r="K1060" s="6"/>
      <c r="L1060" s="6" t="s">
        <v>99</v>
      </c>
      <c r="M1060" s="6" t="str">
        <f>VLOOKUP(L1060, GLOSSARY!$A:$C, 2, FALSE)</f>
        <v>PARADISE ESTATE</v>
      </c>
      <c r="N1060" s="6" t="s">
        <v>167</v>
      </c>
      <c r="O1060" s="6" t="s">
        <v>5672</v>
      </c>
      <c r="P1060" s="6"/>
      <c r="Q1060" s="6"/>
      <c r="R1060" s="6"/>
      <c r="S1060" s="6"/>
      <c r="T1060" s="6"/>
      <c r="U1060" s="6"/>
      <c r="V1060" s="6"/>
      <c r="W1060" s="6"/>
      <c r="X1060" s="6"/>
      <c r="Y1060" s="6"/>
      <c r="Z1060" s="6"/>
      <c r="AA1060" s="6"/>
      <c r="AB1060" s="6"/>
      <c r="AC1060" s="6"/>
      <c r="AD1060" s="6"/>
      <c r="AE1060" s="6"/>
    </row>
    <row r="1061" spans="1:31" ht="51" x14ac:dyDescent="0.2">
      <c r="A1061" s="6" t="s">
        <v>5613</v>
      </c>
      <c r="B1061" s="6" t="s">
        <v>5673</v>
      </c>
      <c r="C1061" s="20" t="s">
        <v>5667</v>
      </c>
      <c r="D1061" s="6" t="s">
        <v>5674</v>
      </c>
      <c r="E1061" s="6"/>
      <c r="F1061" s="6" t="s">
        <v>1893</v>
      </c>
      <c r="G1061" s="6" t="s">
        <v>5618</v>
      </c>
      <c r="H1061" s="6" t="str">
        <f t="shared" ref="H1061:H1075" si="78">CONCATENATE(F1061,"(",G1061,")")</f>
        <v>ROBERT LAWRENCE(P327
P240)</v>
      </c>
      <c r="I1061" s="6" t="s">
        <v>248</v>
      </c>
      <c r="J1061" s="6"/>
      <c r="K1061" s="6"/>
      <c r="L1061" s="6" t="s">
        <v>55</v>
      </c>
      <c r="M1061" s="6" t="str">
        <f>VLOOKUP(L1061, GLOSSARY!$A:$C, 2, FALSE)</f>
        <v>EGYPT ESTATE</v>
      </c>
      <c r="N1061" s="6" t="s">
        <v>68</v>
      </c>
      <c r="O1061" s="6"/>
      <c r="P1061" s="6"/>
      <c r="Q1061" s="6"/>
      <c r="R1061" s="6"/>
      <c r="S1061" s="6"/>
      <c r="T1061" s="6"/>
      <c r="U1061" s="6"/>
      <c r="V1061" s="6"/>
      <c r="W1061" s="6"/>
      <c r="X1061" s="6"/>
      <c r="Y1061" s="6"/>
      <c r="Z1061" s="6"/>
      <c r="AA1061" s="6"/>
      <c r="AB1061" s="6"/>
      <c r="AC1061" s="6"/>
      <c r="AD1061" s="6"/>
      <c r="AE1061" s="6"/>
    </row>
    <row r="1062" spans="1:31" ht="51" x14ac:dyDescent="0.2">
      <c r="A1062" s="6" t="s">
        <v>5613</v>
      </c>
      <c r="B1062" s="6" t="s">
        <v>5675</v>
      </c>
      <c r="C1062" s="20" t="s">
        <v>5676</v>
      </c>
      <c r="D1062" s="6" t="s">
        <v>5677</v>
      </c>
      <c r="E1062" s="6"/>
      <c r="F1062" s="6" t="s">
        <v>1893</v>
      </c>
      <c r="G1062" s="6" t="s">
        <v>5618</v>
      </c>
      <c r="H1062" s="6" t="str">
        <f t="shared" si="78"/>
        <v>ROBERT LAWRENCE(P327
P240)</v>
      </c>
      <c r="I1062" s="6" t="s">
        <v>248</v>
      </c>
      <c r="J1062" s="6"/>
      <c r="K1062" s="6"/>
      <c r="L1062" s="6" t="s">
        <v>55</v>
      </c>
      <c r="M1062" s="6" t="str">
        <f>VLOOKUP(L1062, GLOSSARY!$A:$C, 2, FALSE)</f>
        <v>EGYPT ESTATE</v>
      </c>
      <c r="N1062" s="6" t="s">
        <v>68</v>
      </c>
      <c r="O1062" s="6"/>
      <c r="P1062" s="6"/>
      <c r="Q1062" s="6"/>
      <c r="R1062" s="6"/>
      <c r="S1062" s="6"/>
      <c r="T1062" s="6"/>
      <c r="U1062" s="6"/>
      <c r="V1062" s="6"/>
      <c r="W1062" s="6"/>
      <c r="X1062" s="6"/>
      <c r="Y1062" s="6"/>
      <c r="Z1062" s="6"/>
      <c r="AA1062" s="6"/>
      <c r="AB1062" s="6"/>
      <c r="AC1062" s="6"/>
      <c r="AD1062" s="6"/>
      <c r="AE1062" s="6"/>
    </row>
    <row r="1063" spans="1:31" ht="76.5" x14ac:dyDescent="0.2">
      <c r="A1063" s="6" t="s">
        <v>4806</v>
      </c>
      <c r="B1063" s="6" t="s">
        <v>5675</v>
      </c>
      <c r="C1063" s="20" t="s">
        <v>5678</v>
      </c>
      <c r="D1063" s="6" t="s">
        <v>5679</v>
      </c>
      <c r="E1063" s="6"/>
      <c r="F1063" s="6" t="s">
        <v>779</v>
      </c>
      <c r="G1063" s="6" t="s">
        <v>780</v>
      </c>
      <c r="H1063" s="6" t="str">
        <f t="shared" si="78"/>
        <v>EGYPT FIELDHANDS(P315)</v>
      </c>
      <c r="I1063" s="6" t="s">
        <v>784</v>
      </c>
      <c r="J1063" s="6"/>
      <c r="K1063" s="6"/>
      <c r="L1063" s="6" t="s">
        <v>5665</v>
      </c>
      <c r="M1063" s="6" t="s">
        <v>5666</v>
      </c>
      <c r="N1063" s="6" t="s">
        <v>287</v>
      </c>
      <c r="O1063" s="6"/>
      <c r="P1063" s="6"/>
      <c r="Q1063" s="6"/>
      <c r="R1063" s="6"/>
      <c r="S1063" s="6"/>
      <c r="T1063" s="6"/>
      <c r="U1063" s="6"/>
      <c r="V1063" s="6"/>
      <c r="W1063" s="6"/>
      <c r="X1063" s="6"/>
      <c r="Y1063" s="6"/>
      <c r="Z1063" s="6"/>
      <c r="AA1063" s="6"/>
      <c r="AB1063" s="6"/>
      <c r="AC1063" s="6"/>
      <c r="AD1063" s="6"/>
      <c r="AE1063" s="6"/>
    </row>
    <row r="1064" spans="1:31" ht="114.75" x14ac:dyDescent="0.2">
      <c r="A1064" s="6" t="s">
        <v>4806</v>
      </c>
      <c r="B1064" s="6" t="s">
        <v>5680</v>
      </c>
      <c r="C1064" s="20" t="s">
        <v>5681</v>
      </c>
      <c r="D1064" s="6" t="s">
        <v>5682</v>
      </c>
      <c r="E1064" s="6"/>
      <c r="F1064" s="6" t="s">
        <v>779</v>
      </c>
      <c r="G1064" s="6" t="s">
        <v>780</v>
      </c>
      <c r="H1064" s="6" t="str">
        <f t="shared" si="78"/>
        <v>EGYPT FIELDHANDS(P315)</v>
      </c>
      <c r="I1064" s="6" t="s">
        <v>784</v>
      </c>
      <c r="J1064" s="6"/>
      <c r="K1064" s="6"/>
      <c r="L1064" s="6" t="s">
        <v>5683</v>
      </c>
      <c r="M1064" s="6" t="s">
        <v>5684</v>
      </c>
      <c r="N1064" s="6" t="s">
        <v>287</v>
      </c>
      <c r="O1064" s="6"/>
      <c r="P1064" s="6"/>
      <c r="Q1064" s="6"/>
      <c r="R1064" s="6"/>
      <c r="S1064" s="6"/>
      <c r="T1064" s="6"/>
      <c r="U1064" s="6"/>
      <c r="V1064" s="6"/>
      <c r="W1064" s="6"/>
      <c r="X1064" s="6"/>
      <c r="Y1064" s="6"/>
      <c r="Z1064" s="6"/>
      <c r="AA1064" s="6"/>
      <c r="AB1064" s="6"/>
      <c r="AC1064" s="6"/>
      <c r="AD1064" s="6"/>
      <c r="AE1064" s="6"/>
    </row>
    <row r="1065" spans="1:31" ht="89.25" x14ac:dyDescent="0.2">
      <c r="A1065" s="6" t="s">
        <v>4806</v>
      </c>
      <c r="B1065" s="6" t="s">
        <v>5680</v>
      </c>
      <c r="C1065" s="20" t="s">
        <v>5685</v>
      </c>
      <c r="D1065" s="6" t="s">
        <v>5686</v>
      </c>
      <c r="E1065" s="6"/>
      <c r="F1065" s="6" t="s">
        <v>779</v>
      </c>
      <c r="G1065" s="6" t="s">
        <v>780</v>
      </c>
      <c r="H1065" s="6" t="str">
        <f t="shared" si="78"/>
        <v>EGYPT FIELDHANDS(P315)</v>
      </c>
      <c r="I1065" s="6" t="s">
        <v>784</v>
      </c>
      <c r="J1065" s="6"/>
      <c r="K1065" s="6"/>
      <c r="L1065" s="6" t="s">
        <v>5687</v>
      </c>
      <c r="M1065" s="6" t="s">
        <v>5684</v>
      </c>
      <c r="N1065" s="6" t="s">
        <v>287</v>
      </c>
      <c r="O1065" s="6"/>
      <c r="P1065" s="6"/>
      <c r="Q1065" s="6"/>
      <c r="R1065" s="6"/>
      <c r="S1065" s="6"/>
      <c r="T1065" s="6"/>
      <c r="U1065" s="6"/>
      <c r="V1065" s="6"/>
      <c r="W1065" s="6"/>
      <c r="X1065" s="6"/>
      <c r="Y1065" s="6"/>
      <c r="Z1065" s="6"/>
      <c r="AA1065" s="6"/>
      <c r="AB1065" s="6"/>
      <c r="AC1065" s="6"/>
      <c r="AD1065" s="6"/>
      <c r="AE1065" s="6"/>
    </row>
    <row r="1066" spans="1:31" ht="76.5" x14ac:dyDescent="0.2">
      <c r="A1066" s="6" t="s">
        <v>4806</v>
      </c>
      <c r="B1066" s="6" t="s">
        <v>5680</v>
      </c>
      <c r="C1066" s="20" t="s">
        <v>5688</v>
      </c>
      <c r="D1066" s="6" t="s">
        <v>5689</v>
      </c>
      <c r="E1066" s="6"/>
      <c r="F1066" s="6" t="s">
        <v>779</v>
      </c>
      <c r="G1066" s="6" t="s">
        <v>780</v>
      </c>
      <c r="H1066" s="6" t="str">
        <f t="shared" si="78"/>
        <v>EGYPT FIELDHANDS(P315)</v>
      </c>
      <c r="I1066" s="6" t="s">
        <v>784</v>
      </c>
      <c r="J1066" s="6"/>
      <c r="K1066" s="6"/>
      <c r="L1066" s="6" t="s">
        <v>1888</v>
      </c>
      <c r="M1066" s="6" t="str">
        <f>VLOOKUP(L1066, GLOSSARY!$A:$C, 2, FALSE)</f>
        <v>EGYPT PAPAH TREE PIECE</v>
      </c>
      <c r="N1066" s="6" t="s">
        <v>287</v>
      </c>
      <c r="O1066" s="6"/>
      <c r="P1066" s="6"/>
      <c r="Q1066" s="6"/>
      <c r="R1066" s="6"/>
      <c r="S1066" s="6"/>
      <c r="T1066" s="6"/>
      <c r="U1066" s="6"/>
      <c r="V1066" s="6"/>
      <c r="W1066" s="6"/>
      <c r="X1066" s="6"/>
      <c r="Y1066" s="6"/>
      <c r="Z1066" s="6"/>
      <c r="AA1066" s="6"/>
      <c r="AB1066" s="6"/>
      <c r="AC1066" s="6"/>
      <c r="AD1066" s="6"/>
      <c r="AE1066" s="6"/>
    </row>
    <row r="1067" spans="1:31" ht="76.5" x14ac:dyDescent="0.2">
      <c r="A1067" s="6" t="s">
        <v>4806</v>
      </c>
      <c r="B1067" s="6" t="s">
        <v>5690</v>
      </c>
      <c r="C1067" s="20" t="s">
        <v>5691</v>
      </c>
      <c r="D1067" s="6" t="s">
        <v>5692</v>
      </c>
      <c r="E1067" s="6"/>
      <c r="F1067" s="6" t="s">
        <v>779</v>
      </c>
      <c r="G1067" s="6" t="s">
        <v>780</v>
      </c>
      <c r="H1067" s="6" t="str">
        <f t="shared" si="78"/>
        <v>EGYPT FIELDHANDS(P315)</v>
      </c>
      <c r="I1067" s="6" t="s">
        <v>784</v>
      </c>
      <c r="J1067" s="6"/>
      <c r="K1067" s="6"/>
      <c r="L1067" s="6" t="s">
        <v>5693</v>
      </c>
      <c r="M1067" s="6" t="s">
        <v>5694</v>
      </c>
      <c r="N1067" s="6" t="s">
        <v>287</v>
      </c>
      <c r="O1067" s="6"/>
      <c r="P1067" s="6"/>
      <c r="Q1067" s="6"/>
      <c r="R1067" s="6"/>
      <c r="S1067" s="6"/>
      <c r="T1067" s="6"/>
      <c r="U1067" s="6"/>
      <c r="V1067" s="6"/>
      <c r="W1067" s="6"/>
      <c r="X1067" s="6"/>
      <c r="Y1067" s="6"/>
      <c r="Z1067" s="6"/>
      <c r="AA1067" s="6"/>
      <c r="AB1067" s="6"/>
      <c r="AC1067" s="6"/>
      <c r="AD1067" s="6"/>
      <c r="AE1067" s="6"/>
    </row>
    <row r="1068" spans="1:31" ht="63.75" x14ac:dyDescent="0.2">
      <c r="A1068" s="6" t="s">
        <v>4806</v>
      </c>
      <c r="B1068" s="6" t="s">
        <v>5690</v>
      </c>
      <c r="C1068" s="20" t="s">
        <v>5695</v>
      </c>
      <c r="D1068" s="6" t="s">
        <v>5696</v>
      </c>
      <c r="E1068" s="6"/>
      <c r="F1068" s="6" t="s">
        <v>779</v>
      </c>
      <c r="G1068" s="6" t="s">
        <v>780</v>
      </c>
      <c r="H1068" s="6" t="str">
        <f t="shared" si="78"/>
        <v>EGYPT FIELDHANDS(P315)</v>
      </c>
      <c r="I1068" s="6" t="s">
        <v>784</v>
      </c>
      <c r="J1068" s="6"/>
      <c r="K1068" s="6"/>
      <c r="L1068" s="6" t="s">
        <v>5374</v>
      </c>
      <c r="M1068" s="6" t="s">
        <v>5375</v>
      </c>
      <c r="N1068" s="6" t="s">
        <v>287</v>
      </c>
      <c r="O1068" s="6"/>
      <c r="P1068" s="6"/>
      <c r="Q1068" s="6"/>
      <c r="R1068" s="6"/>
      <c r="S1068" s="6"/>
      <c r="T1068" s="6"/>
      <c r="U1068" s="6"/>
      <c r="V1068" s="6"/>
      <c r="W1068" s="6"/>
      <c r="X1068" s="6"/>
      <c r="Y1068" s="6"/>
      <c r="Z1068" s="6"/>
      <c r="AA1068" s="6"/>
      <c r="AB1068" s="6"/>
      <c r="AC1068" s="6"/>
      <c r="AD1068" s="6"/>
      <c r="AE1068" s="6"/>
    </row>
    <row r="1069" spans="1:31" ht="38.25" x14ac:dyDescent="0.2">
      <c r="A1069" s="6" t="s">
        <v>4806</v>
      </c>
      <c r="B1069" s="6" t="s">
        <v>5697</v>
      </c>
      <c r="C1069" s="20" t="s">
        <v>5698</v>
      </c>
      <c r="D1069" s="6" t="s">
        <v>5699</v>
      </c>
      <c r="E1069" s="6"/>
      <c r="F1069" s="6" t="s">
        <v>779</v>
      </c>
      <c r="G1069" s="6" t="s">
        <v>780</v>
      </c>
      <c r="H1069" s="6" t="str">
        <f t="shared" si="78"/>
        <v>EGYPT FIELDHANDS(P315)</v>
      </c>
      <c r="I1069" s="6" t="s">
        <v>784</v>
      </c>
      <c r="J1069" s="6"/>
      <c r="K1069" s="6"/>
      <c r="L1069" s="6" t="s">
        <v>55</v>
      </c>
      <c r="M1069" s="6" t="str">
        <f>VLOOKUP(L1069, GLOSSARY!$A:$C, 2, FALSE)</f>
        <v>EGYPT ESTATE</v>
      </c>
      <c r="N1069" s="6" t="s">
        <v>68</v>
      </c>
      <c r="O1069" s="6"/>
      <c r="P1069" s="6"/>
      <c r="Q1069" s="6"/>
      <c r="R1069" s="6"/>
      <c r="S1069" s="6"/>
      <c r="T1069" s="6"/>
      <c r="U1069" s="6"/>
      <c r="V1069" s="6"/>
      <c r="W1069" s="6"/>
      <c r="X1069" s="6"/>
      <c r="Y1069" s="6"/>
      <c r="Z1069" s="6"/>
      <c r="AA1069" s="6"/>
      <c r="AB1069" s="6"/>
      <c r="AC1069" s="6"/>
      <c r="AD1069" s="6"/>
      <c r="AE1069" s="6"/>
    </row>
    <row r="1070" spans="1:31" ht="114.75" x14ac:dyDescent="0.2">
      <c r="A1070" s="6" t="s">
        <v>4806</v>
      </c>
      <c r="B1070" s="6" t="s">
        <v>2419</v>
      </c>
      <c r="C1070" s="20" t="s">
        <v>5700</v>
      </c>
      <c r="D1070" s="6" t="s">
        <v>5701</v>
      </c>
      <c r="E1070" s="6"/>
      <c r="F1070" s="6" t="s">
        <v>779</v>
      </c>
      <c r="G1070" s="6" t="s">
        <v>780</v>
      </c>
      <c r="H1070" s="6" t="str">
        <f t="shared" si="78"/>
        <v>EGYPT FIELDHANDS(P315)</v>
      </c>
      <c r="I1070" s="6" t="s">
        <v>784</v>
      </c>
      <c r="J1070" s="6"/>
      <c r="K1070" s="6"/>
      <c r="L1070" s="6" t="s">
        <v>5702</v>
      </c>
      <c r="M1070" s="6" t="s">
        <v>5703</v>
      </c>
      <c r="N1070" s="6" t="s">
        <v>287</v>
      </c>
      <c r="O1070" s="6"/>
      <c r="P1070" s="6"/>
      <c r="Q1070" s="6"/>
      <c r="R1070" s="6"/>
      <c r="S1070" s="6"/>
      <c r="T1070" s="6"/>
      <c r="U1070" s="6"/>
      <c r="V1070" s="6"/>
      <c r="W1070" s="6"/>
      <c r="X1070" s="6"/>
      <c r="Y1070" s="6"/>
      <c r="Z1070" s="6"/>
      <c r="AA1070" s="6"/>
      <c r="AB1070" s="6"/>
      <c r="AC1070" s="6"/>
      <c r="AD1070" s="6"/>
      <c r="AE1070" s="6"/>
    </row>
    <row r="1071" spans="1:31" ht="153" x14ac:dyDescent="0.2">
      <c r="A1071" s="6" t="s">
        <v>4514</v>
      </c>
      <c r="B1071" s="6" t="s">
        <v>5704</v>
      </c>
      <c r="C1071" s="20" t="s">
        <v>5705</v>
      </c>
      <c r="D1071" s="6" t="s">
        <v>5706</v>
      </c>
      <c r="E1071" s="6"/>
      <c r="F1071" s="6" t="s">
        <v>5707</v>
      </c>
      <c r="G1071" s="6" t="s">
        <v>5708</v>
      </c>
      <c r="H1071" s="6" t="str">
        <f t="shared" si="78"/>
        <v>PETER COLLGRAVE
THE OVERSEER(P324
P43)</v>
      </c>
      <c r="I1071" s="6" t="s">
        <v>248</v>
      </c>
      <c r="J1071" s="6"/>
      <c r="K1071" s="6"/>
      <c r="L1071" s="6" t="s">
        <v>55</v>
      </c>
      <c r="M1071" s="6" t="str">
        <f>VLOOKUP(L1071, GLOSSARY!$A:$C, 2, FALSE)</f>
        <v>EGYPT ESTATE</v>
      </c>
      <c r="N1071" s="6" t="s">
        <v>167</v>
      </c>
      <c r="O1071" s="6"/>
      <c r="P1071" s="6"/>
      <c r="Q1071" s="6"/>
      <c r="R1071" s="6"/>
      <c r="S1071" s="6"/>
      <c r="T1071" s="6"/>
      <c r="U1071" s="6"/>
      <c r="V1071" s="6"/>
      <c r="W1071" s="6"/>
      <c r="X1071" s="6"/>
      <c r="Y1071" s="6"/>
      <c r="Z1071" s="6"/>
      <c r="AA1071" s="6"/>
      <c r="AB1071" s="6"/>
      <c r="AC1071" s="6"/>
      <c r="AD1071" s="6"/>
      <c r="AE1071" s="6"/>
    </row>
    <row r="1072" spans="1:31" ht="76.5" x14ac:dyDescent="0.2">
      <c r="A1072" s="6" t="s">
        <v>5709</v>
      </c>
      <c r="B1072" s="6" t="s">
        <v>5704</v>
      </c>
      <c r="C1072" s="20" t="s">
        <v>5705</v>
      </c>
      <c r="D1072" s="6" t="s">
        <v>5710</v>
      </c>
      <c r="E1072" s="6"/>
      <c r="F1072" s="6" t="s">
        <v>5534</v>
      </c>
      <c r="G1072" s="6" t="s">
        <v>5659</v>
      </c>
      <c r="H1072" s="6" t="str">
        <f t="shared" si="78"/>
        <v>DR. GORSE
EGYPT LITTLE PHIBBAH(P228
P325)</v>
      </c>
      <c r="I1072" s="6" t="s">
        <v>533</v>
      </c>
      <c r="J1072" s="6"/>
      <c r="K1072" s="6"/>
      <c r="L1072" s="6" t="s">
        <v>55</v>
      </c>
      <c r="M1072" s="6" t="str">
        <f>VLOOKUP(L1072, GLOSSARY!$A:$C, 2, FALSE)</f>
        <v>EGYPT ESTATE</v>
      </c>
      <c r="N1072" s="6" t="s">
        <v>68</v>
      </c>
      <c r="O1072" s="6"/>
      <c r="P1072" s="6"/>
      <c r="Q1072" s="6"/>
      <c r="R1072" s="6"/>
      <c r="S1072" s="6"/>
      <c r="T1072" s="6"/>
      <c r="U1072" s="6"/>
      <c r="V1072" s="6"/>
      <c r="W1072" s="6"/>
      <c r="X1072" s="6"/>
      <c r="Y1072" s="6"/>
      <c r="Z1072" s="6"/>
      <c r="AA1072" s="6"/>
      <c r="AB1072" s="6"/>
      <c r="AC1072" s="6"/>
      <c r="AD1072" s="6"/>
      <c r="AE1072" s="6"/>
    </row>
    <row r="1073" spans="1:31" ht="89.25" x14ac:dyDescent="0.2">
      <c r="A1073" s="6" t="s">
        <v>4806</v>
      </c>
      <c r="B1073" s="6" t="s">
        <v>5704</v>
      </c>
      <c r="C1073" s="20" t="s">
        <v>5705</v>
      </c>
      <c r="D1073" s="6" t="s">
        <v>5711</v>
      </c>
      <c r="E1073" s="6"/>
      <c r="F1073" s="6" t="s">
        <v>779</v>
      </c>
      <c r="G1073" s="6" t="s">
        <v>780</v>
      </c>
      <c r="H1073" s="6" t="str">
        <f t="shared" si="78"/>
        <v>EGYPT FIELDHANDS(P315)</v>
      </c>
      <c r="I1073" s="6" t="s">
        <v>784</v>
      </c>
      <c r="J1073" s="6"/>
      <c r="K1073" s="6"/>
      <c r="L1073" s="6" t="s">
        <v>5712</v>
      </c>
      <c r="M1073" s="6" t="s">
        <v>5713</v>
      </c>
      <c r="N1073" s="6" t="s">
        <v>287</v>
      </c>
      <c r="O1073" s="6"/>
      <c r="P1073" s="6"/>
      <c r="Q1073" s="6"/>
      <c r="R1073" s="6"/>
      <c r="S1073" s="6"/>
      <c r="T1073" s="6"/>
      <c r="U1073" s="6"/>
      <c r="V1073" s="6"/>
      <c r="W1073" s="6"/>
      <c r="X1073" s="6"/>
      <c r="Y1073" s="6"/>
      <c r="Z1073" s="6"/>
      <c r="AA1073" s="6"/>
      <c r="AB1073" s="6"/>
      <c r="AC1073" s="6"/>
      <c r="AD1073" s="6"/>
      <c r="AE1073" s="6"/>
    </row>
    <row r="1074" spans="1:31" ht="51" x14ac:dyDescent="0.2">
      <c r="A1074" s="6" t="s">
        <v>4806</v>
      </c>
      <c r="B1074" s="6" t="s">
        <v>5714</v>
      </c>
      <c r="C1074" s="20" t="s">
        <v>5715</v>
      </c>
      <c r="D1074" s="6" t="s">
        <v>5716</v>
      </c>
      <c r="E1074" s="6"/>
      <c r="F1074" s="6" t="s">
        <v>779</v>
      </c>
      <c r="G1074" s="6" t="s">
        <v>780</v>
      </c>
      <c r="H1074" s="6" t="str">
        <f t="shared" si="78"/>
        <v>EGYPT FIELDHANDS(P315)</v>
      </c>
      <c r="I1074" s="6" t="s">
        <v>784</v>
      </c>
      <c r="J1074" s="6"/>
      <c r="K1074" s="6"/>
      <c r="L1074" s="6" t="s">
        <v>2936</v>
      </c>
      <c r="M1074" s="6" t="str">
        <f>VLOOKUP(L1074, GLOSSARY!$A:$C, 2, FALSE)</f>
        <v>CABARITTA BRIDGE</v>
      </c>
      <c r="N1074" s="6" t="s">
        <v>287</v>
      </c>
      <c r="O1074" s="6"/>
      <c r="P1074" s="6"/>
      <c r="Q1074" s="6"/>
      <c r="R1074" s="6"/>
      <c r="S1074" s="6"/>
      <c r="T1074" s="6"/>
      <c r="U1074" s="6"/>
      <c r="V1074" s="6"/>
      <c r="W1074" s="6"/>
      <c r="X1074" s="6"/>
      <c r="Y1074" s="6"/>
      <c r="Z1074" s="6"/>
      <c r="AA1074" s="6"/>
      <c r="AB1074" s="6"/>
      <c r="AC1074" s="6"/>
      <c r="AD1074" s="6"/>
      <c r="AE1074" s="6"/>
    </row>
    <row r="1075" spans="1:31" ht="140.25" x14ac:dyDescent="0.2">
      <c r="A1075" s="6" t="s">
        <v>4806</v>
      </c>
      <c r="B1075" s="6" t="s">
        <v>5714</v>
      </c>
      <c r="C1075" s="20" t="s">
        <v>5717</v>
      </c>
      <c r="D1075" s="6" t="s">
        <v>5718</v>
      </c>
      <c r="E1075" s="6"/>
      <c r="F1075" s="6" t="s">
        <v>779</v>
      </c>
      <c r="G1075" s="6" t="s">
        <v>780</v>
      </c>
      <c r="H1075" s="6" t="str">
        <f t="shared" si="78"/>
        <v>EGYPT FIELDHANDS(P315)</v>
      </c>
      <c r="I1075" s="6" t="s">
        <v>784</v>
      </c>
      <c r="J1075" s="6"/>
      <c r="K1075" s="6"/>
      <c r="L1075" s="6" t="s">
        <v>5665</v>
      </c>
      <c r="M1075" s="6" t="s">
        <v>5666</v>
      </c>
      <c r="N1075" s="6" t="s">
        <v>287</v>
      </c>
      <c r="O1075" s="6"/>
      <c r="P1075" s="6"/>
      <c r="Q1075" s="6"/>
      <c r="R1075" s="6"/>
      <c r="S1075" s="6"/>
      <c r="T1075" s="6"/>
      <c r="U1075" s="6"/>
      <c r="V1075" s="6"/>
      <c r="W1075" s="6"/>
      <c r="X1075" s="6"/>
      <c r="Y1075" s="6"/>
      <c r="Z1075" s="6"/>
      <c r="AA1075" s="6"/>
      <c r="AB1075" s="6"/>
      <c r="AC1075" s="6"/>
      <c r="AD1075" s="6"/>
      <c r="AE1075" s="6"/>
    </row>
    <row r="1076" spans="1:31" ht="63.75" x14ac:dyDescent="0.2">
      <c r="A1076" s="6" t="s">
        <v>4657</v>
      </c>
      <c r="B1076" s="6" t="s">
        <v>5714</v>
      </c>
      <c r="C1076" s="20" t="s">
        <v>5719</v>
      </c>
      <c r="D1076" s="6" t="s">
        <v>5720</v>
      </c>
      <c r="E1076" s="6"/>
      <c r="F1076" s="6" t="s">
        <v>5721</v>
      </c>
      <c r="G1076" s="6" t="s">
        <v>5722</v>
      </c>
      <c r="H1076" s="6" t="str">
        <f>CONCATENATE(F1076," (",G1076,")")</f>
        <v>EGYPT LUCY
LITTLE QUASHE (P3
P5)</v>
      </c>
      <c r="I1076" s="6" t="s">
        <v>96</v>
      </c>
      <c r="J1076" s="6"/>
      <c r="K1076" s="6"/>
      <c r="L1076" s="6" t="s">
        <v>99</v>
      </c>
      <c r="M1076" s="6" t="str">
        <f>VLOOKUP(L1076, GLOSSARY!$A:$C, 2, FALSE)</f>
        <v>PARADISE ESTATE</v>
      </c>
      <c r="N1076" s="6" t="s">
        <v>68</v>
      </c>
      <c r="O1076" s="6" t="s">
        <v>5723</v>
      </c>
      <c r="P1076" s="6"/>
      <c r="Q1076" s="6"/>
      <c r="R1076" s="6"/>
      <c r="S1076" s="6"/>
      <c r="T1076" s="6"/>
      <c r="U1076" s="6"/>
      <c r="V1076" s="6"/>
      <c r="W1076" s="6"/>
      <c r="X1076" s="6"/>
      <c r="Y1076" s="6"/>
      <c r="Z1076" s="6"/>
      <c r="AA1076" s="6"/>
      <c r="AB1076" s="6"/>
      <c r="AC1076" s="6"/>
      <c r="AD1076" s="6"/>
      <c r="AE1076" s="6"/>
    </row>
    <row r="1077" spans="1:31" ht="63.75" x14ac:dyDescent="0.2">
      <c r="A1077" s="6" t="s">
        <v>4806</v>
      </c>
      <c r="B1077" s="6" t="s">
        <v>5714</v>
      </c>
      <c r="C1077" s="20" t="s">
        <v>5719</v>
      </c>
      <c r="D1077" s="6" t="s">
        <v>5724</v>
      </c>
      <c r="E1077" s="6"/>
      <c r="F1077" s="6" t="s">
        <v>779</v>
      </c>
      <c r="G1077" s="6" t="s">
        <v>780</v>
      </c>
      <c r="H1077" s="6" t="str">
        <f t="shared" ref="H1077:H1091" si="79">CONCATENATE(F1077,"(",G1077,")")</f>
        <v>EGYPT FIELDHANDS(P315)</v>
      </c>
      <c r="I1077" s="6" t="s">
        <v>784</v>
      </c>
      <c r="J1077" s="6"/>
      <c r="K1077" s="6"/>
      <c r="L1077" s="6" t="s">
        <v>5725</v>
      </c>
      <c r="M1077" s="6" t="s">
        <v>5726</v>
      </c>
      <c r="N1077" s="6" t="s">
        <v>287</v>
      </c>
      <c r="O1077" s="6"/>
      <c r="P1077" s="6"/>
      <c r="Q1077" s="6"/>
      <c r="R1077" s="6"/>
      <c r="S1077" s="6"/>
      <c r="T1077" s="6"/>
      <c r="U1077" s="6"/>
      <c r="V1077" s="6"/>
      <c r="W1077" s="6"/>
      <c r="X1077" s="6"/>
      <c r="Y1077" s="6"/>
      <c r="Z1077" s="6"/>
      <c r="AA1077" s="6"/>
      <c r="AB1077" s="6"/>
      <c r="AC1077" s="6"/>
      <c r="AD1077" s="6"/>
      <c r="AE1077" s="6"/>
    </row>
    <row r="1078" spans="1:31" ht="63.75" x14ac:dyDescent="0.2">
      <c r="A1078" s="6" t="s">
        <v>4806</v>
      </c>
      <c r="B1078" s="6" t="s">
        <v>5727</v>
      </c>
      <c r="C1078" s="20" t="s">
        <v>5728</v>
      </c>
      <c r="D1078" s="6" t="s">
        <v>5729</v>
      </c>
      <c r="E1078" s="6"/>
      <c r="F1078" s="6" t="s">
        <v>779</v>
      </c>
      <c r="G1078" s="6" t="s">
        <v>780</v>
      </c>
      <c r="H1078" s="6" t="str">
        <f t="shared" si="79"/>
        <v>EGYPT FIELDHANDS(P315)</v>
      </c>
      <c r="I1078" s="6" t="s">
        <v>784</v>
      </c>
      <c r="J1078" s="6"/>
      <c r="K1078" s="6"/>
      <c r="L1078" s="6" t="s">
        <v>5443</v>
      </c>
      <c r="M1078" s="6" t="s">
        <v>5730</v>
      </c>
      <c r="N1078" s="6" t="s">
        <v>287</v>
      </c>
      <c r="O1078" s="6"/>
      <c r="P1078" s="6"/>
      <c r="Q1078" s="6"/>
      <c r="R1078" s="6"/>
      <c r="S1078" s="6"/>
      <c r="T1078" s="6"/>
      <c r="U1078" s="6"/>
      <c r="V1078" s="6"/>
      <c r="W1078" s="6"/>
      <c r="X1078" s="6"/>
      <c r="Y1078" s="6"/>
      <c r="Z1078" s="6"/>
      <c r="AA1078" s="6"/>
      <c r="AB1078" s="6"/>
      <c r="AC1078" s="6"/>
      <c r="AD1078" s="6"/>
      <c r="AE1078" s="6"/>
    </row>
    <row r="1079" spans="1:31" ht="76.5" x14ac:dyDescent="0.2">
      <c r="A1079" s="6" t="s">
        <v>4806</v>
      </c>
      <c r="B1079" s="6" t="s">
        <v>5727</v>
      </c>
      <c r="C1079" s="20" t="s">
        <v>5731</v>
      </c>
      <c r="D1079" s="6" t="s">
        <v>5732</v>
      </c>
      <c r="E1079" s="6"/>
      <c r="F1079" s="6" t="s">
        <v>779</v>
      </c>
      <c r="G1079" s="6" t="s">
        <v>780</v>
      </c>
      <c r="H1079" s="6" t="str">
        <f t="shared" si="79"/>
        <v>EGYPT FIELDHANDS(P315)</v>
      </c>
      <c r="I1079" s="6" t="s">
        <v>784</v>
      </c>
      <c r="J1079" s="6"/>
      <c r="K1079" s="6"/>
      <c r="L1079" s="6" t="s">
        <v>2900</v>
      </c>
      <c r="M1079" s="6" t="str">
        <f>VLOOKUP(L1079, GLOSSARY!$A:$C, 2, FALSE)</f>
        <v>EGYPT MILKWOOD TREE PIECE</v>
      </c>
      <c r="N1079" s="6" t="s">
        <v>287</v>
      </c>
      <c r="O1079" s="6"/>
      <c r="P1079" s="6"/>
      <c r="Q1079" s="6"/>
      <c r="R1079" s="6"/>
      <c r="S1079" s="6"/>
      <c r="T1079" s="6"/>
      <c r="U1079" s="6"/>
      <c r="V1079" s="6"/>
      <c r="W1079" s="6"/>
      <c r="X1079" s="6"/>
      <c r="Y1079" s="6"/>
      <c r="Z1079" s="6"/>
      <c r="AA1079" s="6"/>
      <c r="AB1079" s="6"/>
      <c r="AC1079" s="6"/>
      <c r="AD1079" s="6"/>
      <c r="AE1079" s="6"/>
    </row>
    <row r="1080" spans="1:31" ht="76.5" x14ac:dyDescent="0.2">
      <c r="A1080" s="6" t="s">
        <v>4806</v>
      </c>
      <c r="B1080" s="6" t="s">
        <v>5733</v>
      </c>
      <c r="C1080" s="20" t="s">
        <v>5734</v>
      </c>
      <c r="D1080" s="6" t="s">
        <v>5735</v>
      </c>
      <c r="E1080" s="6"/>
      <c r="F1080" s="6" t="s">
        <v>779</v>
      </c>
      <c r="G1080" s="6" t="s">
        <v>780</v>
      </c>
      <c r="H1080" s="6" t="str">
        <f t="shared" si="79"/>
        <v>EGYPT FIELDHANDS(P315)</v>
      </c>
      <c r="I1080" s="6" t="s">
        <v>784</v>
      </c>
      <c r="J1080" s="6"/>
      <c r="K1080" s="6"/>
      <c r="L1080" s="6" t="s">
        <v>5412</v>
      </c>
      <c r="M1080" s="6" t="s">
        <v>5736</v>
      </c>
      <c r="N1080" s="6" t="s">
        <v>287</v>
      </c>
      <c r="O1080" s="6"/>
      <c r="P1080" s="6"/>
      <c r="Q1080" s="6"/>
      <c r="R1080" s="6"/>
      <c r="S1080" s="6"/>
      <c r="T1080" s="6"/>
      <c r="U1080" s="6"/>
      <c r="V1080" s="6"/>
      <c r="W1080" s="6"/>
      <c r="X1080" s="6"/>
      <c r="Y1080" s="6"/>
      <c r="Z1080" s="6"/>
      <c r="AA1080" s="6"/>
      <c r="AB1080" s="6"/>
      <c r="AC1080" s="6"/>
      <c r="AD1080" s="6"/>
      <c r="AE1080" s="6"/>
    </row>
    <row r="1081" spans="1:31" ht="51" x14ac:dyDescent="0.2">
      <c r="A1081" s="6" t="s">
        <v>4806</v>
      </c>
      <c r="B1081" s="6" t="s">
        <v>5733</v>
      </c>
      <c r="C1081" s="20" t="s">
        <v>5737</v>
      </c>
      <c r="D1081" s="6" t="s">
        <v>5738</v>
      </c>
      <c r="E1081" s="6"/>
      <c r="F1081" s="6" t="s">
        <v>779</v>
      </c>
      <c r="G1081" s="6" t="s">
        <v>780</v>
      </c>
      <c r="H1081" s="6" t="str">
        <f t="shared" si="79"/>
        <v>EGYPT FIELDHANDS(P315)</v>
      </c>
      <c r="I1081" s="6" t="s">
        <v>784</v>
      </c>
      <c r="J1081" s="6"/>
      <c r="K1081" s="6"/>
      <c r="L1081" s="6" t="s">
        <v>2906</v>
      </c>
      <c r="M1081" s="6" t="str">
        <f>VLOOKUP(L1081, GLOSSARY!$A:$C, 2, FALSE)</f>
        <v>EGYPT JUDE HOUSE POND PIECE</v>
      </c>
      <c r="N1081" s="6" t="s">
        <v>287</v>
      </c>
      <c r="O1081" s="6"/>
      <c r="P1081" s="6"/>
      <c r="Q1081" s="6"/>
      <c r="R1081" s="6"/>
      <c r="S1081" s="6"/>
      <c r="T1081" s="6"/>
      <c r="U1081" s="6"/>
      <c r="V1081" s="6"/>
      <c r="W1081" s="6"/>
      <c r="X1081" s="6"/>
      <c r="Y1081" s="6"/>
      <c r="Z1081" s="6"/>
      <c r="AA1081" s="6"/>
      <c r="AB1081" s="6"/>
      <c r="AC1081" s="6"/>
      <c r="AD1081" s="6"/>
      <c r="AE1081" s="6"/>
    </row>
    <row r="1082" spans="1:31" ht="25.5" x14ac:dyDescent="0.2">
      <c r="A1082" s="6" t="s">
        <v>4806</v>
      </c>
      <c r="B1082" s="6" t="s">
        <v>5733</v>
      </c>
      <c r="C1082" s="20" t="s">
        <v>5739</v>
      </c>
      <c r="D1082" s="6" t="s">
        <v>5740</v>
      </c>
      <c r="E1082" s="6"/>
      <c r="F1082" s="6" t="s">
        <v>779</v>
      </c>
      <c r="G1082" s="6" t="s">
        <v>780</v>
      </c>
      <c r="H1082" s="6" t="str">
        <f t="shared" si="79"/>
        <v>EGYPT FIELDHANDS(P315)</v>
      </c>
      <c r="I1082" s="6" t="s">
        <v>784</v>
      </c>
      <c r="J1082" s="6"/>
      <c r="K1082" s="6"/>
      <c r="L1082" s="6" t="s">
        <v>2839</v>
      </c>
      <c r="M1082" s="6" t="str">
        <f>VLOOKUP(L1082, GLOSSARY!$A:$C, 2, FALSE)</f>
        <v>EGYPT OLD NEGROE GROUND CANE PIECE</v>
      </c>
      <c r="N1082" s="6" t="s">
        <v>287</v>
      </c>
      <c r="O1082" s="6"/>
      <c r="P1082" s="6"/>
      <c r="Q1082" s="6"/>
      <c r="R1082" s="6"/>
      <c r="S1082" s="6"/>
      <c r="T1082" s="6"/>
      <c r="U1082" s="6"/>
      <c r="V1082" s="6"/>
      <c r="W1082" s="6"/>
      <c r="X1082" s="6"/>
      <c r="Y1082" s="6"/>
      <c r="Z1082" s="6"/>
      <c r="AA1082" s="6"/>
      <c r="AB1082" s="6"/>
      <c r="AC1082" s="6"/>
      <c r="AD1082" s="6"/>
      <c r="AE1082" s="6"/>
    </row>
    <row r="1083" spans="1:31" ht="76.5" x14ac:dyDescent="0.2">
      <c r="A1083" s="6" t="s">
        <v>4806</v>
      </c>
      <c r="B1083" s="6" t="s">
        <v>5741</v>
      </c>
      <c r="C1083" s="20" t="s">
        <v>5742</v>
      </c>
      <c r="D1083" s="6" t="s">
        <v>5743</v>
      </c>
      <c r="E1083" s="6"/>
      <c r="F1083" s="6" t="s">
        <v>779</v>
      </c>
      <c r="G1083" s="6" t="s">
        <v>780</v>
      </c>
      <c r="H1083" s="6" t="str">
        <f t="shared" si="79"/>
        <v>EGYPT FIELDHANDS(P315)</v>
      </c>
      <c r="I1083" s="6" t="s">
        <v>784</v>
      </c>
      <c r="J1083" s="6"/>
      <c r="K1083" s="6"/>
      <c r="L1083" s="6" t="s">
        <v>5744</v>
      </c>
      <c r="M1083" s="6" t="s">
        <v>5745</v>
      </c>
      <c r="N1083" s="6" t="s">
        <v>287</v>
      </c>
      <c r="O1083" s="6"/>
      <c r="P1083" s="6"/>
      <c r="Q1083" s="6"/>
      <c r="R1083" s="6"/>
      <c r="S1083" s="6"/>
      <c r="T1083" s="6"/>
      <c r="U1083" s="6"/>
      <c r="V1083" s="6"/>
      <c r="W1083" s="6"/>
      <c r="X1083" s="6"/>
      <c r="Y1083" s="6"/>
      <c r="Z1083" s="6"/>
      <c r="AA1083" s="6"/>
      <c r="AB1083" s="6"/>
      <c r="AC1083" s="6"/>
      <c r="AD1083" s="6"/>
      <c r="AE1083" s="6"/>
    </row>
    <row r="1084" spans="1:31" ht="76.5" x14ac:dyDescent="0.2">
      <c r="A1084" s="6" t="s">
        <v>5746</v>
      </c>
      <c r="B1084" s="6" t="s">
        <v>5747</v>
      </c>
      <c r="C1084" s="20" t="s">
        <v>5748</v>
      </c>
      <c r="D1084" s="6" t="s">
        <v>5749</v>
      </c>
      <c r="E1084" s="6"/>
      <c r="F1084" s="6" t="s">
        <v>2364</v>
      </c>
      <c r="G1084" s="6" t="s">
        <v>2151</v>
      </c>
      <c r="H1084" s="6" t="str">
        <f t="shared" si="79"/>
        <v>MOUNTAIN LUCY
THE OVERSEER(P43
P30)</v>
      </c>
      <c r="I1084" s="6" t="s">
        <v>409</v>
      </c>
      <c r="J1084" s="6"/>
      <c r="K1084" s="6"/>
      <c r="L1084" s="6" t="s">
        <v>55</v>
      </c>
      <c r="M1084" s="6" t="str">
        <f>VLOOKUP(L1084, GLOSSARY!$A:$C, 2, FALSE)</f>
        <v>EGYPT ESTATE</v>
      </c>
      <c r="N1084" s="6" t="s">
        <v>68</v>
      </c>
      <c r="O1084" s="6"/>
      <c r="P1084" s="6"/>
      <c r="Q1084" s="6"/>
      <c r="R1084" s="6"/>
      <c r="S1084" s="6"/>
      <c r="T1084" s="6"/>
      <c r="U1084" s="6"/>
      <c r="V1084" s="6"/>
      <c r="W1084" s="6"/>
      <c r="X1084" s="6"/>
      <c r="Y1084" s="6"/>
      <c r="Z1084" s="6"/>
      <c r="AA1084" s="6"/>
      <c r="AB1084" s="6"/>
      <c r="AC1084" s="6"/>
      <c r="AD1084" s="6"/>
      <c r="AE1084" s="6"/>
    </row>
    <row r="1085" spans="1:31" ht="51" x14ac:dyDescent="0.2">
      <c r="A1085" s="6" t="s">
        <v>4806</v>
      </c>
      <c r="B1085" s="6" t="s">
        <v>5747</v>
      </c>
      <c r="C1085" s="20" t="s">
        <v>5748</v>
      </c>
      <c r="D1085" s="6" t="s">
        <v>5750</v>
      </c>
      <c r="E1085" s="6"/>
      <c r="F1085" s="6"/>
      <c r="G1085" s="6"/>
      <c r="H1085" s="6" t="str">
        <f t="shared" si="79"/>
        <v>()</v>
      </c>
      <c r="I1085" s="6" t="s">
        <v>248</v>
      </c>
      <c r="J1085" s="6"/>
      <c r="K1085" s="6"/>
      <c r="L1085" s="6" t="s">
        <v>2906</v>
      </c>
      <c r="M1085" s="6" t="str">
        <f>VLOOKUP(L1085, GLOSSARY!$A:$C, 2, FALSE)</f>
        <v>EGYPT JUDE HOUSE POND PIECE</v>
      </c>
      <c r="N1085" s="6" t="s">
        <v>68</v>
      </c>
      <c r="O1085" s="6"/>
      <c r="P1085" s="6"/>
      <c r="Q1085" s="6"/>
      <c r="R1085" s="6"/>
      <c r="S1085" s="6"/>
      <c r="T1085" s="6"/>
      <c r="U1085" s="6"/>
      <c r="V1085" s="6"/>
      <c r="W1085" s="6"/>
      <c r="X1085" s="6"/>
      <c r="Y1085" s="6"/>
      <c r="Z1085" s="6"/>
      <c r="AA1085" s="6"/>
      <c r="AB1085" s="6"/>
      <c r="AC1085" s="6"/>
      <c r="AD1085" s="6"/>
      <c r="AE1085" s="6"/>
    </row>
    <row r="1086" spans="1:31" ht="153" x14ac:dyDescent="0.2">
      <c r="A1086" s="6" t="s">
        <v>4806</v>
      </c>
      <c r="B1086" s="6" t="s">
        <v>5751</v>
      </c>
      <c r="C1086" s="20" t="s">
        <v>5752</v>
      </c>
      <c r="D1086" s="6" t="s">
        <v>5753</v>
      </c>
      <c r="E1086" s="6"/>
      <c r="F1086" s="6" t="s">
        <v>779</v>
      </c>
      <c r="G1086" s="6" t="s">
        <v>780</v>
      </c>
      <c r="H1086" s="6" t="str">
        <f t="shared" si="79"/>
        <v>EGYPT FIELDHANDS(P315)</v>
      </c>
      <c r="I1086" s="6" t="s">
        <v>784</v>
      </c>
      <c r="J1086" s="6"/>
      <c r="K1086" s="6"/>
      <c r="L1086" s="6" t="s">
        <v>5754</v>
      </c>
      <c r="M1086" s="6" t="s">
        <v>5755</v>
      </c>
      <c r="N1086" s="6" t="s">
        <v>287</v>
      </c>
      <c r="O1086" s="6"/>
      <c r="P1086" s="6"/>
      <c r="Q1086" s="6"/>
      <c r="R1086" s="6"/>
      <c r="S1086" s="6"/>
      <c r="T1086" s="6"/>
      <c r="U1086" s="6"/>
      <c r="V1086" s="6"/>
      <c r="W1086" s="6"/>
      <c r="X1086" s="6"/>
      <c r="Y1086" s="6"/>
      <c r="Z1086" s="6"/>
      <c r="AA1086" s="6"/>
      <c r="AB1086" s="6"/>
      <c r="AC1086" s="6"/>
      <c r="AD1086" s="6"/>
      <c r="AE1086" s="6"/>
    </row>
    <row r="1087" spans="1:31" ht="114.75" x14ac:dyDescent="0.2">
      <c r="A1087" s="6" t="s">
        <v>5613</v>
      </c>
      <c r="B1087" s="6" t="s">
        <v>5756</v>
      </c>
      <c r="C1087" s="20" t="s">
        <v>5757</v>
      </c>
      <c r="D1087" s="6" t="s">
        <v>5758</v>
      </c>
      <c r="E1087" s="6"/>
      <c r="F1087" s="6" t="s">
        <v>5759</v>
      </c>
      <c r="G1087" s="6" t="s">
        <v>5760</v>
      </c>
      <c r="H1087" s="6" t="str">
        <f t="shared" si="79"/>
        <v>ROBERT LAWRENCE
THE OVERSEER
THE PLANTER(P327
P43
P44)</v>
      </c>
      <c r="I1087" s="6" t="s">
        <v>248</v>
      </c>
      <c r="J1087" s="6"/>
      <c r="K1087" s="6"/>
      <c r="L1087" s="6" t="s">
        <v>55</v>
      </c>
      <c r="M1087" s="6" t="str">
        <f>VLOOKUP(L1087, GLOSSARY!$A:$C, 2, FALSE)</f>
        <v>EGYPT ESTATE</v>
      </c>
      <c r="N1087" s="6" t="s">
        <v>68</v>
      </c>
      <c r="O1087" s="6"/>
      <c r="P1087" s="6"/>
      <c r="Q1087" s="6"/>
      <c r="R1087" s="6"/>
      <c r="S1087" s="6"/>
      <c r="T1087" s="6"/>
      <c r="U1087" s="6"/>
      <c r="V1087" s="6"/>
      <c r="W1087" s="6"/>
      <c r="X1087" s="6"/>
      <c r="Y1087" s="6"/>
      <c r="Z1087" s="6"/>
      <c r="AA1087" s="6"/>
      <c r="AB1087" s="6"/>
      <c r="AC1087" s="6"/>
      <c r="AD1087" s="6"/>
      <c r="AE1087" s="6"/>
    </row>
    <row r="1088" spans="1:31" ht="178.5" x14ac:dyDescent="0.2">
      <c r="A1088" s="6" t="s">
        <v>4806</v>
      </c>
      <c r="B1088" s="6" t="s">
        <v>5751</v>
      </c>
      <c r="C1088" s="20" t="s">
        <v>5757</v>
      </c>
      <c r="D1088" s="6" t="s">
        <v>5761</v>
      </c>
      <c r="E1088" s="6"/>
      <c r="F1088" s="6" t="s">
        <v>779</v>
      </c>
      <c r="G1088" s="6" t="s">
        <v>780</v>
      </c>
      <c r="H1088" s="6" t="str">
        <f t="shared" si="79"/>
        <v>EGYPT FIELDHANDS(P315)</v>
      </c>
      <c r="I1088" s="6" t="s">
        <v>784</v>
      </c>
      <c r="J1088" s="6"/>
      <c r="K1088" s="6"/>
      <c r="L1088" s="6" t="s">
        <v>5762</v>
      </c>
      <c r="M1088" s="6" t="s">
        <v>5763</v>
      </c>
      <c r="N1088" s="6" t="s">
        <v>287</v>
      </c>
      <c r="O1088" s="6"/>
      <c r="P1088" s="6"/>
      <c r="Q1088" s="6"/>
      <c r="R1088" s="6"/>
      <c r="S1088" s="6"/>
      <c r="T1088" s="6"/>
      <c r="U1088" s="6"/>
      <c r="V1088" s="6"/>
      <c r="W1088" s="6"/>
      <c r="X1088" s="6"/>
      <c r="Y1088" s="6"/>
      <c r="Z1088" s="6"/>
      <c r="AA1088" s="6"/>
      <c r="AB1088" s="6"/>
      <c r="AC1088" s="6"/>
      <c r="AD1088" s="6"/>
      <c r="AE1088" s="6"/>
    </row>
    <row r="1089" spans="1:31" ht="25.5" x14ac:dyDescent="0.2">
      <c r="A1089" s="6" t="s">
        <v>4806</v>
      </c>
      <c r="B1089" s="6" t="s">
        <v>5756</v>
      </c>
      <c r="C1089" s="20" t="s">
        <v>5764</v>
      </c>
      <c r="D1089" s="6" t="s">
        <v>5765</v>
      </c>
      <c r="E1089" s="6"/>
      <c r="F1089" s="6" t="s">
        <v>779</v>
      </c>
      <c r="G1089" s="6" t="s">
        <v>780</v>
      </c>
      <c r="H1089" s="6" t="str">
        <f t="shared" si="79"/>
        <v>EGYPT FIELDHANDS(P315)</v>
      </c>
      <c r="I1089" s="6" t="s">
        <v>784</v>
      </c>
      <c r="J1089" s="6"/>
      <c r="K1089" s="6"/>
      <c r="L1089" s="6" t="s">
        <v>2839</v>
      </c>
      <c r="M1089" s="6" t="str">
        <f>VLOOKUP(L1089, GLOSSARY!$A:$C, 2, FALSE)</f>
        <v>EGYPT OLD NEGROE GROUND CANE PIECE</v>
      </c>
      <c r="N1089" s="6" t="s">
        <v>287</v>
      </c>
      <c r="O1089" s="6"/>
      <c r="P1089" s="6"/>
      <c r="Q1089" s="6"/>
      <c r="R1089" s="6"/>
      <c r="S1089" s="6"/>
      <c r="T1089" s="6"/>
      <c r="U1089" s="6"/>
      <c r="V1089" s="6"/>
      <c r="W1089" s="6"/>
      <c r="X1089" s="6"/>
      <c r="Y1089" s="6"/>
      <c r="Z1089" s="6"/>
      <c r="AA1089" s="6"/>
      <c r="AB1089" s="6"/>
      <c r="AC1089" s="6"/>
      <c r="AD1089" s="6"/>
      <c r="AE1089" s="6"/>
    </row>
    <row r="1090" spans="1:31" ht="38.25" x14ac:dyDescent="0.2">
      <c r="A1090" s="6" t="s">
        <v>4806</v>
      </c>
      <c r="B1090" s="6" t="s">
        <v>5766</v>
      </c>
      <c r="C1090" s="20" t="s">
        <v>5767</v>
      </c>
      <c r="D1090" s="6" t="s">
        <v>5768</v>
      </c>
      <c r="E1090" s="6"/>
      <c r="F1090" s="6" t="s">
        <v>779</v>
      </c>
      <c r="G1090" s="6" t="s">
        <v>780</v>
      </c>
      <c r="H1090" s="6" t="str">
        <f t="shared" si="79"/>
        <v>EGYPT FIELDHANDS(P315)</v>
      </c>
      <c r="I1090" s="6" t="s">
        <v>784</v>
      </c>
      <c r="J1090" s="6"/>
      <c r="K1090" s="6"/>
      <c r="L1090" s="6" t="s">
        <v>5769</v>
      </c>
      <c r="M1090" s="6" t="s">
        <v>5770</v>
      </c>
      <c r="N1090" s="6" t="s">
        <v>287</v>
      </c>
      <c r="O1090" s="6"/>
      <c r="P1090" s="6"/>
      <c r="Q1090" s="6"/>
      <c r="R1090" s="6"/>
      <c r="S1090" s="6"/>
      <c r="T1090" s="6"/>
      <c r="U1090" s="6"/>
      <c r="V1090" s="6"/>
      <c r="W1090" s="6"/>
      <c r="X1090" s="6"/>
      <c r="Y1090" s="6"/>
      <c r="Z1090" s="6"/>
      <c r="AA1090" s="6"/>
      <c r="AB1090" s="6"/>
      <c r="AC1090" s="6"/>
      <c r="AD1090" s="6"/>
      <c r="AE1090" s="6"/>
    </row>
    <row r="1091" spans="1:31" ht="51" x14ac:dyDescent="0.2">
      <c r="A1091" s="6" t="s">
        <v>5771</v>
      </c>
      <c r="B1091" s="6" t="s">
        <v>5766</v>
      </c>
      <c r="C1091" s="20" t="s">
        <v>5772</v>
      </c>
      <c r="D1091" s="6" t="s">
        <v>5773</v>
      </c>
      <c r="E1091" s="6"/>
      <c r="F1091" s="6"/>
      <c r="G1091" s="6"/>
      <c r="H1091" s="6" t="str">
        <f t="shared" si="79"/>
        <v>()</v>
      </c>
      <c r="I1091" s="6" t="s">
        <v>139</v>
      </c>
      <c r="J1091" s="6"/>
      <c r="K1091" s="6"/>
      <c r="L1091" s="6" t="s">
        <v>55</v>
      </c>
      <c r="M1091" s="6" t="str">
        <f>VLOOKUP(L1091, GLOSSARY!$A:$C, 2, FALSE)</f>
        <v>EGYPT ESTATE</v>
      </c>
      <c r="N1091" s="6" t="s">
        <v>68</v>
      </c>
      <c r="O1091" s="6"/>
      <c r="P1091" s="6"/>
      <c r="Q1091" s="6"/>
      <c r="R1091" s="6"/>
      <c r="S1091" s="6"/>
      <c r="T1091" s="6"/>
      <c r="U1091" s="6"/>
      <c r="V1091" s="6"/>
      <c r="W1091" s="6"/>
      <c r="X1091" s="6"/>
      <c r="Y1091" s="6"/>
      <c r="Z1091" s="6"/>
      <c r="AA1091" s="6"/>
      <c r="AB1091" s="6"/>
      <c r="AC1091" s="6"/>
      <c r="AD1091" s="6"/>
      <c r="AE1091" s="6"/>
    </row>
    <row r="1092" spans="1:31" ht="25.5" x14ac:dyDescent="0.2">
      <c r="A1092" s="6" t="s">
        <v>4657</v>
      </c>
      <c r="B1092" s="6" t="s">
        <v>5774</v>
      </c>
      <c r="C1092" s="20" t="s">
        <v>5775</v>
      </c>
      <c r="D1092" s="6" t="s">
        <v>5776</v>
      </c>
      <c r="E1092" s="6"/>
      <c r="F1092" s="6" t="s">
        <v>65</v>
      </c>
      <c r="G1092" s="6" t="s">
        <v>64</v>
      </c>
      <c r="H1092" s="6" t="str">
        <f>CONCATENATE(F1092," (",G1092,")")</f>
        <v>JULINA (P4)</v>
      </c>
      <c r="I1092" s="6" t="s">
        <v>533</v>
      </c>
      <c r="J1092" s="6"/>
      <c r="K1092" s="6"/>
      <c r="L1092" s="6" t="s">
        <v>55</v>
      </c>
      <c r="M1092" s="6" t="str">
        <f>VLOOKUP(L1092, GLOSSARY!$A:$C, 2, FALSE)</f>
        <v>EGYPT ESTATE</v>
      </c>
      <c r="N1092" s="6" t="s">
        <v>167</v>
      </c>
      <c r="O1092" s="6"/>
      <c r="P1092" s="6"/>
      <c r="Q1092" s="6"/>
      <c r="R1092" s="6"/>
      <c r="S1092" s="6"/>
      <c r="T1092" s="6"/>
      <c r="U1092" s="6"/>
      <c r="V1092" s="6"/>
      <c r="W1092" s="6"/>
      <c r="X1092" s="6"/>
      <c r="Y1092" s="6"/>
      <c r="Z1092" s="6"/>
      <c r="AA1092" s="6"/>
      <c r="AB1092" s="6"/>
      <c r="AC1092" s="6"/>
      <c r="AD1092" s="6"/>
      <c r="AE1092" s="6"/>
    </row>
    <row r="1093" spans="1:31" ht="165.75" x14ac:dyDescent="0.2">
      <c r="A1093" s="6" t="s">
        <v>4657</v>
      </c>
      <c r="B1093" s="6" t="s">
        <v>5777</v>
      </c>
      <c r="C1093" s="20" t="s">
        <v>5775</v>
      </c>
      <c r="D1093" s="6" t="s">
        <v>5778</v>
      </c>
      <c r="E1093" s="6"/>
      <c r="F1093" s="6" t="s">
        <v>5779</v>
      </c>
      <c r="G1093" s="6" t="s">
        <v>5780</v>
      </c>
      <c r="H1093" s="6" t="str">
        <f t="shared" ref="H1093:H1096" si="80">CONCATENATE(F1093,"(",G1093,")")</f>
        <v>THE OVERSEER
DR. GORSE
EGYPT LITTLE PHIBBAH
JULINA(P43
P228
P4
P325)</v>
      </c>
      <c r="I1093" s="6" t="s">
        <v>533</v>
      </c>
      <c r="J1093" s="6"/>
      <c r="K1093" s="6"/>
      <c r="L1093" s="6" t="s">
        <v>55</v>
      </c>
      <c r="M1093" s="6" t="str">
        <f>VLOOKUP(L1093, GLOSSARY!$A:$C, 2, FALSE)</f>
        <v>EGYPT ESTATE</v>
      </c>
      <c r="N1093" s="6" t="s">
        <v>68</v>
      </c>
      <c r="O1093" s="6"/>
      <c r="P1093" s="6"/>
      <c r="Q1093" s="6"/>
      <c r="R1093" s="6"/>
      <c r="S1093" s="6"/>
      <c r="T1093" s="6"/>
      <c r="U1093" s="6"/>
      <c r="V1093" s="6"/>
      <c r="W1093" s="6"/>
      <c r="X1093" s="6"/>
      <c r="Y1093" s="6"/>
      <c r="Z1093" s="6"/>
      <c r="AA1093" s="6"/>
      <c r="AB1093" s="6"/>
      <c r="AC1093" s="6"/>
      <c r="AD1093" s="6"/>
      <c r="AE1093" s="6"/>
    </row>
    <row r="1094" spans="1:31" ht="89.25" x14ac:dyDescent="0.2">
      <c r="A1094" s="6" t="s">
        <v>5613</v>
      </c>
      <c r="B1094" s="6" t="s">
        <v>5777</v>
      </c>
      <c r="C1094" s="20" t="s">
        <v>5775</v>
      </c>
      <c r="D1094" s="6" t="s">
        <v>5781</v>
      </c>
      <c r="E1094" s="6"/>
      <c r="F1094" s="6" t="s">
        <v>5782</v>
      </c>
      <c r="G1094" s="6" t="s">
        <v>5760</v>
      </c>
      <c r="H1094" s="6" t="str">
        <f t="shared" si="80"/>
        <v>ROBERT LAWRENCE
THE OVERSEER(P327
P43
P44)</v>
      </c>
      <c r="I1094" s="6" t="s">
        <v>248</v>
      </c>
      <c r="J1094" s="6"/>
      <c r="K1094" s="6"/>
      <c r="L1094" s="6" t="s">
        <v>55</v>
      </c>
      <c r="M1094" s="6" t="str">
        <f>VLOOKUP(L1094, GLOSSARY!$A:$C, 2, FALSE)</f>
        <v>EGYPT ESTATE</v>
      </c>
      <c r="N1094" s="6" t="s">
        <v>68</v>
      </c>
      <c r="O1094" s="6"/>
      <c r="P1094" s="6"/>
      <c r="Q1094" s="6"/>
      <c r="R1094" s="6"/>
      <c r="S1094" s="6"/>
      <c r="T1094" s="6"/>
      <c r="U1094" s="6"/>
      <c r="V1094" s="6"/>
      <c r="W1094" s="6"/>
      <c r="X1094" s="6"/>
      <c r="Y1094" s="6"/>
      <c r="Z1094" s="6"/>
      <c r="AA1094" s="6"/>
      <c r="AB1094" s="6"/>
      <c r="AC1094" s="6"/>
      <c r="AD1094" s="6"/>
      <c r="AE1094" s="6"/>
    </row>
    <row r="1095" spans="1:31" ht="38.25" x14ac:dyDescent="0.2">
      <c r="A1095" s="6" t="s">
        <v>5613</v>
      </c>
      <c r="B1095" s="6" t="s">
        <v>5774</v>
      </c>
      <c r="C1095" s="20" t="s">
        <v>5775</v>
      </c>
      <c r="D1095" s="6" t="s">
        <v>5783</v>
      </c>
      <c r="E1095" s="6"/>
      <c r="F1095" s="6" t="s">
        <v>1893</v>
      </c>
      <c r="G1095" s="6" t="s">
        <v>1891</v>
      </c>
      <c r="H1095" s="6" t="str">
        <f t="shared" si="80"/>
        <v>ROBERT LAWRENCE(P327)</v>
      </c>
      <c r="I1095" s="6" t="s">
        <v>248</v>
      </c>
      <c r="J1095" s="6"/>
      <c r="K1095" s="6"/>
      <c r="L1095" s="6" t="s">
        <v>55</v>
      </c>
      <c r="M1095" s="6" t="str">
        <f>VLOOKUP(L1095, GLOSSARY!$A:$C, 2, FALSE)</f>
        <v>EGYPT ESTATE</v>
      </c>
      <c r="N1095" s="6" t="s">
        <v>167</v>
      </c>
      <c r="O1095" s="6"/>
      <c r="P1095" s="6"/>
      <c r="Q1095" s="6"/>
      <c r="R1095" s="6"/>
      <c r="S1095" s="6"/>
      <c r="T1095" s="6"/>
      <c r="U1095" s="6"/>
      <c r="V1095" s="6"/>
      <c r="W1095" s="6"/>
      <c r="X1095" s="6"/>
      <c r="Y1095" s="6"/>
      <c r="Z1095" s="6"/>
      <c r="AA1095" s="6"/>
      <c r="AB1095" s="6"/>
      <c r="AC1095" s="6"/>
      <c r="AD1095" s="6"/>
      <c r="AE1095" s="6"/>
    </row>
    <row r="1096" spans="1:31" ht="114.75" x14ac:dyDescent="0.2">
      <c r="A1096" s="6" t="s">
        <v>4657</v>
      </c>
      <c r="B1096" s="6" t="s">
        <v>5777</v>
      </c>
      <c r="C1096" s="20" t="s">
        <v>5775</v>
      </c>
      <c r="D1096" s="6" t="s">
        <v>5784</v>
      </c>
      <c r="E1096" s="6"/>
      <c r="F1096" s="6" t="s">
        <v>5785</v>
      </c>
      <c r="G1096" s="6" t="s">
        <v>5786</v>
      </c>
      <c r="H1096" s="6" t="str">
        <f t="shared" si="80"/>
        <v>THE OVERSEER
DR. GORSE
JULINA(P43
P4
P228)</v>
      </c>
      <c r="I1096" s="6" t="s">
        <v>533</v>
      </c>
      <c r="J1096" s="6"/>
      <c r="K1096" s="6"/>
      <c r="L1096" s="6" t="s">
        <v>55</v>
      </c>
      <c r="M1096" s="6" t="str">
        <f>VLOOKUP(L1096, GLOSSARY!$A:$C, 2, FALSE)</f>
        <v>EGYPT ESTATE</v>
      </c>
      <c r="N1096" s="6" t="s">
        <v>68</v>
      </c>
      <c r="O1096" s="6"/>
      <c r="P1096" s="6"/>
      <c r="Q1096" s="6"/>
      <c r="R1096" s="6"/>
      <c r="S1096" s="6"/>
      <c r="T1096" s="6"/>
      <c r="U1096" s="6"/>
      <c r="V1096" s="6"/>
      <c r="W1096" s="6"/>
      <c r="X1096" s="6"/>
      <c r="Y1096" s="6"/>
      <c r="Z1096" s="6"/>
      <c r="AA1096" s="6"/>
      <c r="AB1096" s="6"/>
      <c r="AC1096" s="6"/>
      <c r="AD1096" s="6"/>
      <c r="AE1096" s="6"/>
    </row>
    <row r="1097" spans="1:31" ht="63.75" x14ac:dyDescent="0.2">
      <c r="A1097" s="6" t="s">
        <v>4657</v>
      </c>
      <c r="B1097" s="6" t="s">
        <v>5774</v>
      </c>
      <c r="C1097" s="20" t="s">
        <v>5787</v>
      </c>
      <c r="D1097" s="6" t="s">
        <v>5788</v>
      </c>
      <c r="E1097" s="6"/>
      <c r="F1097" s="6" t="s">
        <v>5789</v>
      </c>
      <c r="G1097" s="6" t="s">
        <v>5790</v>
      </c>
      <c r="H1097" s="6" t="str">
        <f>CONCATENATE(F1097," (",G1097,")")</f>
        <v>DR. GORSE
JULINA (P228
P4)</v>
      </c>
      <c r="I1097" s="6" t="s">
        <v>533</v>
      </c>
      <c r="J1097" s="6"/>
      <c r="K1097" s="6"/>
      <c r="L1097" s="6" t="s">
        <v>55</v>
      </c>
      <c r="M1097" s="6" t="str">
        <f>VLOOKUP(L1097, GLOSSARY!$A:$C, 2, FALSE)</f>
        <v>EGYPT ESTATE</v>
      </c>
      <c r="N1097" s="6" t="s">
        <v>68</v>
      </c>
      <c r="O1097" s="6"/>
      <c r="P1097" s="6"/>
      <c r="Q1097" s="6"/>
      <c r="R1097" s="6"/>
      <c r="S1097" s="6"/>
      <c r="T1097" s="6"/>
      <c r="U1097" s="6"/>
      <c r="V1097" s="6"/>
      <c r="W1097" s="6"/>
      <c r="X1097" s="6"/>
      <c r="Y1097" s="6"/>
      <c r="Z1097" s="6"/>
      <c r="AA1097" s="6"/>
      <c r="AB1097" s="6"/>
      <c r="AC1097" s="6"/>
      <c r="AD1097" s="6"/>
      <c r="AE1097" s="6"/>
    </row>
    <row r="1098" spans="1:31" ht="38.25" x14ac:dyDescent="0.2">
      <c r="A1098" s="6" t="s">
        <v>5613</v>
      </c>
      <c r="B1098" s="6" t="s">
        <v>5774</v>
      </c>
      <c r="C1098" s="20" t="s">
        <v>5787</v>
      </c>
      <c r="D1098" s="6" t="s">
        <v>5791</v>
      </c>
      <c r="E1098" s="6"/>
      <c r="F1098" s="6" t="s">
        <v>1893</v>
      </c>
      <c r="G1098" s="6" t="s">
        <v>1891</v>
      </c>
      <c r="H1098" s="6" t="str">
        <f t="shared" ref="H1098:H1104" si="81">CONCATENATE(F1098,"(",G1098,")")</f>
        <v>ROBERT LAWRENCE(P327)</v>
      </c>
      <c r="I1098" s="6" t="s">
        <v>248</v>
      </c>
      <c r="J1098" s="6"/>
      <c r="K1098" s="6"/>
      <c r="L1098" s="6" t="s">
        <v>99</v>
      </c>
      <c r="M1098" s="6" t="str">
        <f>VLOOKUP(L1098, GLOSSARY!$A:$C, 2, FALSE)</f>
        <v>PARADISE ESTATE</v>
      </c>
      <c r="N1098" s="6" t="s">
        <v>68</v>
      </c>
      <c r="O1098" s="6"/>
      <c r="P1098" s="6"/>
      <c r="Q1098" s="6"/>
      <c r="R1098" s="6"/>
      <c r="S1098" s="6"/>
      <c r="T1098" s="6"/>
      <c r="U1098" s="6"/>
      <c r="V1098" s="6"/>
      <c r="W1098" s="6"/>
      <c r="X1098" s="6"/>
      <c r="Y1098" s="6"/>
      <c r="Z1098" s="6"/>
      <c r="AA1098" s="6"/>
      <c r="AB1098" s="6"/>
      <c r="AC1098" s="6"/>
      <c r="AD1098" s="6"/>
      <c r="AE1098" s="6"/>
    </row>
    <row r="1099" spans="1:31" ht="140.25" x14ac:dyDescent="0.2">
      <c r="A1099" s="6" t="s">
        <v>5792</v>
      </c>
      <c r="B1099" s="6" t="s">
        <v>5774</v>
      </c>
      <c r="C1099" s="20" t="s">
        <v>5787</v>
      </c>
      <c r="D1099" s="6" t="s">
        <v>5793</v>
      </c>
      <c r="E1099" s="6"/>
      <c r="F1099" s="6" t="s">
        <v>1449</v>
      </c>
      <c r="G1099" s="6" t="s">
        <v>1450</v>
      </c>
      <c r="H1099" s="6" t="str">
        <f t="shared" si="81"/>
        <v>THE OVERSEER
EGYPT FIELDHANDS(P43
P315)</v>
      </c>
      <c r="I1099" s="6" t="s">
        <v>248</v>
      </c>
      <c r="J1099" s="6"/>
      <c r="K1099" s="6"/>
      <c r="L1099" s="6" t="s">
        <v>55</v>
      </c>
      <c r="M1099" s="6" t="str">
        <f>VLOOKUP(L1099, GLOSSARY!$A:$C, 2, FALSE)</f>
        <v>EGYPT ESTATE</v>
      </c>
      <c r="N1099" s="6" t="s">
        <v>68</v>
      </c>
      <c r="O1099" s="6"/>
      <c r="P1099" s="6"/>
      <c r="Q1099" s="6"/>
      <c r="R1099" s="6"/>
      <c r="S1099" s="6"/>
      <c r="T1099" s="6"/>
      <c r="U1099" s="6"/>
      <c r="V1099" s="6"/>
      <c r="W1099" s="6"/>
      <c r="X1099" s="6"/>
      <c r="Y1099" s="6"/>
      <c r="Z1099" s="6"/>
      <c r="AA1099" s="6"/>
      <c r="AB1099" s="6"/>
      <c r="AC1099" s="6"/>
      <c r="AD1099" s="6"/>
      <c r="AE1099" s="6"/>
    </row>
    <row r="1100" spans="1:31" ht="51" x14ac:dyDescent="0.2">
      <c r="A1100" s="6" t="s">
        <v>4806</v>
      </c>
      <c r="B1100" s="6" t="s">
        <v>5794</v>
      </c>
      <c r="C1100" s="20" t="s">
        <v>5795</v>
      </c>
      <c r="D1100" s="6" t="s">
        <v>5796</v>
      </c>
      <c r="E1100" s="6"/>
      <c r="F1100" s="6" t="s">
        <v>779</v>
      </c>
      <c r="G1100" s="6" t="s">
        <v>780</v>
      </c>
      <c r="H1100" s="6" t="str">
        <f t="shared" si="81"/>
        <v>EGYPT FIELDHANDS(P315)</v>
      </c>
      <c r="I1100" s="6" t="s">
        <v>784</v>
      </c>
      <c r="J1100" s="6"/>
      <c r="K1100" s="6"/>
      <c r="L1100" s="6" t="s">
        <v>55</v>
      </c>
      <c r="M1100" s="6" t="str">
        <f>VLOOKUP(L1100, GLOSSARY!$A:$C, 2, FALSE)</f>
        <v>EGYPT ESTATE</v>
      </c>
      <c r="N1100" s="6" t="s">
        <v>68</v>
      </c>
      <c r="O1100" s="6"/>
      <c r="P1100" s="6"/>
      <c r="Q1100" s="6"/>
      <c r="R1100" s="6"/>
      <c r="S1100" s="6"/>
      <c r="T1100" s="6"/>
      <c r="U1100" s="6"/>
      <c r="V1100" s="6"/>
      <c r="W1100" s="6"/>
      <c r="X1100" s="6"/>
      <c r="Y1100" s="6"/>
      <c r="Z1100" s="6"/>
      <c r="AA1100" s="6"/>
      <c r="AB1100" s="6"/>
      <c r="AC1100" s="6"/>
      <c r="AD1100" s="6"/>
      <c r="AE1100" s="6"/>
    </row>
    <row r="1101" spans="1:31" ht="318.75" x14ac:dyDescent="0.2">
      <c r="A1101" s="6" t="s">
        <v>4806</v>
      </c>
      <c r="B1101" s="6" t="s">
        <v>5797</v>
      </c>
      <c r="C1101" s="20" t="s">
        <v>5798</v>
      </c>
      <c r="D1101" s="6" t="s">
        <v>5799</v>
      </c>
      <c r="E1101" s="6"/>
      <c r="F1101" s="6" t="s">
        <v>779</v>
      </c>
      <c r="G1101" s="6" t="s">
        <v>780</v>
      </c>
      <c r="H1101" s="6" t="str">
        <f t="shared" si="81"/>
        <v>EGYPT FIELDHANDS(P315)</v>
      </c>
      <c r="I1101" s="6" t="s">
        <v>784</v>
      </c>
      <c r="J1101" s="6"/>
      <c r="K1101" s="6"/>
      <c r="L1101" s="6" t="s">
        <v>55</v>
      </c>
      <c r="M1101" s="6" t="str">
        <f>VLOOKUP(L1101, GLOSSARY!$A:$C, 2, FALSE)</f>
        <v>EGYPT ESTATE</v>
      </c>
      <c r="N1101" s="6" t="s">
        <v>287</v>
      </c>
      <c r="O1101" s="6"/>
      <c r="P1101" s="6"/>
      <c r="Q1101" s="6"/>
      <c r="R1101" s="6"/>
      <c r="S1101" s="6"/>
      <c r="T1101" s="6"/>
      <c r="U1101" s="6"/>
      <c r="V1101" s="6"/>
      <c r="W1101" s="6"/>
      <c r="X1101" s="6"/>
      <c r="Y1101" s="6"/>
      <c r="Z1101" s="6"/>
      <c r="AA1101" s="6"/>
      <c r="AB1101" s="6"/>
      <c r="AC1101" s="6"/>
      <c r="AD1101" s="6"/>
      <c r="AE1101" s="6"/>
    </row>
    <row r="1102" spans="1:31" ht="114.75" x14ac:dyDescent="0.2">
      <c r="A1102" s="6" t="s">
        <v>4806</v>
      </c>
      <c r="B1102" s="6" t="s">
        <v>5800</v>
      </c>
      <c r="C1102" s="20" t="s">
        <v>5801</v>
      </c>
      <c r="D1102" s="6" t="s">
        <v>5802</v>
      </c>
      <c r="E1102" s="6"/>
      <c r="F1102" s="6" t="s">
        <v>779</v>
      </c>
      <c r="G1102" s="6" t="s">
        <v>780</v>
      </c>
      <c r="H1102" s="6" t="str">
        <f t="shared" si="81"/>
        <v>EGYPT FIELDHANDS(P315)</v>
      </c>
      <c r="I1102" s="6" t="s">
        <v>784</v>
      </c>
      <c r="J1102" s="6"/>
      <c r="K1102" s="6"/>
      <c r="L1102" s="6" t="s">
        <v>5803</v>
      </c>
      <c r="M1102" s="6" t="s">
        <v>5804</v>
      </c>
      <c r="N1102" s="6" t="s">
        <v>287</v>
      </c>
      <c r="O1102" s="6"/>
      <c r="P1102" s="6"/>
      <c r="Q1102" s="6"/>
      <c r="R1102" s="6"/>
      <c r="S1102" s="6"/>
      <c r="T1102" s="6"/>
      <c r="U1102" s="6"/>
      <c r="V1102" s="6"/>
      <c r="W1102" s="6"/>
      <c r="X1102" s="6"/>
      <c r="Y1102" s="6"/>
      <c r="Z1102" s="6"/>
      <c r="AA1102" s="6"/>
      <c r="AB1102" s="6"/>
      <c r="AC1102" s="6"/>
      <c r="AD1102" s="6"/>
      <c r="AE1102" s="6"/>
    </row>
    <row r="1103" spans="1:31" ht="63.75" x14ac:dyDescent="0.2">
      <c r="A1103" s="6" t="s">
        <v>2558</v>
      </c>
      <c r="B1103" s="6" t="s">
        <v>3993</v>
      </c>
      <c r="C1103" s="20" t="s">
        <v>5805</v>
      </c>
      <c r="D1103" s="6" t="s">
        <v>5806</v>
      </c>
      <c r="E1103" s="6"/>
      <c r="F1103" s="6" t="s">
        <v>5807</v>
      </c>
      <c r="G1103" s="6" t="s">
        <v>5808</v>
      </c>
      <c r="H1103" s="6" t="str">
        <f t="shared" si="81"/>
        <v>JOB
DAGO(P29
P241)</v>
      </c>
      <c r="I1103" s="6" t="s">
        <v>139</v>
      </c>
      <c r="J1103" s="6"/>
      <c r="K1103" s="6"/>
      <c r="L1103" s="6" t="s">
        <v>55</v>
      </c>
      <c r="M1103" s="6" t="str">
        <f>VLOOKUP(L1103, GLOSSARY!$A:$C, 2, FALSE)</f>
        <v>EGYPT ESTATE</v>
      </c>
      <c r="N1103" s="6" t="s">
        <v>68</v>
      </c>
      <c r="O1103" s="6"/>
      <c r="P1103" s="6"/>
      <c r="Q1103" s="6"/>
      <c r="R1103" s="6"/>
      <c r="S1103" s="6"/>
      <c r="T1103" s="6"/>
      <c r="U1103" s="6"/>
      <c r="V1103" s="6"/>
      <c r="W1103" s="6"/>
      <c r="X1103" s="6"/>
      <c r="Y1103" s="6"/>
      <c r="Z1103" s="6"/>
      <c r="AA1103" s="6"/>
      <c r="AB1103" s="6"/>
      <c r="AC1103" s="6"/>
      <c r="AD1103" s="6"/>
      <c r="AE1103" s="6"/>
    </row>
    <row r="1104" spans="1:31" ht="38.25" x14ac:dyDescent="0.2">
      <c r="A1104" s="6" t="s">
        <v>2558</v>
      </c>
      <c r="B1104" s="6" t="s">
        <v>3999</v>
      </c>
      <c r="C1104" s="20" t="s">
        <v>5809</v>
      </c>
      <c r="D1104" s="6" t="s">
        <v>5810</v>
      </c>
      <c r="E1104" s="6"/>
      <c r="F1104" s="6" t="s">
        <v>5807</v>
      </c>
      <c r="G1104" s="6" t="s">
        <v>5808</v>
      </c>
      <c r="H1104" s="6" t="str">
        <f t="shared" si="81"/>
        <v>JOB
DAGO(P29
P241)</v>
      </c>
      <c r="I1104" s="6" t="s">
        <v>139</v>
      </c>
      <c r="J1104" s="6"/>
      <c r="K1104" s="6"/>
      <c r="L1104" s="6" t="s">
        <v>55</v>
      </c>
      <c r="M1104" s="6" t="str">
        <f>VLOOKUP(L1104, GLOSSARY!$A:$C, 2, FALSE)</f>
        <v>EGYPT ESTATE</v>
      </c>
      <c r="N1104" s="6" t="s">
        <v>68</v>
      </c>
      <c r="O1104" s="6"/>
      <c r="P1104" s="6"/>
      <c r="Q1104" s="6"/>
      <c r="R1104" s="6"/>
      <c r="S1104" s="6"/>
      <c r="T1104" s="6"/>
      <c r="U1104" s="6"/>
      <c r="V1104" s="6"/>
      <c r="W1104" s="6"/>
      <c r="X1104" s="6"/>
      <c r="Y1104" s="6"/>
      <c r="Z1104" s="6"/>
      <c r="AA1104" s="6"/>
      <c r="AB1104" s="6"/>
      <c r="AC1104" s="6"/>
      <c r="AD1104" s="6"/>
      <c r="AE1104" s="6"/>
    </row>
    <row r="1105" spans="1:31" ht="51" x14ac:dyDescent="0.2">
      <c r="A1105" s="6" t="s">
        <v>4657</v>
      </c>
      <c r="B1105" s="6" t="s">
        <v>5811</v>
      </c>
      <c r="C1105" s="20" t="s">
        <v>5812</v>
      </c>
      <c r="D1105" s="6" t="s">
        <v>5813</v>
      </c>
      <c r="E1105" s="6"/>
      <c r="F1105" s="6"/>
      <c r="G1105" s="6"/>
      <c r="H1105" s="6" t="str">
        <f t="shared" ref="H1105:H1109" si="82">CONCATENATE(F1105," (",G1105,")")</f>
        <v xml:space="preserve"> ()</v>
      </c>
      <c r="I1105" s="6" t="s">
        <v>26</v>
      </c>
      <c r="J1105" s="6"/>
      <c r="K1105" s="6"/>
      <c r="L1105" s="6" t="s">
        <v>55</v>
      </c>
      <c r="M1105" s="6" t="str">
        <f>VLOOKUP(L1105, GLOSSARY!$A:$C, 2, FALSE)</f>
        <v>EGYPT ESTATE</v>
      </c>
      <c r="N1105" s="6" t="s">
        <v>287</v>
      </c>
      <c r="O1105" s="6" t="s">
        <v>5813</v>
      </c>
      <c r="P1105" s="6"/>
      <c r="Q1105" s="6"/>
      <c r="R1105" s="6"/>
      <c r="S1105" s="6"/>
      <c r="T1105" s="6"/>
      <c r="U1105" s="6"/>
      <c r="V1105" s="6"/>
      <c r="W1105" s="6"/>
      <c r="X1105" s="6"/>
      <c r="Y1105" s="6"/>
      <c r="Z1105" s="6"/>
      <c r="AA1105" s="6"/>
      <c r="AB1105" s="6"/>
      <c r="AC1105" s="6"/>
      <c r="AD1105" s="6"/>
      <c r="AE1105" s="6"/>
    </row>
    <row r="1106" spans="1:31" ht="76.5" x14ac:dyDescent="0.2">
      <c r="A1106" s="6" t="s">
        <v>4657</v>
      </c>
      <c r="B1106" s="6" t="s">
        <v>5811</v>
      </c>
      <c r="C1106" s="20" t="s">
        <v>5814</v>
      </c>
      <c r="D1106" s="6" t="s">
        <v>5815</v>
      </c>
      <c r="E1106" s="6"/>
      <c r="F1106" s="6"/>
      <c r="G1106" s="6"/>
      <c r="H1106" s="6" t="str">
        <f t="shared" si="82"/>
        <v xml:space="preserve"> ()</v>
      </c>
      <c r="I1106" s="6" t="s">
        <v>869</v>
      </c>
      <c r="J1106" s="6"/>
      <c r="K1106" s="6"/>
      <c r="L1106" s="6" t="s">
        <v>785</v>
      </c>
      <c r="M1106" s="6" t="str">
        <f>VLOOKUP(L1106, GLOSSARY!$A:$C, 2, FALSE)</f>
        <v>EGYPT ESTATE</v>
      </c>
      <c r="N1106" s="6" t="s">
        <v>287</v>
      </c>
      <c r="O1106" s="6" t="s">
        <v>5815</v>
      </c>
      <c r="P1106" s="6"/>
      <c r="Q1106" s="6"/>
      <c r="R1106" s="6"/>
      <c r="S1106" s="6"/>
      <c r="T1106" s="6"/>
      <c r="U1106" s="6"/>
      <c r="V1106" s="6"/>
      <c r="W1106" s="6"/>
      <c r="X1106" s="6"/>
      <c r="Y1106" s="6"/>
      <c r="Z1106" s="6"/>
      <c r="AA1106" s="6"/>
      <c r="AB1106" s="6"/>
      <c r="AC1106" s="6"/>
      <c r="AD1106" s="6"/>
      <c r="AE1106" s="6"/>
    </row>
    <row r="1107" spans="1:31" ht="89.25" x14ac:dyDescent="0.2">
      <c r="A1107" s="6" t="s">
        <v>4657</v>
      </c>
      <c r="B1107" s="6" t="s">
        <v>4015</v>
      </c>
      <c r="C1107" s="20" t="s">
        <v>5816</v>
      </c>
      <c r="D1107" s="6" t="s">
        <v>5817</v>
      </c>
      <c r="E1107" s="6"/>
      <c r="F1107" s="6" t="s">
        <v>5721</v>
      </c>
      <c r="G1107" s="6" t="s">
        <v>5722</v>
      </c>
      <c r="H1107" s="6" t="str">
        <f t="shared" si="82"/>
        <v>EGYPT LUCY
LITTLE QUASHE (P3
P5)</v>
      </c>
      <c r="I1107" s="6" t="s">
        <v>96</v>
      </c>
      <c r="J1107" s="6"/>
      <c r="K1107" s="6"/>
      <c r="L1107" s="6" t="s">
        <v>1381</v>
      </c>
      <c r="M1107" s="6" t="s">
        <v>5818</v>
      </c>
      <c r="N1107" s="6" t="s">
        <v>68</v>
      </c>
      <c r="O1107" s="6" t="s">
        <v>5819</v>
      </c>
      <c r="P1107" s="6"/>
      <c r="Q1107" s="6"/>
      <c r="R1107" s="6"/>
      <c r="S1107" s="6"/>
      <c r="T1107" s="6"/>
      <c r="U1107" s="6"/>
      <c r="V1107" s="6"/>
      <c r="W1107" s="6"/>
      <c r="X1107" s="6"/>
      <c r="Y1107" s="6"/>
      <c r="Z1107" s="6"/>
      <c r="AA1107" s="6"/>
      <c r="AB1107" s="6"/>
      <c r="AC1107" s="6"/>
      <c r="AD1107" s="6"/>
      <c r="AE1107" s="6"/>
    </row>
    <row r="1108" spans="1:31" ht="38.25" x14ac:dyDescent="0.2">
      <c r="A1108" s="6" t="s">
        <v>4657</v>
      </c>
      <c r="B1108" s="6" t="s">
        <v>5811</v>
      </c>
      <c r="C1108" s="20" t="s">
        <v>5816</v>
      </c>
      <c r="D1108" s="6" t="s">
        <v>5820</v>
      </c>
      <c r="E1108" s="6"/>
      <c r="F1108" s="6"/>
      <c r="G1108" s="6"/>
      <c r="H1108" s="6" t="str">
        <f t="shared" si="82"/>
        <v xml:space="preserve"> ()</v>
      </c>
      <c r="I1108" s="6" t="s">
        <v>26</v>
      </c>
      <c r="J1108" s="6"/>
      <c r="K1108" s="6"/>
      <c r="L1108" s="6" t="s">
        <v>55</v>
      </c>
      <c r="M1108" s="6" t="str">
        <f>VLOOKUP(L1108, GLOSSARY!$A:$C, 2, FALSE)</f>
        <v>EGYPT ESTATE</v>
      </c>
      <c r="N1108" s="6" t="s">
        <v>287</v>
      </c>
      <c r="O1108" s="6" t="s">
        <v>5820</v>
      </c>
      <c r="P1108" s="6"/>
      <c r="Q1108" s="6"/>
      <c r="R1108" s="6"/>
      <c r="S1108" s="6"/>
      <c r="T1108" s="6"/>
      <c r="U1108" s="6"/>
      <c r="V1108" s="6"/>
      <c r="W1108" s="6"/>
      <c r="X1108" s="6"/>
      <c r="Y1108" s="6"/>
      <c r="Z1108" s="6"/>
      <c r="AA1108" s="6"/>
      <c r="AB1108" s="6"/>
      <c r="AC1108" s="6"/>
      <c r="AD1108" s="6"/>
      <c r="AE1108" s="6"/>
    </row>
    <row r="1109" spans="1:31" ht="89.25" x14ac:dyDescent="0.2">
      <c r="A1109" s="6" t="s">
        <v>4657</v>
      </c>
      <c r="B1109" s="6" t="s">
        <v>4015</v>
      </c>
      <c r="C1109" s="25" t="s">
        <v>5821</v>
      </c>
      <c r="D1109" s="6" t="s">
        <v>5819</v>
      </c>
      <c r="E1109" s="6"/>
      <c r="F1109" s="6"/>
      <c r="G1109" s="6"/>
      <c r="H1109" s="6" t="str">
        <f t="shared" si="82"/>
        <v xml:space="preserve"> ()</v>
      </c>
      <c r="I1109" s="6" t="s">
        <v>869</v>
      </c>
      <c r="J1109" s="6"/>
      <c r="K1109" s="6"/>
      <c r="L1109" s="6" t="s">
        <v>55</v>
      </c>
      <c r="M1109" s="6" t="str">
        <f>VLOOKUP(L1109, GLOSSARY!$A:$C, 2, FALSE)</f>
        <v>EGYPT ESTATE</v>
      </c>
      <c r="N1109" s="6" t="s">
        <v>167</v>
      </c>
      <c r="O1109" s="6" t="s">
        <v>5819</v>
      </c>
      <c r="P1109" s="6"/>
      <c r="Q1109" s="6"/>
      <c r="R1109" s="6"/>
      <c r="S1109" s="6"/>
      <c r="T1109" s="6"/>
      <c r="U1109" s="6"/>
      <c r="V1109" s="6"/>
      <c r="W1109" s="6"/>
      <c r="X1109" s="6"/>
      <c r="Y1109" s="6"/>
      <c r="Z1109" s="6"/>
      <c r="AA1109" s="6"/>
      <c r="AB1109" s="6"/>
      <c r="AC1109" s="6"/>
      <c r="AD1109" s="6"/>
      <c r="AE1109" s="6"/>
    </row>
    <row r="1110" spans="1:31" ht="63.75" x14ac:dyDescent="0.2">
      <c r="A1110" s="6" t="s">
        <v>5822</v>
      </c>
      <c r="B1110" s="6" t="s">
        <v>3872</v>
      </c>
      <c r="C1110" s="20" t="s">
        <v>5823</v>
      </c>
      <c r="D1110" s="6" t="s">
        <v>5824</v>
      </c>
      <c r="E1110" s="6"/>
      <c r="F1110" s="6" t="s">
        <v>5825</v>
      </c>
      <c r="G1110" s="6" t="s">
        <v>5826</v>
      </c>
      <c r="H1110" s="6" t="str">
        <f>CONCATENATE(F1110,"(",G1110,")")</f>
        <v>THE OVERSEER
AMBO
LONDON(P170
P249
P43)</v>
      </c>
      <c r="I1110" s="6" t="s">
        <v>112</v>
      </c>
      <c r="J1110" s="6"/>
      <c r="K1110" s="6"/>
      <c r="L1110" s="6" t="s">
        <v>55</v>
      </c>
      <c r="M1110" s="6" t="str">
        <f>VLOOKUP(L1110, GLOSSARY!$A:$C, 2, FALSE)</f>
        <v>EGYPT ESTATE</v>
      </c>
      <c r="N1110" s="6" t="s">
        <v>167</v>
      </c>
      <c r="O1110" s="6"/>
      <c r="P1110" s="6"/>
      <c r="Q1110" s="6"/>
      <c r="R1110" s="6"/>
      <c r="S1110" s="6"/>
      <c r="T1110" s="6"/>
      <c r="U1110" s="6"/>
      <c r="V1110" s="6"/>
      <c r="W1110" s="6"/>
      <c r="X1110" s="6"/>
      <c r="Y1110" s="6"/>
      <c r="Z1110" s="6"/>
      <c r="AA1110" s="6"/>
      <c r="AB1110" s="6"/>
      <c r="AC1110" s="6"/>
      <c r="AD1110" s="6"/>
      <c r="AE1110" s="6"/>
    </row>
    <row r="1111" spans="1:31" ht="51" x14ac:dyDescent="0.2">
      <c r="A1111" s="6" t="s">
        <v>2132</v>
      </c>
      <c r="B1111" s="6" t="s">
        <v>3872</v>
      </c>
      <c r="C1111" s="20" t="s">
        <v>5827</v>
      </c>
      <c r="D1111" s="6" t="s">
        <v>5828</v>
      </c>
      <c r="E1111" s="6"/>
      <c r="F1111" s="6" t="s">
        <v>1059</v>
      </c>
      <c r="G1111" s="6" t="s">
        <v>1060</v>
      </c>
      <c r="H1111" s="6" t="str">
        <f t="shared" ref="H1111:H1113" si="83">CONCATENATE(F1111," (",G1111,")")</f>
        <v>THE OVERSEER
PHIBBAH (P43
P7)</v>
      </c>
      <c r="I1111" s="6" t="s">
        <v>1678</v>
      </c>
      <c r="J1111" s="6"/>
      <c r="K1111" s="6"/>
      <c r="L1111" s="6" t="s">
        <v>55</v>
      </c>
      <c r="M1111" s="6" t="str">
        <f>VLOOKUP(L1111, GLOSSARY!$A:$C, 2, FALSE)</f>
        <v>EGYPT ESTATE</v>
      </c>
      <c r="N1111" s="6"/>
      <c r="O1111" s="6"/>
      <c r="P1111" s="6"/>
      <c r="Q1111" s="6"/>
      <c r="R1111" s="6"/>
      <c r="S1111" s="6"/>
      <c r="T1111" s="6"/>
      <c r="U1111" s="6"/>
      <c r="V1111" s="6"/>
      <c r="W1111" s="6"/>
      <c r="X1111" s="6"/>
      <c r="Y1111" s="6"/>
      <c r="Z1111" s="6"/>
      <c r="AA1111" s="6"/>
      <c r="AB1111" s="6"/>
      <c r="AC1111" s="6"/>
      <c r="AD1111" s="6"/>
      <c r="AE1111" s="6"/>
    </row>
    <row r="1112" spans="1:31" ht="51" x14ac:dyDescent="0.2">
      <c r="A1112" s="6" t="s">
        <v>5829</v>
      </c>
      <c r="B1112" s="6" t="s">
        <v>4023</v>
      </c>
      <c r="C1112" s="20" t="s">
        <v>5830</v>
      </c>
      <c r="D1112" s="6" t="s">
        <v>5831</v>
      </c>
      <c r="E1112" s="6"/>
      <c r="F1112" s="6" t="s">
        <v>5832</v>
      </c>
      <c r="G1112" s="6" t="s">
        <v>5833</v>
      </c>
      <c r="H1112" s="6" t="str">
        <f t="shared" si="83"/>
        <v>EGYPT LUCY
THE OVERSEER (P3
P43)</v>
      </c>
      <c r="I1112" s="6" t="s">
        <v>957</v>
      </c>
      <c r="J1112" s="6"/>
      <c r="K1112" s="6"/>
      <c r="L1112" s="6" t="s">
        <v>55</v>
      </c>
      <c r="M1112" s="6" t="str">
        <f>VLOOKUP(L1112, GLOSSARY!$A:$C, 2, FALSE)</f>
        <v>EGYPT ESTATE</v>
      </c>
      <c r="N1112" s="6" t="s">
        <v>476</v>
      </c>
      <c r="O1112" s="6"/>
      <c r="P1112" s="6"/>
      <c r="Q1112" s="6"/>
      <c r="R1112" s="6"/>
      <c r="S1112" s="6"/>
      <c r="T1112" s="6"/>
      <c r="U1112" s="6"/>
      <c r="V1112" s="6"/>
      <c r="W1112" s="6"/>
      <c r="X1112" s="6"/>
      <c r="Y1112" s="6"/>
      <c r="Z1112" s="6"/>
      <c r="AA1112" s="6"/>
      <c r="AB1112" s="6"/>
      <c r="AC1112" s="6"/>
      <c r="AD1112" s="6"/>
      <c r="AE1112" s="6"/>
    </row>
    <row r="1113" spans="1:31" ht="114.75" x14ac:dyDescent="0.2">
      <c r="A1113" s="6" t="s">
        <v>5834</v>
      </c>
      <c r="B1113" s="6" t="s">
        <v>4092</v>
      </c>
      <c r="C1113" s="20" t="s">
        <v>5835</v>
      </c>
      <c r="D1113" s="6" t="s">
        <v>5836</v>
      </c>
      <c r="E1113" s="6"/>
      <c r="F1113" s="6" t="s">
        <v>5837</v>
      </c>
      <c r="G1113" s="6" t="s">
        <v>5838</v>
      </c>
      <c r="H1113" s="6" t="str">
        <f t="shared" si="83"/>
        <v>PHIBBAH
THE OVERSEER
WILLIAM RICKETT'S CUFFEE (P7
P43
P151)</v>
      </c>
      <c r="I1113" s="6" t="s">
        <v>957</v>
      </c>
      <c r="J1113" s="6"/>
      <c r="K1113" s="6"/>
      <c r="L1113" s="6" t="s">
        <v>55</v>
      </c>
      <c r="M1113" s="6" t="str">
        <f>VLOOKUP(L1113, GLOSSARY!$A:$C, 2, FALSE)</f>
        <v>EGYPT ESTATE</v>
      </c>
      <c r="N1113" s="6" t="s">
        <v>68</v>
      </c>
      <c r="O1113" s="6"/>
      <c r="P1113" s="6"/>
      <c r="Q1113" s="6"/>
      <c r="R1113" s="6"/>
      <c r="S1113" s="6"/>
      <c r="T1113" s="6"/>
      <c r="U1113" s="6"/>
      <c r="V1113" s="6"/>
      <c r="W1113" s="6"/>
      <c r="X1113" s="6"/>
      <c r="Y1113" s="6"/>
      <c r="Z1113" s="6"/>
      <c r="AA1113" s="6"/>
      <c r="AB1113" s="6"/>
      <c r="AC1113" s="6"/>
      <c r="AD1113" s="6"/>
      <c r="AE1113" s="6"/>
    </row>
    <row r="1114" spans="1:31" ht="38.25" x14ac:dyDescent="0.2">
      <c r="A1114" s="6" t="s">
        <v>5822</v>
      </c>
      <c r="B1114" s="6" t="s">
        <v>4099</v>
      </c>
      <c r="C1114" s="20" t="s">
        <v>5839</v>
      </c>
      <c r="D1114" s="6" t="s">
        <v>5840</v>
      </c>
      <c r="E1114" s="6"/>
      <c r="F1114" s="6" t="s">
        <v>5841</v>
      </c>
      <c r="G1114" s="6" t="s">
        <v>5842</v>
      </c>
      <c r="H1114" s="6" t="str">
        <f t="shared" ref="H1114:H1115" si="84">CONCATENATE(F1114,"(",G1114,")")</f>
        <v>JOB
MR. HAYWARD(P29
P161)</v>
      </c>
      <c r="I1114" s="6" t="s">
        <v>248</v>
      </c>
      <c r="J1114" s="6"/>
      <c r="K1114" s="6"/>
      <c r="L1114" s="6" t="s">
        <v>55</v>
      </c>
      <c r="M1114" s="6" t="str">
        <f>VLOOKUP(L1114, GLOSSARY!$A:$C, 2, FALSE)</f>
        <v>EGYPT ESTATE</v>
      </c>
      <c r="N1114" s="6" t="s">
        <v>68</v>
      </c>
      <c r="O1114" s="6"/>
      <c r="P1114" s="6"/>
      <c r="Q1114" s="6"/>
      <c r="R1114" s="6"/>
      <c r="S1114" s="6"/>
      <c r="T1114" s="6"/>
      <c r="U1114" s="6"/>
      <c r="V1114" s="6"/>
      <c r="W1114" s="6"/>
      <c r="X1114" s="6"/>
      <c r="Y1114" s="6"/>
      <c r="Z1114" s="6"/>
      <c r="AA1114" s="6"/>
      <c r="AB1114" s="6"/>
      <c r="AC1114" s="6"/>
      <c r="AD1114" s="6"/>
      <c r="AE1114" s="6"/>
    </row>
    <row r="1115" spans="1:31" ht="63.75" x14ac:dyDescent="0.2">
      <c r="A1115" s="6" t="s">
        <v>5822</v>
      </c>
      <c r="B1115" s="6" t="s">
        <v>4103</v>
      </c>
      <c r="C1115" s="20" t="s">
        <v>5843</v>
      </c>
      <c r="D1115" s="6" t="s">
        <v>5844</v>
      </c>
      <c r="E1115" s="6"/>
      <c r="F1115" s="6" t="s">
        <v>5845</v>
      </c>
      <c r="G1115" s="6" t="s">
        <v>5846</v>
      </c>
      <c r="H1115" s="6" t="str">
        <f t="shared" si="84"/>
        <v>JOB
THE OVERSEER
JOHN COPE(P29
P43
P44)</v>
      </c>
      <c r="I1115" s="6" t="s">
        <v>248</v>
      </c>
      <c r="J1115" s="6"/>
      <c r="K1115" s="6"/>
      <c r="L1115" s="6" t="s">
        <v>99</v>
      </c>
      <c r="M1115" s="6" t="str">
        <f>VLOOKUP(L1115, GLOSSARY!$A:$C, 2, FALSE)</f>
        <v>PARADISE ESTATE</v>
      </c>
      <c r="N1115" s="6" t="s">
        <v>68</v>
      </c>
      <c r="O1115" s="6"/>
      <c r="P1115" s="6"/>
      <c r="Q1115" s="6"/>
      <c r="R1115" s="6"/>
      <c r="S1115" s="6"/>
      <c r="T1115" s="6"/>
      <c r="U1115" s="6"/>
      <c r="V1115" s="6"/>
      <c r="W1115" s="6"/>
      <c r="X1115" s="6"/>
      <c r="Y1115" s="6"/>
      <c r="Z1115" s="6"/>
      <c r="AA1115" s="6"/>
      <c r="AB1115" s="6"/>
      <c r="AC1115" s="6"/>
      <c r="AD1115" s="6"/>
      <c r="AE1115" s="6"/>
    </row>
    <row r="1116" spans="1:31" ht="165.75" x14ac:dyDescent="0.2">
      <c r="A1116" s="6" t="s">
        <v>5847</v>
      </c>
      <c r="B1116" s="6" t="s">
        <v>4122</v>
      </c>
      <c r="C1116" s="20" t="s">
        <v>5848</v>
      </c>
      <c r="D1116" s="6" t="s">
        <v>5849</v>
      </c>
      <c r="E1116" s="6"/>
      <c r="F1116" s="6" t="s">
        <v>5850</v>
      </c>
      <c r="G1116" s="6" t="s">
        <v>5851</v>
      </c>
      <c r="H1116" s="6" t="str">
        <f>CONCATENATE(F1116," (",G1116,")")</f>
        <v>LINCOLN 
VIOLET
THE OVERSEER
JOB (P24
P117
P43
P29)</v>
      </c>
      <c r="I1116" s="6" t="s">
        <v>112</v>
      </c>
      <c r="J1116" s="6"/>
      <c r="K1116" s="6"/>
      <c r="L1116" s="6" t="s">
        <v>55</v>
      </c>
      <c r="M1116" s="6" t="str">
        <f>VLOOKUP(L1116, GLOSSARY!$A:$C, 2, FALSE)</f>
        <v>EGYPT ESTATE</v>
      </c>
      <c r="N1116" s="6" t="s">
        <v>68</v>
      </c>
      <c r="O1116" s="6"/>
      <c r="P1116" s="6"/>
      <c r="Q1116" s="6"/>
      <c r="R1116" s="6"/>
      <c r="S1116" s="6"/>
      <c r="T1116" s="6"/>
      <c r="U1116" s="6"/>
      <c r="V1116" s="6"/>
      <c r="W1116" s="6"/>
      <c r="X1116" s="6"/>
      <c r="Y1116" s="6"/>
      <c r="Z1116" s="6"/>
      <c r="AA1116" s="6"/>
      <c r="AB1116" s="6"/>
      <c r="AC1116" s="6"/>
      <c r="AD1116" s="6"/>
      <c r="AE1116" s="6"/>
    </row>
    <row r="1117" spans="1:31" ht="89.25" x14ac:dyDescent="0.2">
      <c r="A1117" s="6" t="s">
        <v>1807</v>
      </c>
      <c r="B1117" s="6" t="s">
        <v>4122</v>
      </c>
      <c r="C1117" s="20" t="s">
        <v>5848</v>
      </c>
      <c r="D1117" s="6" t="s">
        <v>5852</v>
      </c>
      <c r="E1117" s="6"/>
      <c r="F1117" s="6" t="s">
        <v>5853</v>
      </c>
      <c r="G1117" s="6" t="s">
        <v>5854</v>
      </c>
      <c r="H1117" s="6" t="str">
        <f t="shared" ref="H1117:H1118" si="85">CONCATENATE(F1117,"(",G1117,")")</f>
        <v>THE OVERSEER
LINCOLN
VIOLET
JOB(P43
P117
P24
P29)</v>
      </c>
      <c r="I1117" s="6" t="s">
        <v>112</v>
      </c>
      <c r="J1117" s="6"/>
      <c r="K1117" s="6"/>
      <c r="L1117" s="6" t="s">
        <v>55</v>
      </c>
      <c r="M1117" s="6" t="str">
        <f>VLOOKUP(L1117, GLOSSARY!$A:$C, 2, FALSE)</f>
        <v>EGYPT ESTATE</v>
      </c>
      <c r="N1117" s="6" t="s">
        <v>68</v>
      </c>
      <c r="O1117" s="6"/>
      <c r="P1117" s="6"/>
      <c r="Q1117" s="6"/>
      <c r="R1117" s="6"/>
      <c r="S1117" s="6"/>
      <c r="T1117" s="6"/>
      <c r="U1117" s="6"/>
      <c r="V1117" s="6"/>
      <c r="W1117" s="6"/>
      <c r="X1117" s="6"/>
      <c r="Y1117" s="6"/>
      <c r="Z1117" s="6"/>
      <c r="AA1117" s="6"/>
      <c r="AB1117" s="6"/>
      <c r="AC1117" s="6"/>
      <c r="AD1117" s="6"/>
      <c r="AE1117" s="6"/>
    </row>
    <row r="1118" spans="1:31" ht="25.5" x14ac:dyDescent="0.2">
      <c r="A1118" s="6" t="s">
        <v>3940</v>
      </c>
      <c r="B1118" s="6" t="s">
        <v>4133</v>
      </c>
      <c r="C1118" s="20" t="s">
        <v>5855</v>
      </c>
      <c r="D1118" s="6" t="s">
        <v>5856</v>
      </c>
      <c r="E1118" s="6"/>
      <c r="F1118" s="6" t="s">
        <v>297</v>
      </c>
      <c r="G1118" s="6" t="s">
        <v>296</v>
      </c>
      <c r="H1118" s="6" t="str">
        <f t="shared" si="85"/>
        <v>JOB(P29)</v>
      </c>
      <c r="I1118" s="6" t="s">
        <v>139</v>
      </c>
      <c r="J1118" s="6"/>
      <c r="K1118" s="6"/>
      <c r="L1118" s="6" t="s">
        <v>55</v>
      </c>
      <c r="M1118" s="6" t="str">
        <f>VLOOKUP(L1118, GLOSSARY!$A:$C, 2, FALSE)</f>
        <v>EGYPT ESTATE</v>
      </c>
      <c r="N1118" s="6" t="s">
        <v>68</v>
      </c>
      <c r="O1118" s="6"/>
      <c r="P1118" s="6"/>
      <c r="Q1118" s="6"/>
      <c r="R1118" s="6"/>
      <c r="S1118" s="6"/>
      <c r="T1118" s="6"/>
      <c r="U1118" s="6"/>
      <c r="V1118" s="6"/>
      <c r="W1118" s="6"/>
      <c r="X1118" s="6"/>
      <c r="Y1118" s="6"/>
      <c r="Z1118" s="6"/>
      <c r="AA1118" s="6"/>
      <c r="AB1118" s="6"/>
      <c r="AC1118" s="6"/>
      <c r="AD1118" s="6"/>
      <c r="AE1118" s="6"/>
    </row>
    <row r="1119" spans="1:31" ht="63.75" x14ac:dyDescent="0.2">
      <c r="A1119" s="6" t="s">
        <v>4657</v>
      </c>
      <c r="B1119" s="6" t="s">
        <v>4333</v>
      </c>
      <c r="C1119" s="20" t="s">
        <v>5857</v>
      </c>
      <c r="D1119" s="6" t="s">
        <v>5858</v>
      </c>
      <c r="E1119" s="6"/>
      <c r="F1119" s="6" t="s">
        <v>5859</v>
      </c>
      <c r="G1119" s="6" t="s">
        <v>5860</v>
      </c>
      <c r="H1119" s="6" t="str">
        <f t="shared" ref="H1119:H1127" si="86">CONCATENATE(F1119," (",G1119,")")</f>
        <v>OLD DAPHNE
PHIBBAH (P11
P7)</v>
      </c>
      <c r="I1119" s="6" t="s">
        <v>96</v>
      </c>
      <c r="J1119" s="6"/>
      <c r="K1119" s="6"/>
      <c r="L1119" s="6" t="s">
        <v>55</v>
      </c>
      <c r="M1119" s="6" t="str">
        <f>VLOOKUP(L1119, GLOSSARY!$A:$C, 2, FALSE)</f>
        <v>EGYPT ESTATE</v>
      </c>
      <c r="N1119" s="6" t="s">
        <v>68</v>
      </c>
      <c r="O1119" s="6"/>
      <c r="P1119" s="6"/>
      <c r="Q1119" s="6"/>
      <c r="R1119" s="6"/>
      <c r="S1119" s="6"/>
      <c r="T1119" s="6"/>
      <c r="U1119" s="6"/>
      <c r="V1119" s="6"/>
      <c r="W1119" s="6"/>
      <c r="X1119" s="6"/>
      <c r="Y1119" s="6"/>
      <c r="Z1119" s="6"/>
      <c r="AA1119" s="6"/>
      <c r="AB1119" s="6"/>
      <c r="AC1119" s="6"/>
      <c r="AD1119" s="6"/>
      <c r="AE1119" s="6"/>
    </row>
    <row r="1120" spans="1:31" ht="216.75" x14ac:dyDescent="0.2">
      <c r="A1120" s="6" t="s">
        <v>4657</v>
      </c>
      <c r="B1120" s="6" t="s">
        <v>5065</v>
      </c>
      <c r="C1120" s="20" t="s">
        <v>5861</v>
      </c>
      <c r="D1120" s="6" t="s">
        <v>5862</v>
      </c>
      <c r="E1120" s="6"/>
      <c r="F1120" s="6" t="s">
        <v>5863</v>
      </c>
      <c r="G1120" s="6" t="s">
        <v>5864</v>
      </c>
      <c r="H1120" s="6" t="str">
        <f t="shared" si="86"/>
        <v>PHIBBAH
JOHN
HOUSE FRANKE
THE PLANTER'S WIFE
PRINCE (P7
P9
P10
P45
P234)</v>
      </c>
      <c r="I1120" s="6" t="s">
        <v>96</v>
      </c>
      <c r="J1120" s="6" t="s">
        <v>754</v>
      </c>
      <c r="K1120" s="6"/>
      <c r="L1120" s="6" t="s">
        <v>55</v>
      </c>
      <c r="M1120" s="6" t="str">
        <f>VLOOKUP(L1120, GLOSSARY!$A:$C, 2, FALSE)</f>
        <v>EGYPT ESTATE</v>
      </c>
      <c r="N1120" s="6" t="s">
        <v>68</v>
      </c>
      <c r="O1120" s="6"/>
      <c r="P1120" s="6"/>
      <c r="Q1120" s="6"/>
      <c r="R1120" s="6"/>
      <c r="S1120" s="6"/>
      <c r="T1120" s="6"/>
      <c r="U1120" s="6"/>
      <c r="V1120" s="6"/>
      <c r="W1120" s="6"/>
      <c r="X1120" s="6"/>
      <c r="Y1120" s="6"/>
      <c r="Z1120" s="6"/>
      <c r="AA1120" s="6"/>
      <c r="AB1120" s="6"/>
      <c r="AC1120" s="6"/>
      <c r="AD1120" s="6"/>
      <c r="AE1120" s="6"/>
    </row>
    <row r="1121" spans="1:31" ht="25.5" x14ac:dyDescent="0.2">
      <c r="A1121" s="6" t="s">
        <v>4657</v>
      </c>
      <c r="B1121" s="6" t="s">
        <v>4337</v>
      </c>
      <c r="C1121" s="20" t="s">
        <v>5865</v>
      </c>
      <c r="D1121" s="6" t="s">
        <v>5866</v>
      </c>
      <c r="E1121" s="6"/>
      <c r="F1121" s="6" t="s">
        <v>101</v>
      </c>
      <c r="G1121" s="6" t="s">
        <v>100</v>
      </c>
      <c r="H1121" s="6" t="str">
        <f t="shared" si="86"/>
        <v>PHIBBAH (P7)</v>
      </c>
      <c r="I1121" s="6" t="s">
        <v>96</v>
      </c>
      <c r="J1121" s="6"/>
      <c r="K1121" s="6"/>
      <c r="L1121" s="6" t="s">
        <v>55</v>
      </c>
      <c r="M1121" s="6" t="str">
        <f>VLOOKUP(L1121, GLOSSARY!$A:$C, 2, FALSE)</f>
        <v>EGYPT ESTATE</v>
      </c>
      <c r="N1121" s="6" t="s">
        <v>68</v>
      </c>
      <c r="O1121" s="6"/>
      <c r="P1121" s="6"/>
      <c r="Q1121" s="6"/>
      <c r="R1121" s="6"/>
      <c r="S1121" s="6"/>
      <c r="T1121" s="6"/>
      <c r="U1121" s="6"/>
      <c r="V1121" s="6"/>
      <c r="W1121" s="6"/>
      <c r="X1121" s="6"/>
      <c r="Y1121" s="6"/>
      <c r="Z1121" s="6"/>
      <c r="AA1121" s="6"/>
      <c r="AB1121" s="6"/>
      <c r="AC1121" s="6"/>
      <c r="AD1121" s="6"/>
      <c r="AE1121" s="6"/>
    </row>
    <row r="1122" spans="1:31" ht="63.75" x14ac:dyDescent="0.2">
      <c r="A1122" s="6" t="s">
        <v>4657</v>
      </c>
      <c r="B1122" s="6" t="s">
        <v>4337</v>
      </c>
      <c r="C1122" s="20" t="s">
        <v>5867</v>
      </c>
      <c r="D1122" s="6" t="s">
        <v>5868</v>
      </c>
      <c r="E1122" s="6"/>
      <c r="F1122" s="6" t="s">
        <v>5869</v>
      </c>
      <c r="G1122" s="6" t="s">
        <v>5870</v>
      </c>
      <c r="H1122" s="6" t="str">
        <f t="shared" si="86"/>
        <v>EGYPT LUCY
JOHN (P3
P9)</v>
      </c>
      <c r="I1122" s="6" t="s">
        <v>1047</v>
      </c>
      <c r="J1122" s="6" t="s">
        <v>754</v>
      </c>
      <c r="K1122" s="6"/>
      <c r="L1122" s="6" t="s">
        <v>55</v>
      </c>
      <c r="M1122" s="6" t="str">
        <f>VLOOKUP(L1122, GLOSSARY!$A:$C, 2, FALSE)</f>
        <v>EGYPT ESTATE</v>
      </c>
      <c r="N1122" s="6" t="s">
        <v>68</v>
      </c>
      <c r="O1122" s="6"/>
      <c r="P1122" s="6"/>
      <c r="Q1122" s="6"/>
      <c r="R1122" s="6"/>
      <c r="S1122" s="6"/>
      <c r="T1122" s="6"/>
      <c r="U1122" s="6"/>
      <c r="V1122" s="6"/>
      <c r="W1122" s="6"/>
      <c r="X1122" s="6"/>
      <c r="Y1122" s="6"/>
      <c r="Z1122" s="6"/>
      <c r="AA1122" s="6"/>
      <c r="AB1122" s="6"/>
      <c r="AC1122" s="6"/>
      <c r="AD1122" s="6"/>
      <c r="AE1122" s="6"/>
    </row>
    <row r="1123" spans="1:31" ht="114.75" x14ac:dyDescent="0.2">
      <c r="A1123" s="6" t="s">
        <v>5871</v>
      </c>
      <c r="B1123" s="6" t="s">
        <v>5068</v>
      </c>
      <c r="C1123" s="20" t="s">
        <v>5867</v>
      </c>
      <c r="D1123" s="6" t="s">
        <v>5872</v>
      </c>
      <c r="E1123" s="6"/>
      <c r="F1123" s="6" t="s">
        <v>5873</v>
      </c>
      <c r="G1123" s="6" t="s">
        <v>5874</v>
      </c>
      <c r="H1123" s="6" t="str">
        <f t="shared" si="86"/>
        <v>THE OVERSEER
MR. PARKINSON
LINCOLN (P43
P24
P83)</v>
      </c>
      <c r="I1123" s="6" t="s">
        <v>957</v>
      </c>
      <c r="J1123" s="6"/>
      <c r="K1123" s="6"/>
      <c r="L1123" s="6" t="s">
        <v>55</v>
      </c>
      <c r="M1123" s="6" t="str">
        <f>VLOOKUP(L1123, GLOSSARY!$A:$C, 2, FALSE)</f>
        <v>EGYPT ESTATE</v>
      </c>
      <c r="N1123" s="6" t="s">
        <v>68</v>
      </c>
      <c r="O1123" s="6"/>
      <c r="P1123" s="6"/>
      <c r="Q1123" s="6"/>
      <c r="R1123" s="6"/>
      <c r="S1123" s="6"/>
      <c r="T1123" s="6"/>
      <c r="U1123" s="6"/>
      <c r="V1123" s="6"/>
      <c r="W1123" s="6"/>
      <c r="X1123" s="6"/>
      <c r="Y1123" s="6"/>
      <c r="Z1123" s="6"/>
      <c r="AA1123" s="6"/>
      <c r="AB1123" s="6"/>
      <c r="AC1123" s="6"/>
      <c r="AD1123" s="6"/>
      <c r="AE1123" s="6"/>
    </row>
    <row r="1124" spans="1:31" ht="204" x14ac:dyDescent="0.2">
      <c r="A1124" s="6" t="s">
        <v>4657</v>
      </c>
      <c r="B1124" s="6" t="s">
        <v>5068</v>
      </c>
      <c r="C1124" s="20" t="s">
        <v>5875</v>
      </c>
      <c r="D1124" s="6" t="s">
        <v>5876</v>
      </c>
      <c r="E1124" s="6"/>
      <c r="F1124" s="6" t="s">
        <v>5877</v>
      </c>
      <c r="G1124" s="6" t="s">
        <v>5878</v>
      </c>
      <c r="H1124" s="6" t="str">
        <f t="shared" si="86"/>
        <v>MR. MOULD'S FRANKE
HOUSE FRANKE
THE PLANTER'S WIFE
PHIBBAH
THE OVERSEER
PRINCE (P7
P43
P45
P10
P235
P234)</v>
      </c>
      <c r="I1124" s="6" t="s">
        <v>96</v>
      </c>
      <c r="J1124" s="6"/>
      <c r="K1124" s="6"/>
      <c r="L1124" s="6" t="s">
        <v>1381</v>
      </c>
      <c r="M1124" s="6" t="s">
        <v>1382</v>
      </c>
      <c r="N1124" s="6" t="s">
        <v>68</v>
      </c>
      <c r="O1124" s="6"/>
      <c r="P1124" s="6"/>
      <c r="Q1124" s="6"/>
      <c r="R1124" s="6"/>
      <c r="S1124" s="6"/>
      <c r="T1124" s="6"/>
      <c r="U1124" s="6"/>
      <c r="V1124" s="6"/>
      <c r="W1124" s="6"/>
      <c r="X1124" s="6"/>
      <c r="Y1124" s="6"/>
      <c r="Z1124" s="6"/>
      <c r="AA1124" s="6"/>
      <c r="AB1124" s="6"/>
      <c r="AC1124" s="6"/>
      <c r="AD1124" s="6"/>
      <c r="AE1124" s="6"/>
    </row>
    <row r="1125" spans="1:31" ht="38.25" x14ac:dyDescent="0.2">
      <c r="A1125" s="6" t="s">
        <v>4657</v>
      </c>
      <c r="B1125" s="6" t="s">
        <v>5879</v>
      </c>
      <c r="C1125" s="20" t="s">
        <v>5880</v>
      </c>
      <c r="D1125" s="6" t="s">
        <v>5881</v>
      </c>
      <c r="E1125" s="6"/>
      <c r="F1125" s="6"/>
      <c r="G1125" s="6"/>
      <c r="H1125" s="6" t="str">
        <f t="shared" si="86"/>
        <v xml:space="preserve"> ()</v>
      </c>
      <c r="I1125" s="6" t="s">
        <v>26</v>
      </c>
      <c r="J1125" s="6"/>
      <c r="K1125" s="6"/>
      <c r="L1125" s="6" t="s">
        <v>785</v>
      </c>
      <c r="M1125" s="6" t="str">
        <f>VLOOKUP(L1125, GLOSSARY!$A:$C, 2, FALSE)</f>
        <v>EGYPT ESTATE</v>
      </c>
      <c r="N1125" s="6" t="s">
        <v>167</v>
      </c>
      <c r="O1125" s="6" t="s">
        <v>5881</v>
      </c>
      <c r="P1125" s="6"/>
      <c r="Q1125" s="6"/>
      <c r="R1125" s="6"/>
      <c r="S1125" s="6"/>
      <c r="T1125" s="6"/>
      <c r="U1125" s="6"/>
      <c r="V1125" s="6"/>
      <c r="W1125" s="6"/>
      <c r="X1125" s="6"/>
      <c r="Y1125" s="6"/>
      <c r="Z1125" s="6"/>
      <c r="AA1125" s="6"/>
      <c r="AB1125" s="6"/>
      <c r="AC1125" s="6"/>
      <c r="AD1125" s="6"/>
      <c r="AE1125" s="6"/>
    </row>
    <row r="1126" spans="1:31" ht="63.75" x14ac:dyDescent="0.2">
      <c r="A1126" s="6" t="s">
        <v>4657</v>
      </c>
      <c r="B1126" s="6" t="s">
        <v>4364</v>
      </c>
      <c r="C1126" s="20" t="s">
        <v>5882</v>
      </c>
      <c r="D1126" s="6" t="s">
        <v>5883</v>
      </c>
      <c r="E1126" s="6"/>
      <c r="F1126" s="6" t="s">
        <v>5884</v>
      </c>
      <c r="G1126" s="6" t="s">
        <v>5885</v>
      </c>
      <c r="H1126" s="6" t="str">
        <f t="shared" si="86"/>
        <v>OLD DAPHNE
THE OVERSEER (P11
P43)</v>
      </c>
      <c r="I1126" s="6" t="s">
        <v>96</v>
      </c>
      <c r="J1126" s="6"/>
      <c r="K1126" s="6"/>
      <c r="L1126" s="6" t="s">
        <v>805</v>
      </c>
      <c r="M1126" s="6" t="s">
        <v>1899</v>
      </c>
      <c r="N1126" s="6" t="s">
        <v>5886</v>
      </c>
      <c r="O1126" s="6"/>
      <c r="P1126" s="6"/>
      <c r="Q1126" s="6"/>
      <c r="R1126" s="6"/>
      <c r="S1126" s="6"/>
      <c r="T1126" s="6"/>
      <c r="U1126" s="6"/>
      <c r="V1126" s="6"/>
      <c r="W1126" s="6"/>
      <c r="X1126" s="6"/>
      <c r="Y1126" s="6"/>
      <c r="Z1126" s="6"/>
      <c r="AA1126" s="6"/>
      <c r="AB1126" s="6"/>
      <c r="AC1126" s="6"/>
      <c r="AD1126" s="6"/>
      <c r="AE1126" s="6"/>
    </row>
    <row r="1127" spans="1:31" ht="25.5" x14ac:dyDescent="0.2">
      <c r="A1127" s="6" t="s">
        <v>5887</v>
      </c>
      <c r="B1127" s="6" t="s">
        <v>4370</v>
      </c>
      <c r="C1127" s="20" t="s">
        <v>5888</v>
      </c>
      <c r="D1127" s="6" t="s">
        <v>5889</v>
      </c>
      <c r="E1127" s="6" t="s">
        <v>5890</v>
      </c>
      <c r="F1127" s="6" t="s">
        <v>816</v>
      </c>
      <c r="G1127" s="6" t="s">
        <v>815</v>
      </c>
      <c r="H1127" s="18" t="str">
        <f t="shared" si="86"/>
        <v>AGNES (P124)</v>
      </c>
      <c r="I1127" s="6" t="s">
        <v>96</v>
      </c>
      <c r="J1127" s="6"/>
      <c r="K1127" s="6" t="s">
        <v>141</v>
      </c>
      <c r="L1127" s="6" t="s">
        <v>99</v>
      </c>
      <c r="M1127" s="18" t="str">
        <f>VLOOKUP(L1127, GLOSSARY!$A:$C, 2, FALSE)</f>
        <v>PARADISE ESTATE</v>
      </c>
      <c r="N1127" s="6" t="s">
        <v>68</v>
      </c>
      <c r="O1127" s="6"/>
      <c r="P1127" s="6"/>
      <c r="Q1127" s="6"/>
      <c r="R1127" s="6"/>
      <c r="S1127" s="6"/>
      <c r="T1127" s="6"/>
      <c r="U1127" s="6"/>
      <c r="V1127" s="6"/>
      <c r="W1127" s="6"/>
      <c r="X1127" s="6"/>
      <c r="Y1127" s="6"/>
      <c r="Z1127" s="6"/>
      <c r="AA1127" s="6"/>
      <c r="AB1127" s="6"/>
      <c r="AC1127" s="6"/>
      <c r="AD1127" s="6"/>
      <c r="AE1127" s="6"/>
    </row>
    <row r="1128" spans="1:31" ht="51" x14ac:dyDescent="0.2">
      <c r="A1128" s="6" t="s">
        <v>5891</v>
      </c>
      <c r="B1128" s="6" t="s">
        <v>4394</v>
      </c>
      <c r="C1128" s="20" t="s">
        <v>5892</v>
      </c>
      <c r="D1128" s="6" t="s">
        <v>5893</v>
      </c>
      <c r="E1128" s="6"/>
      <c r="F1128" s="6" t="s">
        <v>704</v>
      </c>
      <c r="G1128" s="6" t="s">
        <v>703</v>
      </c>
      <c r="H1128" s="6" t="str">
        <f t="shared" ref="H1128:H1129" si="87">CONCATENATE(F1128,"(",G1128,")")</f>
        <v>JACKIE(P102)</v>
      </c>
      <c r="I1128" s="6" t="s">
        <v>326</v>
      </c>
      <c r="J1128" s="6"/>
      <c r="K1128" s="6"/>
      <c r="L1128" s="6" t="s">
        <v>914</v>
      </c>
      <c r="M1128" s="6" t="str">
        <f>VLOOKUP(L1128, GLOSSARY!$A:$C, 2, FALSE)</f>
        <v>EGYPT ESTATE NEGROE HOUSES</v>
      </c>
      <c r="N1128" s="6" t="s">
        <v>68</v>
      </c>
      <c r="O1128" s="6"/>
      <c r="P1128" s="6"/>
      <c r="Q1128" s="6"/>
      <c r="R1128" s="6"/>
      <c r="S1128" s="6"/>
      <c r="T1128" s="6"/>
      <c r="U1128" s="6"/>
      <c r="V1128" s="6"/>
      <c r="W1128" s="6"/>
      <c r="X1128" s="6"/>
      <c r="Y1128" s="6"/>
      <c r="Z1128" s="6"/>
      <c r="AA1128" s="6"/>
      <c r="AB1128" s="6"/>
      <c r="AC1128" s="6"/>
      <c r="AD1128" s="6"/>
      <c r="AE1128" s="6"/>
    </row>
    <row r="1129" spans="1:31" ht="51" x14ac:dyDescent="0.2">
      <c r="A1129" s="6" t="s">
        <v>5891</v>
      </c>
      <c r="B1129" s="6" t="s">
        <v>4394</v>
      </c>
      <c r="C1129" s="50" t="s">
        <v>5894</v>
      </c>
      <c r="D1129" s="6" t="s">
        <v>5895</v>
      </c>
      <c r="E1129" s="6"/>
      <c r="F1129" s="6" t="s">
        <v>704</v>
      </c>
      <c r="G1129" s="6" t="s">
        <v>703</v>
      </c>
      <c r="H1129" s="6" t="str">
        <f t="shared" si="87"/>
        <v>JACKIE(P102)</v>
      </c>
      <c r="I1129" s="6" t="s">
        <v>326</v>
      </c>
      <c r="J1129" s="6"/>
      <c r="K1129" s="6"/>
      <c r="L1129" s="6" t="s">
        <v>55</v>
      </c>
      <c r="M1129" s="6" t="str">
        <f>VLOOKUP(L1129, GLOSSARY!$A:$C, 2, FALSE)</f>
        <v>EGYPT ESTATE</v>
      </c>
      <c r="N1129" s="6" t="s">
        <v>68</v>
      </c>
      <c r="O1129" s="6"/>
      <c r="P1129" s="6"/>
      <c r="Q1129" s="6"/>
      <c r="R1129" s="6"/>
      <c r="S1129" s="6"/>
      <c r="T1129" s="6"/>
      <c r="U1129" s="6"/>
      <c r="V1129" s="6"/>
      <c r="W1129" s="6"/>
      <c r="X1129" s="6"/>
      <c r="Y1129" s="6"/>
      <c r="Z1129" s="6"/>
      <c r="AA1129" s="6"/>
      <c r="AB1129" s="6"/>
      <c r="AC1129" s="6"/>
      <c r="AD1129" s="6"/>
      <c r="AE1129" s="6"/>
    </row>
    <row r="1130" spans="1:31" ht="204" x14ac:dyDescent="0.2">
      <c r="A1130" s="6" t="s">
        <v>5891</v>
      </c>
      <c r="B1130" s="6" t="s">
        <v>5138</v>
      </c>
      <c r="C1130" s="20" t="s">
        <v>5896</v>
      </c>
      <c r="D1130" s="6" t="s">
        <v>5897</v>
      </c>
      <c r="E1130" s="6"/>
      <c r="F1130" s="6" t="s">
        <v>5898</v>
      </c>
      <c r="G1130" s="6" t="s">
        <v>5899</v>
      </c>
      <c r="H1130" s="6" t="str">
        <f t="shared" ref="H1130:H1131" si="88">CONCATENATE(F1130," (",G1130,")")</f>
        <v>THE OVERSEER
JOHN PARKINSON
MR. ROBERTS (P43
P83
P268)</v>
      </c>
      <c r="I1130" s="6" t="s">
        <v>326</v>
      </c>
      <c r="J1130" s="6"/>
      <c r="K1130" s="6"/>
      <c r="L1130" s="6" t="s">
        <v>5900</v>
      </c>
      <c r="M1130" s="6" t="s">
        <v>5901</v>
      </c>
      <c r="N1130" s="6" t="s">
        <v>287</v>
      </c>
      <c r="O1130" s="6"/>
      <c r="P1130" s="6"/>
      <c r="Q1130" s="6"/>
      <c r="R1130" s="6"/>
      <c r="S1130" s="6"/>
      <c r="T1130" s="6"/>
      <c r="U1130" s="6"/>
      <c r="V1130" s="6"/>
      <c r="W1130" s="6"/>
      <c r="X1130" s="6"/>
      <c r="Y1130" s="6"/>
      <c r="Z1130" s="6"/>
      <c r="AA1130" s="6"/>
      <c r="AB1130" s="6"/>
      <c r="AC1130" s="6"/>
      <c r="AD1130" s="6"/>
      <c r="AE1130" s="6"/>
    </row>
    <row r="1131" spans="1:31" ht="38.25" x14ac:dyDescent="0.2">
      <c r="A1131" s="6" t="s">
        <v>5891</v>
      </c>
      <c r="B1131" s="6" t="s">
        <v>5902</v>
      </c>
      <c r="C1131" s="20" t="s">
        <v>5896</v>
      </c>
      <c r="D1131" s="6" t="s">
        <v>5903</v>
      </c>
      <c r="E1131" s="6"/>
      <c r="F1131" s="6" t="s">
        <v>48</v>
      </c>
      <c r="G1131" s="6" t="s">
        <v>50</v>
      </c>
      <c r="H1131" s="6" t="str">
        <f t="shared" si="88"/>
        <v>THE OVERSEER (P43)</v>
      </c>
      <c r="I1131" s="6" t="s">
        <v>326</v>
      </c>
      <c r="J1131" s="6"/>
      <c r="K1131" s="6"/>
      <c r="L1131" s="6" t="s">
        <v>55</v>
      </c>
      <c r="M1131" s="6" t="str">
        <f>VLOOKUP(L1131, GLOSSARY!$A:$C, 2, FALSE)</f>
        <v>EGYPT ESTATE</v>
      </c>
      <c r="N1131" s="6" t="s">
        <v>167</v>
      </c>
      <c r="O1131" s="6"/>
      <c r="P1131" s="6"/>
      <c r="Q1131" s="6"/>
      <c r="R1131" s="6"/>
      <c r="S1131" s="6"/>
      <c r="T1131" s="6"/>
      <c r="U1131" s="6"/>
      <c r="V1131" s="6"/>
      <c r="W1131" s="6"/>
      <c r="X1131" s="6"/>
      <c r="Y1131" s="6"/>
      <c r="Z1131" s="6"/>
      <c r="AA1131" s="6"/>
      <c r="AB1131" s="6"/>
      <c r="AC1131" s="6"/>
      <c r="AD1131" s="6"/>
      <c r="AE1131" s="6"/>
    </row>
    <row r="1132" spans="1:31" ht="38.25" x14ac:dyDescent="0.2">
      <c r="A1132" s="6" t="s">
        <v>5904</v>
      </c>
      <c r="B1132" s="6" t="s">
        <v>5905</v>
      </c>
      <c r="C1132" s="20" t="s">
        <v>5906</v>
      </c>
      <c r="D1132" s="6" t="s">
        <v>5907</v>
      </c>
      <c r="E1132" s="6"/>
      <c r="F1132" s="6" t="s">
        <v>309</v>
      </c>
      <c r="G1132" s="6" t="s">
        <v>310</v>
      </c>
      <c r="H1132" s="6" t="str">
        <f t="shared" ref="H1132:H1133" si="89">CONCATENATE(F1132,"(",G1132,")")</f>
        <v>DANIEL(P42)</v>
      </c>
      <c r="I1132" s="6" t="s">
        <v>784</v>
      </c>
      <c r="J1132" s="6"/>
      <c r="K1132" s="6"/>
      <c r="L1132" s="6" t="s">
        <v>55</v>
      </c>
      <c r="M1132" s="6" t="str">
        <f>VLOOKUP(L1132, GLOSSARY!$A:$C, 2, FALSE)</f>
        <v>EGYPT ESTATE</v>
      </c>
      <c r="N1132" s="6" t="s">
        <v>68</v>
      </c>
      <c r="O1132" s="6"/>
      <c r="P1132" s="6"/>
      <c r="Q1132" s="6"/>
      <c r="R1132" s="6"/>
      <c r="S1132" s="6"/>
      <c r="T1132" s="6"/>
      <c r="U1132" s="6"/>
      <c r="V1132" s="6"/>
      <c r="W1132" s="6"/>
      <c r="X1132" s="6"/>
      <c r="Y1132" s="6"/>
      <c r="Z1132" s="6"/>
      <c r="AA1132" s="6"/>
      <c r="AB1132" s="6"/>
      <c r="AC1132" s="6"/>
      <c r="AD1132" s="6"/>
      <c r="AE1132" s="6"/>
    </row>
    <row r="1133" spans="1:31" ht="165.75" x14ac:dyDescent="0.2">
      <c r="A1133" s="6" t="s">
        <v>1223</v>
      </c>
      <c r="B1133" s="6" t="s">
        <v>5905</v>
      </c>
      <c r="C1133" s="20" t="s">
        <v>5908</v>
      </c>
      <c r="D1133" s="6" t="s">
        <v>5909</v>
      </c>
      <c r="E1133" s="6"/>
      <c r="F1133" s="6" t="s">
        <v>5910</v>
      </c>
      <c r="G1133" s="6" t="s">
        <v>5911</v>
      </c>
      <c r="H1133" s="6" t="str">
        <f t="shared" si="89"/>
        <v>MR. ANTROBUS
MR. GALLGHER
MR. LISTER
WAGER (APONGO)
THE CAPTAIN/ARTHUR FOREST
LEWIE
THE OVERSEER(P466
P467
P468
P43
P47
P469)</v>
      </c>
      <c r="I1133" s="6" t="s">
        <v>326</v>
      </c>
      <c r="J1133" s="6"/>
      <c r="K1133" s="6"/>
      <c r="L1133" s="6" t="s">
        <v>55</v>
      </c>
      <c r="M1133" s="6" t="str">
        <f>VLOOKUP(L1133, GLOSSARY!$A:$C, 2, FALSE)</f>
        <v>EGYPT ESTATE</v>
      </c>
      <c r="N1133" s="6" t="s">
        <v>68</v>
      </c>
      <c r="O1133" s="6"/>
      <c r="P1133" s="6"/>
      <c r="Q1133" s="6"/>
      <c r="R1133" s="6"/>
      <c r="S1133" s="6"/>
      <c r="T1133" s="6"/>
      <c r="U1133" s="6"/>
      <c r="V1133" s="6"/>
      <c r="W1133" s="6"/>
      <c r="X1133" s="6"/>
      <c r="Y1133" s="6"/>
      <c r="Z1133" s="6"/>
      <c r="AA1133" s="6"/>
      <c r="AB1133" s="6"/>
      <c r="AC1133" s="6"/>
      <c r="AD1133" s="6"/>
      <c r="AE1133" s="6"/>
    </row>
    <row r="1134" spans="1:31" ht="25.5" x14ac:dyDescent="0.2">
      <c r="A1134" s="6" t="s">
        <v>5912</v>
      </c>
      <c r="B1134" s="6" t="s">
        <v>5247</v>
      </c>
      <c r="C1134" s="20" t="s">
        <v>5913</v>
      </c>
      <c r="D1134" s="6" t="s">
        <v>5914</v>
      </c>
      <c r="E1134" s="6"/>
      <c r="F1134" s="6" t="s">
        <v>5915</v>
      </c>
      <c r="G1134" s="6" t="s">
        <v>118</v>
      </c>
      <c r="H1134" s="6" t="str">
        <f t="shared" ref="H1134:H1135" si="90">CONCATENATE(F1134," (",G1134,")")</f>
        <v>JOHN
 (P9)</v>
      </c>
      <c r="I1134" s="6" t="s">
        <v>533</v>
      </c>
      <c r="J1134" s="6" t="s">
        <v>754</v>
      </c>
      <c r="K1134" s="6"/>
      <c r="L1134" s="6" t="s">
        <v>55</v>
      </c>
      <c r="M1134" s="6" t="str">
        <f>VLOOKUP(L1134, GLOSSARY!$A:$C, 2, FALSE)</f>
        <v>EGYPT ESTATE</v>
      </c>
      <c r="N1134" s="6" t="s">
        <v>68</v>
      </c>
      <c r="O1134" s="6"/>
      <c r="P1134" s="6"/>
      <c r="Q1134" s="6"/>
      <c r="R1134" s="6"/>
      <c r="S1134" s="6"/>
      <c r="T1134" s="6"/>
      <c r="U1134" s="6"/>
      <c r="V1134" s="6"/>
      <c r="W1134" s="6"/>
      <c r="X1134" s="6"/>
      <c r="Y1134" s="6"/>
      <c r="Z1134" s="6"/>
      <c r="AA1134" s="6"/>
      <c r="AB1134" s="6"/>
      <c r="AC1134" s="6"/>
      <c r="AD1134" s="6"/>
      <c r="AE1134" s="6"/>
    </row>
    <row r="1135" spans="1:31" ht="63.75" x14ac:dyDescent="0.2">
      <c r="A1135" s="6" t="s">
        <v>5916</v>
      </c>
      <c r="B1135" s="6" t="s">
        <v>5917</v>
      </c>
      <c r="C1135" s="20" t="s">
        <v>5918</v>
      </c>
      <c r="D1135" s="6" t="s">
        <v>5919</v>
      </c>
      <c r="E1135" s="6"/>
      <c r="F1135" s="6" t="s">
        <v>4833</v>
      </c>
      <c r="G1135" s="6" t="s">
        <v>4834</v>
      </c>
      <c r="H1135" s="6" t="str">
        <f t="shared" si="90"/>
        <v>THE OVERSEER
EGYPT LUCY (P43
P3)</v>
      </c>
      <c r="I1135" s="6" t="s">
        <v>784</v>
      </c>
      <c r="J1135" s="6"/>
      <c r="K1135" s="6"/>
      <c r="L1135" s="6" t="s">
        <v>55</v>
      </c>
      <c r="M1135" s="6" t="str">
        <f>VLOOKUP(L1135, GLOSSARY!$A:$C, 2, FALSE)</f>
        <v>EGYPT ESTATE</v>
      </c>
      <c r="N1135" s="6" t="s">
        <v>68</v>
      </c>
      <c r="O1135" s="6"/>
      <c r="P1135" s="6"/>
      <c r="Q1135" s="6"/>
      <c r="R1135" s="6"/>
      <c r="S1135" s="6"/>
      <c r="T1135" s="6"/>
      <c r="U1135" s="6"/>
      <c r="V1135" s="6"/>
      <c r="W1135" s="6"/>
      <c r="X1135" s="6"/>
      <c r="Y1135" s="6"/>
      <c r="Z1135" s="6"/>
      <c r="AA1135" s="6"/>
      <c r="AB1135" s="6"/>
      <c r="AC1135" s="6"/>
      <c r="AD1135" s="6"/>
      <c r="AE1135" s="6"/>
    </row>
    <row r="1136" spans="1:31" ht="127.5" x14ac:dyDescent="0.2">
      <c r="A1136" s="6" t="s">
        <v>5920</v>
      </c>
      <c r="B1136" s="6" t="s">
        <v>5457</v>
      </c>
      <c r="C1136" s="20" t="s">
        <v>5921</v>
      </c>
      <c r="D1136" s="6" t="s">
        <v>5922</v>
      </c>
      <c r="E1136" s="6"/>
      <c r="F1136" s="6" t="s">
        <v>5923</v>
      </c>
      <c r="G1136" s="6" t="s">
        <v>5924</v>
      </c>
      <c r="H1136" s="6" t="str">
        <f>CONCATENATE(F1136,"(",G1136,")")</f>
        <v>JOHN STUART
THE OVERSEER(P283
P43)</v>
      </c>
      <c r="I1136" s="6" t="s">
        <v>326</v>
      </c>
      <c r="J1136" s="6"/>
      <c r="K1136" s="6"/>
      <c r="L1136" s="6" t="s">
        <v>55</v>
      </c>
      <c r="M1136" s="6" t="str">
        <f>VLOOKUP(L1136, GLOSSARY!$A:$C, 2, FALSE)</f>
        <v>EGYPT ESTATE</v>
      </c>
      <c r="N1136" s="6" t="s">
        <v>167</v>
      </c>
      <c r="O1136" s="6"/>
      <c r="P1136" s="6"/>
      <c r="Q1136" s="6"/>
      <c r="R1136" s="6"/>
      <c r="S1136" s="6"/>
      <c r="T1136" s="6"/>
      <c r="U1136" s="6"/>
      <c r="V1136" s="6"/>
      <c r="W1136" s="6"/>
      <c r="X1136" s="6"/>
      <c r="Y1136" s="6"/>
      <c r="Z1136" s="6"/>
      <c r="AA1136" s="6"/>
      <c r="AB1136" s="6"/>
      <c r="AC1136" s="6"/>
      <c r="AD1136" s="6"/>
      <c r="AE1136" s="6"/>
    </row>
    <row r="1137" spans="1:31" ht="63.75" x14ac:dyDescent="0.2">
      <c r="A1137" s="6" t="s">
        <v>5925</v>
      </c>
      <c r="B1137" s="6" t="s">
        <v>5926</v>
      </c>
      <c r="C1137" s="20" t="s">
        <v>5927</v>
      </c>
      <c r="D1137" s="6" t="s">
        <v>5928</v>
      </c>
      <c r="E1137" s="6"/>
      <c r="F1137" s="6" t="s">
        <v>4833</v>
      </c>
      <c r="G1137" s="6" t="s">
        <v>4834</v>
      </c>
      <c r="H1137" s="6" t="str">
        <f t="shared" ref="H1137:H1141" si="91">CONCATENATE(F1137," (",G1137,")")</f>
        <v>THE OVERSEER
EGYPT LUCY (P43
P3)</v>
      </c>
      <c r="I1137" s="6" t="s">
        <v>784</v>
      </c>
      <c r="J1137" s="6"/>
      <c r="K1137" s="6"/>
      <c r="L1137" s="6" t="s">
        <v>55</v>
      </c>
      <c r="M1137" s="6" t="str">
        <f>VLOOKUP(L1137, GLOSSARY!$A:$C, 2, FALSE)</f>
        <v>EGYPT ESTATE</v>
      </c>
      <c r="N1137" s="6" t="s">
        <v>68</v>
      </c>
      <c r="O1137" s="6"/>
      <c r="P1137" s="6"/>
      <c r="Q1137" s="6"/>
      <c r="R1137" s="6"/>
      <c r="S1137" s="6"/>
      <c r="T1137" s="6"/>
      <c r="U1137" s="6"/>
      <c r="V1137" s="6"/>
      <c r="W1137" s="6"/>
      <c r="X1137" s="6"/>
      <c r="Y1137" s="6"/>
      <c r="Z1137" s="6"/>
      <c r="AA1137" s="6"/>
      <c r="AB1137" s="6"/>
      <c r="AC1137" s="6"/>
      <c r="AD1137" s="6"/>
      <c r="AE1137" s="6"/>
    </row>
    <row r="1138" spans="1:31" ht="165.75" x14ac:dyDescent="0.2">
      <c r="A1138" s="6" t="s">
        <v>5929</v>
      </c>
      <c r="B1138" s="6" t="s">
        <v>2419</v>
      </c>
      <c r="C1138" s="20" t="s">
        <v>5930</v>
      </c>
      <c r="D1138" s="6" t="s">
        <v>5931</v>
      </c>
      <c r="E1138" s="6"/>
      <c r="F1138" s="6" t="s">
        <v>5932</v>
      </c>
      <c r="G1138" s="6" t="s">
        <v>5933</v>
      </c>
      <c r="H1138" s="6" t="str">
        <f t="shared" si="91"/>
        <v>JOHN
EGYPT LUCY
LONDON
LINCOLN (P9
P3
P249
P24)</v>
      </c>
      <c r="I1138" s="6" t="s">
        <v>533</v>
      </c>
      <c r="J1138" s="6" t="s">
        <v>754</v>
      </c>
      <c r="K1138" s="6"/>
      <c r="L1138" s="6" t="s">
        <v>55</v>
      </c>
      <c r="M1138" s="6" t="str">
        <f>VLOOKUP(L1138, GLOSSARY!$A:$C, 2, FALSE)</f>
        <v>EGYPT ESTATE</v>
      </c>
      <c r="N1138" s="6" t="s">
        <v>68</v>
      </c>
      <c r="O1138" s="6"/>
      <c r="P1138" s="6"/>
      <c r="Q1138" s="6"/>
      <c r="R1138" s="6"/>
      <c r="S1138" s="6"/>
      <c r="T1138" s="6"/>
      <c r="U1138" s="6"/>
      <c r="V1138" s="6"/>
      <c r="W1138" s="6"/>
      <c r="X1138" s="6"/>
      <c r="Y1138" s="6"/>
      <c r="Z1138" s="6"/>
      <c r="AA1138" s="6"/>
      <c r="AB1138" s="6"/>
      <c r="AC1138" s="6"/>
      <c r="AD1138" s="6"/>
      <c r="AE1138" s="6"/>
    </row>
    <row r="1139" spans="1:31" ht="51" x14ac:dyDescent="0.2">
      <c r="A1139" s="6" t="s">
        <v>5934</v>
      </c>
      <c r="B1139" s="6" t="s">
        <v>2419</v>
      </c>
      <c r="C1139" s="20" t="s">
        <v>5930</v>
      </c>
      <c r="D1139" s="6" t="s">
        <v>5935</v>
      </c>
      <c r="E1139" s="6"/>
      <c r="F1139" s="6" t="s">
        <v>1529</v>
      </c>
      <c r="G1139" s="6" t="s">
        <v>1528</v>
      </c>
      <c r="H1139" s="6" t="str">
        <f t="shared" si="91"/>
        <v>MOUNTAIN SUSANAH (P254)</v>
      </c>
      <c r="I1139" s="6" t="s">
        <v>112</v>
      </c>
      <c r="J1139" s="6"/>
      <c r="K1139" s="6"/>
      <c r="L1139" s="6" t="s">
        <v>440</v>
      </c>
      <c r="M1139" s="6" t="str">
        <f>VLOOKUP(L1139, GLOSSARY!$A:$C, 2, FALSE)</f>
        <v>THE ROAD(S)</v>
      </c>
      <c r="N1139" s="6" t="s">
        <v>68</v>
      </c>
      <c r="O1139" s="6"/>
      <c r="P1139" s="6"/>
      <c r="Q1139" s="6"/>
      <c r="R1139" s="6"/>
      <c r="S1139" s="6"/>
      <c r="T1139" s="6"/>
      <c r="U1139" s="6"/>
      <c r="V1139" s="6"/>
      <c r="W1139" s="6"/>
      <c r="X1139" s="6"/>
      <c r="Y1139" s="6"/>
      <c r="Z1139" s="6"/>
      <c r="AA1139" s="6"/>
      <c r="AB1139" s="6"/>
      <c r="AC1139" s="6"/>
      <c r="AD1139" s="6"/>
      <c r="AE1139" s="6"/>
    </row>
    <row r="1140" spans="1:31" ht="63.75" x14ac:dyDescent="0.2">
      <c r="A1140" s="6" t="s">
        <v>5929</v>
      </c>
      <c r="B1140" s="6" t="s">
        <v>2428</v>
      </c>
      <c r="C1140" s="20" t="s">
        <v>5936</v>
      </c>
      <c r="D1140" s="6" t="s">
        <v>5937</v>
      </c>
      <c r="E1140" s="6"/>
      <c r="F1140" s="6" t="s">
        <v>5938</v>
      </c>
      <c r="G1140" s="6" t="s">
        <v>5939</v>
      </c>
      <c r="H1140" s="6" t="str">
        <f t="shared" si="91"/>
        <v>JOHN
PHIBBAH (P9
P7)</v>
      </c>
      <c r="I1140" s="6" t="s">
        <v>533</v>
      </c>
      <c r="J1140" s="6" t="s">
        <v>5940</v>
      </c>
      <c r="K1140" s="6"/>
      <c r="L1140" s="6" t="s">
        <v>55</v>
      </c>
      <c r="M1140" s="6" t="str">
        <f>VLOOKUP(L1140, GLOSSARY!$A:$C, 2, FALSE)</f>
        <v>EGYPT ESTATE</v>
      </c>
      <c r="N1140" s="6" t="s">
        <v>68</v>
      </c>
      <c r="O1140" s="6"/>
      <c r="P1140" s="6"/>
      <c r="Q1140" s="6"/>
      <c r="R1140" s="6"/>
      <c r="S1140" s="6"/>
      <c r="T1140" s="6"/>
      <c r="U1140" s="6"/>
      <c r="V1140" s="6"/>
      <c r="W1140" s="6"/>
      <c r="X1140" s="6"/>
      <c r="Y1140" s="6"/>
      <c r="Z1140" s="6"/>
      <c r="AA1140" s="6"/>
      <c r="AB1140" s="6"/>
      <c r="AC1140" s="6"/>
      <c r="AD1140" s="6"/>
      <c r="AE1140" s="6"/>
    </row>
    <row r="1141" spans="1:31" ht="63.75" x14ac:dyDescent="0.2">
      <c r="A1141" s="6" t="s">
        <v>5941</v>
      </c>
      <c r="B1141" s="6" t="s">
        <v>5714</v>
      </c>
      <c r="C1141" s="20" t="s">
        <v>5942</v>
      </c>
      <c r="D1141" s="6" t="s">
        <v>5943</v>
      </c>
      <c r="E1141" s="6"/>
      <c r="F1141" s="6" t="s">
        <v>5944</v>
      </c>
      <c r="G1141" s="6" t="s">
        <v>5945</v>
      </c>
      <c r="H1141" s="6" t="str">
        <f t="shared" si="91"/>
        <v>PHIBBAH
JOHN (P7
P9)</v>
      </c>
      <c r="I1141" s="6" t="s">
        <v>533</v>
      </c>
      <c r="J1141" s="6" t="s">
        <v>754</v>
      </c>
      <c r="K1141" s="6"/>
      <c r="L1141" s="6" t="s">
        <v>914</v>
      </c>
      <c r="M1141" s="6" t="str">
        <f>VLOOKUP(L1141, GLOSSARY!$A:$C, 2, FALSE)</f>
        <v>EGYPT ESTATE NEGROE HOUSES</v>
      </c>
      <c r="N1141" s="6" t="s">
        <v>68</v>
      </c>
      <c r="O1141" s="6"/>
      <c r="P1141" s="6"/>
      <c r="Q1141" s="6"/>
      <c r="R1141" s="6"/>
      <c r="S1141" s="6"/>
      <c r="T1141" s="6"/>
      <c r="U1141" s="6"/>
      <c r="V1141" s="6"/>
      <c r="W1141" s="6"/>
      <c r="X1141" s="6"/>
      <c r="Y1141" s="6"/>
      <c r="Z1141" s="6"/>
      <c r="AA1141" s="6"/>
      <c r="AB1141" s="6"/>
      <c r="AC1141" s="6"/>
      <c r="AD1141" s="6"/>
      <c r="AE1141" s="6"/>
    </row>
    <row r="1142" spans="1:31" ht="63.75" x14ac:dyDescent="0.2">
      <c r="A1142" s="6" t="s">
        <v>5946</v>
      </c>
      <c r="B1142" s="6" t="s">
        <v>5727</v>
      </c>
      <c r="C1142" s="20" t="s">
        <v>5947</v>
      </c>
      <c r="D1142" s="6" t="s">
        <v>5948</v>
      </c>
      <c r="E1142" s="6"/>
      <c r="F1142" s="6" t="s">
        <v>5949</v>
      </c>
      <c r="G1142" s="6" t="s">
        <v>5950</v>
      </c>
      <c r="H1142" s="6" t="str">
        <f>CONCATENATE(F1142,"(",G1142,")")</f>
        <v>DOVER
LEWIE
THE OVERSEER(P139
P197
P43)</v>
      </c>
      <c r="I1142" s="6" t="s">
        <v>112</v>
      </c>
      <c r="J1142" s="6"/>
      <c r="K1142" s="6"/>
      <c r="L1142" s="6" t="s">
        <v>55</v>
      </c>
      <c r="M1142" s="6" t="str">
        <f>VLOOKUP(L1142, GLOSSARY!$A:$C, 2, FALSE)</f>
        <v>EGYPT ESTATE</v>
      </c>
      <c r="N1142" s="6" t="s">
        <v>68</v>
      </c>
      <c r="O1142" s="6"/>
      <c r="P1142" s="6"/>
      <c r="Q1142" s="6"/>
      <c r="R1142" s="6"/>
      <c r="S1142" s="6"/>
      <c r="T1142" s="6"/>
      <c r="U1142" s="6"/>
      <c r="V1142" s="6"/>
      <c r="W1142" s="6"/>
      <c r="X1142" s="6"/>
      <c r="Y1142" s="6"/>
      <c r="Z1142" s="6"/>
      <c r="AA1142" s="6"/>
      <c r="AB1142" s="6"/>
      <c r="AC1142" s="6"/>
      <c r="AD1142" s="6"/>
      <c r="AE1142" s="6"/>
    </row>
    <row r="1143" spans="1:31" ht="25.5" x14ac:dyDescent="0.2">
      <c r="A1143" s="6" t="s">
        <v>5929</v>
      </c>
      <c r="B1143" s="6" t="s">
        <v>5741</v>
      </c>
      <c r="C1143" s="20" t="s">
        <v>5951</v>
      </c>
      <c r="D1143" s="6" t="s">
        <v>5952</v>
      </c>
      <c r="E1143" s="6"/>
      <c r="F1143" s="6"/>
      <c r="G1143" s="6"/>
      <c r="H1143" s="6" t="str">
        <f t="shared" ref="H1143:H1144" si="92">CONCATENATE(F1143," (",G1143,")")</f>
        <v xml:space="preserve"> ()</v>
      </c>
      <c r="I1143" s="6" t="s">
        <v>533</v>
      </c>
      <c r="J1143" s="6"/>
      <c r="K1143" s="6"/>
      <c r="L1143" s="6" t="s">
        <v>785</v>
      </c>
      <c r="M1143" s="6" t="str">
        <f>VLOOKUP(L1143, GLOSSARY!$A:$C, 2, FALSE)</f>
        <v>EGYPT ESTATE</v>
      </c>
      <c r="N1143" s="6" t="s">
        <v>68</v>
      </c>
      <c r="O1143" s="6"/>
      <c r="P1143" s="6"/>
      <c r="Q1143" s="6"/>
      <c r="R1143" s="6"/>
      <c r="S1143" s="6"/>
      <c r="T1143" s="6"/>
      <c r="U1143" s="6"/>
      <c r="V1143" s="6"/>
      <c r="W1143" s="6"/>
      <c r="X1143" s="6"/>
      <c r="Y1143" s="6"/>
      <c r="Z1143" s="6"/>
      <c r="AA1143" s="6"/>
      <c r="AB1143" s="6"/>
      <c r="AC1143" s="6"/>
      <c r="AD1143" s="6"/>
      <c r="AE1143" s="6"/>
    </row>
    <row r="1144" spans="1:31" ht="267.75" x14ac:dyDescent="0.2">
      <c r="A1144" s="6" t="s">
        <v>5929</v>
      </c>
      <c r="B1144" s="6" t="s">
        <v>5747</v>
      </c>
      <c r="C1144" s="20" t="s">
        <v>5953</v>
      </c>
      <c r="D1144" s="6" t="s">
        <v>5954</v>
      </c>
      <c r="E1144" s="6"/>
      <c r="F1144" s="6" t="s">
        <v>5955</v>
      </c>
      <c r="G1144" s="6" t="s">
        <v>5956</v>
      </c>
      <c r="H1144" s="6" t="str">
        <f t="shared" si="92"/>
        <v>PHIBBAH
JOHN
LONDON
EGYPT SILVIA [ADULT]
LITTLE QUASHE
EGYPT LUCY (P7
P9
P249
P122
P5
P3)</v>
      </c>
      <c r="I1144" s="6" t="s">
        <v>533</v>
      </c>
      <c r="J1144" s="6" t="s">
        <v>754</v>
      </c>
      <c r="K1144" s="6"/>
      <c r="L1144" s="6" t="s">
        <v>55</v>
      </c>
      <c r="M1144" s="6" t="str">
        <f>VLOOKUP(L1144, GLOSSARY!$A:$C, 2, FALSE)</f>
        <v>EGYPT ESTATE</v>
      </c>
      <c r="N1144" s="6" t="s">
        <v>68</v>
      </c>
      <c r="O1144" s="6"/>
      <c r="P1144" s="6"/>
      <c r="Q1144" s="6"/>
      <c r="R1144" s="6"/>
      <c r="S1144" s="6"/>
      <c r="T1144" s="6"/>
      <c r="U1144" s="6"/>
      <c r="V1144" s="6"/>
      <c r="W1144" s="6"/>
      <c r="X1144" s="6"/>
      <c r="Y1144" s="6"/>
      <c r="Z1144" s="6"/>
      <c r="AA1144" s="6"/>
      <c r="AB1144" s="6"/>
      <c r="AC1144" s="6"/>
      <c r="AD1144" s="6"/>
      <c r="AE1144" s="6"/>
    </row>
    <row r="1145" spans="1:31" ht="63.75" x14ac:dyDescent="0.2">
      <c r="A1145" s="6" t="s">
        <v>5946</v>
      </c>
      <c r="B1145" s="6" t="s">
        <v>5751</v>
      </c>
      <c r="C1145" s="20" t="s">
        <v>5953</v>
      </c>
      <c r="D1145" s="6" t="s">
        <v>5957</v>
      </c>
      <c r="E1145" s="6"/>
      <c r="F1145" s="6" t="s">
        <v>5958</v>
      </c>
      <c r="G1145" s="6" t="s">
        <v>5959</v>
      </c>
      <c r="H1145" s="6" t="str">
        <f>CONCATENATE(F1145,"(",G1145,")")</f>
        <v>DERBY
LEWIE
THE OVERSEER(P197
P295
P43)</v>
      </c>
      <c r="I1145" s="6" t="s">
        <v>112</v>
      </c>
      <c r="J1145" s="6"/>
      <c r="K1145" s="6"/>
      <c r="L1145" s="6" t="s">
        <v>55</v>
      </c>
      <c r="M1145" s="6" t="str">
        <f>VLOOKUP(L1145, GLOSSARY!$A:$C, 2, FALSE)</f>
        <v>EGYPT ESTATE</v>
      </c>
      <c r="N1145" s="6" t="s">
        <v>68</v>
      </c>
      <c r="O1145" s="6"/>
      <c r="P1145" s="6"/>
      <c r="Q1145" s="6"/>
      <c r="R1145" s="6"/>
      <c r="S1145" s="6"/>
      <c r="T1145" s="6"/>
      <c r="U1145" s="6"/>
      <c r="V1145" s="6"/>
      <c r="W1145" s="6"/>
      <c r="X1145" s="6"/>
      <c r="Y1145" s="6"/>
      <c r="Z1145" s="6"/>
      <c r="AA1145" s="6"/>
      <c r="AB1145" s="6"/>
      <c r="AC1145" s="6"/>
      <c r="AD1145" s="6"/>
      <c r="AE1145" s="6"/>
    </row>
    <row r="1146" spans="1:31" ht="63.75" x14ac:dyDescent="0.2">
      <c r="A1146" s="6" t="s">
        <v>5960</v>
      </c>
      <c r="B1146" s="6" t="s">
        <v>5961</v>
      </c>
      <c r="C1146" s="20" t="s">
        <v>5962</v>
      </c>
      <c r="D1146" s="6" t="s">
        <v>5963</v>
      </c>
      <c r="E1146" s="6"/>
      <c r="F1146" s="6" t="s">
        <v>5721</v>
      </c>
      <c r="G1146" s="6" t="s">
        <v>5722</v>
      </c>
      <c r="H1146" s="6" t="str">
        <f>CONCATENATE(F1146," (",G1146,")")</f>
        <v>EGYPT LUCY
LITTLE QUASHE (P3
P5)</v>
      </c>
      <c r="I1146" s="6" t="s">
        <v>533</v>
      </c>
      <c r="J1146" s="6"/>
      <c r="K1146" s="6"/>
      <c r="L1146" s="6" t="s">
        <v>55</v>
      </c>
      <c r="M1146" s="6" t="str">
        <f>VLOOKUP(L1146, GLOSSARY!$A:$C, 2, FALSE)</f>
        <v>EGYPT ESTATE</v>
      </c>
      <c r="N1146" s="6" t="s">
        <v>68</v>
      </c>
      <c r="O1146" s="6"/>
      <c r="P1146" s="6"/>
      <c r="Q1146" s="6"/>
      <c r="R1146" s="6"/>
      <c r="S1146" s="6"/>
      <c r="T1146" s="6"/>
      <c r="U1146" s="6"/>
      <c r="V1146" s="6"/>
      <c r="W1146" s="6"/>
      <c r="X1146" s="6"/>
      <c r="Y1146" s="6"/>
      <c r="Z1146" s="6"/>
      <c r="AA1146" s="6"/>
      <c r="AB1146" s="6"/>
      <c r="AC1146" s="6"/>
      <c r="AD1146" s="6"/>
      <c r="AE1146" s="6"/>
    </row>
    <row r="1147" spans="1:31" ht="63.75" x14ac:dyDescent="0.2">
      <c r="A1147" s="6" t="s">
        <v>5178</v>
      </c>
      <c r="B1147" s="6" t="s">
        <v>5964</v>
      </c>
      <c r="C1147" s="20" t="s">
        <v>5965</v>
      </c>
      <c r="D1147" s="6" t="s">
        <v>5966</v>
      </c>
      <c r="E1147" s="6"/>
      <c r="F1147" s="6" t="s">
        <v>5944</v>
      </c>
      <c r="G1147" s="6" t="s">
        <v>5945</v>
      </c>
      <c r="H1147" s="6" t="str">
        <f t="shared" ref="H1147:H1152" si="93">CONCATENATE(F1147,"(",G1147,")")</f>
        <v>PHIBBAH
JOHN(P7
P9)</v>
      </c>
      <c r="I1147" s="6" t="s">
        <v>1047</v>
      </c>
      <c r="J1147" s="6" t="s">
        <v>754</v>
      </c>
      <c r="K1147" s="6"/>
      <c r="L1147" s="6" t="s">
        <v>55</v>
      </c>
      <c r="M1147" s="6" t="str">
        <f>VLOOKUP(L1147, GLOSSARY!$A:$C, 2, FALSE)</f>
        <v>EGYPT ESTATE</v>
      </c>
      <c r="N1147" s="6" t="s">
        <v>68</v>
      </c>
      <c r="O1147" s="6"/>
      <c r="P1147" s="6"/>
      <c r="Q1147" s="6"/>
      <c r="R1147" s="6"/>
      <c r="S1147" s="6"/>
      <c r="T1147" s="6"/>
      <c r="U1147" s="6"/>
      <c r="V1147" s="6"/>
      <c r="W1147" s="6"/>
      <c r="X1147" s="6"/>
      <c r="Y1147" s="6"/>
      <c r="Z1147" s="6"/>
      <c r="AA1147" s="6"/>
      <c r="AB1147" s="6"/>
      <c r="AC1147" s="6"/>
      <c r="AD1147" s="6"/>
      <c r="AE1147" s="6"/>
    </row>
    <row r="1148" spans="1:31" ht="204" x14ac:dyDescent="0.2">
      <c r="A1148" s="6" t="s">
        <v>5967</v>
      </c>
      <c r="B1148" s="6" t="s">
        <v>3715</v>
      </c>
      <c r="C1148" s="20" t="s">
        <v>5968</v>
      </c>
      <c r="D1148" s="6" t="s">
        <v>5969</v>
      </c>
      <c r="E1148" s="6"/>
      <c r="F1148" s="6" t="s">
        <v>5970</v>
      </c>
      <c r="G1148" s="6" t="s">
        <v>5971</v>
      </c>
      <c r="H1148" s="6" t="str">
        <f t="shared" si="93"/>
        <v>THE OVERSEER
JOHN COPE
NANNY
SOLON
CAESAR(P43
P44
P15
P26
P281)</v>
      </c>
      <c r="I1148" s="6" t="s">
        <v>2607</v>
      </c>
      <c r="J1148" s="6"/>
      <c r="K1148" s="6"/>
      <c r="L1148" s="6" t="s">
        <v>93</v>
      </c>
      <c r="M1148" s="6" t="str">
        <f>VLOOKUP(L1148, GLOSSARY!$A:$C, 2, FALSE)</f>
        <v>SALT RIVER ESTATE</v>
      </c>
      <c r="N1148" s="6" t="s">
        <v>68</v>
      </c>
      <c r="O1148" s="6"/>
      <c r="P1148" s="6"/>
      <c r="Q1148" s="6"/>
      <c r="R1148" s="6"/>
      <c r="S1148" s="6"/>
      <c r="T1148" s="6"/>
      <c r="U1148" s="6"/>
      <c r="V1148" s="6"/>
      <c r="W1148" s="6"/>
      <c r="X1148" s="6"/>
      <c r="Y1148" s="6"/>
      <c r="Z1148" s="6"/>
      <c r="AA1148" s="6"/>
      <c r="AB1148" s="6"/>
      <c r="AC1148" s="6"/>
      <c r="AD1148" s="6"/>
      <c r="AE1148" s="6"/>
    </row>
    <row r="1149" spans="1:31" ht="89.25" x14ac:dyDescent="0.2">
      <c r="A1149" s="6" t="s">
        <v>5967</v>
      </c>
      <c r="B1149" s="6" t="s">
        <v>3720</v>
      </c>
      <c r="C1149" s="20" t="s">
        <v>5968</v>
      </c>
      <c r="D1149" s="6" t="s">
        <v>5972</v>
      </c>
      <c r="E1149" s="6"/>
      <c r="F1149" s="6" t="s">
        <v>5973</v>
      </c>
      <c r="G1149" s="6" t="s">
        <v>5974</v>
      </c>
      <c r="H1149" s="6" t="str">
        <f t="shared" si="93"/>
        <v>THE OVERSEER
NANNY
SOLON
CAESAR(P43
P15
P26
P281)</v>
      </c>
      <c r="I1149" s="6" t="s">
        <v>2630</v>
      </c>
      <c r="J1149" s="6"/>
      <c r="K1149" s="6"/>
      <c r="L1149" s="6" t="s">
        <v>55</v>
      </c>
      <c r="M1149" s="6" t="str">
        <f>VLOOKUP(L1149, GLOSSARY!$A:$C, 2, FALSE)</f>
        <v>EGYPT ESTATE</v>
      </c>
      <c r="N1149" s="6"/>
      <c r="O1149" s="6"/>
      <c r="P1149" s="6"/>
      <c r="Q1149" s="6"/>
      <c r="R1149" s="6"/>
      <c r="S1149" s="6"/>
      <c r="T1149" s="6"/>
      <c r="U1149" s="6"/>
      <c r="V1149" s="6"/>
      <c r="W1149" s="6"/>
      <c r="X1149" s="6"/>
      <c r="Y1149" s="6"/>
      <c r="Z1149" s="6"/>
      <c r="AA1149" s="6"/>
      <c r="AB1149" s="6"/>
      <c r="AC1149" s="6"/>
      <c r="AD1149" s="6"/>
      <c r="AE1149" s="6"/>
    </row>
    <row r="1150" spans="1:31" ht="89.25" x14ac:dyDescent="0.2">
      <c r="A1150" s="6" t="s">
        <v>5967</v>
      </c>
      <c r="B1150" s="6" t="s">
        <v>3757</v>
      </c>
      <c r="C1150" s="20" t="s">
        <v>5975</v>
      </c>
      <c r="D1150" s="6" t="s">
        <v>5976</v>
      </c>
      <c r="E1150" s="6"/>
      <c r="F1150" s="6" t="s">
        <v>5977</v>
      </c>
      <c r="G1150" s="6" t="s">
        <v>5978</v>
      </c>
      <c r="H1150" s="6" t="str">
        <f t="shared" si="93"/>
        <v>THE OVERSEER
NANNY
CUKOR
SOLON(P43
P15
P26
P110)</v>
      </c>
      <c r="I1150" s="6" t="s">
        <v>2630</v>
      </c>
      <c r="J1150" s="6"/>
      <c r="K1150" s="6"/>
      <c r="L1150" s="6" t="s">
        <v>55</v>
      </c>
      <c r="M1150" s="6" t="str">
        <f>VLOOKUP(L1150, GLOSSARY!$A:$C, 2, FALSE)</f>
        <v>EGYPT ESTATE</v>
      </c>
      <c r="N1150" s="6"/>
      <c r="O1150" s="6"/>
      <c r="P1150" s="6"/>
      <c r="Q1150" s="6"/>
      <c r="R1150" s="6"/>
      <c r="S1150" s="6"/>
      <c r="T1150" s="6"/>
      <c r="U1150" s="6"/>
      <c r="V1150" s="6"/>
      <c r="W1150" s="6"/>
      <c r="X1150" s="6"/>
      <c r="Y1150" s="6"/>
      <c r="Z1150" s="6"/>
      <c r="AA1150" s="6"/>
      <c r="AB1150" s="6"/>
      <c r="AC1150" s="6"/>
      <c r="AD1150" s="6"/>
      <c r="AE1150" s="6"/>
    </row>
    <row r="1151" spans="1:31" ht="63.75" x14ac:dyDescent="0.2">
      <c r="A1151" s="6" t="s">
        <v>5967</v>
      </c>
      <c r="B1151" s="6" t="s">
        <v>3757</v>
      </c>
      <c r="C1151" s="20" t="s">
        <v>5979</v>
      </c>
      <c r="D1151" s="6" t="s">
        <v>5980</v>
      </c>
      <c r="E1151" s="6"/>
      <c r="F1151" s="6" t="s">
        <v>5981</v>
      </c>
      <c r="G1151" s="6" t="s">
        <v>5982</v>
      </c>
      <c r="H1151" s="6" t="str">
        <f t="shared" si="93"/>
        <v>NANNY
SOLON
CAESAR(P15
P26
P281)</v>
      </c>
      <c r="I1151" s="6" t="s">
        <v>2630</v>
      </c>
      <c r="J1151" s="6"/>
      <c r="K1151" s="6"/>
      <c r="L1151" s="6" t="s">
        <v>55</v>
      </c>
      <c r="M1151" s="6" t="str">
        <f>VLOOKUP(L1151, GLOSSARY!$A:$C, 2, FALSE)</f>
        <v>EGYPT ESTATE</v>
      </c>
      <c r="N1151" s="6"/>
      <c r="O1151" s="6"/>
      <c r="P1151" s="6"/>
      <c r="Q1151" s="6"/>
      <c r="R1151" s="6"/>
      <c r="S1151" s="6"/>
      <c r="T1151" s="6"/>
      <c r="U1151" s="6"/>
      <c r="V1151" s="6"/>
      <c r="W1151" s="6"/>
      <c r="X1151" s="6"/>
      <c r="Y1151" s="6"/>
      <c r="Z1151" s="6"/>
      <c r="AA1151" s="6"/>
      <c r="AB1151" s="6"/>
      <c r="AC1151" s="6"/>
      <c r="AD1151" s="6"/>
      <c r="AE1151" s="6"/>
    </row>
    <row r="1152" spans="1:31" ht="63.75" x14ac:dyDescent="0.2">
      <c r="A1152" s="6" t="s">
        <v>5983</v>
      </c>
      <c r="B1152" s="6" t="s">
        <v>5984</v>
      </c>
      <c r="C1152" s="20" t="s">
        <v>5985</v>
      </c>
      <c r="D1152" s="6" t="s">
        <v>5986</v>
      </c>
      <c r="E1152" s="6"/>
      <c r="F1152" s="6" t="s">
        <v>5987</v>
      </c>
      <c r="G1152" s="6" t="s">
        <v>5988</v>
      </c>
      <c r="H1152" s="6" t="str">
        <f t="shared" si="93"/>
        <v>AGNES
ALLEN'S QUAMINA(P124
P478)</v>
      </c>
      <c r="I1152" s="6" t="s">
        <v>112</v>
      </c>
      <c r="J1152" s="6"/>
      <c r="K1152" s="6"/>
      <c r="L1152" s="6" t="s">
        <v>255</v>
      </c>
      <c r="M1152" s="6" t="str">
        <f>VLOOKUP(L1152, GLOSSARY!$A:$C, 2, FALSE)</f>
        <v>BLUEFIELDS BAY</v>
      </c>
      <c r="N1152" s="6" t="s">
        <v>68</v>
      </c>
      <c r="O1152" s="6"/>
      <c r="P1152" s="6"/>
      <c r="Q1152" s="6"/>
      <c r="R1152" s="6"/>
      <c r="S1152" s="6"/>
      <c r="T1152" s="6"/>
      <c r="U1152" s="6"/>
      <c r="V1152" s="6"/>
      <c r="W1152" s="6"/>
      <c r="X1152" s="6"/>
      <c r="Y1152" s="6"/>
      <c r="Z1152" s="6"/>
      <c r="AA1152" s="6"/>
      <c r="AB1152" s="6"/>
      <c r="AC1152" s="6"/>
      <c r="AD1152" s="6"/>
      <c r="AE1152" s="6"/>
    </row>
    <row r="1153" spans="1:31" ht="114.75" x14ac:dyDescent="0.2">
      <c r="A1153" s="6" t="s">
        <v>5989</v>
      </c>
      <c r="B1153" s="6" t="s">
        <v>5990</v>
      </c>
      <c r="C1153" s="20" t="s">
        <v>5991</v>
      </c>
      <c r="D1153" s="6" t="s">
        <v>5992</v>
      </c>
      <c r="E1153" s="6"/>
      <c r="F1153" s="6" t="s">
        <v>5993</v>
      </c>
      <c r="G1153" s="6" t="s">
        <v>5994</v>
      </c>
      <c r="H1153" s="6" t="str">
        <f t="shared" ref="H1153:H1170" si="94">CONCATENATE(F1153," (",G1153,")")</f>
        <v>COOBAH
THE PLANTER'S WIFE
THE PLANTER
DAVIE (P16
P44
P45
P119)</v>
      </c>
      <c r="I1153" s="6" t="s">
        <v>96</v>
      </c>
      <c r="J1153" s="6" t="s">
        <v>5995</v>
      </c>
      <c r="K1153" s="6"/>
      <c r="L1153" s="6" t="s">
        <v>99</v>
      </c>
      <c r="M1153" s="6" t="str">
        <f>VLOOKUP(L1153, GLOSSARY!$A:$C, 2, FALSE)</f>
        <v>PARADISE ESTATE</v>
      </c>
      <c r="N1153" s="6" t="s">
        <v>68</v>
      </c>
      <c r="O1153" s="6"/>
      <c r="P1153" s="6"/>
      <c r="Q1153" s="6"/>
      <c r="R1153" s="6"/>
      <c r="S1153" s="6"/>
      <c r="T1153" s="6"/>
      <c r="U1153" s="6"/>
      <c r="V1153" s="6"/>
      <c r="W1153" s="6"/>
      <c r="X1153" s="6"/>
      <c r="Y1153" s="6"/>
      <c r="Z1153" s="6"/>
      <c r="AA1153" s="6"/>
      <c r="AB1153" s="6"/>
      <c r="AC1153" s="6"/>
      <c r="AD1153" s="6"/>
      <c r="AE1153" s="6"/>
    </row>
    <row r="1154" spans="1:31" ht="76.5" x14ac:dyDescent="0.2">
      <c r="A1154" s="6" t="s">
        <v>5996</v>
      </c>
      <c r="B1154" s="6" t="s">
        <v>5997</v>
      </c>
      <c r="C1154" s="20" t="s">
        <v>5998</v>
      </c>
      <c r="D1154" s="6" t="s">
        <v>5999</v>
      </c>
      <c r="E1154" s="6"/>
      <c r="F1154" s="6" t="s">
        <v>6000</v>
      </c>
      <c r="G1154" s="6" t="s">
        <v>6001</v>
      </c>
      <c r="H1154" s="6" t="str">
        <f t="shared" si="94"/>
        <v>MOUNTAIN LUCY
MOUNTAIN LUCY'S CHILD #3 (P30
P270)</v>
      </c>
      <c r="I1154" s="6" t="s">
        <v>96</v>
      </c>
      <c r="J1154" s="6"/>
      <c r="K1154" s="6"/>
      <c r="L1154" s="6" t="s">
        <v>99</v>
      </c>
      <c r="M1154" s="6" t="str">
        <f>VLOOKUP(L1154, GLOSSARY!$A:$C, 2, FALSE)</f>
        <v>PARADISE ESTATE</v>
      </c>
      <c r="N1154" s="6" t="s">
        <v>68</v>
      </c>
      <c r="O1154" s="6"/>
      <c r="P1154" s="6"/>
      <c r="Q1154" s="6"/>
      <c r="R1154" s="6"/>
      <c r="S1154" s="6"/>
      <c r="T1154" s="6"/>
      <c r="U1154" s="6"/>
      <c r="V1154" s="6"/>
      <c r="W1154" s="6"/>
      <c r="X1154" s="6"/>
      <c r="Y1154" s="6"/>
      <c r="Z1154" s="6"/>
      <c r="AA1154" s="6"/>
      <c r="AB1154" s="6"/>
      <c r="AC1154" s="6"/>
      <c r="AD1154" s="6"/>
      <c r="AE1154" s="6"/>
    </row>
    <row r="1155" spans="1:31" ht="63.75" x14ac:dyDescent="0.2">
      <c r="A1155" s="6" t="s">
        <v>6002</v>
      </c>
      <c r="B1155" s="6" t="s">
        <v>6003</v>
      </c>
      <c r="C1155" s="20" t="s">
        <v>6004</v>
      </c>
      <c r="D1155" s="6" t="s">
        <v>6005</v>
      </c>
      <c r="E1155" s="6"/>
      <c r="F1155" s="6" t="s">
        <v>6006</v>
      </c>
      <c r="G1155" s="6" t="s">
        <v>5833</v>
      </c>
      <c r="H1155" s="6" t="str">
        <f t="shared" si="94"/>
        <v>EGYPT LUCY
THE OVERSEER (P3
P43)</v>
      </c>
      <c r="I1155" s="6" t="s">
        <v>439</v>
      </c>
      <c r="J1155" s="6"/>
      <c r="K1155" s="6"/>
      <c r="L1155" s="6" t="s">
        <v>440</v>
      </c>
      <c r="M1155" s="6" t="str">
        <f>VLOOKUP(L1155, GLOSSARY!$A:$C, 2, FALSE)</f>
        <v>THE ROAD(S)</v>
      </c>
      <c r="N1155" s="6" t="s">
        <v>68</v>
      </c>
      <c r="O1155" s="6"/>
      <c r="P1155" s="6"/>
      <c r="Q1155" s="6"/>
      <c r="R1155" s="6"/>
      <c r="S1155" s="6"/>
      <c r="T1155" s="6"/>
      <c r="U1155" s="6"/>
      <c r="V1155" s="6"/>
      <c r="W1155" s="6"/>
      <c r="X1155" s="6"/>
      <c r="Y1155" s="6"/>
      <c r="Z1155" s="6"/>
      <c r="AA1155" s="6"/>
      <c r="AB1155" s="6"/>
      <c r="AC1155" s="6"/>
      <c r="AD1155" s="6"/>
      <c r="AE1155" s="6"/>
    </row>
    <row r="1156" spans="1:31" ht="63.75" x14ac:dyDescent="0.2">
      <c r="A1156" s="6" t="s">
        <v>6002</v>
      </c>
      <c r="B1156" s="6" t="s">
        <v>6007</v>
      </c>
      <c r="C1156" s="20" t="s">
        <v>6008</v>
      </c>
      <c r="D1156" s="6" t="s">
        <v>6009</v>
      </c>
      <c r="E1156" s="6"/>
      <c r="F1156" s="6" t="s">
        <v>6006</v>
      </c>
      <c r="G1156" s="6" t="s">
        <v>5833</v>
      </c>
      <c r="H1156" s="6" t="str">
        <f t="shared" si="94"/>
        <v>EGYPT LUCY
THE OVERSEER (P3
P43)</v>
      </c>
      <c r="I1156" s="6" t="s">
        <v>439</v>
      </c>
      <c r="J1156" s="6"/>
      <c r="K1156" s="6"/>
      <c r="L1156" s="6" t="s">
        <v>440</v>
      </c>
      <c r="M1156" s="6" t="str">
        <f>VLOOKUP(L1156, GLOSSARY!$A:$C, 2, FALSE)</f>
        <v>THE ROAD(S)</v>
      </c>
      <c r="N1156" s="6" t="s">
        <v>68</v>
      </c>
      <c r="O1156" s="6"/>
      <c r="P1156" s="6"/>
      <c r="Q1156" s="6"/>
      <c r="R1156" s="6"/>
      <c r="S1156" s="6"/>
      <c r="T1156" s="6"/>
      <c r="U1156" s="6"/>
      <c r="V1156" s="6"/>
      <c r="W1156" s="6"/>
      <c r="X1156" s="6"/>
      <c r="Y1156" s="6"/>
      <c r="Z1156" s="6"/>
      <c r="AA1156" s="6"/>
      <c r="AB1156" s="6"/>
      <c r="AC1156" s="6"/>
      <c r="AD1156" s="6"/>
      <c r="AE1156" s="6"/>
    </row>
    <row r="1157" spans="1:31" ht="76.5" x14ac:dyDescent="0.2">
      <c r="A1157" s="6" t="s">
        <v>6010</v>
      </c>
      <c r="B1157" s="6" t="s">
        <v>6011</v>
      </c>
      <c r="C1157" s="20" t="s">
        <v>6012</v>
      </c>
      <c r="D1157" s="6" t="s">
        <v>6013</v>
      </c>
      <c r="E1157" s="6"/>
      <c r="F1157" s="6" t="s">
        <v>6014</v>
      </c>
      <c r="G1157" s="6" t="s">
        <v>6015</v>
      </c>
      <c r="H1157" s="6" t="str">
        <f t="shared" si="94"/>
        <v>EGYPT LUCY
PARADISE QUACOO (P3
P232)</v>
      </c>
      <c r="I1157" s="6" t="s">
        <v>1068</v>
      </c>
      <c r="J1157" s="6"/>
      <c r="K1157" s="6"/>
      <c r="L1157" s="6" t="s">
        <v>99</v>
      </c>
      <c r="M1157" s="6" t="str">
        <f>VLOOKUP(L1157, GLOSSARY!$A:$C, 2, FALSE)</f>
        <v>PARADISE ESTATE</v>
      </c>
      <c r="N1157" s="6" t="s">
        <v>287</v>
      </c>
      <c r="O1157" s="6"/>
      <c r="P1157" s="6"/>
      <c r="Q1157" s="6"/>
      <c r="R1157" s="6"/>
      <c r="S1157" s="6"/>
      <c r="T1157" s="6"/>
      <c r="U1157" s="6"/>
      <c r="V1157" s="6"/>
      <c r="W1157" s="6"/>
      <c r="X1157" s="6"/>
      <c r="Y1157" s="6"/>
      <c r="Z1157" s="6"/>
      <c r="AA1157" s="6"/>
      <c r="AB1157" s="6"/>
      <c r="AC1157" s="6"/>
      <c r="AD1157" s="6"/>
      <c r="AE1157" s="6"/>
    </row>
    <row r="1158" spans="1:31" ht="102" x14ac:dyDescent="0.2">
      <c r="A1158" s="6" t="s">
        <v>6002</v>
      </c>
      <c r="B1158" s="6" t="s">
        <v>6016</v>
      </c>
      <c r="C1158" s="20" t="s">
        <v>6017</v>
      </c>
      <c r="D1158" s="6" t="s">
        <v>6018</v>
      </c>
      <c r="E1158" s="6"/>
      <c r="F1158" s="6" t="s">
        <v>6006</v>
      </c>
      <c r="G1158" s="6" t="s">
        <v>5833</v>
      </c>
      <c r="H1158" s="6" t="str">
        <f t="shared" si="94"/>
        <v>EGYPT LUCY
THE OVERSEER (P3
P43)</v>
      </c>
      <c r="I1158" s="6" t="s">
        <v>439</v>
      </c>
      <c r="J1158" s="6"/>
      <c r="K1158" s="6"/>
      <c r="L1158" s="6" t="s">
        <v>440</v>
      </c>
      <c r="M1158" s="6" t="str">
        <f>VLOOKUP(L1158, GLOSSARY!$A:$C, 2, FALSE)</f>
        <v>THE ROAD(S)</v>
      </c>
      <c r="N1158" s="6" t="s">
        <v>68</v>
      </c>
      <c r="O1158" s="6"/>
      <c r="P1158" s="6"/>
      <c r="Q1158" s="6"/>
      <c r="R1158" s="6"/>
      <c r="S1158" s="6"/>
      <c r="T1158" s="6"/>
      <c r="U1158" s="6"/>
      <c r="V1158" s="6"/>
      <c r="W1158" s="6"/>
      <c r="X1158" s="6"/>
      <c r="Y1158" s="6"/>
      <c r="Z1158" s="6"/>
      <c r="AA1158" s="6"/>
      <c r="AB1158" s="6"/>
      <c r="AC1158" s="6"/>
      <c r="AD1158" s="6"/>
      <c r="AE1158" s="6"/>
    </row>
    <row r="1159" spans="1:31" ht="89.25" x14ac:dyDescent="0.2">
      <c r="A1159" s="6" t="s">
        <v>6019</v>
      </c>
      <c r="B1159" s="6" t="s">
        <v>6020</v>
      </c>
      <c r="C1159" s="20" t="s">
        <v>6021</v>
      </c>
      <c r="D1159" s="6" t="s">
        <v>6022</v>
      </c>
      <c r="E1159" s="6"/>
      <c r="F1159" s="6" t="s">
        <v>6023</v>
      </c>
      <c r="G1159" s="6" t="s">
        <v>6024</v>
      </c>
      <c r="H1159" s="6" t="str">
        <f t="shared" si="94"/>
        <v>THE OVERSEER
ABBA (P43
P6)</v>
      </c>
      <c r="I1159" s="6" t="s">
        <v>859</v>
      </c>
      <c r="J1159" s="6"/>
      <c r="K1159" s="6"/>
      <c r="L1159" s="6" t="s">
        <v>3085</v>
      </c>
      <c r="M1159" s="6" t="str">
        <f>VLOOKUP(L1159, GLOSSARY!$A:$C, 2, FALSE)</f>
        <v>EMOTSON'S TAVERN</v>
      </c>
      <c r="N1159" s="6" t="s">
        <v>68</v>
      </c>
      <c r="O1159" s="6"/>
      <c r="P1159" s="6"/>
      <c r="Q1159" s="6"/>
      <c r="R1159" s="6"/>
      <c r="S1159" s="6"/>
      <c r="T1159" s="6"/>
      <c r="U1159" s="6"/>
      <c r="V1159" s="6"/>
      <c r="W1159" s="6"/>
      <c r="X1159" s="6"/>
      <c r="Y1159" s="6"/>
      <c r="Z1159" s="6"/>
      <c r="AA1159" s="6"/>
      <c r="AB1159" s="6"/>
      <c r="AC1159" s="6"/>
      <c r="AD1159" s="6"/>
      <c r="AE1159" s="6"/>
    </row>
    <row r="1160" spans="1:31" ht="76.5" x14ac:dyDescent="0.2">
      <c r="A1160" s="6" t="s">
        <v>5996</v>
      </c>
      <c r="B1160" s="6" t="s">
        <v>5777</v>
      </c>
      <c r="C1160" s="20" t="s">
        <v>6025</v>
      </c>
      <c r="D1160" s="6" t="s">
        <v>6026</v>
      </c>
      <c r="E1160" s="6"/>
      <c r="F1160" s="6" t="s">
        <v>6000</v>
      </c>
      <c r="G1160" s="6" t="s">
        <v>6001</v>
      </c>
      <c r="H1160" s="6" t="str">
        <f t="shared" si="94"/>
        <v>MOUNTAIN LUCY
MOUNTAIN LUCY'S CHILD #3 (P30
P270)</v>
      </c>
      <c r="I1160" s="6" t="s">
        <v>96</v>
      </c>
      <c r="J1160" s="6"/>
      <c r="K1160" s="6"/>
      <c r="L1160" s="6" t="s">
        <v>55</v>
      </c>
      <c r="M1160" s="6" t="str">
        <f>VLOOKUP(L1160, GLOSSARY!$A:$C, 2, FALSE)</f>
        <v>EGYPT ESTATE</v>
      </c>
      <c r="N1160" s="6" t="s">
        <v>68</v>
      </c>
      <c r="O1160" s="6"/>
      <c r="P1160" s="6"/>
      <c r="Q1160" s="6"/>
      <c r="R1160" s="6"/>
      <c r="S1160" s="6"/>
      <c r="T1160" s="6"/>
      <c r="U1160" s="6"/>
      <c r="V1160" s="6"/>
      <c r="W1160" s="6"/>
      <c r="X1160" s="6"/>
      <c r="Y1160" s="6"/>
      <c r="Z1160" s="6"/>
      <c r="AA1160" s="6"/>
      <c r="AB1160" s="6"/>
      <c r="AC1160" s="6"/>
      <c r="AD1160" s="6"/>
      <c r="AE1160" s="6"/>
    </row>
    <row r="1161" spans="1:31" ht="102" x14ac:dyDescent="0.2">
      <c r="A1161" s="6" t="s">
        <v>6027</v>
      </c>
      <c r="B1161" s="6" t="s">
        <v>1078</v>
      </c>
      <c r="C1161" s="20" t="s">
        <v>6028</v>
      </c>
      <c r="D1161" s="6" t="s">
        <v>6029</v>
      </c>
      <c r="E1161" s="6" t="s">
        <v>6030</v>
      </c>
      <c r="F1161" s="6" t="s">
        <v>6031</v>
      </c>
      <c r="G1161" s="6" t="s">
        <v>6032</v>
      </c>
      <c r="H1161" s="18" t="str">
        <f t="shared" si="94"/>
        <v>THE PLANTER
THE OVERSEER
JOHN (P44
P43
P9
)</v>
      </c>
      <c r="I1161" s="6" t="s">
        <v>3796</v>
      </c>
      <c r="J1161" s="6" t="s">
        <v>120</v>
      </c>
      <c r="K1161" s="6" t="s">
        <v>284</v>
      </c>
      <c r="L1161" s="6" t="s">
        <v>55</v>
      </c>
      <c r="M1161" s="18" t="str">
        <f>VLOOKUP(L1161, GLOSSARY!$A:$C, 2, FALSE)</f>
        <v>EGYPT ESTATE</v>
      </c>
      <c r="N1161" s="6" t="s">
        <v>68</v>
      </c>
      <c r="O1161" s="6"/>
      <c r="P1161" s="6"/>
      <c r="Q1161" s="6"/>
      <c r="R1161" s="6"/>
      <c r="S1161" s="6"/>
      <c r="T1161" s="6"/>
      <c r="U1161" s="6"/>
      <c r="V1161" s="6"/>
      <c r="W1161" s="6"/>
      <c r="X1161" s="6"/>
      <c r="Y1161" s="6"/>
      <c r="Z1161" s="6"/>
      <c r="AA1161" s="6"/>
      <c r="AB1161" s="6"/>
      <c r="AC1161" s="6"/>
      <c r="AD1161" s="6"/>
      <c r="AE1161" s="6"/>
    </row>
    <row r="1162" spans="1:31" ht="267.75" x14ac:dyDescent="0.2">
      <c r="A1162" s="6" t="s">
        <v>6033</v>
      </c>
      <c r="B1162" s="6" t="s">
        <v>6034</v>
      </c>
      <c r="C1162" s="20" t="s">
        <v>6035</v>
      </c>
      <c r="D1162" s="6" t="s">
        <v>6036</v>
      </c>
      <c r="E1162" s="6"/>
      <c r="F1162" s="16" t="s">
        <v>6037</v>
      </c>
      <c r="G1162" s="6" t="s">
        <v>6038</v>
      </c>
      <c r="H1162" s="6" t="str">
        <f t="shared" si="94"/>
        <v>THE OVERSEER
EGYPT LUCY
MOUNTAIN LUCY
MINOR
NANNY
ACHILLES (P3
P30
P191
P192
P15
43)</v>
      </c>
      <c r="I1162" s="6" t="s">
        <v>784</v>
      </c>
      <c r="J1162" s="6"/>
      <c r="K1162" s="6"/>
      <c r="L1162" s="6" t="s">
        <v>55</v>
      </c>
      <c r="M1162" s="6" t="str">
        <f>VLOOKUP(L1162, GLOSSARY!$A:$C, 2, FALSE)</f>
        <v>EGYPT ESTATE</v>
      </c>
      <c r="N1162" s="6" t="s">
        <v>68</v>
      </c>
      <c r="O1162" s="6"/>
      <c r="P1162" s="6"/>
      <c r="Q1162" s="6"/>
      <c r="R1162" s="6"/>
      <c r="S1162" s="6"/>
      <c r="T1162" s="6"/>
      <c r="U1162" s="6"/>
      <c r="V1162" s="6"/>
      <c r="W1162" s="6"/>
      <c r="X1162" s="6"/>
      <c r="Y1162" s="6"/>
      <c r="Z1162" s="6"/>
      <c r="AA1162" s="6"/>
      <c r="AB1162" s="6"/>
      <c r="AC1162" s="6"/>
      <c r="AD1162" s="6"/>
      <c r="AE1162" s="6"/>
    </row>
    <row r="1163" spans="1:31" ht="38.25" x14ac:dyDescent="0.2">
      <c r="A1163" s="6" t="s">
        <v>6039</v>
      </c>
      <c r="B1163" s="6" t="s">
        <v>6034</v>
      </c>
      <c r="C1163" s="20" t="s">
        <v>6040</v>
      </c>
      <c r="D1163" s="6" t="s">
        <v>6041</v>
      </c>
      <c r="E1163" s="6"/>
      <c r="F1163" s="6" t="s">
        <v>324</v>
      </c>
      <c r="G1163" s="6" t="s">
        <v>322</v>
      </c>
      <c r="H1163" s="6" t="str">
        <f t="shared" si="94"/>
        <v>ELLIN (P33)</v>
      </c>
      <c r="I1163" s="6" t="s">
        <v>96</v>
      </c>
      <c r="J1163" s="6"/>
      <c r="K1163" s="6"/>
      <c r="L1163" s="6" t="s">
        <v>99</v>
      </c>
      <c r="M1163" s="6" t="str">
        <f>VLOOKUP(L1163, GLOSSARY!$A:$C, 2, FALSE)</f>
        <v>PARADISE ESTATE</v>
      </c>
      <c r="N1163" s="6" t="s">
        <v>476</v>
      </c>
      <c r="O1163" s="6"/>
      <c r="P1163" s="6"/>
      <c r="Q1163" s="6"/>
      <c r="R1163" s="6"/>
      <c r="S1163" s="6"/>
      <c r="T1163" s="6"/>
      <c r="U1163" s="6"/>
      <c r="V1163" s="6"/>
      <c r="W1163" s="6"/>
      <c r="X1163" s="6"/>
      <c r="Y1163" s="6"/>
      <c r="Z1163" s="6"/>
      <c r="AA1163" s="6"/>
      <c r="AB1163" s="6"/>
      <c r="AC1163" s="6"/>
      <c r="AD1163" s="6"/>
      <c r="AE1163" s="6"/>
    </row>
    <row r="1164" spans="1:31" ht="25.5" x14ac:dyDescent="0.2">
      <c r="A1164" s="6" t="s">
        <v>6042</v>
      </c>
      <c r="B1164" s="6" t="s">
        <v>6043</v>
      </c>
      <c r="C1164" s="20" t="s">
        <v>6040</v>
      </c>
      <c r="D1164" s="6" t="s">
        <v>6044</v>
      </c>
      <c r="E1164" s="6"/>
      <c r="F1164" s="6" t="s">
        <v>90</v>
      </c>
      <c r="G1164" s="6" t="s">
        <v>89</v>
      </c>
      <c r="H1164" s="6" t="str">
        <f t="shared" si="94"/>
        <v>ABBA (P6)</v>
      </c>
      <c r="I1164" s="6" t="s">
        <v>96</v>
      </c>
      <c r="J1164" s="6"/>
      <c r="K1164" s="6"/>
      <c r="L1164" s="6" t="s">
        <v>55</v>
      </c>
      <c r="M1164" s="6" t="str">
        <f>VLOOKUP(L1164, GLOSSARY!$A:$C, 2, FALSE)</f>
        <v>EGYPT ESTATE</v>
      </c>
      <c r="N1164" s="6" t="s">
        <v>68</v>
      </c>
      <c r="O1164" s="6"/>
      <c r="P1164" s="6"/>
      <c r="Q1164" s="6"/>
      <c r="R1164" s="6"/>
      <c r="S1164" s="6"/>
      <c r="T1164" s="6"/>
      <c r="U1164" s="6"/>
      <c r="V1164" s="6"/>
      <c r="W1164" s="6"/>
      <c r="X1164" s="6"/>
      <c r="Y1164" s="6"/>
      <c r="Z1164" s="6"/>
      <c r="AA1164" s="6"/>
      <c r="AB1164" s="6"/>
      <c r="AC1164" s="6"/>
      <c r="AD1164" s="6"/>
      <c r="AE1164" s="6"/>
    </row>
    <row r="1165" spans="1:31" ht="242.25" x14ac:dyDescent="0.2">
      <c r="A1165" s="6" t="s">
        <v>5847</v>
      </c>
      <c r="B1165" s="6" t="s">
        <v>6045</v>
      </c>
      <c r="C1165" s="20" t="s">
        <v>6040</v>
      </c>
      <c r="D1165" s="6" t="s">
        <v>6046</v>
      </c>
      <c r="E1165" s="6"/>
      <c r="F1165" s="6" t="s">
        <v>6047</v>
      </c>
      <c r="G1165" s="6" t="s">
        <v>6048</v>
      </c>
      <c r="H1165" s="6" t="str">
        <f t="shared" si="94"/>
        <v>THE OVERSEER
LITTLE BENEBA
JOHN THOMSON
JENNY
THOMAS (P43
P104
P271
P272
P273
)</v>
      </c>
      <c r="I1165" s="6" t="s">
        <v>533</v>
      </c>
      <c r="J1165" s="6"/>
      <c r="K1165" s="6"/>
      <c r="L1165" s="6" t="s">
        <v>99</v>
      </c>
      <c r="M1165" s="6" t="str">
        <f>VLOOKUP(L1165, GLOSSARY!$A:$C, 2, FALSE)</f>
        <v>PARADISE ESTATE</v>
      </c>
      <c r="N1165" s="6" t="s">
        <v>68</v>
      </c>
      <c r="O1165" s="6"/>
      <c r="P1165" s="6"/>
      <c r="Q1165" s="6"/>
      <c r="R1165" s="6"/>
      <c r="S1165" s="6"/>
      <c r="T1165" s="6"/>
      <c r="U1165" s="6"/>
      <c r="V1165" s="6"/>
      <c r="W1165" s="6"/>
      <c r="X1165" s="6"/>
      <c r="Y1165" s="6"/>
      <c r="Z1165" s="6"/>
      <c r="AA1165" s="6"/>
      <c r="AB1165" s="6"/>
      <c r="AC1165" s="6"/>
      <c r="AD1165" s="6"/>
      <c r="AE1165" s="6"/>
    </row>
    <row r="1166" spans="1:31" ht="140.25" x14ac:dyDescent="0.2">
      <c r="A1166" s="6" t="s">
        <v>6049</v>
      </c>
      <c r="B1166" s="6" t="s">
        <v>6050</v>
      </c>
      <c r="C1166" s="20" t="s">
        <v>6051</v>
      </c>
      <c r="D1166" s="6" t="s">
        <v>6052</v>
      </c>
      <c r="E1166" s="6"/>
      <c r="F1166" s="6" t="s">
        <v>6053</v>
      </c>
      <c r="G1166" s="6" t="s">
        <v>6054</v>
      </c>
      <c r="H1166" s="6" t="str">
        <f t="shared" si="94"/>
        <v>THE OVERSEER
THE SLAVE TRADER
THE PLANTER
 (P43
P44
P51)</v>
      </c>
      <c r="I1166" s="6" t="s">
        <v>2607</v>
      </c>
      <c r="J1166" s="6" t="s">
        <v>6055</v>
      </c>
      <c r="K1166" s="6"/>
      <c r="L1166" s="6" t="s">
        <v>55</v>
      </c>
      <c r="M1166" s="6" t="str">
        <f>VLOOKUP(L1166, GLOSSARY!$A:$C, 2, FALSE)</f>
        <v>EGYPT ESTATE</v>
      </c>
      <c r="N1166" s="6" t="s">
        <v>68</v>
      </c>
      <c r="O1166" s="6"/>
      <c r="P1166" s="6"/>
      <c r="Q1166" s="6"/>
      <c r="R1166" s="6"/>
      <c r="S1166" s="6"/>
      <c r="T1166" s="6"/>
      <c r="U1166" s="6"/>
      <c r="V1166" s="6"/>
      <c r="W1166" s="6"/>
      <c r="X1166" s="6"/>
      <c r="Y1166" s="6"/>
      <c r="Z1166" s="6"/>
      <c r="AA1166" s="6"/>
      <c r="AB1166" s="6"/>
      <c r="AC1166" s="6"/>
      <c r="AD1166" s="6"/>
      <c r="AE1166" s="6"/>
    </row>
    <row r="1167" spans="1:31" ht="409.5" x14ac:dyDescent="0.2">
      <c r="A1167" s="6" t="s">
        <v>6049</v>
      </c>
      <c r="B1167" s="6" t="s">
        <v>6056</v>
      </c>
      <c r="C1167" s="20" t="s">
        <v>6057</v>
      </c>
      <c r="D1167" s="6" t="s">
        <v>6058</v>
      </c>
      <c r="E1167" s="6"/>
      <c r="F1167" s="6" t="s">
        <v>6059</v>
      </c>
      <c r="G1167" s="6" t="s">
        <v>6060</v>
      </c>
      <c r="H1167" s="6" t="str">
        <f t="shared" si="94"/>
        <v>THE OVERSEER
MOLIA
SUKEY
OGO
OWORRIA
ABAJE
SAWNO, DOWOTRONNNY (P1
P13
P37
P38
P39
P40)</v>
      </c>
      <c r="I1167" s="6" t="s">
        <v>2630</v>
      </c>
      <c r="J1167" s="6" t="s">
        <v>6061</v>
      </c>
      <c r="K1167" s="6"/>
      <c r="L1167" s="6" t="s">
        <v>55</v>
      </c>
      <c r="M1167" s="6" t="str">
        <f>VLOOKUP(L1167, GLOSSARY!$A:$C, 2, FALSE)</f>
        <v>EGYPT ESTATE</v>
      </c>
      <c r="N1167" s="6"/>
      <c r="O1167" s="6"/>
      <c r="P1167" s="6"/>
      <c r="Q1167" s="6"/>
      <c r="R1167" s="6"/>
      <c r="S1167" s="6"/>
      <c r="T1167" s="6"/>
      <c r="U1167" s="6"/>
      <c r="V1167" s="6"/>
      <c r="W1167" s="6"/>
      <c r="X1167" s="6"/>
      <c r="Y1167" s="6"/>
      <c r="Z1167" s="6"/>
      <c r="AA1167" s="6"/>
      <c r="AB1167" s="6"/>
      <c r="AC1167" s="6"/>
      <c r="AD1167" s="6"/>
      <c r="AE1167" s="6"/>
    </row>
    <row r="1168" spans="1:31" ht="25.5" x14ac:dyDescent="0.2">
      <c r="A1168" s="6" t="s">
        <v>5847</v>
      </c>
      <c r="B1168" s="6" t="s">
        <v>6062</v>
      </c>
      <c r="C1168" s="20" t="s">
        <v>6063</v>
      </c>
      <c r="D1168" s="6" t="s">
        <v>6064</v>
      </c>
      <c r="E1168" s="6"/>
      <c r="F1168" s="6" t="s">
        <v>713</v>
      </c>
      <c r="G1168" s="6" t="s">
        <v>712</v>
      </c>
      <c r="H1168" s="6" t="str">
        <f t="shared" si="94"/>
        <v>JENNY (P104)</v>
      </c>
      <c r="I1168" s="6" t="s">
        <v>533</v>
      </c>
      <c r="J1168" s="6" t="s">
        <v>1622</v>
      </c>
      <c r="K1168" s="6"/>
      <c r="L1168" s="6" t="s">
        <v>99</v>
      </c>
      <c r="M1168" s="6" t="str">
        <f>VLOOKUP(L1168, GLOSSARY!$A:$C, 2, FALSE)</f>
        <v>PARADISE ESTATE</v>
      </c>
      <c r="N1168" s="6" t="s">
        <v>68</v>
      </c>
      <c r="O1168" s="6"/>
      <c r="P1168" s="6"/>
      <c r="Q1168" s="6"/>
      <c r="R1168" s="6"/>
      <c r="S1168" s="6"/>
      <c r="T1168" s="6"/>
      <c r="U1168" s="6"/>
      <c r="V1168" s="6"/>
      <c r="W1168" s="6"/>
      <c r="X1168" s="6"/>
      <c r="Y1168" s="6"/>
      <c r="Z1168" s="6"/>
      <c r="AA1168" s="6"/>
      <c r="AB1168" s="6"/>
      <c r="AC1168" s="6"/>
      <c r="AD1168" s="6"/>
      <c r="AE1168" s="6"/>
    </row>
    <row r="1169" spans="1:31" ht="63.75" x14ac:dyDescent="0.2">
      <c r="A1169" s="6" t="s">
        <v>5847</v>
      </c>
      <c r="B1169" s="6" t="s">
        <v>6065</v>
      </c>
      <c r="C1169" s="20" t="s">
        <v>6066</v>
      </c>
      <c r="D1169" s="6" t="s">
        <v>6067</v>
      </c>
      <c r="E1169" s="6"/>
      <c r="F1169" s="6" t="s">
        <v>6068</v>
      </c>
      <c r="G1169" s="6" t="s">
        <v>6069</v>
      </c>
      <c r="H1169" s="6" t="str">
        <f t="shared" si="94"/>
        <v>JENNY
THOMAS (P104
P273)</v>
      </c>
      <c r="I1169" s="6" t="s">
        <v>1068</v>
      </c>
      <c r="J1169" s="6" t="s">
        <v>1622</v>
      </c>
      <c r="K1169" s="6"/>
      <c r="L1169" s="6" t="s">
        <v>6070</v>
      </c>
      <c r="M1169" s="6" t="s">
        <v>402</v>
      </c>
      <c r="N1169" s="6" t="s">
        <v>68</v>
      </c>
      <c r="O1169" s="6"/>
      <c r="P1169" s="6"/>
      <c r="Q1169" s="6"/>
      <c r="R1169" s="6"/>
      <c r="S1169" s="6"/>
      <c r="T1169" s="6"/>
      <c r="U1169" s="6"/>
      <c r="V1169" s="6"/>
      <c r="W1169" s="6"/>
      <c r="X1169" s="6"/>
      <c r="Y1169" s="6"/>
      <c r="Z1169" s="6"/>
      <c r="AA1169" s="6"/>
      <c r="AB1169" s="6"/>
      <c r="AC1169" s="6"/>
      <c r="AD1169" s="6"/>
      <c r="AE1169" s="6"/>
    </row>
    <row r="1170" spans="1:31" ht="331.5" x14ac:dyDescent="0.2">
      <c r="A1170" s="6" t="s">
        <v>6049</v>
      </c>
      <c r="B1170" s="6" t="s">
        <v>6071</v>
      </c>
      <c r="C1170" s="20" t="s">
        <v>6066</v>
      </c>
      <c r="D1170" s="6" t="s">
        <v>6072</v>
      </c>
      <c r="E1170" s="6"/>
      <c r="F1170" s="6" t="s">
        <v>6059</v>
      </c>
      <c r="G1170" s="6" t="s">
        <v>6073</v>
      </c>
      <c r="H1170" s="6" t="str">
        <f t="shared" si="94"/>
        <v>THE OVERSEER
MOLIA
SUKEY
OGO
OWORRIA
ABAJE
SAWNO, DOWOTRONNNY (P43
P1
P13
P37
P38
P39
P40)</v>
      </c>
      <c r="I1170" s="6" t="s">
        <v>2630</v>
      </c>
      <c r="J1170" s="6" t="s">
        <v>6061</v>
      </c>
      <c r="K1170" s="6"/>
      <c r="L1170" s="6" t="s">
        <v>55</v>
      </c>
      <c r="M1170" s="6" t="str">
        <f>VLOOKUP(L1170, GLOSSARY!$A:$C, 2, FALSE)</f>
        <v>EGYPT ESTATE</v>
      </c>
      <c r="N1170" s="6"/>
      <c r="O1170" s="6"/>
      <c r="P1170" s="6"/>
      <c r="Q1170" s="6"/>
      <c r="R1170" s="6"/>
      <c r="S1170" s="6"/>
      <c r="T1170" s="6"/>
      <c r="U1170" s="6"/>
      <c r="V1170" s="6"/>
      <c r="W1170" s="6"/>
      <c r="X1170" s="6"/>
      <c r="Y1170" s="6"/>
      <c r="Z1170" s="6"/>
      <c r="AA1170" s="6"/>
      <c r="AB1170" s="6"/>
      <c r="AC1170" s="6"/>
      <c r="AD1170" s="6"/>
      <c r="AE1170" s="6"/>
    </row>
    <row r="1171" spans="1:31" ht="165.75" x14ac:dyDescent="0.2">
      <c r="A1171" s="6" t="s">
        <v>6049</v>
      </c>
      <c r="B1171" s="6" t="s">
        <v>6074</v>
      </c>
      <c r="C1171" s="20" t="s">
        <v>6075</v>
      </c>
      <c r="D1171" s="6" t="s">
        <v>6076</v>
      </c>
      <c r="E1171" s="6"/>
      <c r="F1171" s="6" t="s">
        <v>6059</v>
      </c>
      <c r="G1171" s="26" t="s">
        <v>6077</v>
      </c>
      <c r="H1171" s="6" t="str">
        <f>CONCATENATE(F1173," (",G1171,")")</f>
        <v>PHIBBAH
JOHN
LITTLE DOLL
EGYPT SILVIA
THE PROPRIETRESS (P1 P13 P37 P38 P39 P40)</v>
      </c>
      <c r="I1171" s="6" t="s">
        <v>2630</v>
      </c>
      <c r="J1171" s="6" t="s">
        <v>6061</v>
      </c>
      <c r="K1171" s="6"/>
      <c r="L1171" s="6" t="s">
        <v>55</v>
      </c>
      <c r="M1171" s="6" t="str">
        <f>VLOOKUP(L1171, GLOSSARY!$A:$C, 2, FALSE)</f>
        <v>EGYPT ESTATE</v>
      </c>
      <c r="N1171" s="6"/>
      <c r="O1171" s="6"/>
      <c r="P1171" s="6"/>
      <c r="Q1171" s="6"/>
      <c r="R1171" s="6"/>
      <c r="S1171" s="6"/>
      <c r="T1171" s="6"/>
      <c r="U1171" s="6"/>
      <c r="V1171" s="6"/>
      <c r="W1171" s="6"/>
      <c r="X1171" s="6"/>
      <c r="Y1171" s="6"/>
      <c r="Z1171" s="6"/>
      <c r="AA1171" s="6"/>
      <c r="AB1171" s="6"/>
      <c r="AC1171" s="6"/>
      <c r="AD1171" s="6"/>
      <c r="AE1171" s="6"/>
    </row>
    <row r="1172" spans="1:31" ht="165.75" x14ac:dyDescent="0.2">
      <c r="A1172" s="6" t="s">
        <v>6049</v>
      </c>
      <c r="B1172" s="6" t="s">
        <v>6074</v>
      </c>
      <c r="C1172" s="20" t="s">
        <v>6078</v>
      </c>
      <c r="D1172" s="6" t="s">
        <v>6079</v>
      </c>
      <c r="E1172" s="6"/>
      <c r="F1172" s="6" t="s">
        <v>6059</v>
      </c>
      <c r="G1172" s="26" t="s">
        <v>6080</v>
      </c>
      <c r="H1172" s="6" t="str">
        <f>CONCATENATE(F1173,"(",G1172,")")</f>
        <v>PHIBBAH
JOHN
LITTLE DOLL
EGYPT SILVIA
THE PROPRIETRESS(P1 P13 P37 P38 P39 P41)</v>
      </c>
      <c r="I1172" s="6" t="s">
        <v>2630</v>
      </c>
      <c r="J1172" s="6" t="s">
        <v>6061</v>
      </c>
      <c r="K1172" s="6"/>
      <c r="L1172" s="6" t="s">
        <v>55</v>
      </c>
      <c r="M1172" s="6" t="str">
        <f>VLOOKUP(L1172, GLOSSARY!$A:$C, 2, FALSE)</f>
        <v>EGYPT ESTATE</v>
      </c>
      <c r="N1172" s="6"/>
      <c r="O1172" s="6"/>
      <c r="P1172" s="6"/>
      <c r="Q1172" s="6"/>
      <c r="R1172" s="6"/>
      <c r="S1172" s="6"/>
      <c r="T1172" s="6"/>
      <c r="U1172" s="6"/>
      <c r="V1172" s="6"/>
      <c r="W1172" s="6"/>
      <c r="X1172" s="6"/>
      <c r="Y1172" s="6"/>
      <c r="Z1172" s="6"/>
      <c r="AA1172" s="6"/>
      <c r="AB1172" s="6"/>
      <c r="AC1172" s="6"/>
      <c r="AD1172" s="6"/>
      <c r="AE1172" s="6"/>
    </row>
    <row r="1173" spans="1:31" ht="216.75" x14ac:dyDescent="0.2">
      <c r="A1173" s="6" t="s">
        <v>2581</v>
      </c>
      <c r="B1173" s="6" t="s">
        <v>6081</v>
      </c>
      <c r="C1173" s="20" t="s">
        <v>6082</v>
      </c>
      <c r="D1173" s="6" t="s">
        <v>6083</v>
      </c>
      <c r="E1173" s="6"/>
      <c r="F1173" s="6" t="s">
        <v>6084</v>
      </c>
      <c r="G1173" s="6" t="s">
        <v>6085</v>
      </c>
      <c r="H1173" s="6" t="str">
        <f t="shared" ref="H1173:H1174" si="95">CONCATENATE(F1173," (",G1173,")")</f>
        <v>PHIBBAH
JOHN
LITTLE DOLL
EGYPT SILVIA
THE PROPRIETRESS (P7
P9
P122
P247
P50)</v>
      </c>
      <c r="I1173" s="6" t="s">
        <v>859</v>
      </c>
      <c r="J1173" s="6" t="s">
        <v>6086</v>
      </c>
      <c r="K1173" s="6"/>
      <c r="L1173" s="6" t="s">
        <v>445</v>
      </c>
      <c r="M1173" s="6" t="str">
        <f>VLOOKUP(L1173, GLOSSARY!$A:$C, 2, FALSE)</f>
        <v>MRS. SARAH BENNETT'S</v>
      </c>
      <c r="N1173" s="6" t="s">
        <v>68</v>
      </c>
      <c r="O1173" s="6"/>
      <c r="P1173" s="6"/>
      <c r="Q1173" s="6"/>
      <c r="R1173" s="6"/>
      <c r="S1173" s="6"/>
      <c r="T1173" s="6"/>
      <c r="U1173" s="6"/>
      <c r="V1173" s="6"/>
      <c r="W1173" s="6"/>
      <c r="X1173" s="6"/>
      <c r="Y1173" s="6"/>
      <c r="Z1173" s="6"/>
      <c r="AA1173" s="6"/>
      <c r="AB1173" s="6"/>
      <c r="AC1173" s="6"/>
      <c r="AD1173" s="6"/>
      <c r="AE1173" s="6"/>
    </row>
    <row r="1174" spans="1:31" ht="114.75" x14ac:dyDescent="0.2">
      <c r="A1174" s="6" t="s">
        <v>6049</v>
      </c>
      <c r="B1174" s="6" t="s">
        <v>6081</v>
      </c>
      <c r="C1174" s="20" t="s">
        <v>6082</v>
      </c>
      <c r="D1174" s="6" t="s">
        <v>6087</v>
      </c>
      <c r="E1174" s="6"/>
      <c r="F1174" s="26" t="s">
        <v>6088</v>
      </c>
      <c r="G1174" s="26" t="s">
        <v>6089</v>
      </c>
      <c r="H1174" s="6" t="str">
        <f t="shared" si="95"/>
        <v>MOLIA 
SUKEY 
OGO 
OWORRIA 
ABAJE 
SAWNO, DOWOTRONNNY (P1 P13 P37 P38 P39 P42)</v>
      </c>
      <c r="I1174" s="6" t="s">
        <v>2630</v>
      </c>
      <c r="J1174" s="6" t="s">
        <v>6061</v>
      </c>
      <c r="K1174" s="6"/>
      <c r="L1174" s="6" t="s">
        <v>55</v>
      </c>
      <c r="M1174" s="6" t="str">
        <f>VLOOKUP(L1174, GLOSSARY!$A:$C, 2, FALSE)</f>
        <v>EGYPT ESTATE</v>
      </c>
      <c r="N1174" s="6"/>
      <c r="O1174" s="6"/>
      <c r="P1174" s="6"/>
      <c r="Q1174" s="6"/>
      <c r="R1174" s="6"/>
      <c r="S1174" s="6"/>
      <c r="T1174" s="6"/>
      <c r="U1174" s="6"/>
      <c r="V1174" s="6"/>
      <c r="W1174" s="6"/>
      <c r="X1174" s="6"/>
      <c r="Y1174" s="6"/>
      <c r="Z1174" s="6"/>
      <c r="AA1174" s="6"/>
      <c r="AB1174" s="6"/>
      <c r="AC1174" s="6"/>
      <c r="AD1174" s="6"/>
      <c r="AE1174" s="6"/>
    </row>
    <row r="1175" spans="1:31" ht="63.75" x14ac:dyDescent="0.2">
      <c r="A1175" s="6" t="s">
        <v>2029</v>
      </c>
      <c r="B1175" s="6" t="s">
        <v>6090</v>
      </c>
      <c r="C1175" s="20" t="s">
        <v>6091</v>
      </c>
      <c r="D1175" s="6" t="s">
        <v>6092</v>
      </c>
      <c r="E1175" s="6"/>
      <c r="F1175" s="6" t="s">
        <v>6093</v>
      </c>
      <c r="G1175" s="6" t="s">
        <v>6094</v>
      </c>
      <c r="H1175" s="6" t="str">
        <f>CONCATENATE(F1176,"(",G1175,")")</f>
        <v>(P27
P276)</v>
      </c>
      <c r="I1175" s="6" t="s">
        <v>759</v>
      </c>
      <c r="J1175" s="6"/>
      <c r="K1175" s="6"/>
      <c r="L1175" s="6" t="s">
        <v>55</v>
      </c>
      <c r="M1175" s="6" t="str">
        <f>VLOOKUP(L1175, GLOSSARY!$A:$C, 2, FALSE)</f>
        <v>EGYPT ESTATE</v>
      </c>
      <c r="N1175" s="6" t="s">
        <v>68</v>
      </c>
      <c r="O1175" s="6"/>
      <c r="P1175" s="6"/>
      <c r="Q1175" s="6"/>
      <c r="R1175" s="6"/>
      <c r="S1175" s="6"/>
      <c r="T1175" s="6"/>
      <c r="U1175" s="6"/>
      <c r="V1175" s="6"/>
      <c r="W1175" s="6"/>
      <c r="X1175" s="6"/>
      <c r="Y1175" s="6"/>
      <c r="Z1175" s="6"/>
      <c r="AA1175" s="6"/>
      <c r="AB1175" s="6"/>
      <c r="AC1175" s="6"/>
      <c r="AD1175" s="6"/>
      <c r="AE1175" s="6"/>
    </row>
    <row r="1176" spans="1:31" ht="38.25" x14ac:dyDescent="0.2">
      <c r="A1176" s="6" t="s">
        <v>6095</v>
      </c>
      <c r="B1176" s="6" t="s">
        <v>6096</v>
      </c>
      <c r="C1176" s="20" t="s">
        <v>6097</v>
      </c>
      <c r="D1176" s="6" t="s">
        <v>6098</v>
      </c>
      <c r="E1176" s="6"/>
      <c r="F1176" s="6"/>
      <c r="G1176" s="6"/>
      <c r="H1176" s="6" t="str">
        <f t="shared" ref="H1176:H1183" si="96">CONCATENATE(F1176," (",G1176,")")</f>
        <v xml:space="preserve"> ()</v>
      </c>
      <c r="I1176" s="6" t="s">
        <v>784</v>
      </c>
      <c r="J1176" s="6"/>
      <c r="K1176" s="6"/>
      <c r="L1176" s="6" t="s">
        <v>55</v>
      </c>
      <c r="M1176" s="6" t="str">
        <f>VLOOKUP(L1176, GLOSSARY!$A:$C, 2, FALSE)</f>
        <v>EGYPT ESTATE</v>
      </c>
      <c r="N1176" s="6"/>
      <c r="O1176" s="6"/>
      <c r="P1176" s="6"/>
      <c r="Q1176" s="6"/>
      <c r="R1176" s="6"/>
      <c r="S1176" s="6"/>
      <c r="T1176" s="6"/>
      <c r="U1176" s="6"/>
      <c r="V1176" s="6"/>
      <c r="W1176" s="6"/>
      <c r="X1176" s="6"/>
      <c r="Y1176" s="6"/>
      <c r="Z1176" s="6"/>
      <c r="AA1176" s="6"/>
      <c r="AB1176" s="6"/>
      <c r="AC1176" s="6"/>
      <c r="AD1176" s="6"/>
      <c r="AE1176" s="6"/>
    </row>
    <row r="1177" spans="1:31" ht="25.5" x14ac:dyDescent="0.2">
      <c r="A1177" s="6" t="s">
        <v>6099</v>
      </c>
      <c r="B1177" s="6" t="s">
        <v>6100</v>
      </c>
      <c r="C1177" s="20" t="s">
        <v>6101</v>
      </c>
      <c r="D1177" s="6" t="s">
        <v>6102</v>
      </c>
      <c r="E1177" s="6"/>
      <c r="F1177" s="6" t="s">
        <v>324</v>
      </c>
      <c r="G1177" s="6" t="s">
        <v>322</v>
      </c>
      <c r="H1177" s="6" t="str">
        <f t="shared" si="96"/>
        <v>ELLIN (P33)</v>
      </c>
      <c r="I1177" s="6" t="s">
        <v>96</v>
      </c>
      <c r="J1177" s="6"/>
      <c r="K1177" s="6"/>
      <c r="L1177" s="6" t="s">
        <v>55</v>
      </c>
      <c r="M1177" s="6" t="str">
        <f>VLOOKUP(L1177, GLOSSARY!$A:$C, 2, FALSE)</f>
        <v>EGYPT ESTATE</v>
      </c>
      <c r="N1177" s="6"/>
      <c r="O1177" s="6"/>
      <c r="P1177" s="6"/>
      <c r="Q1177" s="6"/>
      <c r="R1177" s="6"/>
      <c r="S1177" s="6"/>
      <c r="T1177" s="6"/>
      <c r="U1177" s="6"/>
      <c r="V1177" s="6"/>
      <c r="W1177" s="6"/>
      <c r="X1177" s="6"/>
      <c r="Y1177" s="6"/>
      <c r="Z1177" s="6"/>
      <c r="AA1177" s="6"/>
      <c r="AB1177" s="6"/>
      <c r="AC1177" s="6"/>
      <c r="AD1177" s="6"/>
      <c r="AE1177" s="6"/>
    </row>
    <row r="1178" spans="1:31" ht="25.5" x14ac:dyDescent="0.2">
      <c r="A1178" s="6" t="s">
        <v>6103</v>
      </c>
      <c r="B1178" s="6" t="s">
        <v>6104</v>
      </c>
      <c r="C1178" s="20" t="s">
        <v>6105</v>
      </c>
      <c r="D1178" s="6" t="s">
        <v>6106</v>
      </c>
      <c r="E1178" s="6"/>
      <c r="F1178" s="6" t="s">
        <v>1190</v>
      </c>
      <c r="G1178" s="6" t="s">
        <v>1189</v>
      </c>
      <c r="H1178" s="6" t="str">
        <f t="shared" si="96"/>
        <v>WILLIAM CROOKSHANKS (P189)</v>
      </c>
      <c r="I1178" s="6" t="s">
        <v>1068</v>
      </c>
      <c r="J1178" s="6"/>
      <c r="K1178" s="6"/>
      <c r="L1178" s="6"/>
      <c r="M1178" s="6" t="e">
        <f>VLOOKUP(L1178, GLOSSARY!$A:$C, 2, FALSE)</f>
        <v>#N/A</v>
      </c>
      <c r="N1178" s="6"/>
      <c r="O1178" s="6"/>
      <c r="P1178" s="6"/>
      <c r="Q1178" s="6"/>
      <c r="R1178" s="6"/>
      <c r="S1178" s="6"/>
      <c r="T1178" s="6"/>
      <c r="U1178" s="6"/>
      <c r="V1178" s="6"/>
      <c r="W1178" s="6"/>
      <c r="X1178" s="6"/>
      <c r="Y1178" s="6"/>
      <c r="Z1178" s="6"/>
      <c r="AA1178" s="6"/>
      <c r="AB1178" s="6"/>
      <c r="AC1178" s="6"/>
      <c r="AD1178" s="6"/>
      <c r="AE1178" s="6"/>
    </row>
    <row r="1179" spans="1:31" ht="76.5" x14ac:dyDescent="0.2">
      <c r="A1179" s="6" t="s">
        <v>6107</v>
      </c>
      <c r="B1179" s="6" t="s">
        <v>6104</v>
      </c>
      <c r="C1179" s="20" t="s">
        <v>6105</v>
      </c>
      <c r="D1179" s="6" t="s">
        <v>6108</v>
      </c>
      <c r="E1179" s="6"/>
      <c r="F1179" s="6" t="s">
        <v>6109</v>
      </c>
      <c r="G1179" s="6" t="s">
        <v>6110</v>
      </c>
      <c r="H1179" s="6" t="str">
        <f t="shared" si="96"/>
        <v>ABBA
THE OVERSEER (P6
P43)</v>
      </c>
      <c r="I1179" s="6" t="s">
        <v>96</v>
      </c>
      <c r="J1179" s="6"/>
      <c r="K1179" s="6"/>
      <c r="L1179" s="6" t="s">
        <v>55</v>
      </c>
      <c r="M1179" s="6" t="str">
        <f>VLOOKUP(L1179, GLOSSARY!$A:$C, 2, FALSE)</f>
        <v>EGYPT ESTATE</v>
      </c>
      <c r="N1179" s="6"/>
      <c r="O1179" s="6"/>
      <c r="P1179" s="6"/>
      <c r="Q1179" s="6"/>
      <c r="R1179" s="6"/>
      <c r="S1179" s="6"/>
      <c r="T1179" s="6"/>
      <c r="U1179" s="6"/>
      <c r="V1179" s="6"/>
      <c r="W1179" s="6"/>
      <c r="X1179" s="6"/>
      <c r="Y1179" s="6"/>
      <c r="Z1179" s="6"/>
      <c r="AA1179" s="6"/>
      <c r="AB1179" s="6"/>
      <c r="AC1179" s="6"/>
      <c r="AD1179" s="6"/>
      <c r="AE1179" s="6"/>
    </row>
    <row r="1180" spans="1:31" ht="409.5" x14ac:dyDescent="0.2">
      <c r="A1180" s="6" t="s">
        <v>6111</v>
      </c>
      <c r="B1180" s="6" t="s">
        <v>6112</v>
      </c>
      <c r="C1180" s="20" t="s">
        <v>6113</v>
      </c>
      <c r="D1180" s="6" t="s">
        <v>6114</v>
      </c>
      <c r="E1180" s="6"/>
      <c r="F1180" s="6" t="s">
        <v>6115</v>
      </c>
      <c r="G1180" s="6" t="s">
        <v>6116</v>
      </c>
      <c r="H1180" s="6" t="str">
        <f t="shared" si="96"/>
        <v>LONDON
THE OVERSEER (P249
P43)</v>
      </c>
      <c r="I1180" s="6" t="s">
        <v>112</v>
      </c>
      <c r="J1180" s="6"/>
      <c r="K1180" s="6"/>
      <c r="L1180" s="6" t="s">
        <v>55</v>
      </c>
      <c r="M1180" s="6" t="str">
        <f>VLOOKUP(L1180, GLOSSARY!$A:$C, 2, FALSE)</f>
        <v>EGYPT ESTATE</v>
      </c>
      <c r="N1180" s="6"/>
      <c r="O1180" s="6"/>
      <c r="P1180" s="6"/>
      <c r="Q1180" s="6"/>
      <c r="R1180" s="6"/>
      <c r="S1180" s="6"/>
      <c r="T1180" s="6"/>
      <c r="U1180" s="6"/>
      <c r="V1180" s="6"/>
      <c r="W1180" s="6"/>
      <c r="X1180" s="6"/>
      <c r="Y1180" s="6"/>
      <c r="Z1180" s="6"/>
      <c r="AA1180" s="6"/>
      <c r="AB1180" s="6"/>
      <c r="AC1180" s="6"/>
      <c r="AD1180" s="6"/>
      <c r="AE1180" s="6"/>
    </row>
    <row r="1181" spans="1:31" ht="102" x14ac:dyDescent="0.2">
      <c r="A1181" s="6" t="s">
        <v>6117</v>
      </c>
      <c r="B1181" s="6" t="s">
        <v>6118</v>
      </c>
      <c r="C1181" s="20" t="s">
        <v>6119</v>
      </c>
      <c r="D1181" s="6" t="s">
        <v>6120</v>
      </c>
      <c r="E1181" s="6"/>
      <c r="F1181" s="6" t="s">
        <v>48</v>
      </c>
      <c r="G1181" s="6" t="s">
        <v>50</v>
      </c>
      <c r="H1181" s="6" t="str">
        <f t="shared" si="96"/>
        <v>THE OVERSEER (P43)</v>
      </c>
      <c r="I1181" s="6" t="s">
        <v>139</v>
      </c>
      <c r="J1181" s="6"/>
      <c r="K1181" s="6"/>
      <c r="L1181" s="6" t="s">
        <v>55</v>
      </c>
      <c r="M1181" s="6" t="str">
        <f>VLOOKUP(L1181, GLOSSARY!$A:$C, 2, FALSE)</f>
        <v>EGYPT ESTATE</v>
      </c>
      <c r="N1181" s="6"/>
      <c r="O1181" s="6"/>
      <c r="P1181" s="6"/>
      <c r="Q1181" s="6"/>
      <c r="R1181" s="6"/>
      <c r="S1181" s="6"/>
      <c r="T1181" s="6"/>
      <c r="U1181" s="6"/>
      <c r="V1181" s="6"/>
      <c r="W1181" s="6"/>
      <c r="X1181" s="6"/>
      <c r="Y1181" s="6"/>
      <c r="Z1181" s="6"/>
      <c r="AA1181" s="6"/>
      <c r="AB1181" s="6"/>
      <c r="AC1181" s="6"/>
      <c r="AD1181" s="6"/>
      <c r="AE1181" s="6"/>
    </row>
    <row r="1182" spans="1:31" ht="63.75" x14ac:dyDescent="0.2">
      <c r="A1182" s="6" t="s">
        <v>6121</v>
      </c>
      <c r="B1182" s="6" t="s">
        <v>6118</v>
      </c>
      <c r="C1182" s="20" t="s">
        <v>6119</v>
      </c>
      <c r="D1182" s="6" t="s">
        <v>6122</v>
      </c>
      <c r="E1182" s="6"/>
      <c r="F1182" s="6" t="s">
        <v>6123</v>
      </c>
      <c r="G1182" s="6" t="s">
        <v>6124</v>
      </c>
      <c r="H1182" s="6" t="str">
        <f t="shared" si="96"/>
        <v>JOHNIE
OGO (P84
P13)</v>
      </c>
      <c r="I1182" s="6" t="s">
        <v>533</v>
      </c>
      <c r="J1182" s="6"/>
      <c r="K1182" s="6"/>
      <c r="L1182" s="6" t="s">
        <v>55</v>
      </c>
      <c r="M1182" s="6" t="str">
        <f>VLOOKUP(L1182, GLOSSARY!$A:$C, 2, FALSE)</f>
        <v>EGYPT ESTATE</v>
      </c>
      <c r="N1182" s="6" t="s">
        <v>68</v>
      </c>
      <c r="O1182" s="6"/>
      <c r="P1182" s="6"/>
      <c r="Q1182" s="6"/>
      <c r="R1182" s="6"/>
      <c r="S1182" s="6"/>
      <c r="T1182" s="6"/>
      <c r="U1182" s="6"/>
      <c r="V1182" s="6"/>
      <c r="W1182" s="6"/>
      <c r="X1182" s="6"/>
      <c r="Y1182" s="6"/>
      <c r="Z1182" s="6"/>
      <c r="AA1182" s="6"/>
      <c r="AB1182" s="6"/>
      <c r="AC1182" s="6"/>
      <c r="AD1182" s="6"/>
      <c r="AE1182" s="6"/>
    </row>
    <row r="1183" spans="1:31" ht="76.5" x14ac:dyDescent="0.2">
      <c r="A1183" s="6" t="s">
        <v>5989</v>
      </c>
      <c r="B1183" s="6" t="s">
        <v>6125</v>
      </c>
      <c r="C1183" s="20" t="s">
        <v>6126</v>
      </c>
      <c r="D1183" s="6" t="s">
        <v>6127</v>
      </c>
      <c r="E1183" s="6"/>
      <c r="F1183" s="6" t="s">
        <v>6128</v>
      </c>
      <c r="G1183" s="6" t="s">
        <v>6129</v>
      </c>
      <c r="H1183" s="6" t="str">
        <f t="shared" si="96"/>
        <v xml:space="preserve"> COOBAH
COOBAH'S FIRST DAUGHTER (P16
P246)</v>
      </c>
      <c r="I1183" s="6" t="s">
        <v>96</v>
      </c>
      <c r="J1183" s="6" t="s">
        <v>6130</v>
      </c>
      <c r="K1183" s="6"/>
      <c r="L1183" s="6" t="s">
        <v>99</v>
      </c>
      <c r="M1183" s="6" t="str">
        <f>VLOOKUP(L1183, GLOSSARY!$A:$C, 2, FALSE)</f>
        <v>PARADISE ESTATE</v>
      </c>
      <c r="N1183" s="6" t="s">
        <v>167</v>
      </c>
      <c r="O1183" s="6"/>
      <c r="P1183" s="6"/>
      <c r="Q1183" s="6"/>
      <c r="R1183" s="6"/>
      <c r="S1183" s="6"/>
      <c r="T1183" s="6"/>
      <c r="U1183" s="6"/>
      <c r="V1183" s="6"/>
      <c r="W1183" s="6"/>
      <c r="X1183" s="6"/>
      <c r="Y1183" s="6"/>
      <c r="Z1183" s="6"/>
      <c r="AA1183" s="6"/>
      <c r="AB1183" s="6"/>
      <c r="AC1183" s="6"/>
      <c r="AD1183" s="6"/>
      <c r="AE1183" s="6"/>
    </row>
    <row r="1184" spans="1:31" ht="63.75" x14ac:dyDescent="0.2">
      <c r="A1184" s="6" t="s">
        <v>6131</v>
      </c>
      <c r="B1184" s="6" t="s">
        <v>6125</v>
      </c>
      <c r="C1184" s="20" t="s">
        <v>6126</v>
      </c>
      <c r="D1184" s="6" t="s">
        <v>6132</v>
      </c>
      <c r="E1184" s="6"/>
      <c r="F1184" s="6" t="s">
        <v>2124</v>
      </c>
      <c r="G1184" s="6" t="s">
        <v>2123</v>
      </c>
      <c r="H1184" s="6" t="str">
        <f>CONCATENATE(F1184,"(",G1184,")")</f>
        <v>WITTE(P382)</v>
      </c>
      <c r="I1184" s="6" t="s">
        <v>784</v>
      </c>
      <c r="J1184" s="6"/>
      <c r="K1184" s="6"/>
      <c r="L1184" s="6" t="s">
        <v>55</v>
      </c>
      <c r="M1184" s="6" t="str">
        <f>VLOOKUP(L1184, GLOSSARY!$A:$C, 2, FALSE)</f>
        <v>EGYPT ESTATE</v>
      </c>
      <c r="N1184" s="6" t="s">
        <v>68</v>
      </c>
      <c r="O1184" s="6"/>
      <c r="P1184" s="6"/>
      <c r="Q1184" s="6"/>
      <c r="R1184" s="6"/>
      <c r="S1184" s="6"/>
      <c r="T1184" s="6"/>
      <c r="U1184" s="6"/>
      <c r="V1184" s="6"/>
      <c r="W1184" s="6"/>
      <c r="X1184" s="6"/>
      <c r="Y1184" s="6"/>
      <c r="Z1184" s="6"/>
      <c r="AA1184" s="6"/>
      <c r="AB1184" s="6"/>
      <c r="AC1184" s="6"/>
      <c r="AD1184" s="6"/>
      <c r="AE1184" s="6"/>
    </row>
    <row r="1185" spans="1:31" ht="89.25" x14ac:dyDescent="0.2">
      <c r="A1185" s="6" t="s">
        <v>5989</v>
      </c>
      <c r="B1185" s="6" t="s">
        <v>6133</v>
      </c>
      <c r="C1185" s="20" t="s">
        <v>6134</v>
      </c>
      <c r="D1185" s="6" t="s">
        <v>6135</v>
      </c>
      <c r="E1185" s="6"/>
      <c r="F1185" s="6" t="s">
        <v>6136</v>
      </c>
      <c r="G1185" s="6" t="s">
        <v>6137</v>
      </c>
      <c r="H1185" s="6" t="str">
        <f t="shared" ref="H1185:H1190" si="97">CONCATENATE(F1185," (",G1185,")")</f>
        <v>PHIBBAH
JOHN
LITTLE DOLL (P7
P9
P247)</v>
      </c>
      <c r="I1185" s="6" t="s">
        <v>859</v>
      </c>
      <c r="J1185" s="6"/>
      <c r="K1185" s="6"/>
      <c r="L1185" s="6" t="s">
        <v>99</v>
      </c>
      <c r="M1185" s="6" t="str">
        <f>VLOOKUP(L1185, GLOSSARY!$A:$C, 2, FALSE)</f>
        <v>PARADISE ESTATE</v>
      </c>
      <c r="N1185" s="6" t="s">
        <v>167</v>
      </c>
      <c r="O1185" s="6"/>
      <c r="P1185" s="6"/>
      <c r="Q1185" s="6"/>
      <c r="R1185" s="6"/>
      <c r="S1185" s="6"/>
      <c r="T1185" s="6"/>
      <c r="U1185" s="6"/>
      <c r="V1185" s="6"/>
      <c r="W1185" s="6"/>
      <c r="X1185" s="6"/>
      <c r="Y1185" s="6"/>
      <c r="Z1185" s="6"/>
      <c r="AA1185" s="6"/>
      <c r="AB1185" s="6"/>
      <c r="AC1185" s="6"/>
      <c r="AD1185" s="6"/>
      <c r="AE1185" s="6"/>
    </row>
    <row r="1186" spans="1:31" ht="102" x14ac:dyDescent="0.2">
      <c r="A1186" s="6" t="s">
        <v>5989</v>
      </c>
      <c r="B1186" s="6" t="s">
        <v>6133</v>
      </c>
      <c r="C1186" s="20" t="s">
        <v>6138</v>
      </c>
      <c r="D1186" s="6" t="s">
        <v>6139</v>
      </c>
      <c r="E1186" s="6"/>
      <c r="F1186" s="6" t="s">
        <v>6140</v>
      </c>
      <c r="G1186" s="6" t="s">
        <v>6141</v>
      </c>
      <c r="H1186" s="6" t="str">
        <f t="shared" si="97"/>
        <v>PHIBBAH
COOBAH'S FIRST DAUGHTER
DAVIE (P7
P246
P119)</v>
      </c>
      <c r="I1186" s="6" t="s">
        <v>1068</v>
      </c>
      <c r="J1186" s="6" t="s">
        <v>789</v>
      </c>
      <c r="K1186" s="6"/>
      <c r="L1186" s="6" t="s">
        <v>55</v>
      </c>
      <c r="M1186" s="6" t="str">
        <f>VLOOKUP(L1186, GLOSSARY!$A:$C, 2, FALSE)</f>
        <v>EGYPT ESTATE</v>
      </c>
      <c r="N1186" s="6" t="s">
        <v>167</v>
      </c>
      <c r="O1186" s="6"/>
      <c r="P1186" s="6"/>
      <c r="Q1186" s="6"/>
      <c r="R1186" s="6"/>
      <c r="S1186" s="6"/>
      <c r="T1186" s="6"/>
      <c r="U1186" s="6"/>
      <c r="V1186" s="6"/>
      <c r="W1186" s="6"/>
      <c r="X1186" s="6"/>
      <c r="Y1186" s="6"/>
      <c r="Z1186" s="6"/>
      <c r="AA1186" s="6"/>
      <c r="AB1186" s="6"/>
      <c r="AC1186" s="6"/>
      <c r="AD1186" s="6"/>
      <c r="AE1186" s="6"/>
    </row>
    <row r="1187" spans="1:31" ht="51" x14ac:dyDescent="0.2">
      <c r="A1187" s="6" t="s">
        <v>6142</v>
      </c>
      <c r="B1187" s="6" t="s">
        <v>6143</v>
      </c>
      <c r="C1187" s="20" t="s">
        <v>6144</v>
      </c>
      <c r="D1187" s="6" t="s">
        <v>6145</v>
      </c>
      <c r="E1187" s="6"/>
      <c r="F1187" s="6"/>
      <c r="G1187" s="6"/>
      <c r="H1187" s="6" t="str">
        <f t="shared" si="97"/>
        <v xml:space="preserve"> ()</v>
      </c>
      <c r="I1187" s="6" t="s">
        <v>784</v>
      </c>
      <c r="J1187" s="6"/>
      <c r="K1187" s="6"/>
      <c r="L1187" s="6" t="s">
        <v>55</v>
      </c>
      <c r="M1187" s="6" t="str">
        <f>VLOOKUP(L1187, GLOSSARY!$A:$C, 2, FALSE)</f>
        <v>EGYPT ESTATE</v>
      </c>
      <c r="N1187" s="6"/>
      <c r="O1187" s="6"/>
      <c r="P1187" s="6"/>
      <c r="Q1187" s="6"/>
      <c r="R1187" s="6"/>
      <c r="S1187" s="6"/>
      <c r="T1187" s="6"/>
      <c r="U1187" s="6"/>
      <c r="V1187" s="6"/>
      <c r="W1187" s="6"/>
      <c r="X1187" s="6"/>
      <c r="Y1187" s="6"/>
      <c r="Z1187" s="6"/>
      <c r="AA1187" s="6"/>
      <c r="AB1187" s="6"/>
      <c r="AC1187" s="6"/>
      <c r="AD1187" s="6"/>
      <c r="AE1187" s="6"/>
    </row>
    <row r="1188" spans="1:31" ht="63.75" x14ac:dyDescent="0.2">
      <c r="A1188" s="6" t="s">
        <v>6146</v>
      </c>
      <c r="B1188" s="6" t="s">
        <v>6147</v>
      </c>
      <c r="C1188" s="20" t="s">
        <v>6148</v>
      </c>
      <c r="D1188" s="6" t="s">
        <v>6149</v>
      </c>
      <c r="E1188" s="6"/>
      <c r="F1188" s="6"/>
      <c r="G1188" s="6"/>
      <c r="H1188" s="6" t="str">
        <f t="shared" si="97"/>
        <v xml:space="preserve"> ()</v>
      </c>
      <c r="I1188" s="6" t="s">
        <v>784</v>
      </c>
      <c r="J1188" s="6"/>
      <c r="K1188" s="6"/>
      <c r="L1188" s="6" t="s">
        <v>55</v>
      </c>
      <c r="M1188" s="6" t="str">
        <f>VLOOKUP(L1188, GLOSSARY!$A:$C, 2, FALSE)</f>
        <v>EGYPT ESTATE</v>
      </c>
      <c r="N1188" s="6" t="s">
        <v>68</v>
      </c>
      <c r="O1188" s="6"/>
      <c r="P1188" s="6"/>
      <c r="Q1188" s="6"/>
      <c r="R1188" s="6"/>
      <c r="S1188" s="6"/>
      <c r="T1188" s="6"/>
      <c r="U1188" s="6"/>
      <c r="V1188" s="6"/>
      <c r="W1188" s="6"/>
      <c r="X1188" s="6"/>
      <c r="Y1188" s="6"/>
      <c r="Z1188" s="6"/>
      <c r="AA1188" s="6"/>
      <c r="AB1188" s="6"/>
      <c r="AC1188" s="6"/>
      <c r="AD1188" s="6"/>
      <c r="AE1188" s="6"/>
    </row>
    <row r="1189" spans="1:31" ht="25.5" x14ac:dyDescent="0.2">
      <c r="A1189" s="6" t="s">
        <v>6150</v>
      </c>
      <c r="B1189" s="6" t="s">
        <v>6151</v>
      </c>
      <c r="C1189" s="20" t="s">
        <v>6152</v>
      </c>
      <c r="D1189" s="6" t="s">
        <v>6153</v>
      </c>
      <c r="E1189" s="6"/>
      <c r="F1189" s="6"/>
      <c r="G1189" s="6"/>
      <c r="H1189" s="6" t="str">
        <f t="shared" si="97"/>
        <v xml:space="preserve"> ()</v>
      </c>
      <c r="I1189" s="6" t="s">
        <v>759</v>
      </c>
      <c r="J1189" s="6"/>
      <c r="K1189" s="6"/>
      <c r="L1189" s="6" t="s">
        <v>55</v>
      </c>
      <c r="M1189" s="6" t="str">
        <f>VLOOKUP(L1189, GLOSSARY!$A:$C, 2, FALSE)</f>
        <v>EGYPT ESTATE</v>
      </c>
      <c r="N1189" s="6" t="s">
        <v>68</v>
      </c>
      <c r="O1189" s="6"/>
      <c r="P1189" s="6"/>
      <c r="Q1189" s="6"/>
      <c r="R1189" s="6"/>
      <c r="S1189" s="6"/>
      <c r="T1189" s="6"/>
      <c r="U1189" s="6"/>
      <c r="V1189" s="6"/>
      <c r="W1189" s="6"/>
      <c r="X1189" s="6"/>
      <c r="Y1189" s="6"/>
      <c r="Z1189" s="6"/>
      <c r="AA1189" s="6"/>
      <c r="AB1189" s="6"/>
      <c r="AC1189" s="6"/>
      <c r="AD1189" s="6"/>
      <c r="AE1189" s="6"/>
    </row>
    <row r="1190" spans="1:31" ht="102" x14ac:dyDescent="0.2">
      <c r="A1190" s="6" t="s">
        <v>6154</v>
      </c>
      <c r="B1190" s="6" t="s">
        <v>6155</v>
      </c>
      <c r="C1190" s="20" t="s">
        <v>6156</v>
      </c>
      <c r="D1190" s="6" t="s">
        <v>6157</v>
      </c>
      <c r="E1190" s="6"/>
      <c r="F1190" s="6" t="s">
        <v>6158</v>
      </c>
      <c r="G1190" s="6" t="s">
        <v>6159</v>
      </c>
      <c r="H1190" s="6" t="str">
        <f t="shared" si="97"/>
        <v>THE OVERSEER
JEREMIAH MEYLER
SALLY (P43
P17
P159
)</v>
      </c>
      <c r="I1190" s="6" t="s">
        <v>2607</v>
      </c>
      <c r="J1190" s="6"/>
      <c r="K1190" s="6"/>
      <c r="L1190" s="6" t="s">
        <v>55</v>
      </c>
      <c r="M1190" s="6" t="str">
        <f>VLOOKUP(L1190, GLOSSARY!$A:$C, 2, FALSE)</f>
        <v>EGYPT ESTATE</v>
      </c>
      <c r="N1190" s="6" t="s">
        <v>68</v>
      </c>
      <c r="O1190" s="6"/>
      <c r="P1190" s="6"/>
      <c r="Q1190" s="6"/>
      <c r="R1190" s="6"/>
      <c r="S1190" s="6"/>
      <c r="T1190" s="6"/>
      <c r="U1190" s="6"/>
      <c r="V1190" s="6"/>
      <c r="W1190" s="6"/>
      <c r="X1190" s="6"/>
      <c r="Y1190" s="6"/>
      <c r="Z1190" s="6"/>
      <c r="AA1190" s="6"/>
      <c r="AB1190" s="6"/>
      <c r="AC1190" s="6"/>
      <c r="AD1190" s="6"/>
      <c r="AE1190" s="6"/>
    </row>
    <row r="1191" spans="1:31" ht="76.5" x14ac:dyDescent="0.2">
      <c r="A1191" s="6" t="s">
        <v>6160</v>
      </c>
      <c r="B1191" s="6" t="s">
        <v>6155</v>
      </c>
      <c r="C1191" s="20" t="s">
        <v>6156</v>
      </c>
      <c r="D1191" s="6" t="s">
        <v>6161</v>
      </c>
      <c r="E1191" s="6"/>
      <c r="F1191" s="6" t="s">
        <v>48</v>
      </c>
      <c r="G1191" s="6" t="s">
        <v>50</v>
      </c>
      <c r="H1191" s="6" t="str">
        <f>CONCATENATE(F1191,"(",G1191,")")</f>
        <v>THE OVERSEER(P43)</v>
      </c>
      <c r="I1191" s="6" t="s">
        <v>248</v>
      </c>
      <c r="J1191" s="6"/>
      <c r="K1191" s="6"/>
      <c r="L1191" s="6" t="s">
        <v>55</v>
      </c>
      <c r="M1191" s="6" t="str">
        <f>VLOOKUP(L1191, GLOSSARY!$A:$C, 2, FALSE)</f>
        <v>EGYPT ESTATE</v>
      </c>
      <c r="N1191" s="6" t="s">
        <v>68</v>
      </c>
      <c r="O1191" s="6"/>
      <c r="P1191" s="6"/>
      <c r="Q1191" s="6"/>
      <c r="R1191" s="6"/>
      <c r="S1191" s="6"/>
      <c r="T1191" s="6"/>
      <c r="U1191" s="6"/>
      <c r="V1191" s="6"/>
      <c r="W1191" s="6"/>
      <c r="X1191" s="6"/>
      <c r="Y1191" s="6"/>
      <c r="Z1191" s="6"/>
      <c r="AA1191" s="6"/>
      <c r="AB1191" s="6"/>
      <c r="AC1191" s="6"/>
      <c r="AD1191" s="6"/>
      <c r="AE1191" s="6"/>
    </row>
    <row r="1192" spans="1:31" ht="293.25" x14ac:dyDescent="0.2">
      <c r="A1192" s="6" t="s">
        <v>6162</v>
      </c>
      <c r="B1192" s="6" t="s">
        <v>6163</v>
      </c>
      <c r="C1192" s="20" t="s">
        <v>6164</v>
      </c>
      <c r="D1192" s="6" t="s">
        <v>6165</v>
      </c>
      <c r="E1192" s="6"/>
      <c r="F1192" s="6" t="s">
        <v>6166</v>
      </c>
      <c r="G1192" s="6" t="s">
        <v>6167</v>
      </c>
      <c r="H1192" s="6" t="str">
        <f t="shared" ref="H1192:H1199" si="98">CONCATENATE(F1192," (",G1192,")")</f>
        <v>ABBA
LINCOLN
SAWNO/DOWOTRONNY
ABASSE
NANNY
CUKOR
OWORIA
SOLON
OGO
MOLIA
SUKEY
SALLY
 (P6
P24
P38
P39
P40
P110
P26
P13
P1
P37
P17)</v>
      </c>
      <c r="I1192" s="6" t="s">
        <v>759</v>
      </c>
      <c r="J1192" s="6"/>
      <c r="K1192" s="6"/>
      <c r="L1192" s="6" t="s">
        <v>55</v>
      </c>
      <c r="M1192" s="6" t="str">
        <f>VLOOKUP(L1192, GLOSSARY!$A:$C, 2, FALSE)</f>
        <v>EGYPT ESTATE</v>
      </c>
      <c r="N1192" s="6" t="s">
        <v>68</v>
      </c>
      <c r="O1192" s="6"/>
      <c r="P1192" s="6"/>
      <c r="Q1192" s="6"/>
      <c r="R1192" s="6"/>
      <c r="S1192" s="6"/>
      <c r="T1192" s="6"/>
      <c r="U1192" s="6"/>
      <c r="V1192" s="6"/>
      <c r="W1192" s="6"/>
      <c r="X1192" s="6"/>
      <c r="Y1192" s="6"/>
      <c r="Z1192" s="6"/>
      <c r="AA1192" s="6"/>
      <c r="AB1192" s="6"/>
      <c r="AC1192" s="6"/>
      <c r="AD1192" s="6"/>
      <c r="AE1192" s="6"/>
    </row>
    <row r="1193" spans="1:31" ht="25.5" x14ac:dyDescent="0.2">
      <c r="A1193" s="6" t="s">
        <v>6168</v>
      </c>
      <c r="B1193" s="6" t="s">
        <v>6169</v>
      </c>
      <c r="C1193" s="20" t="s">
        <v>6170</v>
      </c>
      <c r="D1193" s="6" t="s">
        <v>6171</v>
      </c>
      <c r="E1193" s="6" t="s">
        <v>6172</v>
      </c>
      <c r="F1193" s="6" t="s">
        <v>738</v>
      </c>
      <c r="G1193" s="6" t="s">
        <v>737</v>
      </c>
      <c r="H1193" s="18" t="str">
        <f t="shared" si="98"/>
        <v>CUKOR (P110)</v>
      </c>
      <c r="I1193" s="6" t="s">
        <v>3797</v>
      </c>
      <c r="J1193" s="6"/>
      <c r="K1193" s="6" t="s">
        <v>284</v>
      </c>
      <c r="L1193" s="6" t="s">
        <v>55</v>
      </c>
      <c r="M1193" s="18" t="str">
        <f>VLOOKUP(L1193, GLOSSARY!$A:$C, 2, FALSE)</f>
        <v>EGYPT ESTATE</v>
      </c>
      <c r="N1193" s="6" t="s">
        <v>68</v>
      </c>
      <c r="O1193" s="6"/>
      <c r="P1193" s="6"/>
      <c r="Q1193" s="6"/>
      <c r="R1193" s="6"/>
      <c r="S1193" s="6"/>
      <c r="T1193" s="6"/>
      <c r="U1193" s="6"/>
      <c r="V1193" s="6"/>
      <c r="W1193" s="6"/>
      <c r="X1193" s="6"/>
      <c r="Y1193" s="6"/>
      <c r="Z1193" s="6"/>
      <c r="AA1193" s="6"/>
      <c r="AB1193" s="6"/>
      <c r="AC1193" s="6"/>
      <c r="AD1193" s="6"/>
      <c r="AE1193" s="6"/>
    </row>
    <row r="1194" spans="1:31" ht="76.5" x14ac:dyDescent="0.2">
      <c r="A1194" s="6" t="s">
        <v>6173</v>
      </c>
      <c r="B1194" s="6" t="s">
        <v>6174</v>
      </c>
      <c r="C1194" s="20" t="s">
        <v>6175</v>
      </c>
      <c r="D1194" s="6" t="s">
        <v>6176</v>
      </c>
      <c r="E1194" s="6"/>
      <c r="F1194" s="6" t="s">
        <v>6177</v>
      </c>
      <c r="G1194" s="6" t="s">
        <v>6178</v>
      </c>
      <c r="H1194" s="6" t="str">
        <f t="shared" si="98"/>
        <v>EGYPT LUCY
ABASSE
SAWNO/DOWOTRONNY (P3
P38
P39)</v>
      </c>
      <c r="I1194" s="6" t="s">
        <v>439</v>
      </c>
      <c r="J1194" s="6"/>
      <c r="K1194" s="6"/>
      <c r="L1194" s="6" t="s">
        <v>440</v>
      </c>
      <c r="M1194" s="6"/>
      <c r="N1194" s="6" t="s">
        <v>68</v>
      </c>
      <c r="O1194" s="6"/>
      <c r="P1194" s="6"/>
      <c r="Q1194" s="6"/>
      <c r="R1194" s="6"/>
      <c r="S1194" s="6"/>
      <c r="T1194" s="6"/>
      <c r="U1194" s="6"/>
      <c r="V1194" s="6"/>
      <c r="W1194" s="6"/>
      <c r="X1194" s="6"/>
      <c r="Y1194" s="6"/>
      <c r="Z1194" s="6"/>
      <c r="AA1194" s="6"/>
      <c r="AB1194" s="6"/>
      <c r="AC1194" s="6"/>
      <c r="AD1194" s="6"/>
      <c r="AE1194" s="6"/>
    </row>
    <row r="1195" spans="1:31" ht="63.75" x14ac:dyDescent="0.2">
      <c r="A1195" s="6" t="s">
        <v>6179</v>
      </c>
      <c r="B1195" s="6" t="s">
        <v>6174</v>
      </c>
      <c r="C1195" s="20" t="s">
        <v>6180</v>
      </c>
      <c r="D1195" s="6" t="s">
        <v>6181</v>
      </c>
      <c r="E1195" s="6"/>
      <c r="F1195" s="6" t="s">
        <v>6182</v>
      </c>
      <c r="G1195" s="6" t="s">
        <v>6183</v>
      </c>
      <c r="H1195" s="6" t="str">
        <f t="shared" si="98"/>
        <v>PRINCESS
DANIEL (P27
P42)</v>
      </c>
      <c r="I1195" s="6" t="s">
        <v>656</v>
      </c>
      <c r="J1195" s="6"/>
      <c r="K1195" s="6"/>
      <c r="L1195" s="6" t="s">
        <v>55</v>
      </c>
      <c r="M1195" s="6" t="str">
        <f>VLOOKUP(L1195, GLOSSARY!$A:$C, 2, FALSE)</f>
        <v>EGYPT ESTATE</v>
      </c>
      <c r="N1195" s="6" t="s">
        <v>68</v>
      </c>
      <c r="O1195" s="6"/>
      <c r="P1195" s="6"/>
      <c r="Q1195" s="6"/>
      <c r="R1195" s="6"/>
      <c r="S1195" s="6"/>
      <c r="T1195" s="6"/>
      <c r="U1195" s="6"/>
      <c r="V1195" s="6"/>
      <c r="W1195" s="6"/>
      <c r="X1195" s="6"/>
      <c r="Y1195" s="6"/>
      <c r="Z1195" s="6"/>
      <c r="AA1195" s="6"/>
      <c r="AB1195" s="6"/>
      <c r="AC1195" s="6"/>
      <c r="AD1195" s="6"/>
      <c r="AE1195" s="6"/>
    </row>
    <row r="1196" spans="1:31" ht="63.75" x14ac:dyDescent="0.2">
      <c r="A1196" s="6" t="s">
        <v>6184</v>
      </c>
      <c r="B1196" s="6" t="s">
        <v>6174</v>
      </c>
      <c r="C1196" s="20" t="s">
        <v>6180</v>
      </c>
      <c r="D1196" s="6" t="s">
        <v>6185</v>
      </c>
      <c r="E1196" s="6"/>
      <c r="F1196" s="6" t="s">
        <v>6186</v>
      </c>
      <c r="G1196" s="6" t="s">
        <v>6187</v>
      </c>
      <c r="H1196" s="6" t="str">
        <f t="shared" si="98"/>
        <v>PLATO
EGYPT LUCY (P208
P3)</v>
      </c>
      <c r="I1196" s="6" t="s">
        <v>533</v>
      </c>
      <c r="J1196" s="6"/>
      <c r="K1196" s="6"/>
      <c r="L1196" s="6" t="s">
        <v>55</v>
      </c>
      <c r="M1196" s="6" t="str">
        <f>VLOOKUP(L1196, GLOSSARY!$A:$C, 2, FALSE)</f>
        <v>EGYPT ESTATE</v>
      </c>
      <c r="N1196" s="6" t="s">
        <v>68</v>
      </c>
      <c r="O1196" s="6"/>
      <c r="P1196" s="6"/>
      <c r="Q1196" s="6"/>
      <c r="R1196" s="6"/>
      <c r="S1196" s="6"/>
      <c r="T1196" s="6"/>
      <c r="U1196" s="6"/>
      <c r="V1196" s="6"/>
      <c r="W1196" s="6"/>
      <c r="X1196" s="6"/>
      <c r="Y1196" s="6"/>
      <c r="Z1196" s="6"/>
      <c r="AA1196" s="6"/>
      <c r="AB1196" s="6"/>
      <c r="AC1196" s="6"/>
      <c r="AD1196" s="6"/>
      <c r="AE1196" s="6"/>
    </row>
    <row r="1197" spans="1:31" ht="63.75" x14ac:dyDescent="0.2">
      <c r="A1197" s="6" t="s">
        <v>6188</v>
      </c>
      <c r="B1197" s="6" t="s">
        <v>6189</v>
      </c>
      <c r="C1197" s="20" t="s">
        <v>6190</v>
      </c>
      <c r="D1197" s="6" t="s">
        <v>6191</v>
      </c>
      <c r="E1197" s="6"/>
      <c r="F1197" s="6" t="s">
        <v>6192</v>
      </c>
      <c r="G1197" s="6" t="s">
        <v>6193</v>
      </c>
      <c r="H1197" s="6" t="str">
        <f t="shared" si="98"/>
        <v>NANNY
THE OVERSEER (P15
P43)</v>
      </c>
      <c r="I1197" s="6" t="s">
        <v>409</v>
      </c>
      <c r="J1197" s="6"/>
      <c r="K1197" s="6"/>
      <c r="L1197" s="6" t="s">
        <v>55</v>
      </c>
      <c r="M1197" s="6" t="str">
        <f>VLOOKUP(L1197, GLOSSARY!$A:$C, 2, FALSE)</f>
        <v>EGYPT ESTATE</v>
      </c>
      <c r="N1197" s="6" t="s">
        <v>68</v>
      </c>
      <c r="O1197" s="6"/>
      <c r="P1197" s="6"/>
      <c r="Q1197" s="6"/>
      <c r="R1197" s="6"/>
      <c r="S1197" s="6"/>
      <c r="T1197" s="6"/>
      <c r="U1197" s="6"/>
      <c r="V1197" s="6"/>
      <c r="W1197" s="6"/>
      <c r="X1197" s="6"/>
      <c r="Y1197" s="6"/>
      <c r="Z1197" s="6"/>
      <c r="AA1197" s="6"/>
      <c r="AB1197" s="6"/>
      <c r="AC1197" s="6"/>
      <c r="AD1197" s="6"/>
      <c r="AE1197" s="6"/>
    </row>
    <row r="1198" spans="1:31" ht="89.25" x14ac:dyDescent="0.2">
      <c r="A1198" s="6" t="s">
        <v>6154</v>
      </c>
      <c r="B1198" s="6" t="s">
        <v>6194</v>
      </c>
      <c r="C1198" s="20" t="s">
        <v>6195</v>
      </c>
      <c r="D1198" s="6" t="s">
        <v>6196</v>
      </c>
      <c r="E1198" s="6"/>
      <c r="F1198" s="6" t="s">
        <v>6197</v>
      </c>
      <c r="G1198" s="6" t="s">
        <v>6198</v>
      </c>
      <c r="H1198" s="6" t="str">
        <f t="shared" si="98"/>
        <v>SALLY
MRS. BLAKE'S DOLL (P17
P160)</v>
      </c>
      <c r="I1198" s="6" t="s">
        <v>935</v>
      </c>
      <c r="J1198" s="6"/>
      <c r="K1198" s="6"/>
      <c r="L1198" s="6" t="s">
        <v>3039</v>
      </c>
      <c r="M1198" s="6" t="str">
        <f>VLOOKUP(L1198, GLOSSARY!$A:$C, 2, FALSE)</f>
        <v>MRS. BLAKE'S</v>
      </c>
      <c r="N1198" s="6" t="s">
        <v>68</v>
      </c>
      <c r="O1198" s="6"/>
      <c r="P1198" s="6"/>
      <c r="Q1198" s="6"/>
      <c r="R1198" s="6"/>
      <c r="S1198" s="6"/>
      <c r="T1198" s="6"/>
      <c r="U1198" s="6"/>
      <c r="V1198" s="6"/>
      <c r="W1198" s="6"/>
      <c r="X1198" s="6"/>
      <c r="Y1198" s="6"/>
      <c r="Z1198" s="6"/>
      <c r="AA1198" s="6"/>
      <c r="AB1198" s="6"/>
      <c r="AC1198" s="6"/>
      <c r="AD1198" s="6"/>
      <c r="AE1198" s="6"/>
    </row>
    <row r="1199" spans="1:31" ht="51" x14ac:dyDescent="0.2">
      <c r="A1199" s="6" t="s">
        <v>6199</v>
      </c>
      <c r="B1199" s="6" t="s">
        <v>6200</v>
      </c>
      <c r="C1199" s="20" t="s">
        <v>6201</v>
      </c>
      <c r="D1199" s="6" t="s">
        <v>6202</v>
      </c>
      <c r="E1199" s="6" t="s">
        <v>6203</v>
      </c>
      <c r="F1199" s="6" t="s">
        <v>6204</v>
      </c>
      <c r="G1199" s="6" t="s">
        <v>6205</v>
      </c>
      <c r="H1199" s="18" t="str">
        <f t="shared" si="98"/>
        <v>MOLIA
VIOLET (P116
P117)</v>
      </c>
      <c r="I1199" s="6" t="s">
        <v>3797</v>
      </c>
      <c r="J1199" s="6"/>
      <c r="K1199" s="6" t="s">
        <v>284</v>
      </c>
      <c r="L1199" s="6" t="s">
        <v>55</v>
      </c>
      <c r="M1199" s="18" t="str">
        <f>VLOOKUP(L1199, GLOSSARY!$A:$C, 2, FALSE)</f>
        <v>EGYPT ESTATE</v>
      </c>
      <c r="N1199" s="6" t="s">
        <v>68</v>
      </c>
      <c r="O1199" s="6"/>
      <c r="P1199" s="6"/>
      <c r="Q1199" s="6"/>
      <c r="R1199" s="6"/>
      <c r="S1199" s="6"/>
      <c r="T1199" s="6"/>
      <c r="U1199" s="6"/>
      <c r="V1199" s="6"/>
      <c r="W1199" s="6"/>
      <c r="X1199" s="6"/>
      <c r="Y1199" s="6"/>
      <c r="Z1199" s="6"/>
      <c r="AA1199" s="6"/>
      <c r="AB1199" s="6"/>
      <c r="AC1199" s="6"/>
      <c r="AD1199" s="6"/>
      <c r="AE1199" s="6"/>
    </row>
    <row r="1200" spans="1:31" ht="38.25" x14ac:dyDescent="0.2">
      <c r="A1200" s="6" t="s">
        <v>6206</v>
      </c>
      <c r="B1200" s="6" t="s">
        <v>6207</v>
      </c>
      <c r="C1200" s="20" t="s">
        <v>6201</v>
      </c>
      <c r="D1200" s="6" t="s">
        <v>6208</v>
      </c>
      <c r="E1200" s="6"/>
      <c r="F1200" s="6" t="s">
        <v>6209</v>
      </c>
      <c r="G1200" s="6" t="s">
        <v>28</v>
      </c>
      <c r="H1200" s="6" t="str">
        <f>CONCATENATE(F1200,"(",G1200,")")</f>
        <v>MOLIA
THE OVERSEER(P1)</v>
      </c>
      <c r="I1200" s="6" t="s">
        <v>409</v>
      </c>
      <c r="J1200" s="6"/>
      <c r="K1200" s="6"/>
      <c r="L1200" s="6" t="s">
        <v>55</v>
      </c>
      <c r="M1200" s="6" t="str">
        <f>VLOOKUP(L1200, GLOSSARY!$A:$C, 2, FALSE)</f>
        <v>EGYPT ESTATE</v>
      </c>
      <c r="N1200" s="6" t="s">
        <v>68</v>
      </c>
      <c r="O1200" s="6"/>
      <c r="P1200" s="6"/>
      <c r="Q1200" s="6"/>
      <c r="R1200" s="6"/>
      <c r="S1200" s="6"/>
      <c r="T1200" s="6"/>
      <c r="U1200" s="6"/>
      <c r="V1200" s="6"/>
      <c r="W1200" s="6"/>
      <c r="X1200" s="6"/>
      <c r="Y1200" s="6"/>
      <c r="Z1200" s="6"/>
      <c r="AA1200" s="6"/>
      <c r="AB1200" s="6"/>
      <c r="AC1200" s="6"/>
      <c r="AD1200" s="6"/>
      <c r="AE1200" s="6"/>
    </row>
    <row r="1201" spans="1:31" ht="63.75" x14ac:dyDescent="0.2">
      <c r="A1201" s="6" t="s">
        <v>6188</v>
      </c>
      <c r="B1201" s="6" t="s">
        <v>6210</v>
      </c>
      <c r="C1201" s="20" t="s">
        <v>6211</v>
      </c>
      <c r="D1201" s="6" t="s">
        <v>6212</v>
      </c>
      <c r="E1201" s="6"/>
      <c r="F1201" s="6" t="s">
        <v>6213</v>
      </c>
      <c r="G1201" s="6" t="s">
        <v>6214</v>
      </c>
      <c r="H1201" s="6" t="str">
        <f t="shared" ref="H1201:H1220" si="99">CONCATENATE(F1201," (",G1201,")")</f>
        <v>PHIBBAH
NANNY (P7
P15)</v>
      </c>
      <c r="I1201" s="6" t="s">
        <v>96</v>
      </c>
      <c r="J1201" s="6"/>
      <c r="K1201" s="6"/>
      <c r="L1201" s="6" t="s">
        <v>55</v>
      </c>
      <c r="M1201" s="6" t="str">
        <f>VLOOKUP(L1201, GLOSSARY!$A:$C, 2, FALSE)</f>
        <v>EGYPT ESTATE</v>
      </c>
      <c r="N1201" s="6" t="s">
        <v>68</v>
      </c>
      <c r="O1201" s="6"/>
      <c r="P1201" s="6"/>
      <c r="Q1201" s="6"/>
      <c r="R1201" s="6"/>
      <c r="S1201" s="6"/>
      <c r="T1201" s="6"/>
      <c r="U1201" s="6"/>
      <c r="V1201" s="6"/>
      <c r="W1201" s="6"/>
      <c r="X1201" s="6"/>
      <c r="Y1201" s="6"/>
      <c r="Z1201" s="6"/>
      <c r="AA1201" s="6"/>
      <c r="AB1201" s="6"/>
      <c r="AC1201" s="6"/>
      <c r="AD1201" s="6"/>
      <c r="AE1201" s="6"/>
    </row>
    <row r="1202" spans="1:31" ht="51" x14ac:dyDescent="0.2">
      <c r="A1202" s="6" t="s">
        <v>6215</v>
      </c>
      <c r="B1202" s="6" t="s">
        <v>6216</v>
      </c>
      <c r="C1202" s="20" t="s">
        <v>6217</v>
      </c>
      <c r="D1202" s="6" t="s">
        <v>6218</v>
      </c>
      <c r="E1202" s="6" t="s">
        <v>6219</v>
      </c>
      <c r="F1202" s="6" t="s">
        <v>6220</v>
      </c>
      <c r="G1202" s="6" t="s">
        <v>6221</v>
      </c>
      <c r="H1202" s="18" t="str">
        <f t="shared" si="99"/>
        <v>MASON QUASHE
MULATTO DAVIE (P25
P119)</v>
      </c>
      <c r="I1202" s="6" t="s">
        <v>3810</v>
      </c>
      <c r="J1202" s="6"/>
      <c r="K1202" s="6" t="s">
        <v>284</v>
      </c>
      <c r="L1202" s="6" t="s">
        <v>55</v>
      </c>
      <c r="M1202" s="18" t="str">
        <f>VLOOKUP(L1202, GLOSSARY!$A:$C, 2, FALSE)</f>
        <v>EGYPT ESTATE</v>
      </c>
      <c r="N1202" s="6" t="s">
        <v>68</v>
      </c>
      <c r="O1202" s="6"/>
      <c r="P1202" s="6"/>
      <c r="Q1202" s="6"/>
      <c r="R1202" s="6"/>
      <c r="S1202" s="6"/>
      <c r="T1202" s="6"/>
      <c r="U1202" s="6"/>
      <c r="V1202" s="6"/>
      <c r="W1202" s="6"/>
      <c r="X1202" s="6"/>
      <c r="Y1202" s="6"/>
      <c r="Z1202" s="6"/>
      <c r="AA1202" s="6"/>
      <c r="AB1202" s="6"/>
      <c r="AC1202" s="6"/>
      <c r="AD1202" s="6"/>
      <c r="AE1202" s="6"/>
    </row>
    <row r="1203" spans="1:31" ht="25.5" x14ac:dyDescent="0.2">
      <c r="A1203" s="6" t="s">
        <v>6222</v>
      </c>
      <c r="B1203" s="6" t="s">
        <v>6223</v>
      </c>
      <c r="C1203" s="20" t="s">
        <v>6224</v>
      </c>
      <c r="D1203" s="6" t="s">
        <v>6225</v>
      </c>
      <c r="E1203" s="6" t="s">
        <v>6226</v>
      </c>
      <c r="F1203" s="6" t="s">
        <v>824</v>
      </c>
      <c r="G1203" s="6" t="s">
        <v>823</v>
      </c>
      <c r="H1203" s="18" t="str">
        <f t="shared" si="99"/>
        <v>MOLL (P125)</v>
      </c>
      <c r="I1203" s="6" t="s">
        <v>96</v>
      </c>
      <c r="J1203" s="6"/>
      <c r="K1203" s="6" t="s">
        <v>5818</v>
      </c>
      <c r="L1203" s="6" t="s">
        <v>6227</v>
      </c>
      <c r="M1203" s="18" t="e">
        <f>VLOOKUP(L1203, GLOSSARY!$A:$C, 2, FALSE)</f>
        <v>#N/A</v>
      </c>
      <c r="N1203" s="6" t="s">
        <v>68</v>
      </c>
      <c r="O1203" s="6"/>
      <c r="P1203" s="6"/>
      <c r="Q1203" s="6"/>
      <c r="R1203" s="6"/>
      <c r="S1203" s="6"/>
      <c r="T1203" s="6"/>
      <c r="U1203" s="6"/>
      <c r="V1203" s="6"/>
      <c r="W1203" s="6"/>
      <c r="X1203" s="6"/>
      <c r="Y1203" s="6"/>
      <c r="Z1203" s="6"/>
      <c r="AA1203" s="6"/>
      <c r="AB1203" s="6"/>
      <c r="AC1203" s="6"/>
      <c r="AD1203" s="6"/>
      <c r="AE1203" s="6"/>
    </row>
    <row r="1204" spans="1:31" ht="38.25" x14ac:dyDescent="0.2">
      <c r="A1204" s="6" t="s">
        <v>6228</v>
      </c>
      <c r="B1204" s="6" t="s">
        <v>6229</v>
      </c>
      <c r="C1204" s="20" t="s">
        <v>6230</v>
      </c>
      <c r="D1204" s="6" t="s">
        <v>6231</v>
      </c>
      <c r="E1204" s="6" t="s">
        <v>6232</v>
      </c>
      <c r="F1204" s="6" t="s">
        <v>6233</v>
      </c>
      <c r="G1204" s="6" t="s">
        <v>6234</v>
      </c>
      <c r="H1204" s="18" t="str">
        <f t="shared" si="99"/>
        <v>ABIGAIL
CUKOR (P118
P110)</v>
      </c>
      <c r="I1204" s="6" t="s">
        <v>3797</v>
      </c>
      <c r="J1204" s="6"/>
      <c r="K1204" s="6" t="s">
        <v>284</v>
      </c>
      <c r="L1204" s="6" t="s">
        <v>55</v>
      </c>
      <c r="M1204" s="18" t="str">
        <f>VLOOKUP(L1204, GLOSSARY!$A:$C, 2, FALSE)</f>
        <v>EGYPT ESTATE</v>
      </c>
      <c r="N1204" s="6" t="s">
        <v>68</v>
      </c>
      <c r="O1204" s="6"/>
      <c r="P1204" s="6"/>
      <c r="Q1204" s="6"/>
      <c r="R1204" s="6"/>
      <c r="S1204" s="6"/>
      <c r="T1204" s="6"/>
      <c r="U1204" s="6"/>
      <c r="V1204" s="6"/>
      <c r="W1204" s="6"/>
      <c r="X1204" s="6"/>
      <c r="Y1204" s="6"/>
      <c r="Z1204" s="6"/>
      <c r="AA1204" s="6"/>
      <c r="AB1204" s="6"/>
      <c r="AC1204" s="6"/>
      <c r="AD1204" s="6"/>
      <c r="AE1204" s="6"/>
    </row>
    <row r="1205" spans="1:31" ht="38.25" x14ac:dyDescent="0.2">
      <c r="A1205" s="6" t="s">
        <v>6235</v>
      </c>
      <c r="B1205" s="6" t="s">
        <v>6229</v>
      </c>
      <c r="C1205" s="20" t="s">
        <v>6230</v>
      </c>
      <c r="D1205" s="6" t="s">
        <v>6236</v>
      </c>
      <c r="E1205" s="6" t="s">
        <v>6237</v>
      </c>
      <c r="F1205" s="6" t="s">
        <v>6238</v>
      </c>
      <c r="G1205" s="6" t="s">
        <v>6239</v>
      </c>
      <c r="H1205" s="18" t="str">
        <f t="shared" si="99"/>
        <v>JENNY
CHRISHEA (P104
P126)</v>
      </c>
      <c r="I1205" s="6" t="s">
        <v>96</v>
      </c>
      <c r="J1205" s="6"/>
      <c r="K1205" s="6" t="s">
        <v>5818</v>
      </c>
      <c r="L1205" s="6" t="s">
        <v>6227</v>
      </c>
      <c r="M1205" s="18" t="e">
        <f>VLOOKUP(L1205, GLOSSARY!$A:$C, 2, FALSE)</f>
        <v>#N/A</v>
      </c>
      <c r="N1205" s="6" t="s">
        <v>68</v>
      </c>
      <c r="O1205" s="6"/>
      <c r="P1205" s="6"/>
      <c r="Q1205" s="6"/>
      <c r="R1205" s="6"/>
      <c r="S1205" s="6"/>
      <c r="T1205" s="6"/>
      <c r="U1205" s="6"/>
      <c r="V1205" s="6"/>
      <c r="W1205" s="6"/>
      <c r="X1205" s="6"/>
      <c r="Y1205" s="6"/>
      <c r="Z1205" s="6"/>
      <c r="AA1205" s="6"/>
      <c r="AB1205" s="6"/>
      <c r="AC1205" s="6"/>
      <c r="AD1205" s="6"/>
      <c r="AE1205" s="6"/>
    </row>
    <row r="1206" spans="1:31" ht="216.75" x14ac:dyDescent="0.2">
      <c r="A1206" s="6" t="s">
        <v>6027</v>
      </c>
      <c r="B1206" s="6" t="s">
        <v>6240</v>
      </c>
      <c r="C1206" s="20" t="s">
        <v>6241</v>
      </c>
      <c r="D1206" s="6" t="s">
        <v>6242</v>
      </c>
      <c r="E1206" s="6" t="s">
        <v>6243</v>
      </c>
      <c r="F1206" s="6" t="s">
        <v>6244</v>
      </c>
      <c r="G1206" s="6" t="s">
        <v>6245</v>
      </c>
      <c r="H1206" s="18" t="str">
        <f t="shared" si="99"/>
        <v>RICHARD HUNGERFORD
JOHN
THE OVERSEER (P111
P9
P43)</v>
      </c>
      <c r="I1206" s="6" t="s">
        <v>3796</v>
      </c>
      <c r="J1206" s="6" t="s">
        <v>120</v>
      </c>
      <c r="K1206" s="6" t="s">
        <v>284</v>
      </c>
      <c r="L1206" s="6" t="s">
        <v>55</v>
      </c>
      <c r="M1206" s="18" t="str">
        <f>VLOOKUP(L1206, GLOSSARY!$A:$C, 2, FALSE)</f>
        <v>EGYPT ESTATE</v>
      </c>
      <c r="N1206" s="6" t="s">
        <v>68</v>
      </c>
      <c r="O1206" s="6"/>
      <c r="P1206" s="6"/>
      <c r="Q1206" s="6"/>
      <c r="R1206" s="6"/>
      <c r="S1206" s="6"/>
      <c r="T1206" s="6"/>
      <c r="U1206" s="6"/>
      <c r="V1206" s="6"/>
      <c r="W1206" s="6"/>
      <c r="X1206" s="6"/>
      <c r="Y1206" s="6"/>
      <c r="Z1206" s="6"/>
      <c r="AA1206" s="6"/>
      <c r="AB1206" s="6"/>
      <c r="AC1206" s="6"/>
      <c r="AD1206" s="6"/>
      <c r="AE1206" s="6"/>
    </row>
    <row r="1207" spans="1:31" ht="25.5" x14ac:dyDescent="0.2">
      <c r="A1207" s="6" t="s">
        <v>6246</v>
      </c>
      <c r="B1207" s="6" t="s">
        <v>6247</v>
      </c>
      <c r="C1207" s="20" t="s">
        <v>6248</v>
      </c>
      <c r="D1207" s="6" t="s">
        <v>6249</v>
      </c>
      <c r="E1207" s="6" t="s">
        <v>6250</v>
      </c>
      <c r="F1207" s="6" t="s">
        <v>183</v>
      </c>
      <c r="G1207" s="6" t="s">
        <v>181</v>
      </c>
      <c r="H1207" s="18" t="str">
        <f t="shared" si="99"/>
        <v>NANNY (P15)</v>
      </c>
      <c r="I1207" s="6" t="s">
        <v>139</v>
      </c>
      <c r="J1207" s="6"/>
      <c r="K1207" s="6" t="s">
        <v>284</v>
      </c>
      <c r="L1207" s="6" t="s">
        <v>55</v>
      </c>
      <c r="M1207" s="18" t="str">
        <f>VLOOKUP(L1207, GLOSSARY!$A:$C, 2, FALSE)</f>
        <v>EGYPT ESTATE</v>
      </c>
      <c r="N1207" s="6" t="s">
        <v>68</v>
      </c>
      <c r="O1207" s="6"/>
      <c r="P1207" s="6"/>
      <c r="Q1207" s="6"/>
      <c r="R1207" s="6"/>
      <c r="S1207" s="6"/>
      <c r="T1207" s="6"/>
      <c r="U1207" s="6"/>
      <c r="V1207" s="6"/>
      <c r="W1207" s="6"/>
      <c r="X1207" s="6"/>
      <c r="Y1207" s="6"/>
      <c r="Z1207" s="6"/>
      <c r="AA1207" s="6"/>
      <c r="AB1207" s="6"/>
      <c r="AC1207" s="6"/>
      <c r="AD1207" s="6"/>
      <c r="AE1207" s="6"/>
    </row>
    <row r="1208" spans="1:31" ht="25.5" x14ac:dyDescent="0.2">
      <c r="A1208" s="6" t="s">
        <v>6246</v>
      </c>
      <c r="B1208" s="6" t="s">
        <v>6247</v>
      </c>
      <c r="C1208" s="20" t="s">
        <v>6251</v>
      </c>
      <c r="D1208" s="6" t="s">
        <v>6252</v>
      </c>
      <c r="E1208" s="6" t="s">
        <v>6250</v>
      </c>
      <c r="F1208" s="6" t="s">
        <v>183</v>
      </c>
      <c r="G1208" s="6" t="s">
        <v>191</v>
      </c>
      <c r="H1208" s="18" t="str">
        <f t="shared" si="99"/>
        <v>NANNY (P16)</v>
      </c>
      <c r="I1208" s="6" t="s">
        <v>139</v>
      </c>
      <c r="J1208" s="6"/>
      <c r="K1208" s="6" t="s">
        <v>284</v>
      </c>
      <c r="L1208" s="6" t="s">
        <v>99</v>
      </c>
      <c r="M1208" s="18" t="str">
        <f>VLOOKUP(L1208, GLOSSARY!$A:$C, 2, FALSE)</f>
        <v>PARADISE ESTATE</v>
      </c>
      <c r="N1208" s="6" t="s">
        <v>68</v>
      </c>
      <c r="O1208" s="6"/>
      <c r="P1208" s="6"/>
      <c r="Q1208" s="6"/>
      <c r="R1208" s="6"/>
      <c r="S1208" s="6"/>
      <c r="T1208" s="6"/>
      <c r="U1208" s="6"/>
      <c r="V1208" s="6"/>
      <c r="W1208" s="6"/>
      <c r="X1208" s="6"/>
      <c r="Y1208" s="6"/>
      <c r="Z1208" s="6"/>
      <c r="AA1208" s="6"/>
      <c r="AB1208" s="6"/>
      <c r="AC1208" s="6"/>
      <c r="AD1208" s="6"/>
      <c r="AE1208" s="6"/>
    </row>
    <row r="1209" spans="1:31" ht="25.5" x14ac:dyDescent="0.2">
      <c r="A1209" s="6" t="s">
        <v>6235</v>
      </c>
      <c r="B1209" s="6" t="s">
        <v>6253</v>
      </c>
      <c r="C1209" s="20" t="s">
        <v>6254</v>
      </c>
      <c r="D1209" s="6" t="s">
        <v>6255</v>
      </c>
      <c r="E1209" s="6" t="s">
        <v>4719</v>
      </c>
      <c r="F1209" s="6" t="s">
        <v>713</v>
      </c>
      <c r="G1209" s="6" t="s">
        <v>712</v>
      </c>
      <c r="H1209" s="18" t="str">
        <f t="shared" si="99"/>
        <v>JENNY (P104)</v>
      </c>
      <c r="I1209" s="6" t="s">
        <v>96</v>
      </c>
      <c r="J1209" s="6"/>
      <c r="K1209" s="6" t="s">
        <v>141</v>
      </c>
      <c r="L1209" s="6" t="s">
        <v>99</v>
      </c>
      <c r="M1209" s="18" t="str">
        <f>VLOOKUP(L1209, GLOSSARY!$A:$C, 2, FALSE)</f>
        <v>PARADISE ESTATE</v>
      </c>
      <c r="N1209" s="6" t="s">
        <v>167</v>
      </c>
      <c r="O1209" s="6"/>
      <c r="P1209" s="6"/>
      <c r="Q1209" s="6"/>
      <c r="R1209" s="6"/>
      <c r="S1209" s="6"/>
      <c r="T1209" s="6"/>
      <c r="U1209" s="6"/>
      <c r="V1209" s="6"/>
      <c r="W1209" s="6"/>
      <c r="X1209" s="6"/>
      <c r="Y1209" s="6"/>
      <c r="Z1209" s="6"/>
      <c r="AA1209" s="6"/>
      <c r="AB1209" s="6"/>
      <c r="AC1209" s="6"/>
      <c r="AD1209" s="6"/>
      <c r="AE1209" s="6"/>
    </row>
    <row r="1210" spans="1:31" ht="63.75" x14ac:dyDescent="0.2">
      <c r="A1210" s="6" t="s">
        <v>6256</v>
      </c>
      <c r="B1210" s="6" t="s">
        <v>6257</v>
      </c>
      <c r="C1210" s="20" t="s">
        <v>6258</v>
      </c>
      <c r="D1210" s="6" t="s">
        <v>6259</v>
      </c>
      <c r="E1210" s="6" t="s">
        <v>6260</v>
      </c>
      <c r="F1210" s="6" t="s">
        <v>6261</v>
      </c>
      <c r="G1210" s="6" t="s">
        <v>6262</v>
      </c>
      <c r="H1210" s="18" t="str">
        <f t="shared" si="99"/>
        <v>ROSANNA
PRINCESS (P115
P27)</v>
      </c>
      <c r="I1210" s="6" t="s">
        <v>96</v>
      </c>
      <c r="J1210" s="6"/>
      <c r="K1210" s="6" t="s">
        <v>5818</v>
      </c>
      <c r="L1210" s="6" t="s">
        <v>6227</v>
      </c>
      <c r="M1210" s="18" t="e">
        <f>VLOOKUP(L1210, GLOSSARY!$A:$C, 2, FALSE)</f>
        <v>#N/A</v>
      </c>
      <c r="N1210" s="6" t="s">
        <v>68</v>
      </c>
      <c r="O1210" s="6"/>
      <c r="P1210" s="6"/>
      <c r="Q1210" s="6"/>
      <c r="R1210" s="6"/>
      <c r="S1210" s="6"/>
      <c r="T1210" s="6"/>
      <c r="U1210" s="6"/>
      <c r="V1210" s="6"/>
      <c r="W1210" s="6"/>
      <c r="X1210" s="6"/>
      <c r="Y1210" s="6"/>
      <c r="Z1210" s="6"/>
      <c r="AA1210" s="6"/>
      <c r="AB1210" s="6"/>
      <c r="AC1210" s="6"/>
      <c r="AD1210" s="6"/>
      <c r="AE1210" s="6"/>
    </row>
    <row r="1211" spans="1:31" ht="51" x14ac:dyDescent="0.2">
      <c r="A1211" s="6" t="s">
        <v>6222</v>
      </c>
      <c r="B1211" s="6" t="s">
        <v>6263</v>
      </c>
      <c r="C1211" s="20" t="s">
        <v>6264</v>
      </c>
      <c r="D1211" s="6" t="s">
        <v>6265</v>
      </c>
      <c r="E1211" s="6" t="s">
        <v>6226</v>
      </c>
      <c r="F1211" s="6" t="s">
        <v>824</v>
      </c>
      <c r="G1211" s="6" t="s">
        <v>823</v>
      </c>
      <c r="H1211" s="18" t="str">
        <f t="shared" si="99"/>
        <v>MOLL (P125)</v>
      </c>
      <c r="I1211" s="6" t="s">
        <v>1068</v>
      </c>
      <c r="J1211" s="6"/>
      <c r="K1211" s="6" t="s">
        <v>141</v>
      </c>
      <c r="L1211" s="6" t="s">
        <v>99</v>
      </c>
      <c r="M1211" s="18" t="str">
        <f>VLOOKUP(L1211, GLOSSARY!$A:$C, 2, FALSE)</f>
        <v>PARADISE ESTATE</v>
      </c>
      <c r="N1211" s="6" t="s">
        <v>68</v>
      </c>
      <c r="O1211" s="6"/>
      <c r="P1211" s="6"/>
      <c r="Q1211" s="6"/>
      <c r="R1211" s="6"/>
      <c r="S1211" s="6"/>
      <c r="T1211" s="6"/>
      <c r="U1211" s="6"/>
      <c r="V1211" s="6"/>
      <c r="W1211" s="6"/>
      <c r="X1211" s="6"/>
      <c r="Y1211" s="6"/>
      <c r="Z1211" s="6"/>
      <c r="AA1211" s="6"/>
      <c r="AB1211" s="6"/>
      <c r="AC1211" s="6"/>
      <c r="AD1211" s="6"/>
      <c r="AE1211" s="6"/>
    </row>
    <row r="1212" spans="1:31" ht="38.25" x14ac:dyDescent="0.2">
      <c r="A1212" s="6" t="s">
        <v>6266</v>
      </c>
      <c r="B1212" s="6" t="s">
        <v>6267</v>
      </c>
      <c r="C1212" s="20" t="s">
        <v>6268</v>
      </c>
      <c r="D1212" s="6" t="s">
        <v>6269</v>
      </c>
      <c r="E1212" s="6"/>
      <c r="F1212" s="6" t="s">
        <v>101</v>
      </c>
      <c r="G1212" s="6" t="s">
        <v>100</v>
      </c>
      <c r="H1212" s="6" t="str">
        <f t="shared" si="99"/>
        <v>PHIBBAH (P7)</v>
      </c>
      <c r="I1212" s="6" t="s">
        <v>533</v>
      </c>
      <c r="J1212" s="6"/>
      <c r="K1212" s="6"/>
      <c r="L1212" s="6" t="s">
        <v>209</v>
      </c>
      <c r="M1212" s="6" t="str">
        <f>VLOOKUP(L1212, GLOSSARY!$A:$C, 2, FALSE)</f>
        <v>BREADNUT ISLAND PEN</v>
      </c>
      <c r="N1212" s="6" t="s">
        <v>68</v>
      </c>
      <c r="O1212" s="6"/>
      <c r="P1212" s="6"/>
      <c r="Q1212" s="6"/>
      <c r="R1212" s="6"/>
      <c r="S1212" s="6"/>
      <c r="T1212" s="6"/>
      <c r="U1212" s="6"/>
      <c r="V1212" s="6"/>
      <c r="W1212" s="6"/>
      <c r="X1212" s="6"/>
      <c r="Y1212" s="6"/>
      <c r="Z1212" s="6"/>
      <c r="AA1212" s="6"/>
      <c r="AB1212" s="6"/>
      <c r="AC1212" s="6"/>
      <c r="AD1212" s="6"/>
      <c r="AE1212" s="6"/>
    </row>
    <row r="1213" spans="1:31" ht="38.25" x14ac:dyDescent="0.2">
      <c r="A1213" s="6" t="s">
        <v>6270</v>
      </c>
      <c r="B1213" s="6" t="s">
        <v>6271</v>
      </c>
      <c r="C1213" s="20" t="s">
        <v>6272</v>
      </c>
      <c r="D1213" s="6" t="s">
        <v>6273</v>
      </c>
      <c r="E1213" s="6"/>
      <c r="F1213" s="6" t="s">
        <v>6274</v>
      </c>
      <c r="G1213" s="6" t="s">
        <v>6275</v>
      </c>
      <c r="H1213" s="6" t="str">
        <f t="shared" si="99"/>
        <v>EGYPT LUCY
DOVER (P3
P140)</v>
      </c>
      <c r="I1213" s="6" t="s">
        <v>439</v>
      </c>
      <c r="J1213" s="6"/>
      <c r="K1213" s="6"/>
      <c r="L1213" s="6" t="s">
        <v>657</v>
      </c>
      <c r="M1213" s="6" t="str">
        <f>VLOOKUP(L1213, GLOSSARY!$A:$C, 2, FALSE)</f>
        <v>UNKNOWN</v>
      </c>
      <c r="N1213" s="6" t="s">
        <v>68</v>
      </c>
      <c r="O1213" s="6"/>
      <c r="P1213" s="6"/>
      <c r="Q1213" s="6"/>
      <c r="R1213" s="6"/>
      <c r="S1213" s="6"/>
      <c r="T1213" s="6"/>
      <c r="U1213" s="6"/>
      <c r="V1213" s="6"/>
      <c r="W1213" s="6"/>
      <c r="X1213" s="6"/>
      <c r="Y1213" s="6"/>
      <c r="Z1213" s="6"/>
      <c r="AA1213" s="6"/>
      <c r="AB1213" s="6"/>
      <c r="AC1213" s="6"/>
      <c r="AD1213" s="6"/>
      <c r="AE1213" s="6"/>
    </row>
    <row r="1214" spans="1:31" ht="127.5" x14ac:dyDescent="0.2">
      <c r="A1214" s="6" t="s">
        <v>6256</v>
      </c>
      <c r="B1214" s="6" t="s">
        <v>6276</v>
      </c>
      <c r="C1214" s="20" t="s">
        <v>6277</v>
      </c>
      <c r="D1214" s="6" t="s">
        <v>6278</v>
      </c>
      <c r="E1214" s="6" t="s">
        <v>6279</v>
      </c>
      <c r="F1214" s="6" t="s">
        <v>6280</v>
      </c>
      <c r="G1214" s="6" t="s">
        <v>6281</v>
      </c>
      <c r="H1214" s="18" t="str">
        <f t="shared" si="99"/>
        <v>JENNY
MOLL
PRINCESS
ROSANNA (P104
P125
P27
P115)</v>
      </c>
      <c r="I1214" s="6" t="s">
        <v>96</v>
      </c>
      <c r="J1214" s="6"/>
      <c r="K1214" s="6" t="s">
        <v>141</v>
      </c>
      <c r="L1214" s="6" t="s">
        <v>99</v>
      </c>
      <c r="M1214" s="18" t="str">
        <f>VLOOKUP(L1214, GLOSSARY!$A:$C, 2, FALSE)</f>
        <v>PARADISE ESTATE</v>
      </c>
      <c r="N1214" s="6" t="s">
        <v>68</v>
      </c>
      <c r="O1214" s="6"/>
      <c r="P1214" s="6"/>
      <c r="Q1214" s="6"/>
      <c r="R1214" s="6"/>
      <c r="S1214" s="6"/>
      <c r="T1214" s="6"/>
      <c r="U1214" s="6"/>
      <c r="V1214" s="6"/>
      <c r="W1214" s="6"/>
      <c r="X1214" s="6"/>
      <c r="Y1214" s="6"/>
      <c r="Z1214" s="6"/>
      <c r="AA1214" s="6"/>
      <c r="AB1214" s="6"/>
      <c r="AC1214" s="6"/>
      <c r="AD1214" s="6"/>
      <c r="AE1214" s="6"/>
    </row>
    <row r="1215" spans="1:31" ht="25.5" x14ac:dyDescent="0.2">
      <c r="A1215" s="6" t="s">
        <v>6235</v>
      </c>
      <c r="B1215" s="6" t="s">
        <v>6282</v>
      </c>
      <c r="C1215" s="20" t="s">
        <v>6283</v>
      </c>
      <c r="D1215" s="6" t="s">
        <v>6284</v>
      </c>
      <c r="E1215" s="6" t="s">
        <v>6285</v>
      </c>
      <c r="F1215" s="6" t="s">
        <v>713</v>
      </c>
      <c r="G1215" s="6" t="s">
        <v>712</v>
      </c>
      <c r="H1215" s="18" t="str">
        <f t="shared" si="99"/>
        <v>JENNY (P104)</v>
      </c>
      <c r="I1215" s="6" t="s">
        <v>96</v>
      </c>
      <c r="J1215" s="6"/>
      <c r="K1215" s="6" t="s">
        <v>232</v>
      </c>
      <c r="L1215" s="6" t="s">
        <v>5494</v>
      </c>
      <c r="M1215" s="18" t="e">
        <f>VLOOKUP(L1215, GLOSSARY!$A:$C, 2, FALSE)</f>
        <v>#N/A</v>
      </c>
      <c r="N1215" s="6" t="s">
        <v>68</v>
      </c>
      <c r="O1215" s="6"/>
      <c r="P1215" s="6"/>
      <c r="Q1215" s="6"/>
      <c r="R1215" s="6"/>
      <c r="S1215" s="6"/>
      <c r="T1215" s="6"/>
      <c r="U1215" s="6"/>
      <c r="V1215" s="6"/>
      <c r="W1215" s="6"/>
      <c r="X1215" s="6"/>
      <c r="Y1215" s="6"/>
      <c r="Z1215" s="6"/>
      <c r="AA1215" s="6"/>
      <c r="AB1215" s="6"/>
      <c r="AC1215" s="6"/>
      <c r="AD1215" s="6"/>
      <c r="AE1215" s="6"/>
    </row>
    <row r="1216" spans="1:31" ht="89.25" x14ac:dyDescent="0.2">
      <c r="A1216" s="6" t="s">
        <v>6256</v>
      </c>
      <c r="B1216" s="6" t="s">
        <v>6286</v>
      </c>
      <c r="C1216" s="20" t="s">
        <v>6287</v>
      </c>
      <c r="D1216" s="6" t="s">
        <v>6288</v>
      </c>
      <c r="E1216" s="6" t="s">
        <v>6289</v>
      </c>
      <c r="F1216" s="6" t="s">
        <v>6290</v>
      </c>
      <c r="G1216" s="6" t="s">
        <v>6291</v>
      </c>
      <c r="H1216" s="18" t="str">
        <f t="shared" si="99"/>
        <v>MOLL
PRINCESS
ROSANNA (P125
P27
P115)</v>
      </c>
      <c r="I1216" s="6" t="s">
        <v>96</v>
      </c>
      <c r="J1216" s="6"/>
      <c r="K1216" s="6" t="s">
        <v>141</v>
      </c>
      <c r="L1216" s="6" t="s">
        <v>99</v>
      </c>
      <c r="M1216" s="18" t="str">
        <f>VLOOKUP(L1216, GLOSSARY!$A:$C, 2, FALSE)</f>
        <v>PARADISE ESTATE</v>
      </c>
      <c r="N1216" s="6" t="s">
        <v>68</v>
      </c>
      <c r="O1216" s="6"/>
      <c r="P1216" s="6"/>
      <c r="Q1216" s="6"/>
      <c r="R1216" s="6"/>
      <c r="S1216" s="6"/>
      <c r="T1216" s="6"/>
      <c r="U1216" s="6"/>
      <c r="V1216" s="6"/>
      <c r="W1216" s="6"/>
      <c r="X1216" s="6"/>
      <c r="Y1216" s="6"/>
      <c r="Z1216" s="6"/>
      <c r="AA1216" s="6"/>
      <c r="AB1216" s="6"/>
      <c r="AC1216" s="6"/>
      <c r="AD1216" s="6"/>
      <c r="AE1216" s="6"/>
    </row>
    <row r="1217" spans="1:31" ht="25.5" x14ac:dyDescent="0.2">
      <c r="A1217" s="6" t="s">
        <v>6256</v>
      </c>
      <c r="B1217" s="6" t="s">
        <v>6292</v>
      </c>
      <c r="C1217" s="20" t="s">
        <v>6293</v>
      </c>
      <c r="D1217" s="6" t="s">
        <v>6294</v>
      </c>
      <c r="E1217" s="6" t="s">
        <v>4801</v>
      </c>
      <c r="F1217" s="6" t="s">
        <v>764</v>
      </c>
      <c r="G1217" s="6" t="s">
        <v>763</v>
      </c>
      <c r="H1217" s="18" t="str">
        <f t="shared" si="99"/>
        <v>ROSANNA (P115)</v>
      </c>
      <c r="I1217" s="6" t="s">
        <v>96</v>
      </c>
      <c r="J1217" s="6"/>
      <c r="K1217" s="6" t="s">
        <v>141</v>
      </c>
      <c r="L1217" s="6" t="s">
        <v>99</v>
      </c>
      <c r="M1217" s="18" t="str">
        <f>VLOOKUP(L1217, GLOSSARY!$A:$C, 2, FALSE)</f>
        <v>PARADISE ESTATE</v>
      </c>
      <c r="N1217" s="6" t="s">
        <v>68</v>
      </c>
      <c r="O1217" s="6"/>
      <c r="P1217" s="6"/>
      <c r="Q1217" s="6"/>
      <c r="R1217" s="6"/>
      <c r="S1217" s="6"/>
      <c r="T1217" s="6"/>
      <c r="U1217" s="6"/>
      <c r="V1217" s="6"/>
      <c r="W1217" s="6"/>
      <c r="X1217" s="6"/>
      <c r="Y1217" s="6"/>
      <c r="Z1217" s="6"/>
      <c r="AA1217" s="6"/>
      <c r="AB1217" s="6"/>
      <c r="AC1217" s="6"/>
      <c r="AD1217" s="6"/>
      <c r="AE1217" s="6"/>
    </row>
    <row r="1218" spans="1:31" ht="38.25" x14ac:dyDescent="0.2">
      <c r="A1218" s="6" t="s">
        <v>6256</v>
      </c>
      <c r="B1218" s="6" t="s">
        <v>6295</v>
      </c>
      <c r="C1218" s="20" t="s">
        <v>6296</v>
      </c>
      <c r="D1218" s="6" t="s">
        <v>6297</v>
      </c>
      <c r="E1218" s="6" t="s">
        <v>6226</v>
      </c>
      <c r="F1218" s="6" t="s">
        <v>824</v>
      </c>
      <c r="G1218" s="6" t="s">
        <v>823</v>
      </c>
      <c r="H1218" s="18" t="str">
        <f t="shared" si="99"/>
        <v>MOLL (P125)</v>
      </c>
      <c r="I1218" s="6" t="s">
        <v>533</v>
      </c>
      <c r="J1218" s="6"/>
      <c r="K1218" s="6" t="s">
        <v>402</v>
      </c>
      <c r="L1218" s="6" t="s">
        <v>5494</v>
      </c>
      <c r="M1218" s="18" t="e">
        <f>VLOOKUP(L1218, GLOSSARY!$A:$C, 2, FALSE)</f>
        <v>#N/A</v>
      </c>
      <c r="N1218" s="6" t="s">
        <v>68</v>
      </c>
      <c r="O1218" s="6"/>
      <c r="P1218" s="6"/>
      <c r="Q1218" s="6"/>
      <c r="R1218" s="6"/>
      <c r="S1218" s="6"/>
      <c r="T1218" s="6"/>
      <c r="U1218" s="6"/>
      <c r="V1218" s="6"/>
      <c r="W1218" s="6"/>
      <c r="X1218" s="6"/>
      <c r="Y1218" s="6"/>
      <c r="Z1218" s="6"/>
      <c r="AA1218" s="6"/>
      <c r="AB1218" s="6"/>
      <c r="AC1218" s="6"/>
      <c r="AD1218" s="6"/>
      <c r="AE1218" s="6"/>
    </row>
    <row r="1219" spans="1:31" ht="51" x14ac:dyDescent="0.2">
      <c r="A1219" s="6" t="s">
        <v>6298</v>
      </c>
      <c r="B1219" s="6" t="s">
        <v>6299</v>
      </c>
      <c r="C1219" s="20" t="s">
        <v>6300</v>
      </c>
      <c r="D1219" s="6" t="s">
        <v>6301</v>
      </c>
      <c r="E1219" s="6"/>
      <c r="F1219" s="6" t="s">
        <v>6274</v>
      </c>
      <c r="G1219" s="6" t="s">
        <v>6275</v>
      </c>
      <c r="H1219" s="6" t="str">
        <f t="shared" si="99"/>
        <v>EGYPT LUCY
DOVER (P3
P140)</v>
      </c>
      <c r="I1219" s="6" t="s">
        <v>439</v>
      </c>
      <c r="J1219" s="6"/>
      <c r="K1219" s="6"/>
      <c r="L1219" s="6" t="s">
        <v>3104</v>
      </c>
      <c r="M1219" s="18" t="str">
        <f>VLOOKUP(L1219, GLOSSARY!$A:$C, 2, FALSE)</f>
        <v>COLONEL RICKETT'S</v>
      </c>
      <c r="N1219" s="6" t="s">
        <v>167</v>
      </c>
      <c r="O1219" s="6"/>
      <c r="P1219" s="6"/>
      <c r="Q1219" s="6"/>
      <c r="R1219" s="6"/>
      <c r="S1219" s="6"/>
      <c r="T1219" s="6"/>
      <c r="U1219" s="6"/>
      <c r="V1219" s="6"/>
      <c r="W1219" s="6"/>
      <c r="X1219" s="6"/>
      <c r="Y1219" s="6"/>
      <c r="Z1219" s="6"/>
      <c r="AA1219" s="6"/>
      <c r="AB1219" s="6"/>
      <c r="AC1219" s="6"/>
      <c r="AD1219" s="6"/>
      <c r="AE1219" s="6"/>
    </row>
    <row r="1220" spans="1:31" ht="25.5" x14ac:dyDescent="0.2">
      <c r="A1220" s="6" t="s">
        <v>6256</v>
      </c>
      <c r="B1220" s="6" t="s">
        <v>6302</v>
      </c>
      <c r="C1220" s="20" t="s">
        <v>6303</v>
      </c>
      <c r="D1220" s="6" t="s">
        <v>6304</v>
      </c>
      <c r="E1220" s="6" t="s">
        <v>4801</v>
      </c>
      <c r="F1220" s="6" t="s">
        <v>764</v>
      </c>
      <c r="G1220" s="6" t="s">
        <v>763</v>
      </c>
      <c r="H1220" s="18" t="str">
        <f t="shared" si="99"/>
        <v>ROSANNA (P115)</v>
      </c>
      <c r="I1220" s="6" t="s">
        <v>1068</v>
      </c>
      <c r="J1220" s="6"/>
      <c r="K1220" s="6" t="s">
        <v>141</v>
      </c>
      <c r="L1220" s="6" t="s">
        <v>99</v>
      </c>
      <c r="M1220" s="18" t="str">
        <f>VLOOKUP(L1220, GLOSSARY!$A:$C, 2, FALSE)</f>
        <v>PARADISE ESTATE</v>
      </c>
      <c r="N1220" s="6" t="s">
        <v>68</v>
      </c>
      <c r="O1220" s="6"/>
      <c r="P1220" s="6"/>
      <c r="Q1220" s="6"/>
      <c r="R1220" s="6"/>
      <c r="S1220" s="6"/>
      <c r="T1220" s="6"/>
      <c r="U1220" s="6"/>
      <c r="V1220" s="6"/>
      <c r="W1220" s="6"/>
      <c r="X1220" s="6"/>
      <c r="Y1220" s="6"/>
      <c r="Z1220" s="6"/>
      <c r="AA1220" s="6"/>
      <c r="AB1220" s="6"/>
      <c r="AC1220" s="6"/>
      <c r="AD1220" s="6"/>
      <c r="AE1220" s="6"/>
    </row>
    <row r="1221" spans="1:31" ht="229.5" x14ac:dyDescent="0.2">
      <c r="A1221" s="6" t="s">
        <v>6305</v>
      </c>
      <c r="B1221" s="6" t="s">
        <v>6306</v>
      </c>
      <c r="C1221" s="20" t="s">
        <v>6307</v>
      </c>
      <c r="D1221" s="6" t="s">
        <v>6308</v>
      </c>
      <c r="E1221" s="6"/>
      <c r="F1221" s="6" t="s">
        <v>6309</v>
      </c>
      <c r="G1221" s="6" t="s">
        <v>6310</v>
      </c>
      <c r="H1221" s="6" t="str">
        <f t="shared" ref="H1221:H1228" si="100">CONCATENATE(F1221,"(",G1221,")")</f>
        <v>ELLIN
LONDON
BIG DOLL
PHILIP
WARSOE
KENT
OWORIA [POMPEY]
SOLON
AGNES
AGNES' CHILD #3(P33
P249
P363
P381
P329
P40
P26
P124
P461)</v>
      </c>
      <c r="I1221" s="6" t="s">
        <v>533</v>
      </c>
      <c r="J1221" s="6"/>
      <c r="K1221" s="6"/>
      <c r="L1221" s="6" t="s">
        <v>1695</v>
      </c>
      <c r="M1221" s="6" t="str">
        <f>VLOOKUP(L1221, GLOSSARY!$A:$C, 2, FALSE)</f>
        <v>EGYPT ESTATE HOTHOUSE</v>
      </c>
      <c r="N1221" s="6" t="s">
        <v>68</v>
      </c>
      <c r="O1221" s="6"/>
      <c r="P1221" s="6"/>
      <c r="Q1221" s="6"/>
      <c r="R1221" s="6"/>
      <c r="S1221" s="6"/>
      <c r="T1221" s="6"/>
      <c r="U1221" s="6"/>
      <c r="V1221" s="6"/>
      <c r="W1221" s="6"/>
      <c r="X1221" s="6"/>
      <c r="Y1221" s="6"/>
      <c r="Z1221" s="6"/>
      <c r="AA1221" s="6"/>
      <c r="AB1221" s="6"/>
      <c r="AC1221" s="6"/>
      <c r="AD1221" s="6"/>
      <c r="AE1221" s="6"/>
    </row>
    <row r="1222" spans="1:31" ht="25.5" x14ac:dyDescent="0.2">
      <c r="A1222" s="6" t="s">
        <v>6311</v>
      </c>
      <c r="B1222" s="6" t="s">
        <v>6312</v>
      </c>
      <c r="C1222" s="20" t="s">
        <v>6313</v>
      </c>
      <c r="D1222" s="6" t="s">
        <v>6314</v>
      </c>
      <c r="E1222" s="6"/>
      <c r="F1222" s="6" t="s">
        <v>6315</v>
      </c>
      <c r="G1222" s="6" t="s">
        <v>137</v>
      </c>
      <c r="H1222" s="6" t="str">
        <f t="shared" si="100"/>
        <v>WONGA(P27)</v>
      </c>
      <c r="I1222" s="6" t="s">
        <v>96</v>
      </c>
      <c r="J1222" s="6"/>
      <c r="K1222" s="6"/>
      <c r="L1222" s="6" t="s">
        <v>55</v>
      </c>
      <c r="M1222" s="6" t="str">
        <f>VLOOKUP(L1222, GLOSSARY!$A:$C, 2, FALSE)</f>
        <v>EGYPT ESTATE</v>
      </c>
      <c r="N1222" s="6" t="s">
        <v>68</v>
      </c>
      <c r="O1222" s="6"/>
      <c r="P1222" s="6"/>
      <c r="Q1222" s="6"/>
      <c r="R1222" s="6"/>
      <c r="S1222" s="6"/>
      <c r="T1222" s="6"/>
      <c r="U1222" s="6"/>
      <c r="V1222" s="6"/>
      <c r="W1222" s="6"/>
      <c r="X1222" s="6"/>
      <c r="Y1222" s="6"/>
      <c r="Z1222" s="6"/>
      <c r="AA1222" s="6"/>
      <c r="AB1222" s="6"/>
      <c r="AC1222" s="6"/>
      <c r="AD1222" s="6"/>
      <c r="AE1222" s="6"/>
    </row>
    <row r="1223" spans="1:31" ht="38.25" x14ac:dyDescent="0.2">
      <c r="A1223" s="6" t="s">
        <v>6311</v>
      </c>
      <c r="B1223" s="6" t="s">
        <v>6316</v>
      </c>
      <c r="C1223" s="20" t="s">
        <v>6317</v>
      </c>
      <c r="D1223" s="6" t="s">
        <v>6318</v>
      </c>
      <c r="E1223" s="6"/>
      <c r="F1223" s="6" t="s">
        <v>6319</v>
      </c>
      <c r="G1223" s="6" t="s">
        <v>6320</v>
      </c>
      <c r="H1223" s="6" t="str">
        <f t="shared" si="100"/>
        <v>WONGA
THE OVERSEER(P27
P43)</v>
      </c>
      <c r="I1223" s="6" t="s">
        <v>1047</v>
      </c>
      <c r="J1223" s="6"/>
      <c r="K1223" s="6"/>
      <c r="L1223" s="6" t="s">
        <v>55</v>
      </c>
      <c r="M1223" s="6" t="str">
        <f>VLOOKUP(L1223, GLOSSARY!$A:$C, 2, FALSE)</f>
        <v>EGYPT ESTATE</v>
      </c>
      <c r="N1223" s="6" t="s">
        <v>68</v>
      </c>
      <c r="O1223" s="6"/>
      <c r="P1223" s="6"/>
      <c r="Q1223" s="6"/>
      <c r="R1223" s="6"/>
      <c r="S1223" s="6"/>
      <c r="T1223" s="6"/>
      <c r="U1223" s="6"/>
      <c r="V1223" s="6"/>
      <c r="W1223" s="6"/>
      <c r="X1223" s="6"/>
      <c r="Y1223" s="6"/>
      <c r="Z1223" s="6"/>
      <c r="AA1223" s="6"/>
      <c r="AB1223" s="6"/>
      <c r="AC1223" s="6"/>
      <c r="AD1223" s="6"/>
      <c r="AE1223" s="6"/>
    </row>
    <row r="1224" spans="1:31" ht="63.75" x14ac:dyDescent="0.2">
      <c r="A1224" s="6" t="s">
        <v>6321</v>
      </c>
      <c r="B1224" s="6" t="s">
        <v>6322</v>
      </c>
      <c r="C1224" s="20" t="s">
        <v>6323</v>
      </c>
      <c r="D1224" s="6" t="s">
        <v>6324</v>
      </c>
      <c r="E1224" s="6"/>
      <c r="F1224" s="6" t="s">
        <v>6325</v>
      </c>
      <c r="G1224" s="6" t="s">
        <v>6326</v>
      </c>
      <c r="H1224" s="6" t="str">
        <f t="shared" si="100"/>
        <v>DANIEL
THE OVERSEER(P43
P42)</v>
      </c>
      <c r="I1224" s="6" t="s">
        <v>112</v>
      </c>
      <c r="J1224" s="6"/>
      <c r="K1224" s="6"/>
      <c r="L1224" s="6" t="s">
        <v>55</v>
      </c>
      <c r="M1224" s="6" t="str">
        <f>VLOOKUP(L1224, GLOSSARY!$A:$C, 2, FALSE)</f>
        <v>EGYPT ESTATE</v>
      </c>
      <c r="N1224" s="6" t="s">
        <v>167</v>
      </c>
      <c r="O1224" s="6"/>
      <c r="P1224" s="6"/>
      <c r="Q1224" s="6"/>
      <c r="R1224" s="6"/>
      <c r="S1224" s="6"/>
      <c r="T1224" s="6"/>
      <c r="U1224" s="6"/>
      <c r="V1224" s="6"/>
      <c r="W1224" s="6"/>
      <c r="X1224" s="6"/>
      <c r="Y1224" s="6"/>
      <c r="Z1224" s="6"/>
      <c r="AA1224" s="6"/>
      <c r="AB1224" s="6"/>
      <c r="AC1224" s="6"/>
      <c r="AD1224" s="6"/>
      <c r="AE1224" s="6"/>
    </row>
    <row r="1225" spans="1:31" ht="63.75" x14ac:dyDescent="0.2">
      <c r="A1225" s="6" t="s">
        <v>6327</v>
      </c>
      <c r="B1225" s="6" t="s">
        <v>6322</v>
      </c>
      <c r="C1225" s="20" t="s">
        <v>6323</v>
      </c>
      <c r="D1225" s="6" t="s">
        <v>6328</v>
      </c>
      <c r="E1225" s="6"/>
      <c r="F1225" s="6" t="s">
        <v>6329</v>
      </c>
      <c r="G1225" s="6" t="s">
        <v>6330</v>
      </c>
      <c r="H1225" s="6" t="str">
        <f t="shared" si="100"/>
        <v>THE OVERSEER
AMBO
PRIMUS(P43
P170
P342)</v>
      </c>
      <c r="I1225" s="6" t="s">
        <v>112</v>
      </c>
      <c r="J1225" s="6"/>
      <c r="K1225" s="6"/>
      <c r="L1225" s="6" t="s">
        <v>785</v>
      </c>
      <c r="M1225" s="6" t="str">
        <f>VLOOKUP(L1225, GLOSSARY!$A:$C, 2, FALSE)</f>
        <v>EGYPT ESTATE</v>
      </c>
      <c r="N1225" s="6" t="s">
        <v>476</v>
      </c>
      <c r="O1225" s="6"/>
      <c r="P1225" s="6"/>
      <c r="Q1225" s="6"/>
      <c r="R1225" s="6"/>
      <c r="S1225" s="6"/>
      <c r="T1225" s="6"/>
      <c r="U1225" s="6"/>
      <c r="V1225" s="6"/>
      <c r="W1225" s="6"/>
      <c r="X1225" s="6"/>
      <c r="Y1225" s="6"/>
      <c r="Z1225" s="6"/>
      <c r="AA1225" s="6"/>
      <c r="AB1225" s="6"/>
      <c r="AC1225" s="6"/>
      <c r="AD1225" s="6"/>
      <c r="AE1225" s="6"/>
    </row>
    <row r="1226" spans="1:31" ht="89.25" x14ac:dyDescent="0.2">
      <c r="A1226" s="6" t="s">
        <v>6331</v>
      </c>
      <c r="B1226" s="6" t="s">
        <v>6332</v>
      </c>
      <c r="C1226" s="20" t="s">
        <v>6333</v>
      </c>
      <c r="D1226" s="6" t="s">
        <v>6334</v>
      </c>
      <c r="E1226" s="6"/>
      <c r="F1226" s="6" t="s">
        <v>6335</v>
      </c>
      <c r="G1226" s="6" t="s">
        <v>6336</v>
      </c>
      <c r="H1226" s="6" t="str">
        <f t="shared" si="100"/>
        <v>THE OVERSEER
EGYPT CLARA
JOB
AGNES(P43
P129
P29
P124)</v>
      </c>
      <c r="I1226" s="6" t="s">
        <v>112</v>
      </c>
      <c r="J1226" s="6"/>
      <c r="K1226" s="6"/>
      <c r="L1226" s="6" t="s">
        <v>55</v>
      </c>
      <c r="M1226" s="6" t="str">
        <f>VLOOKUP(L1226, GLOSSARY!$A:$C, 2, FALSE)</f>
        <v>EGYPT ESTATE</v>
      </c>
      <c r="N1226" s="6" t="s">
        <v>68</v>
      </c>
      <c r="O1226" s="6"/>
      <c r="P1226" s="6"/>
      <c r="Q1226" s="6"/>
      <c r="R1226" s="6"/>
      <c r="S1226" s="6"/>
      <c r="T1226" s="6"/>
      <c r="U1226" s="6"/>
      <c r="V1226" s="6"/>
      <c r="W1226" s="6"/>
      <c r="X1226" s="6"/>
      <c r="Y1226" s="6"/>
      <c r="Z1226" s="6"/>
      <c r="AA1226" s="6"/>
      <c r="AB1226" s="6"/>
      <c r="AC1226" s="6"/>
      <c r="AD1226" s="6"/>
      <c r="AE1226" s="6"/>
    </row>
    <row r="1227" spans="1:31" ht="38.25" x14ac:dyDescent="0.2">
      <c r="A1227" s="6" t="s">
        <v>6331</v>
      </c>
      <c r="B1227" s="6" t="s">
        <v>6337</v>
      </c>
      <c r="C1227" s="20" t="s">
        <v>6338</v>
      </c>
      <c r="D1227" s="6" t="s">
        <v>6339</v>
      </c>
      <c r="E1227" s="6"/>
      <c r="F1227" s="6" t="s">
        <v>6340</v>
      </c>
      <c r="G1227" s="6" t="s">
        <v>6341</v>
      </c>
      <c r="H1227" s="6" t="str">
        <f t="shared" si="100"/>
        <v>THE OVERSEER
AGNES(P43
P124)</v>
      </c>
      <c r="I1227" s="6" t="s">
        <v>112</v>
      </c>
      <c r="J1227" s="6"/>
      <c r="K1227" s="6"/>
      <c r="L1227" s="6" t="s">
        <v>55</v>
      </c>
      <c r="M1227" s="6" t="str">
        <f>VLOOKUP(L1227, GLOSSARY!$A:$C, 2, FALSE)</f>
        <v>EGYPT ESTATE</v>
      </c>
      <c r="N1227" s="6" t="s">
        <v>68</v>
      </c>
      <c r="O1227" s="6"/>
      <c r="P1227" s="6"/>
      <c r="Q1227" s="6"/>
      <c r="R1227" s="6"/>
      <c r="S1227" s="6"/>
      <c r="T1227" s="6"/>
      <c r="U1227" s="6"/>
      <c r="V1227" s="6"/>
      <c r="W1227" s="6"/>
      <c r="X1227" s="6"/>
      <c r="Y1227" s="6"/>
      <c r="Z1227" s="6"/>
      <c r="AA1227" s="6"/>
      <c r="AB1227" s="6"/>
      <c r="AC1227" s="6"/>
      <c r="AD1227" s="6"/>
      <c r="AE1227" s="6"/>
    </row>
    <row r="1228" spans="1:31" ht="191.25" x14ac:dyDescent="0.2">
      <c r="A1228" s="6" t="s">
        <v>6342</v>
      </c>
      <c r="B1228" s="6" t="s">
        <v>6343</v>
      </c>
      <c r="C1228" s="20" t="s">
        <v>6344</v>
      </c>
      <c r="D1228" s="6" t="s">
        <v>6345</v>
      </c>
      <c r="E1228" s="6"/>
      <c r="F1228" s="6" t="s">
        <v>6346</v>
      </c>
      <c r="G1228" s="6" t="s">
        <v>6347</v>
      </c>
      <c r="H1228" s="6" t="str">
        <f t="shared" si="100"/>
        <v>ELLIN
BECK
DIDO
MOLL
JENNY
AGNES
AGNES' CHILD #3(P33
P361
P105
P125
P104
P124
P461
P191
P413)</v>
      </c>
      <c r="I1228" s="6" t="s">
        <v>533</v>
      </c>
      <c r="J1228" s="6"/>
      <c r="K1228" s="6"/>
      <c r="L1228" s="6" t="s">
        <v>1695</v>
      </c>
      <c r="M1228" s="6" t="str">
        <f>VLOOKUP(L1228, GLOSSARY!$A:$C, 2, FALSE)</f>
        <v>EGYPT ESTATE HOTHOUSE</v>
      </c>
      <c r="N1228" s="6" t="s">
        <v>287</v>
      </c>
      <c r="O1228" s="6"/>
      <c r="P1228" s="6"/>
      <c r="Q1228" s="6"/>
      <c r="R1228" s="6"/>
      <c r="S1228" s="6"/>
      <c r="T1228" s="6"/>
      <c r="U1228" s="6"/>
      <c r="V1228" s="6"/>
      <c r="W1228" s="6"/>
      <c r="X1228" s="6"/>
      <c r="Y1228" s="6"/>
      <c r="Z1228" s="6"/>
      <c r="AA1228" s="6"/>
      <c r="AB1228" s="6"/>
      <c r="AC1228" s="6"/>
      <c r="AD1228" s="6"/>
      <c r="AE1228" s="6"/>
    </row>
    <row r="1229" spans="1:31" ht="165.75" x14ac:dyDescent="0.2">
      <c r="A1229" s="6" t="s">
        <v>6348</v>
      </c>
      <c r="B1229" s="6" t="s">
        <v>6349</v>
      </c>
      <c r="C1229" s="20" t="s">
        <v>6350</v>
      </c>
      <c r="D1229" s="6" t="s">
        <v>6351</v>
      </c>
      <c r="E1229" s="6"/>
      <c r="F1229" s="6" t="s">
        <v>6352</v>
      </c>
      <c r="G1229" s="6" t="s">
        <v>6353</v>
      </c>
      <c r="H1229" s="6" t="str">
        <f>CONCATENATE(F1229," (",G1229,")")</f>
        <v>GEORGE MERCY
VINE
DRIVER SAM
LEWIS
GRACE (P179
P180
P181
P182
P183)</v>
      </c>
      <c r="I1229" s="6" t="s">
        <v>1678</v>
      </c>
      <c r="J1229" s="6"/>
      <c r="K1229" s="6"/>
      <c r="L1229" s="6" t="s">
        <v>55</v>
      </c>
      <c r="M1229" s="6" t="str">
        <f>VLOOKUP(L1229, GLOSSARY!$A:$C, 2, FALSE)</f>
        <v>EGYPT ESTATE</v>
      </c>
      <c r="N1229" s="6" t="s">
        <v>68</v>
      </c>
      <c r="O1229" s="6"/>
      <c r="P1229" s="6"/>
      <c r="Q1229" s="6"/>
      <c r="R1229" s="6"/>
      <c r="S1229" s="6"/>
      <c r="T1229" s="6"/>
      <c r="U1229" s="6"/>
      <c r="V1229" s="6"/>
      <c r="W1229" s="6"/>
      <c r="X1229" s="6"/>
      <c r="Y1229" s="6"/>
      <c r="Z1229" s="6"/>
      <c r="AA1229" s="6"/>
      <c r="AB1229" s="6"/>
      <c r="AC1229" s="6"/>
      <c r="AD1229" s="6"/>
      <c r="AE1229" s="6"/>
    </row>
    <row r="1230" spans="1:31" ht="38.25" x14ac:dyDescent="0.2">
      <c r="A1230" s="6" t="s">
        <v>6354</v>
      </c>
      <c r="B1230" s="6" t="s">
        <v>6355</v>
      </c>
      <c r="C1230" s="20" t="s">
        <v>6356</v>
      </c>
      <c r="D1230" s="6" t="s">
        <v>6357</v>
      </c>
      <c r="E1230" s="6"/>
      <c r="F1230" s="6" t="s">
        <v>29</v>
      </c>
      <c r="G1230" s="6" t="s">
        <v>28</v>
      </c>
      <c r="H1230" s="6" t="str">
        <f>CONCATENATE(F1230,"(",G1230,")")</f>
        <v>MOLIA(P1)</v>
      </c>
      <c r="I1230" s="6" t="s">
        <v>533</v>
      </c>
      <c r="J1230" s="6"/>
      <c r="K1230" s="6"/>
      <c r="L1230" s="6" t="s">
        <v>55</v>
      </c>
      <c r="M1230" s="6" t="str">
        <f>VLOOKUP(L1230, GLOSSARY!$A:$C, 2, FALSE)</f>
        <v>EGYPT ESTATE</v>
      </c>
      <c r="N1230" s="6" t="s">
        <v>68</v>
      </c>
      <c r="O1230" s="6"/>
      <c r="P1230" s="6"/>
      <c r="Q1230" s="6"/>
      <c r="R1230" s="6"/>
      <c r="S1230" s="6"/>
      <c r="T1230" s="6"/>
      <c r="U1230" s="6"/>
      <c r="V1230" s="6"/>
      <c r="W1230" s="6"/>
      <c r="X1230" s="6"/>
      <c r="Y1230" s="6"/>
      <c r="Z1230" s="6"/>
      <c r="AA1230" s="6"/>
      <c r="AB1230" s="6"/>
      <c r="AC1230" s="6"/>
      <c r="AD1230" s="6"/>
      <c r="AE1230" s="6"/>
    </row>
    <row r="1231" spans="1:31" ht="306" x14ac:dyDescent="0.2">
      <c r="A1231" s="6" t="s">
        <v>6358</v>
      </c>
      <c r="B1231" s="6" t="s">
        <v>6359</v>
      </c>
      <c r="C1231" s="20" t="s">
        <v>6360</v>
      </c>
      <c r="D1231" s="6" t="s">
        <v>6361</v>
      </c>
      <c r="E1231" s="6"/>
      <c r="F1231" s="6" t="s">
        <v>6362</v>
      </c>
      <c r="G1231" s="6" t="s">
        <v>6363</v>
      </c>
      <c r="H1231" s="6" t="str">
        <f t="shared" ref="H1231:H1233" si="101">CONCATENATE(F1231," (",G1231,")")</f>
        <v>EGYPT LUCY
ABBA
LONGPOND RUNAWAY WOMAN
CUBBENA
ROSANNA
QUANINA
QUASHEBA
DAGO (P3
P6
P236
P237
P238
P239
P240
P241
)</v>
      </c>
      <c r="I1231" s="6" t="s">
        <v>656</v>
      </c>
      <c r="J1231" s="6"/>
      <c r="K1231" s="6"/>
      <c r="L1231" s="6" t="s">
        <v>55</v>
      </c>
      <c r="M1231" s="6" t="str">
        <f>VLOOKUP(L1231, GLOSSARY!$A:$C, 2, FALSE)</f>
        <v>EGYPT ESTATE</v>
      </c>
      <c r="N1231" s="6" t="s">
        <v>167</v>
      </c>
      <c r="O1231" s="6"/>
      <c r="P1231" s="6"/>
      <c r="Q1231" s="6"/>
      <c r="R1231" s="6"/>
      <c r="S1231" s="6"/>
      <c r="T1231" s="6"/>
      <c r="U1231" s="6"/>
      <c r="V1231" s="6"/>
      <c r="W1231" s="6"/>
      <c r="X1231" s="6"/>
      <c r="Y1231" s="6"/>
      <c r="Z1231" s="6"/>
      <c r="AA1231" s="6"/>
      <c r="AB1231" s="6"/>
      <c r="AC1231" s="6"/>
      <c r="AD1231" s="6"/>
      <c r="AE1231" s="6"/>
    </row>
    <row r="1232" spans="1:31" ht="63.75" x14ac:dyDescent="0.2">
      <c r="A1232" s="6" t="s">
        <v>6364</v>
      </c>
      <c r="B1232" s="6" t="s">
        <v>4509</v>
      </c>
      <c r="C1232" s="20" t="s">
        <v>6365</v>
      </c>
      <c r="D1232" s="6" t="s">
        <v>6366</v>
      </c>
      <c r="E1232" s="6"/>
      <c r="F1232" s="6" t="s">
        <v>2135</v>
      </c>
      <c r="G1232" s="6" t="s">
        <v>2136</v>
      </c>
      <c r="H1232" s="6" t="str">
        <f t="shared" si="101"/>
        <v>PHIBBAH
THE OVERSEER (P7
P43)</v>
      </c>
      <c r="I1232" s="6" t="s">
        <v>957</v>
      </c>
      <c r="J1232" s="6"/>
      <c r="K1232" s="6"/>
      <c r="L1232" s="6" t="s">
        <v>55</v>
      </c>
      <c r="M1232" s="6" t="str">
        <f>VLOOKUP(L1232, GLOSSARY!$A:$C, 2, FALSE)</f>
        <v>EGYPT ESTATE</v>
      </c>
      <c r="N1232" s="6" t="s">
        <v>68</v>
      </c>
      <c r="O1232" s="6"/>
      <c r="P1232" s="6"/>
      <c r="Q1232" s="6"/>
      <c r="R1232" s="6"/>
      <c r="S1232" s="6"/>
      <c r="T1232" s="6"/>
      <c r="U1232" s="6"/>
      <c r="V1232" s="6"/>
      <c r="W1232" s="6"/>
      <c r="X1232" s="6"/>
      <c r="Y1232" s="6"/>
      <c r="Z1232" s="6"/>
      <c r="AA1232" s="6"/>
      <c r="AB1232" s="6"/>
      <c r="AC1232" s="6"/>
      <c r="AD1232" s="6"/>
      <c r="AE1232" s="6"/>
    </row>
    <row r="1233" spans="1:31" ht="178.5" x14ac:dyDescent="0.2">
      <c r="A1233" s="6" t="s">
        <v>6367</v>
      </c>
      <c r="B1233" s="6" t="s">
        <v>6368</v>
      </c>
      <c r="C1233" s="20" t="s">
        <v>6369</v>
      </c>
      <c r="D1233" s="6" t="s">
        <v>6370</v>
      </c>
      <c r="E1233" s="6" t="s">
        <v>6371</v>
      </c>
      <c r="F1233" s="6" t="s">
        <v>6372</v>
      </c>
      <c r="G1233" s="6" t="s">
        <v>6373</v>
      </c>
      <c r="H1233" s="18" t="str">
        <f t="shared" si="101"/>
        <v>JOHN
DR. JAMES WEDDERBURN
NEPTUNE (P9
P95
P107)</v>
      </c>
      <c r="I1233" s="6" t="s">
        <v>533</v>
      </c>
      <c r="J1233" s="6" t="s">
        <v>6374</v>
      </c>
      <c r="K1233" s="6" t="s">
        <v>284</v>
      </c>
      <c r="L1233" s="6" t="s">
        <v>55</v>
      </c>
      <c r="M1233" s="18" t="str">
        <f>VLOOKUP(L1233, GLOSSARY!$A:$C, 2, FALSE)</f>
        <v>EGYPT ESTATE</v>
      </c>
      <c r="N1233" s="6" t="s">
        <v>167</v>
      </c>
      <c r="O1233" s="6"/>
      <c r="P1233" s="6"/>
      <c r="Q1233" s="6"/>
      <c r="R1233" s="6"/>
      <c r="S1233" s="6"/>
      <c r="T1233" s="6"/>
      <c r="U1233" s="6"/>
      <c r="V1233" s="6"/>
      <c r="W1233" s="6"/>
      <c r="X1233" s="6"/>
      <c r="Y1233" s="6"/>
      <c r="Z1233" s="6"/>
      <c r="AA1233" s="6"/>
      <c r="AB1233" s="6"/>
      <c r="AC1233" s="6"/>
      <c r="AD1233" s="6"/>
      <c r="AE1233" s="6"/>
    </row>
    <row r="1234" spans="1:31" ht="63.75" x14ac:dyDescent="0.2">
      <c r="A1234" s="6" t="s">
        <v>6375</v>
      </c>
      <c r="B1234" s="6" t="s">
        <v>6376</v>
      </c>
      <c r="C1234" s="20" t="s">
        <v>6369</v>
      </c>
      <c r="D1234" s="6" t="s">
        <v>6377</v>
      </c>
      <c r="E1234" s="6"/>
      <c r="F1234" s="6" t="s">
        <v>6378</v>
      </c>
      <c r="G1234" s="6" t="s">
        <v>6379</v>
      </c>
      <c r="H1234" s="6" t="str">
        <f>CONCATENATE(F1234,"(",G1234,")")</f>
        <v>THE OVERSEER
JOB(P43
P29)</v>
      </c>
      <c r="I1234" s="6" t="s">
        <v>342</v>
      </c>
      <c r="J1234" s="6"/>
      <c r="K1234" s="6"/>
      <c r="L1234" s="6" t="s">
        <v>55</v>
      </c>
      <c r="M1234" s="6" t="str">
        <f>VLOOKUP(L1234, GLOSSARY!$A:$C, 2, FALSE)</f>
        <v>EGYPT ESTATE</v>
      </c>
      <c r="N1234" s="6" t="s">
        <v>167</v>
      </c>
      <c r="O1234" s="6"/>
      <c r="P1234" s="6"/>
      <c r="Q1234" s="6"/>
      <c r="R1234" s="6"/>
      <c r="S1234" s="6"/>
      <c r="T1234" s="6"/>
      <c r="U1234" s="6"/>
      <c r="V1234" s="6"/>
      <c r="W1234" s="6"/>
      <c r="X1234" s="6"/>
      <c r="Y1234" s="6"/>
      <c r="Z1234" s="6"/>
      <c r="AA1234" s="6"/>
      <c r="AB1234" s="6"/>
      <c r="AC1234" s="6"/>
      <c r="AD1234" s="6"/>
      <c r="AE1234" s="6"/>
    </row>
    <row r="1235" spans="1:31" ht="38.25" x14ac:dyDescent="0.2">
      <c r="A1235" s="6" t="s">
        <v>6367</v>
      </c>
      <c r="B1235" s="6" t="s">
        <v>6380</v>
      </c>
      <c r="C1235" s="20" t="s">
        <v>6381</v>
      </c>
      <c r="D1235" s="6" t="s">
        <v>6382</v>
      </c>
      <c r="E1235" s="6" t="s">
        <v>3875</v>
      </c>
      <c r="F1235" s="6" t="s">
        <v>119</v>
      </c>
      <c r="G1235" s="6" t="s">
        <v>6383</v>
      </c>
      <c r="H1235" s="18" t="str">
        <f t="shared" ref="H1235:H1242" si="102">CONCATENATE(F1235," (",G1235,")")</f>
        <v>JOHN (P9
)</v>
      </c>
      <c r="I1235" s="6" t="s">
        <v>533</v>
      </c>
      <c r="J1235" s="6" t="s">
        <v>6374</v>
      </c>
      <c r="K1235" s="6" t="s">
        <v>284</v>
      </c>
      <c r="L1235" s="6" t="s">
        <v>55</v>
      </c>
      <c r="M1235" s="18" t="str">
        <f>VLOOKUP(L1235, GLOSSARY!$A:$C, 2, FALSE)</f>
        <v>EGYPT ESTATE</v>
      </c>
      <c r="N1235" s="6" t="s">
        <v>68</v>
      </c>
      <c r="O1235" s="6"/>
      <c r="P1235" s="6"/>
      <c r="Q1235" s="6"/>
      <c r="R1235" s="6"/>
      <c r="S1235" s="6"/>
      <c r="T1235" s="6"/>
      <c r="U1235" s="6"/>
      <c r="V1235" s="6"/>
      <c r="W1235" s="6"/>
      <c r="X1235" s="6"/>
      <c r="Y1235" s="6"/>
      <c r="Z1235" s="6"/>
      <c r="AA1235" s="6"/>
      <c r="AB1235" s="6"/>
      <c r="AC1235" s="6"/>
      <c r="AD1235" s="6"/>
      <c r="AE1235" s="6"/>
    </row>
    <row r="1236" spans="1:31" ht="38.25" x14ac:dyDescent="0.2">
      <c r="A1236" s="6" t="s">
        <v>6367</v>
      </c>
      <c r="B1236" s="6" t="s">
        <v>4173</v>
      </c>
      <c r="C1236" s="20" t="s">
        <v>6384</v>
      </c>
      <c r="D1236" s="6" t="s">
        <v>6385</v>
      </c>
      <c r="E1236" s="6" t="s">
        <v>3875</v>
      </c>
      <c r="F1236" s="6" t="s">
        <v>119</v>
      </c>
      <c r="G1236" s="6" t="s">
        <v>118</v>
      </c>
      <c r="H1236" s="18" t="str">
        <f t="shared" si="102"/>
        <v>JOHN (P9)</v>
      </c>
      <c r="I1236" s="6" t="s">
        <v>533</v>
      </c>
      <c r="J1236" s="6" t="s">
        <v>6374</v>
      </c>
      <c r="K1236" s="6" t="s">
        <v>284</v>
      </c>
      <c r="L1236" s="6" t="s">
        <v>55</v>
      </c>
      <c r="M1236" s="18" t="str">
        <f>VLOOKUP(L1236, GLOSSARY!$A:$C, 2, FALSE)</f>
        <v>EGYPT ESTATE</v>
      </c>
      <c r="N1236" s="6" t="s">
        <v>68</v>
      </c>
      <c r="O1236" s="6"/>
      <c r="P1236" s="6"/>
      <c r="Q1236" s="6"/>
      <c r="R1236" s="6"/>
      <c r="S1236" s="6"/>
      <c r="T1236" s="6"/>
      <c r="U1236" s="6"/>
      <c r="V1236" s="6"/>
      <c r="W1236" s="6"/>
      <c r="X1236" s="6"/>
      <c r="Y1236" s="6"/>
      <c r="Z1236" s="6"/>
      <c r="AA1236" s="6"/>
      <c r="AB1236" s="6"/>
      <c r="AC1236" s="6"/>
      <c r="AD1236" s="6"/>
      <c r="AE1236" s="6"/>
    </row>
    <row r="1237" spans="1:31" ht="38.25" x14ac:dyDescent="0.2">
      <c r="A1237" s="6" t="s">
        <v>6367</v>
      </c>
      <c r="B1237" s="6" t="s">
        <v>6386</v>
      </c>
      <c r="C1237" s="20" t="s">
        <v>6387</v>
      </c>
      <c r="D1237" s="6" t="s">
        <v>6388</v>
      </c>
      <c r="E1237" s="6" t="s">
        <v>3875</v>
      </c>
      <c r="F1237" s="6" t="s">
        <v>119</v>
      </c>
      <c r="G1237" s="6" t="s">
        <v>118</v>
      </c>
      <c r="H1237" s="18" t="str">
        <f t="shared" si="102"/>
        <v>JOHN (P9)</v>
      </c>
      <c r="I1237" s="6" t="s">
        <v>533</v>
      </c>
      <c r="J1237" s="6" t="s">
        <v>6374</v>
      </c>
      <c r="K1237" s="6" t="s">
        <v>284</v>
      </c>
      <c r="L1237" s="6" t="s">
        <v>55</v>
      </c>
      <c r="M1237" s="18" t="str">
        <f>VLOOKUP(L1237, GLOSSARY!$A:$C, 2, FALSE)</f>
        <v>EGYPT ESTATE</v>
      </c>
      <c r="N1237" s="6" t="s">
        <v>167</v>
      </c>
      <c r="O1237" s="6"/>
      <c r="P1237" s="6"/>
      <c r="Q1237" s="6"/>
      <c r="R1237" s="6"/>
      <c r="S1237" s="6"/>
      <c r="T1237" s="6"/>
      <c r="U1237" s="6"/>
      <c r="V1237" s="6"/>
      <c r="W1237" s="6"/>
      <c r="X1237" s="6"/>
      <c r="Y1237" s="6"/>
      <c r="Z1237" s="6"/>
      <c r="AA1237" s="6"/>
      <c r="AB1237" s="6"/>
      <c r="AC1237" s="6"/>
      <c r="AD1237" s="6"/>
      <c r="AE1237" s="6"/>
    </row>
    <row r="1238" spans="1:31" ht="38.25" x14ac:dyDescent="0.2">
      <c r="A1238" s="6" t="s">
        <v>6367</v>
      </c>
      <c r="B1238" s="6" t="s">
        <v>4536</v>
      </c>
      <c r="C1238" s="20" t="s">
        <v>6389</v>
      </c>
      <c r="D1238" s="6" t="s">
        <v>6390</v>
      </c>
      <c r="E1238" s="6" t="s">
        <v>6391</v>
      </c>
      <c r="F1238" s="6" t="s">
        <v>101</v>
      </c>
      <c r="G1238" s="6" t="s">
        <v>100</v>
      </c>
      <c r="H1238" s="18" t="str">
        <f t="shared" si="102"/>
        <v>PHIBBAH (P7)</v>
      </c>
      <c r="I1238" s="6" t="s">
        <v>533</v>
      </c>
      <c r="J1238" s="6"/>
      <c r="K1238" s="6" t="s">
        <v>284</v>
      </c>
      <c r="L1238" s="6" t="s">
        <v>55</v>
      </c>
      <c r="M1238" s="18" t="str">
        <f>VLOOKUP(L1238, GLOSSARY!$A:$C, 2, FALSE)</f>
        <v>EGYPT ESTATE</v>
      </c>
      <c r="N1238" s="6" t="s">
        <v>68</v>
      </c>
      <c r="O1238" s="6"/>
      <c r="P1238" s="6"/>
      <c r="Q1238" s="6"/>
      <c r="R1238" s="6"/>
      <c r="S1238" s="6"/>
      <c r="T1238" s="6"/>
      <c r="U1238" s="6"/>
      <c r="V1238" s="6"/>
      <c r="W1238" s="6"/>
      <c r="X1238" s="6"/>
      <c r="Y1238" s="6"/>
      <c r="Z1238" s="6"/>
      <c r="AA1238" s="6"/>
      <c r="AB1238" s="6"/>
      <c r="AC1238" s="6"/>
      <c r="AD1238" s="6"/>
      <c r="AE1238" s="6"/>
    </row>
    <row r="1239" spans="1:31" ht="76.5" x14ac:dyDescent="0.2">
      <c r="A1239" s="6" t="s">
        <v>6367</v>
      </c>
      <c r="B1239" s="6" t="s">
        <v>3843</v>
      </c>
      <c r="C1239" s="20" t="s">
        <v>6392</v>
      </c>
      <c r="D1239" s="6" t="s">
        <v>6393</v>
      </c>
      <c r="E1239" s="6" t="s">
        <v>6394</v>
      </c>
      <c r="F1239" s="6" t="s">
        <v>5938</v>
      </c>
      <c r="G1239" s="6" t="s">
        <v>6395</v>
      </c>
      <c r="H1239" s="18" t="str">
        <f t="shared" si="102"/>
        <v>JOHN
PHIBBAH (P9
P7)</v>
      </c>
      <c r="I1239" s="6" t="s">
        <v>533</v>
      </c>
      <c r="J1239" s="6" t="s">
        <v>6396</v>
      </c>
      <c r="K1239" s="6" t="s">
        <v>284</v>
      </c>
      <c r="L1239" s="6" t="s">
        <v>55</v>
      </c>
      <c r="M1239" s="18" t="str">
        <f>VLOOKUP(L1239, GLOSSARY!$A:$C, 2, FALSE)</f>
        <v>EGYPT ESTATE</v>
      </c>
      <c r="N1239" s="6" t="s">
        <v>68</v>
      </c>
      <c r="O1239" s="6"/>
      <c r="P1239" s="6"/>
      <c r="Q1239" s="6"/>
      <c r="R1239" s="6"/>
      <c r="S1239" s="6"/>
      <c r="T1239" s="6"/>
      <c r="U1239" s="6"/>
      <c r="V1239" s="6"/>
      <c r="W1239" s="6"/>
      <c r="X1239" s="6"/>
      <c r="Y1239" s="6"/>
      <c r="Z1239" s="6"/>
      <c r="AA1239" s="6"/>
      <c r="AB1239" s="6"/>
      <c r="AC1239" s="6"/>
      <c r="AD1239" s="6"/>
      <c r="AE1239" s="6"/>
    </row>
    <row r="1240" spans="1:31" ht="51" x14ac:dyDescent="0.2">
      <c r="A1240" s="6" t="s">
        <v>6367</v>
      </c>
      <c r="B1240" s="6" t="s">
        <v>4541</v>
      </c>
      <c r="C1240" s="20" t="s">
        <v>6397</v>
      </c>
      <c r="D1240" s="6" t="s">
        <v>6398</v>
      </c>
      <c r="E1240" s="6" t="s">
        <v>6394</v>
      </c>
      <c r="F1240" s="6" t="s">
        <v>5938</v>
      </c>
      <c r="G1240" s="6" t="s">
        <v>6395</v>
      </c>
      <c r="H1240" s="18" t="str">
        <f t="shared" si="102"/>
        <v>JOHN
PHIBBAH (P9
P7)</v>
      </c>
      <c r="I1240" s="6" t="s">
        <v>533</v>
      </c>
      <c r="J1240" s="6" t="s">
        <v>6396</v>
      </c>
      <c r="K1240" s="6" t="s">
        <v>284</v>
      </c>
      <c r="L1240" s="6" t="s">
        <v>55</v>
      </c>
      <c r="M1240" s="18" t="str">
        <f>VLOOKUP(L1240, GLOSSARY!$A:$C, 2, FALSE)</f>
        <v>EGYPT ESTATE</v>
      </c>
      <c r="N1240" s="6" t="s">
        <v>68</v>
      </c>
      <c r="O1240" s="6"/>
      <c r="P1240" s="6"/>
      <c r="Q1240" s="6"/>
      <c r="R1240" s="6"/>
      <c r="S1240" s="6"/>
      <c r="T1240" s="6"/>
      <c r="U1240" s="6"/>
      <c r="V1240" s="6"/>
      <c r="W1240" s="6"/>
      <c r="X1240" s="6"/>
      <c r="Y1240" s="6"/>
      <c r="Z1240" s="6"/>
      <c r="AA1240" s="6"/>
      <c r="AB1240" s="6"/>
      <c r="AC1240" s="6"/>
      <c r="AD1240" s="6"/>
      <c r="AE1240" s="6"/>
    </row>
    <row r="1241" spans="1:31" ht="89.25" x14ac:dyDescent="0.2">
      <c r="A1241" s="6" t="s">
        <v>6399</v>
      </c>
      <c r="B1241" s="6" t="s">
        <v>5209</v>
      </c>
      <c r="C1241" s="20" t="s">
        <v>6400</v>
      </c>
      <c r="D1241" s="6" t="s">
        <v>6401</v>
      </c>
      <c r="E1241" s="6"/>
      <c r="F1241" s="6" t="s">
        <v>6402</v>
      </c>
      <c r="G1241" s="6" t="s">
        <v>6403</v>
      </c>
      <c r="H1241" s="6" t="str">
        <f t="shared" si="102"/>
        <v>THE NEIGHBOR
VINE'S MOTHER (P46
P242)</v>
      </c>
      <c r="I1241" s="6" t="s">
        <v>1068</v>
      </c>
      <c r="J1241" s="6" t="s">
        <v>417</v>
      </c>
      <c r="K1241" s="6"/>
      <c r="L1241" s="6" t="s">
        <v>158</v>
      </c>
      <c r="M1241" s="6" t="str">
        <f>VLOOKUP(L1241, GLOSSARY!$A:$C, 2, FALSE)</f>
        <v>CABARITTA ESTATE</v>
      </c>
      <c r="N1241" s="6" t="s">
        <v>167</v>
      </c>
      <c r="O1241" s="6"/>
      <c r="P1241" s="6"/>
      <c r="Q1241" s="6"/>
      <c r="R1241" s="6"/>
      <c r="S1241" s="6"/>
      <c r="T1241" s="6"/>
      <c r="U1241" s="6"/>
      <c r="V1241" s="6"/>
      <c r="W1241" s="6"/>
      <c r="X1241" s="6"/>
      <c r="Y1241" s="6"/>
      <c r="Z1241" s="6"/>
      <c r="AA1241" s="6"/>
      <c r="AB1241" s="6"/>
      <c r="AC1241" s="6"/>
      <c r="AD1241" s="6"/>
      <c r="AE1241" s="6"/>
    </row>
    <row r="1242" spans="1:31" ht="127.5" x14ac:dyDescent="0.2">
      <c r="A1242" s="6" t="s">
        <v>6404</v>
      </c>
      <c r="B1242" s="6" t="s">
        <v>6405</v>
      </c>
      <c r="C1242" s="20" t="s">
        <v>6406</v>
      </c>
      <c r="D1242" s="6" t="s">
        <v>6407</v>
      </c>
      <c r="E1242" s="6"/>
      <c r="F1242" s="6" t="s">
        <v>6408</v>
      </c>
      <c r="G1242" s="6" t="s">
        <v>6409</v>
      </c>
      <c r="H1242" s="6" t="str">
        <f t="shared" si="102"/>
        <v>EGYPT LUCY
MASON QUASHE
DANIEL
THE OVERSEER (P3
P25
P42
P43)</v>
      </c>
      <c r="I1242" s="6" t="s">
        <v>112</v>
      </c>
      <c r="J1242" s="6"/>
      <c r="K1242" s="6"/>
      <c r="L1242" s="6" t="s">
        <v>55</v>
      </c>
      <c r="M1242" s="6" t="str">
        <f>VLOOKUP(L1242, GLOSSARY!$A:$C, 2, FALSE)</f>
        <v>EGYPT ESTATE</v>
      </c>
      <c r="N1242" s="6" t="s">
        <v>68</v>
      </c>
      <c r="O1242" s="6"/>
      <c r="P1242" s="6"/>
      <c r="Q1242" s="6"/>
      <c r="R1242" s="6"/>
      <c r="S1242" s="6"/>
      <c r="T1242" s="6"/>
      <c r="U1242" s="6"/>
      <c r="V1242" s="6"/>
      <c r="W1242" s="6"/>
      <c r="X1242" s="6"/>
      <c r="Y1242" s="6"/>
      <c r="Z1242" s="6"/>
      <c r="AA1242" s="6"/>
      <c r="AB1242" s="6"/>
      <c r="AC1242" s="6"/>
      <c r="AD1242" s="6"/>
      <c r="AE1242" s="6"/>
    </row>
    <row r="1243" spans="1:31" ht="409.5" x14ac:dyDescent="0.2">
      <c r="A1243" s="6" t="s">
        <v>5341</v>
      </c>
      <c r="B1243" s="6" t="s">
        <v>6410</v>
      </c>
      <c r="C1243" s="20" t="s">
        <v>6411</v>
      </c>
      <c r="D1243" s="6" t="s">
        <v>6412</v>
      </c>
      <c r="E1243" s="6"/>
      <c r="F1243" s="6" t="s">
        <v>6413</v>
      </c>
      <c r="G1243" s="16" t="s">
        <v>6414</v>
      </c>
      <c r="H1243" s="6" t="str">
        <f>CONCATENATE(F1243,"(",G1243,")")</f>
        <v>THE OVERSEER
ABBA
MARY
JOHNIE
SALLY
OWORIA
CUKOR
LINCOLN
EGYPT DRIVER JOHNIE
ABASSE
SAWNO;DOWOTRONNY
NANNY
OGO
SUKEY
MOLIA(P43
P6
P37
P38
P39
P40
P17
P15
P24
P84
P20
P21
P110)</v>
      </c>
      <c r="I1243" s="6" t="s">
        <v>759</v>
      </c>
      <c r="J1243" s="6" t="s">
        <v>6415</v>
      </c>
      <c r="K1243" s="6"/>
      <c r="L1243" s="6" t="s">
        <v>55</v>
      </c>
      <c r="M1243" s="6" t="str">
        <f>VLOOKUP(L1243, GLOSSARY!$A:$C, 2, FALSE)</f>
        <v>EGYPT ESTATE</v>
      </c>
      <c r="N1243" s="6" t="s">
        <v>68</v>
      </c>
      <c r="O1243" s="6"/>
      <c r="P1243" s="6"/>
      <c r="Q1243" s="6"/>
      <c r="R1243" s="6"/>
      <c r="S1243" s="6"/>
      <c r="T1243" s="6"/>
      <c r="U1243" s="6"/>
      <c r="V1243" s="6"/>
      <c r="W1243" s="6"/>
      <c r="X1243" s="6"/>
      <c r="Y1243" s="6"/>
      <c r="Z1243" s="6"/>
      <c r="AA1243" s="6"/>
      <c r="AB1243" s="6"/>
      <c r="AC1243" s="6"/>
      <c r="AD1243" s="6"/>
      <c r="AE1243" s="6"/>
    </row>
    <row r="1244" spans="1:31" ht="51" x14ac:dyDescent="0.2">
      <c r="A1244" s="6" t="s">
        <v>6416</v>
      </c>
      <c r="B1244" s="6" t="s">
        <v>6417</v>
      </c>
      <c r="C1244" s="20" t="s">
        <v>6418</v>
      </c>
      <c r="D1244" s="6" t="s">
        <v>6419</v>
      </c>
      <c r="E1244" s="6"/>
      <c r="F1244" s="6" t="s">
        <v>101</v>
      </c>
      <c r="G1244" s="6" t="s">
        <v>100</v>
      </c>
      <c r="H1244" s="6" t="str">
        <f t="shared" ref="H1244:H1247" si="103">CONCATENATE(F1244," (",G1244,")")</f>
        <v>PHIBBAH (P7)</v>
      </c>
      <c r="I1244" s="6" t="s">
        <v>935</v>
      </c>
      <c r="J1244" s="6"/>
      <c r="K1244" s="6"/>
      <c r="L1244" s="6" t="s">
        <v>55</v>
      </c>
      <c r="M1244" s="6" t="str">
        <f>VLOOKUP(L1244, GLOSSARY!$A:$C, 2, FALSE)</f>
        <v>EGYPT ESTATE</v>
      </c>
      <c r="N1244" s="6" t="s">
        <v>68</v>
      </c>
      <c r="O1244" s="6"/>
      <c r="P1244" s="6"/>
      <c r="Q1244" s="6"/>
      <c r="R1244" s="6"/>
      <c r="S1244" s="6"/>
      <c r="T1244" s="6"/>
      <c r="U1244" s="6"/>
      <c r="V1244" s="6"/>
      <c r="W1244" s="6"/>
      <c r="X1244" s="6"/>
      <c r="Y1244" s="6"/>
      <c r="Z1244" s="6"/>
      <c r="AA1244" s="6"/>
      <c r="AB1244" s="6"/>
      <c r="AC1244" s="6"/>
      <c r="AD1244" s="6"/>
      <c r="AE1244" s="6"/>
    </row>
    <row r="1245" spans="1:31" ht="12.75" x14ac:dyDescent="0.2">
      <c r="A1245" s="6" t="s">
        <v>6420</v>
      </c>
      <c r="B1245" s="6" t="s">
        <v>6421</v>
      </c>
      <c r="C1245" s="20" t="s">
        <v>6422</v>
      </c>
      <c r="D1245" s="6" t="s">
        <v>6423</v>
      </c>
      <c r="E1245" s="6"/>
      <c r="F1245" s="6" t="s">
        <v>29</v>
      </c>
      <c r="G1245" s="6" t="s">
        <v>28</v>
      </c>
      <c r="H1245" s="6" t="str">
        <f t="shared" si="103"/>
        <v>MOLIA (P1)</v>
      </c>
      <c r="I1245" s="6" t="s">
        <v>656</v>
      </c>
      <c r="J1245" s="6" t="s">
        <v>6424</v>
      </c>
      <c r="K1245" s="6"/>
      <c r="L1245" s="6" t="s">
        <v>55</v>
      </c>
      <c r="M1245" s="6" t="str">
        <f>VLOOKUP(L1245, GLOSSARY!$A:$C, 2, FALSE)</f>
        <v>EGYPT ESTATE</v>
      </c>
      <c r="N1245" s="6" t="s">
        <v>68</v>
      </c>
      <c r="O1245" s="6"/>
      <c r="P1245" s="6"/>
      <c r="Q1245" s="6"/>
      <c r="R1245" s="6"/>
      <c r="S1245" s="6"/>
      <c r="T1245" s="6"/>
      <c r="U1245" s="6"/>
      <c r="V1245" s="6"/>
      <c r="W1245" s="6"/>
      <c r="X1245" s="6"/>
      <c r="Y1245" s="6"/>
      <c r="Z1245" s="6"/>
      <c r="AA1245" s="6"/>
      <c r="AB1245" s="6"/>
      <c r="AC1245" s="6"/>
      <c r="AD1245" s="6"/>
      <c r="AE1245" s="6"/>
    </row>
    <row r="1246" spans="1:31" ht="114.75" x14ac:dyDescent="0.2">
      <c r="A1246" s="6" t="s">
        <v>6420</v>
      </c>
      <c r="B1246" s="6" t="s">
        <v>6421</v>
      </c>
      <c r="C1246" s="20" t="s">
        <v>6425</v>
      </c>
      <c r="D1246" s="6" t="s">
        <v>6426</v>
      </c>
      <c r="E1246" s="6"/>
      <c r="F1246" s="6" t="s">
        <v>6427</v>
      </c>
      <c r="G1246" s="6" t="s">
        <v>6428</v>
      </c>
      <c r="H1246" s="6" t="str">
        <f t="shared" si="103"/>
        <v>MOLIA
HERCULES (P1
P261)</v>
      </c>
      <c r="I1246" s="6" t="s">
        <v>656</v>
      </c>
      <c r="J1246" s="6" t="s">
        <v>6424</v>
      </c>
      <c r="K1246" s="6"/>
      <c r="L1246" s="6" t="s">
        <v>3124</v>
      </c>
      <c r="M1246" s="6" t="str">
        <f>VLOOKUP(L1246, GLOSSARY!$A:$C, 2, FALSE)</f>
        <v>MORRIS' HUT</v>
      </c>
      <c r="N1246" s="6" t="s">
        <v>167</v>
      </c>
      <c r="O1246" s="6"/>
      <c r="P1246" s="6"/>
      <c r="Q1246" s="6"/>
      <c r="R1246" s="6"/>
      <c r="S1246" s="6"/>
      <c r="T1246" s="6"/>
      <c r="U1246" s="6"/>
      <c r="V1246" s="6"/>
      <c r="W1246" s="6"/>
      <c r="X1246" s="6"/>
      <c r="Y1246" s="6"/>
      <c r="Z1246" s="6"/>
      <c r="AA1246" s="6"/>
      <c r="AB1246" s="6"/>
      <c r="AC1246" s="6"/>
      <c r="AD1246" s="6"/>
      <c r="AE1246" s="6"/>
    </row>
    <row r="1247" spans="1:31" ht="38.25" x14ac:dyDescent="0.2">
      <c r="A1247" s="6" t="s">
        <v>6429</v>
      </c>
      <c r="B1247" s="6" t="s">
        <v>6337</v>
      </c>
      <c r="C1247" s="20" t="s">
        <v>6430</v>
      </c>
      <c r="D1247" s="6" t="s">
        <v>6431</v>
      </c>
      <c r="E1247" s="6"/>
      <c r="F1247" s="6" t="s">
        <v>617</v>
      </c>
      <c r="G1247" s="6" t="s">
        <v>616</v>
      </c>
      <c r="H1247" s="6" t="str">
        <f t="shared" si="103"/>
        <v>JOHN HARTNOLE (P81)</v>
      </c>
      <c r="I1247" s="6" t="s">
        <v>248</v>
      </c>
      <c r="J1247" s="6"/>
      <c r="K1247" s="6"/>
      <c r="L1247" s="6" t="s">
        <v>55</v>
      </c>
      <c r="M1247" s="6" t="str">
        <f>VLOOKUP(L1247, GLOSSARY!$A:$C, 2, FALSE)</f>
        <v>EGYPT ESTATE</v>
      </c>
      <c r="N1247" s="6"/>
      <c r="O1247" s="6"/>
      <c r="P1247" s="6"/>
      <c r="Q1247" s="6"/>
      <c r="R1247" s="6"/>
      <c r="S1247" s="6"/>
      <c r="T1247" s="6"/>
      <c r="U1247" s="6"/>
      <c r="V1247" s="6"/>
      <c r="W1247" s="6"/>
      <c r="X1247" s="6"/>
      <c r="Y1247" s="6"/>
      <c r="Z1247" s="6"/>
      <c r="AA1247" s="6"/>
      <c r="AB1247" s="6"/>
      <c r="AC1247" s="6"/>
      <c r="AD1247" s="6"/>
      <c r="AE1247" s="6"/>
    </row>
    <row r="1248" spans="1:31" ht="63.75" x14ac:dyDescent="0.2">
      <c r="A1248" s="6" t="s">
        <v>6432</v>
      </c>
      <c r="B1248" s="6" t="s">
        <v>6433</v>
      </c>
      <c r="C1248" s="20" t="s">
        <v>6434</v>
      </c>
      <c r="D1248" s="6" t="s">
        <v>6435</v>
      </c>
      <c r="E1248" s="6"/>
      <c r="F1248" s="6" t="s">
        <v>6209</v>
      </c>
      <c r="G1248" s="6" t="s">
        <v>6436</v>
      </c>
      <c r="H1248" s="6" t="str">
        <f>CONCATENATE(F1248,"(",G1248,")")</f>
        <v>MOLIA
THE OVERSEER(P1
P43)</v>
      </c>
      <c r="I1248" s="6" t="s">
        <v>409</v>
      </c>
      <c r="J1248" s="6"/>
      <c r="K1248" s="6"/>
      <c r="L1248" s="6" t="s">
        <v>55</v>
      </c>
      <c r="M1248" s="6" t="str">
        <f>VLOOKUP(L1248, GLOSSARY!$A:$C, 2, FALSE)</f>
        <v>EGYPT ESTATE</v>
      </c>
      <c r="N1248" s="6" t="s">
        <v>68</v>
      </c>
      <c r="O1248" s="6"/>
      <c r="P1248" s="6"/>
      <c r="Q1248" s="6"/>
      <c r="R1248" s="6"/>
      <c r="S1248" s="6"/>
      <c r="T1248" s="6"/>
      <c r="U1248" s="6"/>
      <c r="V1248" s="6"/>
      <c r="W1248" s="6"/>
      <c r="X1248" s="6"/>
      <c r="Y1248" s="6"/>
      <c r="Z1248" s="6"/>
      <c r="AA1248" s="6"/>
      <c r="AB1248" s="6"/>
      <c r="AC1248" s="6"/>
      <c r="AD1248" s="6"/>
      <c r="AE1248" s="6"/>
    </row>
    <row r="1249" spans="1:31" ht="409.5" x14ac:dyDescent="0.2">
      <c r="A1249" s="6" t="s">
        <v>6437</v>
      </c>
      <c r="B1249" s="6" t="s">
        <v>6438</v>
      </c>
      <c r="C1249" s="20" t="s">
        <v>6439</v>
      </c>
      <c r="D1249" s="6" t="s">
        <v>6440</v>
      </c>
      <c r="E1249" s="6"/>
      <c r="F1249" s="6" t="s">
        <v>6441</v>
      </c>
      <c r="G1249" s="6" t="s">
        <v>6442</v>
      </c>
      <c r="H1249" s="6" t="str">
        <f t="shared" ref="H1249:H1250" si="104">CONCATENATE(F1249," (",G1249,")")</f>
        <v>THE OVERSEER
SAM LEA
DAVID LOPEZ
JN RICHIE
MURDOCH MCLEOD
WILLIAM GOLDING
JOHN HAWKINS
THOMAS TOWNSEND
JAMES BROWN
MR. WHITTAKER
MR. ARCHER
THE PINKNEYS
NEPTUNE
 (P43
P140
P141
P142
P143
P144
P145
P146
P147
P148
P149
P107
)</v>
      </c>
      <c r="I1249" s="6" t="s">
        <v>112</v>
      </c>
      <c r="J1249" s="6"/>
      <c r="K1249" s="6"/>
      <c r="L1249" s="6" t="s">
        <v>6443</v>
      </c>
      <c r="M1249" s="6" t="s">
        <v>6444</v>
      </c>
      <c r="N1249" s="6"/>
      <c r="O1249" s="6"/>
      <c r="P1249" s="6"/>
      <c r="Q1249" s="6"/>
      <c r="R1249" s="6"/>
      <c r="S1249" s="6"/>
      <c r="T1249" s="6"/>
      <c r="U1249" s="6"/>
      <c r="V1249" s="6"/>
      <c r="W1249" s="6"/>
      <c r="X1249" s="6"/>
      <c r="Y1249" s="6"/>
      <c r="Z1249" s="6"/>
      <c r="AA1249" s="6"/>
      <c r="AB1249" s="6"/>
      <c r="AC1249" s="6"/>
      <c r="AD1249" s="6"/>
      <c r="AE1249" s="6"/>
    </row>
    <row r="1250" spans="1:31" ht="114.75" x14ac:dyDescent="0.2">
      <c r="A1250" s="6" t="s">
        <v>6445</v>
      </c>
      <c r="B1250" s="6" t="s">
        <v>6446</v>
      </c>
      <c r="C1250" s="20" t="s">
        <v>6447</v>
      </c>
      <c r="D1250" s="6" t="s">
        <v>6448</v>
      </c>
      <c r="E1250" s="6"/>
      <c r="F1250" s="6" t="s">
        <v>6449</v>
      </c>
      <c r="G1250" s="6" t="s">
        <v>6450</v>
      </c>
      <c r="H1250" s="6" t="str">
        <f t="shared" si="104"/>
        <v>MOLIA
MR. CHAMBER'S JENNY
THE OVERSEER (P1
P266
P43)</v>
      </c>
      <c r="I1250" s="6" t="s">
        <v>112</v>
      </c>
      <c r="J1250" s="6"/>
      <c r="K1250" s="6"/>
      <c r="L1250" s="6" t="s">
        <v>55</v>
      </c>
      <c r="M1250" s="6" t="str">
        <f>VLOOKUP(L1250, GLOSSARY!$A:$C, 2, FALSE)</f>
        <v>EGYPT ESTATE</v>
      </c>
      <c r="N1250" s="6" t="s">
        <v>68</v>
      </c>
      <c r="O1250" s="6"/>
      <c r="P1250" s="6"/>
      <c r="Q1250" s="6"/>
      <c r="R1250" s="6"/>
      <c r="S1250" s="6"/>
      <c r="T1250" s="6"/>
      <c r="U1250" s="6"/>
      <c r="V1250" s="6"/>
      <c r="W1250" s="6"/>
      <c r="X1250" s="6"/>
      <c r="Y1250" s="6"/>
      <c r="Z1250" s="6"/>
      <c r="AA1250" s="6"/>
      <c r="AB1250" s="6"/>
      <c r="AC1250" s="6"/>
      <c r="AD1250" s="6"/>
      <c r="AE1250" s="6"/>
    </row>
    <row r="1251" spans="1:31" ht="38.25" x14ac:dyDescent="0.2">
      <c r="A1251" s="6" t="s">
        <v>6451</v>
      </c>
      <c r="B1251" s="6" t="s">
        <v>6452</v>
      </c>
      <c r="C1251" s="20" t="s">
        <v>6453</v>
      </c>
      <c r="D1251" s="6" t="s">
        <v>6454</v>
      </c>
      <c r="E1251" s="6"/>
      <c r="F1251" s="6"/>
      <c r="G1251" s="6"/>
      <c r="H1251" s="6" t="str">
        <f>CONCATENATE(F1251,"(",G1251,")")</f>
        <v>()</v>
      </c>
      <c r="I1251" s="6" t="s">
        <v>326</v>
      </c>
      <c r="J1251" s="6"/>
      <c r="K1251" s="6"/>
      <c r="L1251" s="6"/>
      <c r="M1251" s="6" t="e">
        <f>VLOOKUP(L1251, GLOSSARY!$A:$C, 2, FALSE)</f>
        <v>#N/A</v>
      </c>
      <c r="N1251" s="6"/>
      <c r="O1251" s="6"/>
      <c r="P1251" s="6"/>
      <c r="Q1251" s="6"/>
      <c r="R1251" s="6"/>
      <c r="S1251" s="6"/>
      <c r="T1251" s="6"/>
      <c r="U1251" s="6"/>
      <c r="V1251" s="6"/>
      <c r="W1251" s="6"/>
      <c r="X1251" s="6"/>
      <c r="Y1251" s="6"/>
      <c r="Z1251" s="6"/>
      <c r="AA1251" s="6"/>
      <c r="AB1251" s="6"/>
      <c r="AC1251" s="6"/>
      <c r="AD1251" s="6"/>
      <c r="AE1251" s="6"/>
    </row>
    <row r="1252" spans="1:31" ht="63.75" x14ac:dyDescent="0.2">
      <c r="A1252" s="6" t="s">
        <v>6455</v>
      </c>
      <c r="B1252" s="6" t="s">
        <v>6456</v>
      </c>
      <c r="C1252" s="20" t="s">
        <v>6457</v>
      </c>
      <c r="D1252" s="6" t="s">
        <v>6458</v>
      </c>
      <c r="E1252" s="6"/>
      <c r="F1252" s="6" t="s">
        <v>6459</v>
      </c>
      <c r="G1252" s="6" t="s">
        <v>6460</v>
      </c>
      <c r="H1252" s="6" t="str">
        <f>CONCATENATE(F1252," (",G1252,")")</f>
        <v>EGYPT LUCY
JOHN HARTNOLE (P3
P81)</v>
      </c>
      <c r="I1252" s="6" t="s">
        <v>139</v>
      </c>
      <c r="J1252" s="6"/>
      <c r="K1252" s="6"/>
      <c r="L1252" s="6" t="s">
        <v>209</v>
      </c>
      <c r="M1252" s="6" t="str">
        <f>VLOOKUP(L1252, GLOSSARY!$A:$C, 2, FALSE)</f>
        <v>BREADNUT ISLAND PEN</v>
      </c>
      <c r="N1252" s="6" t="s">
        <v>167</v>
      </c>
      <c r="O1252" s="6"/>
      <c r="P1252" s="6"/>
      <c r="Q1252" s="6"/>
      <c r="R1252" s="6"/>
      <c r="S1252" s="6"/>
      <c r="T1252" s="6"/>
      <c r="U1252" s="6"/>
      <c r="V1252" s="6"/>
      <c r="W1252" s="6"/>
      <c r="X1252" s="6"/>
      <c r="Y1252" s="6"/>
      <c r="Z1252" s="6"/>
      <c r="AA1252" s="6"/>
      <c r="AB1252" s="6"/>
      <c r="AC1252" s="6"/>
      <c r="AD1252" s="6"/>
      <c r="AE1252" s="6"/>
    </row>
    <row r="1253" spans="1:31" ht="409.5" x14ac:dyDescent="0.2">
      <c r="A1253" s="6" t="s">
        <v>6461</v>
      </c>
      <c r="B1253" s="6" t="s">
        <v>6462</v>
      </c>
      <c r="C1253" s="20" t="s">
        <v>6463</v>
      </c>
      <c r="D1253" s="6" t="s">
        <v>6464</v>
      </c>
      <c r="E1253" s="6"/>
      <c r="F1253" s="6" t="s">
        <v>779</v>
      </c>
      <c r="G1253" s="6" t="s">
        <v>780</v>
      </c>
      <c r="H1253" s="6" t="str">
        <f>CONCATENATE(F1253,"(",G1253,")")</f>
        <v>EGYPT FIELDHANDS(P315)</v>
      </c>
      <c r="I1253" s="6" t="s">
        <v>759</v>
      </c>
      <c r="J1253" s="6"/>
      <c r="K1253" s="6"/>
      <c r="L1253" s="6" t="s">
        <v>55</v>
      </c>
      <c r="M1253" s="6" t="str">
        <f>VLOOKUP(L1253, GLOSSARY!$A:$C, 2, FALSE)</f>
        <v>EGYPT ESTATE</v>
      </c>
      <c r="N1253" s="6"/>
      <c r="O1253" s="6"/>
      <c r="P1253" s="6"/>
      <c r="Q1253" s="6"/>
      <c r="R1253" s="6"/>
      <c r="S1253" s="6"/>
      <c r="T1253" s="6"/>
      <c r="U1253" s="6"/>
      <c r="V1253" s="6"/>
      <c r="W1253" s="6"/>
      <c r="X1253" s="6"/>
      <c r="Y1253" s="6"/>
      <c r="Z1253" s="6"/>
      <c r="AA1253" s="6"/>
      <c r="AB1253" s="6"/>
      <c r="AC1253" s="6"/>
      <c r="AD1253" s="6"/>
      <c r="AE1253" s="6"/>
    </row>
    <row r="1254" spans="1:31" ht="114.75" x14ac:dyDescent="0.2">
      <c r="A1254" s="6" t="s">
        <v>6465</v>
      </c>
      <c r="B1254" s="6" t="s">
        <v>2252</v>
      </c>
      <c r="C1254" s="20" t="s">
        <v>6466</v>
      </c>
      <c r="D1254" s="6" t="s">
        <v>6467</v>
      </c>
      <c r="E1254" s="6"/>
      <c r="F1254" s="6" t="s">
        <v>6468</v>
      </c>
      <c r="G1254" s="6" t="s">
        <v>6469</v>
      </c>
      <c r="H1254" s="6" t="str">
        <f t="shared" ref="H1254:H1259" si="105">CONCATENATE(F1254," (",G1254,")")</f>
        <v>LINCOLN
PLATO
THE OVERSEER (P24
P208
P43)</v>
      </c>
      <c r="I1254" s="6" t="s">
        <v>112</v>
      </c>
      <c r="J1254" s="6"/>
      <c r="K1254" s="6"/>
      <c r="L1254" s="6" t="s">
        <v>1121</v>
      </c>
      <c r="M1254" s="6" t="str">
        <f>VLOOKUP(L1254, GLOSSARY!$A:$C, 2, FALSE)</f>
        <v>SAVANNA LA MAR</v>
      </c>
      <c r="N1254" s="6"/>
      <c r="O1254" s="6"/>
      <c r="P1254" s="6"/>
      <c r="Q1254" s="6"/>
      <c r="R1254" s="6"/>
      <c r="S1254" s="6"/>
      <c r="T1254" s="6"/>
      <c r="U1254" s="6"/>
      <c r="V1254" s="6"/>
      <c r="W1254" s="6"/>
      <c r="X1254" s="6"/>
      <c r="Y1254" s="6"/>
      <c r="Z1254" s="6"/>
      <c r="AA1254" s="6"/>
      <c r="AB1254" s="6"/>
      <c r="AC1254" s="6"/>
      <c r="AD1254" s="6"/>
      <c r="AE1254" s="6"/>
    </row>
    <row r="1255" spans="1:31" ht="409.5" x14ac:dyDescent="0.2">
      <c r="A1255" s="6" t="s">
        <v>6470</v>
      </c>
      <c r="B1255" s="6" t="s">
        <v>2259</v>
      </c>
      <c r="C1255" s="20" t="s">
        <v>6471</v>
      </c>
      <c r="D1255" s="6" t="s">
        <v>6472</v>
      </c>
      <c r="E1255" s="6"/>
      <c r="F1255" s="6" t="s">
        <v>6473</v>
      </c>
      <c r="G1255" s="6" t="s">
        <v>6474</v>
      </c>
      <c r="H1255" s="6" t="str">
        <f t="shared" si="105"/>
        <v>LINCOLN
JOHNIE
ABASSE
OWORIA
CUKOR
CUDJOE
SAWNO/DOWOTRONNY
OGO
MOLIA
DAMSEL
NANNY
CHUB
JENNY
BESS
 (P24
P20
P38
P39
P40
P110
P60
P13
P1
P34
P15
P57
P104
P41)</v>
      </c>
      <c r="I1255" s="6" t="s">
        <v>784</v>
      </c>
      <c r="J1255" s="6"/>
      <c r="K1255" s="6"/>
      <c r="L1255" s="6" t="s">
        <v>186</v>
      </c>
      <c r="M1255" s="6" t="str">
        <f>VLOOKUP(L1255, GLOSSARY!$A:$C, 2, FALSE)</f>
        <v xml:space="preserve">WILDERNESS </v>
      </c>
      <c r="N1255" s="6"/>
      <c r="O1255" s="6"/>
      <c r="P1255" s="6"/>
      <c r="Q1255" s="6"/>
      <c r="R1255" s="6"/>
      <c r="S1255" s="6"/>
      <c r="T1255" s="6"/>
      <c r="U1255" s="6"/>
      <c r="V1255" s="6"/>
      <c r="W1255" s="6"/>
      <c r="X1255" s="6"/>
      <c r="Y1255" s="6"/>
      <c r="Z1255" s="6"/>
      <c r="AA1255" s="6"/>
      <c r="AB1255" s="6"/>
      <c r="AC1255" s="6"/>
      <c r="AD1255" s="6"/>
      <c r="AE1255" s="6"/>
    </row>
    <row r="1256" spans="1:31" ht="127.5" x14ac:dyDescent="0.2">
      <c r="A1256" s="6" t="s">
        <v>6475</v>
      </c>
      <c r="B1256" s="6" t="s">
        <v>6476</v>
      </c>
      <c r="C1256" s="20" t="s">
        <v>6477</v>
      </c>
      <c r="D1256" s="6" t="s">
        <v>6478</v>
      </c>
      <c r="E1256" s="6"/>
      <c r="F1256" s="6"/>
      <c r="G1256" s="6"/>
      <c r="H1256" s="6" t="str">
        <f t="shared" si="105"/>
        <v xml:space="preserve"> ()</v>
      </c>
      <c r="I1256" s="6" t="s">
        <v>784</v>
      </c>
      <c r="J1256" s="6"/>
      <c r="K1256" s="6"/>
      <c r="L1256" s="6" t="s">
        <v>6479</v>
      </c>
      <c r="M1256" s="6" t="s">
        <v>6480</v>
      </c>
      <c r="N1256" s="6" t="s">
        <v>68</v>
      </c>
      <c r="O1256" s="6"/>
      <c r="P1256" s="6"/>
      <c r="Q1256" s="6"/>
      <c r="R1256" s="6"/>
      <c r="S1256" s="6"/>
      <c r="T1256" s="6"/>
      <c r="U1256" s="6"/>
      <c r="V1256" s="6"/>
      <c r="W1256" s="6"/>
      <c r="X1256" s="6"/>
      <c r="Y1256" s="6"/>
      <c r="Z1256" s="6"/>
      <c r="AA1256" s="6"/>
      <c r="AB1256" s="6"/>
      <c r="AC1256" s="6"/>
      <c r="AD1256" s="6"/>
      <c r="AE1256" s="6"/>
    </row>
    <row r="1257" spans="1:31" ht="165.75" x14ac:dyDescent="0.2">
      <c r="A1257" s="6" t="s">
        <v>6481</v>
      </c>
      <c r="B1257" s="6" t="s">
        <v>6482</v>
      </c>
      <c r="C1257" s="20" t="s">
        <v>6483</v>
      </c>
      <c r="D1257" s="6" t="s">
        <v>6484</v>
      </c>
      <c r="E1257" s="6"/>
      <c r="F1257" s="6" t="s">
        <v>6485</v>
      </c>
      <c r="G1257" s="6" t="s">
        <v>6486</v>
      </c>
      <c r="H1257" s="6" t="str">
        <f t="shared" si="105"/>
        <v>EGYPT LUCY
PHIBBAH
OWORIA
MASON QUASHE (P3
P7
P40
P25)</v>
      </c>
      <c r="I1257" s="6" t="s">
        <v>859</v>
      </c>
      <c r="J1257" s="6"/>
      <c r="K1257" s="6"/>
      <c r="L1257" s="6" t="s">
        <v>99</v>
      </c>
      <c r="M1257" s="6" t="str">
        <f>VLOOKUP(L1257, GLOSSARY!$A:$C, 2, FALSE)</f>
        <v>PARADISE ESTATE</v>
      </c>
      <c r="N1257" s="6" t="s">
        <v>167</v>
      </c>
      <c r="O1257" s="6"/>
      <c r="P1257" s="6"/>
      <c r="Q1257" s="6"/>
      <c r="R1257" s="6"/>
      <c r="S1257" s="6"/>
      <c r="T1257" s="6"/>
      <c r="U1257" s="6"/>
      <c r="V1257" s="6"/>
      <c r="W1257" s="6"/>
      <c r="X1257" s="6"/>
      <c r="Y1257" s="6"/>
      <c r="Z1257" s="6"/>
      <c r="AA1257" s="6"/>
      <c r="AB1257" s="6"/>
      <c r="AC1257" s="6"/>
      <c r="AD1257" s="6"/>
      <c r="AE1257" s="6"/>
    </row>
    <row r="1258" spans="1:31" ht="114.75" x14ac:dyDescent="0.2">
      <c r="A1258" s="6" t="s">
        <v>6487</v>
      </c>
      <c r="B1258" s="6" t="s">
        <v>6488</v>
      </c>
      <c r="C1258" s="20" t="s">
        <v>6489</v>
      </c>
      <c r="D1258" s="6" t="s">
        <v>6490</v>
      </c>
      <c r="E1258" s="6"/>
      <c r="F1258" s="6" t="s">
        <v>6491</v>
      </c>
      <c r="G1258" s="6" t="s">
        <v>6492</v>
      </c>
      <c r="H1258" s="6" t="str">
        <f t="shared" si="105"/>
        <v>COOBAH
EVE
NAGUA (P16
P128
P207)</v>
      </c>
      <c r="I1258" s="6" t="s">
        <v>784</v>
      </c>
      <c r="J1258" s="6"/>
      <c r="K1258" s="6"/>
      <c r="L1258" s="6" t="s">
        <v>55</v>
      </c>
      <c r="M1258" s="6" t="str">
        <f>VLOOKUP(L1258, GLOSSARY!$A:$C, 2, FALSE)</f>
        <v>EGYPT ESTATE</v>
      </c>
      <c r="N1258" s="6" t="s">
        <v>68</v>
      </c>
      <c r="O1258" s="6"/>
      <c r="P1258" s="6"/>
      <c r="Q1258" s="6"/>
      <c r="R1258" s="6"/>
      <c r="S1258" s="6"/>
      <c r="T1258" s="6"/>
      <c r="U1258" s="6"/>
      <c r="V1258" s="6"/>
      <c r="W1258" s="6"/>
      <c r="X1258" s="6"/>
      <c r="Y1258" s="6"/>
      <c r="Z1258" s="6"/>
      <c r="AA1258" s="6"/>
      <c r="AB1258" s="6"/>
      <c r="AC1258" s="6"/>
      <c r="AD1258" s="6"/>
      <c r="AE1258" s="6"/>
    </row>
    <row r="1259" spans="1:31" ht="51" x14ac:dyDescent="0.2">
      <c r="A1259" s="6" t="s">
        <v>6493</v>
      </c>
      <c r="B1259" s="6" t="s">
        <v>2283</v>
      </c>
      <c r="C1259" s="20" t="s">
        <v>6494</v>
      </c>
      <c r="D1259" s="6" t="s">
        <v>6495</v>
      </c>
      <c r="E1259" s="6" t="s">
        <v>6496</v>
      </c>
      <c r="F1259" s="6" t="s">
        <v>6497</v>
      </c>
      <c r="G1259" s="6" t="s">
        <v>6498</v>
      </c>
      <c r="H1259" s="18" t="str">
        <f t="shared" si="105"/>
        <v>LITTLE MIMBER
MR. MILLER (P80
P127)</v>
      </c>
      <c r="I1259" s="6" t="s">
        <v>96</v>
      </c>
      <c r="J1259" s="6"/>
      <c r="K1259" s="6" t="s">
        <v>141</v>
      </c>
      <c r="L1259" s="6" t="s">
        <v>99</v>
      </c>
      <c r="M1259" s="18" t="str">
        <f>VLOOKUP(L1259, GLOSSARY!$A:$C, 2, FALSE)</f>
        <v>PARADISE ESTATE</v>
      </c>
      <c r="N1259" s="6" t="s">
        <v>68</v>
      </c>
      <c r="O1259" s="6"/>
      <c r="P1259" s="6"/>
      <c r="Q1259" s="6"/>
      <c r="R1259" s="6"/>
      <c r="S1259" s="6"/>
      <c r="T1259" s="6"/>
      <c r="U1259" s="6"/>
      <c r="V1259" s="6"/>
      <c r="W1259" s="6"/>
      <c r="X1259" s="6"/>
      <c r="Y1259" s="6"/>
      <c r="Z1259" s="6"/>
      <c r="AA1259" s="6"/>
      <c r="AB1259" s="6"/>
      <c r="AC1259" s="6"/>
      <c r="AD1259" s="6"/>
      <c r="AE1259" s="6"/>
    </row>
    <row r="1260" spans="1:31" ht="38.25" x14ac:dyDescent="0.2">
      <c r="A1260" s="6" t="s">
        <v>6499</v>
      </c>
      <c r="B1260" s="6" t="s">
        <v>6500</v>
      </c>
      <c r="C1260" s="20" t="s">
        <v>6501</v>
      </c>
      <c r="D1260" s="6" t="s">
        <v>6502</v>
      </c>
      <c r="E1260" s="6"/>
      <c r="F1260" s="6" t="s">
        <v>65</v>
      </c>
      <c r="G1260" s="6" t="s">
        <v>64</v>
      </c>
      <c r="H1260" s="6" t="str">
        <f>CONCATENATE(F1260,"(",G1260,")")</f>
        <v>JULINA(P4)</v>
      </c>
      <c r="I1260" s="6" t="s">
        <v>957</v>
      </c>
      <c r="J1260" s="6"/>
      <c r="K1260" s="6"/>
      <c r="L1260" s="6" t="s">
        <v>99</v>
      </c>
      <c r="M1260" s="6" t="str">
        <f>VLOOKUP(L1260, GLOSSARY!$A:$C, 2, FALSE)</f>
        <v>PARADISE ESTATE</v>
      </c>
      <c r="N1260" s="6" t="s">
        <v>68</v>
      </c>
      <c r="O1260" s="6"/>
      <c r="P1260" s="6"/>
      <c r="Q1260" s="6"/>
      <c r="R1260" s="6"/>
      <c r="S1260" s="6"/>
      <c r="T1260" s="6"/>
      <c r="U1260" s="6"/>
      <c r="V1260" s="6"/>
      <c r="W1260" s="6"/>
      <c r="X1260" s="6"/>
      <c r="Y1260" s="6"/>
      <c r="Z1260" s="6"/>
      <c r="AA1260" s="6"/>
      <c r="AB1260" s="6"/>
      <c r="AC1260" s="6"/>
      <c r="AD1260" s="6"/>
      <c r="AE1260" s="6"/>
    </row>
    <row r="1261" spans="1:31" ht="63.75" x14ac:dyDescent="0.2">
      <c r="A1261" s="6" t="s">
        <v>69</v>
      </c>
      <c r="B1261" s="6" t="s">
        <v>70</v>
      </c>
      <c r="C1261" s="20" t="s">
        <v>76</v>
      </c>
      <c r="D1261" s="6" t="s">
        <v>80</v>
      </c>
      <c r="E1261" s="6"/>
      <c r="F1261" s="6" t="s">
        <v>82</v>
      </c>
      <c r="G1261" s="6" t="s">
        <v>84</v>
      </c>
      <c r="H1261" s="6" t="str">
        <f>CONCATENATE(F1261," (",G1261,")")</f>
        <v>NANNY 
THE PLANTER'S WIFE (P15
P45)</v>
      </c>
      <c r="I1261" s="6" t="s">
        <v>96</v>
      </c>
      <c r="J1261" s="6" t="s">
        <v>97</v>
      </c>
      <c r="K1261" s="6"/>
      <c r="L1261" s="6" t="s">
        <v>99</v>
      </c>
      <c r="M1261" s="6" t="str">
        <f>VLOOKUP(L1261, GLOSSARY!$A:$C, 2, FALSE)</f>
        <v>PARADISE ESTATE</v>
      </c>
      <c r="N1261" s="6" t="s">
        <v>68</v>
      </c>
      <c r="O1261" s="6"/>
      <c r="P1261" s="6"/>
      <c r="Q1261" s="6"/>
      <c r="R1261" s="6"/>
      <c r="S1261" s="6"/>
      <c r="T1261" s="6"/>
      <c r="U1261" s="6"/>
      <c r="V1261" s="6"/>
      <c r="W1261" s="6"/>
      <c r="X1261" s="6"/>
      <c r="Y1261" s="6"/>
      <c r="Z1261" s="6"/>
      <c r="AA1261" s="6"/>
      <c r="AB1261" s="6"/>
      <c r="AC1261" s="6"/>
      <c r="AD1261" s="6"/>
      <c r="AE1261" s="6"/>
    </row>
    <row r="1262" spans="1:31" ht="409.5" x14ac:dyDescent="0.2">
      <c r="A1262" s="6" t="s">
        <v>6503</v>
      </c>
      <c r="B1262" s="6" t="s">
        <v>70</v>
      </c>
      <c r="C1262" s="20" t="s">
        <v>76</v>
      </c>
      <c r="D1262" s="6" t="s">
        <v>6504</v>
      </c>
      <c r="E1262" s="6"/>
      <c r="F1262" s="6" t="s">
        <v>6505</v>
      </c>
      <c r="G1262" s="6" t="s">
        <v>6506</v>
      </c>
      <c r="H1262" s="6" t="str">
        <f>CONCATENATE(F1262,"(",G1262,")")</f>
        <v>JIMMY
JUNO
ABIGAIL
DERBY
PHOEBE
PEGGY
SOLON
SYPHOX
JOHNIE
OGO(P54
P294
P118
P295
P58
P19
P26
P62
P84
P13)</v>
      </c>
      <c r="I1262" s="6" t="s">
        <v>533</v>
      </c>
      <c r="J1262" s="6"/>
      <c r="K1262" s="6"/>
      <c r="L1262" s="6" t="s">
        <v>1695</v>
      </c>
      <c r="M1262" s="6" t="str">
        <f>VLOOKUP(L1262, GLOSSARY!$A:$C, 2, FALSE)</f>
        <v>EGYPT ESTATE HOTHOUSE</v>
      </c>
      <c r="N1262" s="6" t="s">
        <v>68</v>
      </c>
      <c r="O1262" s="6"/>
      <c r="P1262" s="6"/>
      <c r="Q1262" s="6"/>
      <c r="R1262" s="6"/>
      <c r="S1262" s="6"/>
      <c r="T1262" s="6"/>
      <c r="U1262" s="6"/>
      <c r="V1262" s="6"/>
      <c r="W1262" s="6"/>
      <c r="X1262" s="6"/>
      <c r="Y1262" s="6"/>
      <c r="Z1262" s="6"/>
      <c r="AA1262" s="6"/>
      <c r="AB1262" s="6"/>
      <c r="AC1262" s="6"/>
      <c r="AD1262" s="6"/>
      <c r="AE1262" s="6"/>
    </row>
    <row r="1263" spans="1:31" ht="38.25" x14ac:dyDescent="0.2">
      <c r="A1263" s="6" t="s">
        <v>6507</v>
      </c>
      <c r="B1263" s="6" t="s">
        <v>2348</v>
      </c>
      <c r="C1263" s="20" t="s">
        <v>6508</v>
      </c>
      <c r="D1263" s="6" t="s">
        <v>6509</v>
      </c>
      <c r="E1263" s="6"/>
      <c r="F1263" s="6" t="s">
        <v>839</v>
      </c>
      <c r="G1263" s="6" t="s">
        <v>837</v>
      </c>
      <c r="H1263" s="6" t="str">
        <f t="shared" ref="H1263:H1264" si="106">CONCATENATE(F1263," (",G1263,")")</f>
        <v>EVE (P128)</v>
      </c>
      <c r="I1263" s="6" t="s">
        <v>96</v>
      </c>
      <c r="J1263" s="6"/>
      <c r="K1263" s="6"/>
      <c r="L1263" s="6" t="s">
        <v>99</v>
      </c>
      <c r="M1263" s="6" t="str">
        <f>VLOOKUP(L1263, GLOSSARY!$A:$C, 2, FALSE)</f>
        <v>PARADISE ESTATE</v>
      </c>
      <c r="N1263" s="6" t="s">
        <v>167</v>
      </c>
      <c r="O1263" s="6"/>
      <c r="P1263" s="6"/>
      <c r="Q1263" s="6"/>
      <c r="R1263" s="6"/>
      <c r="S1263" s="6"/>
      <c r="T1263" s="6"/>
      <c r="U1263" s="6"/>
      <c r="V1263" s="6"/>
      <c r="W1263" s="6"/>
      <c r="X1263" s="6"/>
      <c r="Y1263" s="6"/>
      <c r="Z1263" s="6"/>
      <c r="AA1263" s="6"/>
      <c r="AB1263" s="6"/>
      <c r="AC1263" s="6"/>
      <c r="AD1263" s="6"/>
      <c r="AE1263" s="6"/>
    </row>
    <row r="1264" spans="1:31" ht="63.75" x14ac:dyDescent="0.2">
      <c r="A1264" s="6" t="s">
        <v>6510</v>
      </c>
      <c r="B1264" s="6" t="s">
        <v>6511</v>
      </c>
      <c r="C1264" s="20" t="s">
        <v>6512</v>
      </c>
      <c r="D1264" s="6" t="s">
        <v>6513</v>
      </c>
      <c r="E1264" s="6"/>
      <c r="F1264" s="6" t="s">
        <v>6514</v>
      </c>
      <c r="G1264" s="6" t="s">
        <v>6515</v>
      </c>
      <c r="H1264" s="6" t="str">
        <f t="shared" si="106"/>
        <v>THE OVERSEER
OGO (P43
P13)</v>
      </c>
      <c r="I1264" s="6" t="s">
        <v>409</v>
      </c>
      <c r="J1264" s="6" t="s">
        <v>162</v>
      </c>
      <c r="K1264" s="6"/>
      <c r="L1264" s="6" t="s">
        <v>55</v>
      </c>
      <c r="M1264" s="6" t="str">
        <f>VLOOKUP(L1264, GLOSSARY!$A:$C, 2, FALSE)</f>
        <v>EGYPT ESTATE</v>
      </c>
      <c r="N1264" s="6" t="s">
        <v>68</v>
      </c>
      <c r="O1264" s="6"/>
      <c r="P1264" s="6"/>
      <c r="Q1264" s="6"/>
      <c r="R1264" s="6"/>
      <c r="S1264" s="6"/>
      <c r="T1264" s="6"/>
      <c r="U1264" s="6"/>
      <c r="V1264" s="6"/>
      <c r="W1264" s="6"/>
      <c r="X1264" s="6"/>
      <c r="Y1264" s="6"/>
      <c r="Z1264" s="6"/>
      <c r="AA1264" s="6"/>
      <c r="AB1264" s="6"/>
      <c r="AC1264" s="6"/>
      <c r="AD1264" s="6"/>
      <c r="AE1264" s="6"/>
    </row>
    <row r="1265" spans="1:31" ht="102" x14ac:dyDescent="0.2">
      <c r="A1265" s="6" t="s">
        <v>6516</v>
      </c>
      <c r="B1265" s="6" t="s">
        <v>2351</v>
      </c>
      <c r="C1265" s="20" t="s">
        <v>6517</v>
      </c>
      <c r="D1265" s="6" t="s">
        <v>6518</v>
      </c>
      <c r="E1265" s="6"/>
      <c r="F1265" s="6" t="s">
        <v>48</v>
      </c>
      <c r="G1265" s="6" t="s">
        <v>50</v>
      </c>
      <c r="H1265" s="6" t="str">
        <f>CONCATENATE(F1266,"(",G1265,")")</f>
        <v>THE OVERSEER
AMBO
JOHNIE [MALE DRIVER]
HENRY MCCORMICK(P43)</v>
      </c>
      <c r="I1265" s="6" t="s">
        <v>2834</v>
      </c>
      <c r="J1265" s="6"/>
      <c r="K1265" s="6"/>
      <c r="L1265" s="6" t="s">
        <v>55</v>
      </c>
      <c r="M1265" s="6" t="str">
        <f>VLOOKUP(L1265, GLOSSARY!$A:$C, 2, FALSE)</f>
        <v>EGYPT ESTATE</v>
      </c>
      <c r="N1265" s="6" t="s">
        <v>167</v>
      </c>
      <c r="O1265" s="6"/>
      <c r="P1265" s="6"/>
      <c r="Q1265" s="6"/>
      <c r="R1265" s="6"/>
      <c r="S1265" s="6"/>
      <c r="T1265" s="6"/>
      <c r="U1265" s="6"/>
      <c r="V1265" s="6"/>
      <c r="W1265" s="6"/>
      <c r="X1265" s="6"/>
      <c r="Y1265" s="6"/>
      <c r="Z1265" s="6"/>
      <c r="AA1265" s="6"/>
      <c r="AB1265" s="6"/>
      <c r="AC1265" s="6"/>
      <c r="AD1265" s="6"/>
      <c r="AE1265" s="6"/>
    </row>
    <row r="1266" spans="1:31" ht="165.75" x14ac:dyDescent="0.2">
      <c r="A1266" s="6" t="s">
        <v>6519</v>
      </c>
      <c r="B1266" s="6" t="s">
        <v>6520</v>
      </c>
      <c r="C1266" s="20" t="s">
        <v>6521</v>
      </c>
      <c r="D1266" s="6" t="s">
        <v>6522</v>
      </c>
      <c r="E1266" s="6"/>
      <c r="F1266" s="6" t="s">
        <v>6523</v>
      </c>
      <c r="G1266" s="6" t="s">
        <v>6524</v>
      </c>
      <c r="H1266" s="6" t="str">
        <f t="shared" ref="H1266:H1267" si="107">CONCATENATE(F1266," (",G1266,")")</f>
        <v>THE OVERSEER
AMBO
JOHNIE [MALE DRIVER]
HENRY MCCORMICK (P43
P170
P84
P264)</v>
      </c>
      <c r="I1266" s="6" t="s">
        <v>112</v>
      </c>
      <c r="J1266" s="6"/>
      <c r="K1266" s="6"/>
      <c r="L1266" s="6" t="s">
        <v>55</v>
      </c>
      <c r="M1266" s="6" t="str">
        <f>VLOOKUP(L1266, GLOSSARY!$A:$C, 2, FALSE)</f>
        <v>EGYPT ESTATE</v>
      </c>
      <c r="N1266" s="6" t="s">
        <v>167</v>
      </c>
      <c r="O1266" s="6"/>
      <c r="P1266" s="6"/>
      <c r="Q1266" s="6"/>
      <c r="R1266" s="6"/>
      <c r="S1266" s="6"/>
      <c r="T1266" s="6"/>
      <c r="U1266" s="6"/>
      <c r="V1266" s="6"/>
      <c r="W1266" s="6"/>
      <c r="X1266" s="6"/>
      <c r="Y1266" s="6"/>
      <c r="Z1266" s="6"/>
      <c r="AA1266" s="6"/>
      <c r="AB1266" s="6"/>
      <c r="AC1266" s="6"/>
      <c r="AD1266" s="6"/>
      <c r="AE1266" s="6"/>
    </row>
    <row r="1267" spans="1:31" ht="114.75" x14ac:dyDescent="0.2">
      <c r="A1267" s="6" t="s">
        <v>6525</v>
      </c>
      <c r="B1267" s="6" t="s">
        <v>6526</v>
      </c>
      <c r="C1267" s="20" t="s">
        <v>6527</v>
      </c>
      <c r="D1267" s="6" t="s">
        <v>6528</v>
      </c>
      <c r="E1267" s="6"/>
      <c r="F1267" s="6" t="s">
        <v>6529</v>
      </c>
      <c r="G1267" s="6" t="s">
        <v>6530</v>
      </c>
      <c r="H1267" s="6" t="str">
        <f t="shared" si="107"/>
        <v>JOB
THE OVERSEER
MR. HARTNOLE (P29
P43
P81)</v>
      </c>
      <c r="I1267" s="6" t="s">
        <v>112</v>
      </c>
      <c r="J1267" s="6"/>
      <c r="K1267" s="6"/>
      <c r="L1267" s="6" t="s">
        <v>55</v>
      </c>
      <c r="M1267" s="6" t="str">
        <f>VLOOKUP(L1267, GLOSSARY!$A:$C, 2, FALSE)</f>
        <v>EGYPT ESTATE</v>
      </c>
      <c r="N1267" s="6" t="s">
        <v>167</v>
      </c>
      <c r="O1267" s="6"/>
      <c r="P1267" s="6"/>
      <c r="Q1267" s="6"/>
      <c r="R1267" s="6"/>
      <c r="S1267" s="6"/>
      <c r="T1267" s="6"/>
      <c r="U1267" s="6"/>
      <c r="V1267" s="6"/>
      <c r="W1267" s="6"/>
      <c r="X1267" s="6"/>
      <c r="Y1267" s="6"/>
      <c r="Z1267" s="6"/>
      <c r="AA1267" s="6"/>
      <c r="AB1267" s="6"/>
      <c r="AC1267" s="6"/>
      <c r="AD1267" s="6"/>
      <c r="AE1267" s="6"/>
    </row>
    <row r="1268" spans="1:31" ht="38.25" x14ac:dyDescent="0.2">
      <c r="A1268" s="6" t="s">
        <v>6499</v>
      </c>
      <c r="B1268" s="6" t="s">
        <v>6531</v>
      </c>
      <c r="C1268" s="20" t="s">
        <v>6532</v>
      </c>
      <c r="D1268" s="6" t="s">
        <v>6533</v>
      </c>
      <c r="E1268" s="6"/>
      <c r="F1268" s="6" t="s">
        <v>65</v>
      </c>
      <c r="G1268" s="6" t="s">
        <v>64</v>
      </c>
      <c r="H1268" s="6" t="str">
        <f t="shared" ref="H1268:H1269" si="108">CONCATENATE(F1268,"(",G1268,")")</f>
        <v>JULINA(P4)</v>
      </c>
      <c r="I1268" s="6" t="s">
        <v>957</v>
      </c>
      <c r="J1268" s="6"/>
      <c r="K1268" s="6"/>
      <c r="L1268" s="6" t="s">
        <v>99</v>
      </c>
      <c r="M1268" s="6" t="str">
        <f>VLOOKUP(L1268, GLOSSARY!$A:$C, 2, FALSE)</f>
        <v>PARADISE ESTATE</v>
      </c>
      <c r="N1268" s="6" t="s">
        <v>68</v>
      </c>
      <c r="O1268" s="6"/>
      <c r="P1268" s="6"/>
      <c r="Q1268" s="6"/>
      <c r="R1268" s="6"/>
      <c r="S1268" s="6"/>
      <c r="T1268" s="6"/>
      <c r="U1268" s="6"/>
      <c r="V1268" s="6"/>
      <c r="W1268" s="6"/>
      <c r="X1268" s="6"/>
      <c r="Y1268" s="6"/>
      <c r="Z1268" s="6"/>
      <c r="AA1268" s="6"/>
      <c r="AB1268" s="6"/>
      <c r="AC1268" s="6"/>
      <c r="AD1268" s="6"/>
      <c r="AE1268" s="6"/>
    </row>
    <row r="1269" spans="1:31" ht="165.75" x14ac:dyDescent="0.2">
      <c r="A1269" s="6" t="s">
        <v>6534</v>
      </c>
      <c r="B1269" s="6" t="s">
        <v>6535</v>
      </c>
      <c r="C1269" s="20" t="s">
        <v>6532</v>
      </c>
      <c r="D1269" s="6" t="s">
        <v>6536</v>
      </c>
      <c r="E1269" s="6"/>
      <c r="F1269" s="6" t="s">
        <v>6537</v>
      </c>
      <c r="G1269" s="6" t="s">
        <v>6538</v>
      </c>
      <c r="H1269" s="6" t="str">
        <f t="shared" si="108"/>
        <v>JOHN
THE PROPRIETRESS
BESS
OLD LEANDRA(P9
P50
P41
P28)</v>
      </c>
      <c r="I1269" s="6" t="s">
        <v>3803</v>
      </c>
      <c r="J1269" s="6"/>
      <c r="K1269" s="6"/>
      <c r="L1269" s="6" t="s">
        <v>445</v>
      </c>
      <c r="M1269" s="6" t="str">
        <f>VLOOKUP(L1269, GLOSSARY!$A:$C, 2, FALSE)</f>
        <v>MRS. SARAH BENNETT'S</v>
      </c>
      <c r="N1269" s="6" t="s">
        <v>68</v>
      </c>
      <c r="O1269" s="6"/>
      <c r="P1269" s="6"/>
      <c r="Q1269" s="6"/>
      <c r="R1269" s="6"/>
      <c r="S1269" s="6"/>
      <c r="T1269" s="6"/>
      <c r="U1269" s="6"/>
      <c r="V1269" s="6"/>
      <c r="W1269" s="6"/>
      <c r="X1269" s="6"/>
      <c r="Y1269" s="6"/>
      <c r="Z1269" s="6"/>
      <c r="AA1269" s="6"/>
      <c r="AB1269" s="6"/>
      <c r="AC1269" s="6"/>
      <c r="AD1269" s="6"/>
      <c r="AE1269" s="6"/>
    </row>
    <row r="1270" spans="1:31" ht="51" x14ac:dyDescent="0.2">
      <c r="A1270" s="6" t="s">
        <v>6539</v>
      </c>
      <c r="B1270" s="6" t="s">
        <v>6540</v>
      </c>
      <c r="C1270" s="20" t="s">
        <v>6541</v>
      </c>
      <c r="D1270" s="6" t="s">
        <v>6542</v>
      </c>
      <c r="E1270" s="6"/>
      <c r="F1270" s="6" t="s">
        <v>6543</v>
      </c>
      <c r="G1270" s="6" t="s">
        <v>557</v>
      </c>
      <c r="H1270" s="6" t="str">
        <f t="shared" ref="H1270:H1274" si="109">CONCATENATE(F1270," (",G1270,")")</f>
        <v>ROBERT CHAMBERS (P70)</v>
      </c>
      <c r="I1270" s="6" t="s">
        <v>859</v>
      </c>
      <c r="J1270" s="6"/>
      <c r="K1270" s="6"/>
      <c r="L1270" s="6" t="s">
        <v>2951</v>
      </c>
      <c r="M1270" s="6" t="str">
        <f>VLOOKUP(L1270, GLOSSARY!$A:$C, 2, FALSE)</f>
        <v>NORTH AMERICA</v>
      </c>
      <c r="N1270" s="6" t="s">
        <v>68</v>
      </c>
      <c r="O1270" s="6"/>
      <c r="P1270" s="6"/>
      <c r="Q1270" s="6"/>
      <c r="R1270" s="6"/>
      <c r="S1270" s="6"/>
      <c r="T1270" s="6"/>
      <c r="U1270" s="6"/>
      <c r="V1270" s="6"/>
      <c r="W1270" s="6"/>
      <c r="X1270" s="6"/>
      <c r="Y1270" s="6"/>
      <c r="Z1270" s="6"/>
      <c r="AA1270" s="6"/>
      <c r="AB1270" s="6"/>
      <c r="AC1270" s="6"/>
      <c r="AD1270" s="6"/>
      <c r="AE1270" s="6"/>
    </row>
    <row r="1271" spans="1:31" ht="89.25" x14ac:dyDescent="0.2">
      <c r="A1271" s="6" t="s">
        <v>6544</v>
      </c>
      <c r="B1271" s="6" t="s">
        <v>6540</v>
      </c>
      <c r="C1271" s="20" t="s">
        <v>6541</v>
      </c>
      <c r="D1271" s="6" t="s">
        <v>6545</v>
      </c>
      <c r="E1271" s="6"/>
      <c r="F1271" s="6" t="s">
        <v>398</v>
      </c>
      <c r="G1271" s="6" t="s">
        <v>397</v>
      </c>
      <c r="H1271" s="6" t="str">
        <f t="shared" si="109"/>
        <v>THE PLANTER (P44)</v>
      </c>
      <c r="I1271" s="6" t="s">
        <v>248</v>
      </c>
      <c r="J1271" s="6"/>
      <c r="K1271" s="6"/>
      <c r="L1271" s="6" t="s">
        <v>6546</v>
      </c>
      <c r="M1271" s="6" t="s">
        <v>6547</v>
      </c>
      <c r="N1271" s="6"/>
      <c r="O1271" s="6"/>
      <c r="P1271" s="6"/>
      <c r="Q1271" s="6"/>
      <c r="R1271" s="6"/>
      <c r="S1271" s="6"/>
      <c r="T1271" s="6"/>
      <c r="U1271" s="6"/>
      <c r="V1271" s="6"/>
      <c r="W1271" s="6"/>
      <c r="X1271" s="6"/>
      <c r="Y1271" s="6"/>
      <c r="Z1271" s="6"/>
      <c r="AA1271" s="6"/>
      <c r="AB1271" s="6"/>
      <c r="AC1271" s="6"/>
      <c r="AD1271" s="6"/>
      <c r="AE1271" s="6"/>
    </row>
    <row r="1272" spans="1:31" ht="165.75" x14ac:dyDescent="0.2">
      <c r="A1272" s="6" t="s">
        <v>6154</v>
      </c>
      <c r="B1272" s="6" t="s">
        <v>6548</v>
      </c>
      <c r="C1272" s="20" t="s">
        <v>6549</v>
      </c>
      <c r="D1272" s="6" t="s">
        <v>6550</v>
      </c>
      <c r="E1272" s="6"/>
      <c r="F1272" s="6" t="s">
        <v>6551</v>
      </c>
      <c r="G1272" s="6" t="s">
        <v>6552</v>
      </c>
      <c r="H1272" s="6" t="str">
        <f t="shared" si="109"/>
        <v>THE OVERSEER
MRS. EMOTSON
SALLY
LINCOLN (P43
P93
P17
P24)</v>
      </c>
      <c r="I1272" s="6" t="s">
        <v>784</v>
      </c>
      <c r="J1272" s="6"/>
      <c r="K1272" s="6"/>
      <c r="L1272" s="6" t="s">
        <v>6553</v>
      </c>
      <c r="M1272" s="6" t="s">
        <v>6554</v>
      </c>
      <c r="N1272" s="6" t="s">
        <v>68</v>
      </c>
      <c r="O1272" s="6"/>
      <c r="P1272" s="6"/>
      <c r="Q1272" s="6"/>
      <c r="R1272" s="6"/>
      <c r="S1272" s="6"/>
      <c r="T1272" s="6"/>
      <c r="U1272" s="6"/>
      <c r="V1272" s="6"/>
      <c r="W1272" s="6"/>
      <c r="X1272" s="6"/>
      <c r="Y1272" s="6"/>
      <c r="Z1272" s="6"/>
      <c r="AA1272" s="6"/>
      <c r="AB1272" s="6"/>
      <c r="AC1272" s="6"/>
      <c r="AD1272" s="6"/>
      <c r="AE1272" s="6"/>
    </row>
    <row r="1273" spans="1:31" ht="165.75" x14ac:dyDescent="0.2">
      <c r="A1273" s="6" t="s">
        <v>6154</v>
      </c>
      <c r="B1273" s="6" t="s">
        <v>6555</v>
      </c>
      <c r="C1273" s="20" t="s">
        <v>6556</v>
      </c>
      <c r="D1273" s="6" t="s">
        <v>6557</v>
      </c>
      <c r="E1273" s="6"/>
      <c r="F1273" s="6" t="s">
        <v>6558</v>
      </c>
      <c r="G1273" s="6" t="s">
        <v>6559</v>
      </c>
      <c r="H1273" s="6" t="str">
        <f t="shared" si="109"/>
        <v>BESS
MRS. EMOTSON
SALLY
THE OVERSEER (P41
P93
P17
P43)</v>
      </c>
      <c r="I1273" s="6" t="s">
        <v>784</v>
      </c>
      <c r="J1273" s="6"/>
      <c r="K1273" s="6"/>
      <c r="L1273" s="6" t="s">
        <v>3085</v>
      </c>
      <c r="M1273" s="6" t="str">
        <f>VLOOKUP(L1273, GLOSSARY!$A:$C, 2, FALSE)</f>
        <v>EMOTSON'S TAVERN</v>
      </c>
      <c r="N1273" s="6" t="s">
        <v>68</v>
      </c>
      <c r="O1273" s="6"/>
      <c r="P1273" s="6"/>
      <c r="Q1273" s="6"/>
      <c r="R1273" s="6"/>
      <c r="S1273" s="6"/>
      <c r="T1273" s="6"/>
      <c r="U1273" s="6"/>
      <c r="V1273" s="6"/>
      <c r="W1273" s="6"/>
      <c r="X1273" s="6"/>
      <c r="Y1273" s="6"/>
      <c r="Z1273" s="6"/>
      <c r="AA1273" s="6"/>
      <c r="AB1273" s="6"/>
      <c r="AC1273" s="6"/>
      <c r="AD1273" s="6"/>
      <c r="AE1273" s="6"/>
    </row>
    <row r="1274" spans="1:31" ht="280.5" x14ac:dyDescent="0.2">
      <c r="A1274" s="6" t="s">
        <v>4063</v>
      </c>
      <c r="B1274" s="6" t="s">
        <v>6560</v>
      </c>
      <c r="C1274" s="20" t="s">
        <v>6561</v>
      </c>
      <c r="D1274" s="6" t="s">
        <v>6562</v>
      </c>
      <c r="E1274" s="6"/>
      <c r="F1274" s="6" t="s">
        <v>6563</v>
      </c>
      <c r="G1274" s="6" t="s">
        <v>6564</v>
      </c>
      <c r="H1274" s="6" t="str">
        <f t="shared" si="109"/>
        <v>NANNY
LITTLE PHIBBAH (P15
P22)</v>
      </c>
      <c r="I1274" s="6" t="s">
        <v>96</v>
      </c>
      <c r="J1274" s="6"/>
      <c r="K1274" s="6"/>
      <c r="L1274" s="6" t="s">
        <v>99</v>
      </c>
      <c r="M1274" s="6" t="str">
        <f>VLOOKUP(L1274, GLOSSARY!$A:$C, 2, FALSE)</f>
        <v>PARADISE ESTATE</v>
      </c>
      <c r="N1274" s="6" t="s">
        <v>167</v>
      </c>
      <c r="O1274" s="26" t="s">
        <v>6565</v>
      </c>
      <c r="P1274" s="6"/>
      <c r="Q1274" s="6"/>
      <c r="R1274" s="6"/>
      <c r="S1274" s="6"/>
      <c r="T1274" s="6"/>
      <c r="U1274" s="6"/>
      <c r="V1274" s="6"/>
      <c r="W1274" s="6"/>
      <c r="X1274" s="6"/>
      <c r="Y1274" s="6"/>
      <c r="Z1274" s="6"/>
      <c r="AA1274" s="6"/>
      <c r="AB1274" s="6"/>
      <c r="AC1274" s="6"/>
      <c r="AD1274" s="6"/>
      <c r="AE1274" s="6"/>
    </row>
    <row r="1275" spans="1:31" ht="293.25" x14ac:dyDescent="0.2">
      <c r="A1275" s="6" t="s">
        <v>6566</v>
      </c>
      <c r="B1275" s="6" t="s">
        <v>6567</v>
      </c>
      <c r="C1275" s="20" t="s">
        <v>6568</v>
      </c>
      <c r="D1275" s="6" t="s">
        <v>6569</v>
      </c>
      <c r="E1275" s="6"/>
      <c r="F1275" s="6" t="s">
        <v>6570</v>
      </c>
      <c r="G1275" s="6" t="s">
        <v>6571</v>
      </c>
      <c r="H1275" s="6" t="str">
        <f>CONCATENATE(F1275,"(",G1275,")")</f>
        <v>BECK
SILVIA
MARGARITTA
PHILLIS
NEPTUNE
EGYPT LUCY
SYPHOX
SOLON
PHOEBE
EGYPT FRANKE
MOLIA
(P361
P122
P345
P475
P107
P3
P62
P26
P58
P19
P59
P1)</v>
      </c>
      <c r="I1275" s="6" t="s">
        <v>533</v>
      </c>
      <c r="J1275" s="6"/>
      <c r="K1275" s="6"/>
      <c r="L1275" s="6" t="s">
        <v>1695</v>
      </c>
      <c r="M1275" s="6" t="str">
        <f>VLOOKUP(L1275, GLOSSARY!$A:$C, 2, FALSE)</f>
        <v>EGYPT ESTATE HOTHOUSE</v>
      </c>
      <c r="N1275" s="6" t="s">
        <v>68</v>
      </c>
      <c r="O1275" s="6"/>
      <c r="P1275" s="6"/>
      <c r="Q1275" s="6"/>
      <c r="R1275" s="6"/>
      <c r="S1275" s="6"/>
      <c r="T1275" s="6"/>
      <c r="U1275" s="6"/>
      <c r="V1275" s="6"/>
      <c r="W1275" s="6"/>
      <c r="X1275" s="6"/>
      <c r="Y1275" s="6"/>
      <c r="Z1275" s="6"/>
      <c r="AA1275" s="6"/>
      <c r="AB1275" s="6"/>
      <c r="AC1275" s="6"/>
      <c r="AD1275" s="6"/>
      <c r="AE1275" s="6"/>
    </row>
    <row r="1276" spans="1:31" ht="51" x14ac:dyDescent="0.2">
      <c r="A1276" s="6" t="s">
        <v>6507</v>
      </c>
      <c r="B1276" s="6" t="s">
        <v>6572</v>
      </c>
      <c r="C1276" s="20" t="s">
        <v>6573</v>
      </c>
      <c r="D1276" s="6" t="s">
        <v>6574</v>
      </c>
      <c r="E1276" s="6"/>
      <c r="F1276" s="6" t="s">
        <v>6575</v>
      </c>
      <c r="G1276" s="6" t="s">
        <v>6576</v>
      </c>
      <c r="H1276" s="6" t="str">
        <f t="shared" ref="H1276:H1281" si="110">CONCATENATE(F1276," (",G1276,")")</f>
        <v>EVE
EVE'S DAUGHTER (P128
P262)</v>
      </c>
      <c r="I1276" s="6" t="s">
        <v>96</v>
      </c>
      <c r="J1276" s="6"/>
      <c r="K1276" s="6"/>
      <c r="L1276" s="6" t="s">
        <v>6070</v>
      </c>
      <c r="M1276" s="6" t="s">
        <v>402</v>
      </c>
      <c r="N1276" s="6" t="s">
        <v>68</v>
      </c>
      <c r="O1276" s="6"/>
      <c r="P1276" s="6"/>
      <c r="Q1276" s="6"/>
      <c r="R1276" s="6"/>
      <c r="S1276" s="6"/>
      <c r="T1276" s="6"/>
      <c r="U1276" s="6"/>
      <c r="V1276" s="6"/>
      <c r="W1276" s="6"/>
      <c r="X1276" s="6"/>
      <c r="Y1276" s="6"/>
      <c r="Z1276" s="6"/>
      <c r="AA1276" s="6"/>
      <c r="AB1276" s="6"/>
      <c r="AC1276" s="6"/>
      <c r="AD1276" s="6"/>
      <c r="AE1276" s="6"/>
    </row>
    <row r="1277" spans="1:31" ht="63.75" x14ac:dyDescent="0.2">
      <c r="A1277" s="6" t="s">
        <v>6577</v>
      </c>
      <c r="B1277" s="6" t="s">
        <v>2381</v>
      </c>
      <c r="C1277" s="20" t="s">
        <v>6578</v>
      </c>
      <c r="D1277" s="6" t="s">
        <v>6579</v>
      </c>
      <c r="E1277" s="6"/>
      <c r="F1277" s="6" t="s">
        <v>6580</v>
      </c>
      <c r="G1277" s="6" t="s">
        <v>6581</v>
      </c>
      <c r="H1277" s="6" t="str">
        <f t="shared" si="110"/>
        <v>THE PLANTER'S WIFE
JULINA (P45
P4)</v>
      </c>
      <c r="I1277" s="6" t="s">
        <v>957</v>
      </c>
      <c r="J1277" s="6"/>
      <c r="K1277" s="6"/>
      <c r="L1277" s="6" t="s">
        <v>230</v>
      </c>
      <c r="M1277" s="6" t="s">
        <v>402</v>
      </c>
      <c r="N1277" s="6" t="s">
        <v>68</v>
      </c>
      <c r="O1277" s="6"/>
      <c r="P1277" s="6"/>
      <c r="Q1277" s="6"/>
      <c r="R1277" s="6"/>
      <c r="S1277" s="6"/>
      <c r="T1277" s="6"/>
      <c r="U1277" s="6"/>
      <c r="V1277" s="6"/>
      <c r="W1277" s="6"/>
      <c r="X1277" s="6"/>
      <c r="Y1277" s="6"/>
      <c r="Z1277" s="6"/>
      <c r="AA1277" s="6"/>
      <c r="AB1277" s="6"/>
      <c r="AC1277" s="6"/>
      <c r="AD1277" s="6"/>
      <c r="AE1277" s="6"/>
    </row>
    <row r="1278" spans="1:31" ht="25.5" x14ac:dyDescent="0.2">
      <c r="A1278" s="6" t="s">
        <v>6582</v>
      </c>
      <c r="B1278" s="6" t="s">
        <v>2381</v>
      </c>
      <c r="C1278" s="20" t="s">
        <v>6583</v>
      </c>
      <c r="D1278" s="6" t="s">
        <v>6584</v>
      </c>
      <c r="E1278" s="6"/>
      <c r="F1278" s="6" t="s">
        <v>6585</v>
      </c>
      <c r="G1278" s="6" t="s">
        <v>135</v>
      </c>
      <c r="H1278" s="6" t="str">
        <f t="shared" si="110"/>
        <v>HOUSE FRANK (P10)</v>
      </c>
      <c r="I1278" s="6" t="s">
        <v>859</v>
      </c>
      <c r="J1278" s="6"/>
      <c r="K1278" s="6"/>
      <c r="L1278" s="6" t="s">
        <v>55</v>
      </c>
      <c r="M1278" s="6" t="str">
        <f>VLOOKUP(L1278, GLOSSARY!$A:$C, 2, FALSE)</f>
        <v>EGYPT ESTATE</v>
      </c>
      <c r="N1278" s="6" t="s">
        <v>68</v>
      </c>
      <c r="O1278" s="6"/>
      <c r="P1278" s="6"/>
      <c r="Q1278" s="6"/>
      <c r="R1278" s="6"/>
      <c r="S1278" s="6"/>
      <c r="T1278" s="6"/>
      <c r="U1278" s="6"/>
      <c r="V1278" s="6"/>
      <c r="W1278" s="6"/>
      <c r="X1278" s="6"/>
      <c r="Y1278" s="6"/>
      <c r="Z1278" s="6"/>
      <c r="AA1278" s="6"/>
      <c r="AB1278" s="6"/>
      <c r="AC1278" s="6"/>
      <c r="AD1278" s="6"/>
      <c r="AE1278" s="6"/>
    </row>
    <row r="1279" spans="1:31" ht="63.75" x14ac:dyDescent="0.2">
      <c r="A1279" s="6" t="s">
        <v>6364</v>
      </c>
      <c r="B1279" s="6" t="s">
        <v>6586</v>
      </c>
      <c r="C1279" s="20" t="s">
        <v>6587</v>
      </c>
      <c r="D1279" s="6" t="s">
        <v>6588</v>
      </c>
      <c r="E1279" s="6"/>
      <c r="F1279" s="6" t="s">
        <v>2135</v>
      </c>
      <c r="G1279" s="6" t="s">
        <v>2136</v>
      </c>
      <c r="H1279" s="6" t="str">
        <f t="shared" si="110"/>
        <v>PHIBBAH
THE OVERSEER (P7
P43)</v>
      </c>
      <c r="I1279" s="6" t="s">
        <v>957</v>
      </c>
      <c r="J1279" s="6"/>
      <c r="K1279" s="6"/>
      <c r="L1279" s="6" t="s">
        <v>55</v>
      </c>
      <c r="M1279" s="6" t="str">
        <f>VLOOKUP(L1279, GLOSSARY!$A:$C, 2, FALSE)</f>
        <v>EGYPT ESTATE</v>
      </c>
      <c r="N1279" s="6" t="s">
        <v>68</v>
      </c>
      <c r="O1279" s="6"/>
      <c r="P1279" s="6"/>
      <c r="Q1279" s="6"/>
      <c r="R1279" s="6"/>
      <c r="S1279" s="6"/>
      <c r="T1279" s="6"/>
      <c r="U1279" s="6"/>
      <c r="V1279" s="6"/>
      <c r="W1279" s="6"/>
      <c r="X1279" s="6"/>
      <c r="Y1279" s="6"/>
      <c r="Z1279" s="6"/>
      <c r="AA1279" s="6"/>
      <c r="AB1279" s="6"/>
      <c r="AC1279" s="6"/>
      <c r="AD1279" s="6"/>
      <c r="AE1279" s="6"/>
    </row>
    <row r="1280" spans="1:31" ht="51" x14ac:dyDescent="0.2">
      <c r="A1280" s="6" t="s">
        <v>6589</v>
      </c>
      <c r="B1280" s="6" t="s">
        <v>6590</v>
      </c>
      <c r="C1280" s="20" t="s">
        <v>6591</v>
      </c>
      <c r="D1280" s="6" t="s">
        <v>6592</v>
      </c>
      <c r="E1280" s="6"/>
      <c r="F1280" s="6" t="s">
        <v>1571</v>
      </c>
      <c r="G1280" s="6" t="s">
        <v>1570</v>
      </c>
      <c r="H1280" s="6" t="str">
        <f t="shared" si="110"/>
        <v>YOUNG MR. LESLEY (P263)</v>
      </c>
      <c r="I1280" s="6" t="s">
        <v>1068</v>
      </c>
      <c r="J1280" s="6"/>
      <c r="K1280" s="6"/>
      <c r="L1280" s="6" t="s">
        <v>3073</v>
      </c>
      <c r="M1280" s="6" t="str">
        <f>VLOOKUP(L1280, GLOSSARY!$A:$C, 2, FALSE)</f>
        <v>MORELAND ESTATE</v>
      </c>
      <c r="N1280" s="6" t="s">
        <v>68</v>
      </c>
      <c r="O1280" s="6"/>
      <c r="P1280" s="6"/>
      <c r="Q1280" s="6"/>
      <c r="R1280" s="6"/>
      <c r="S1280" s="6"/>
      <c r="T1280" s="6"/>
      <c r="U1280" s="6"/>
      <c r="V1280" s="6"/>
      <c r="W1280" s="6"/>
      <c r="X1280" s="6"/>
      <c r="Y1280" s="6"/>
      <c r="Z1280" s="6"/>
      <c r="AA1280" s="6"/>
      <c r="AB1280" s="6"/>
      <c r="AC1280" s="6"/>
      <c r="AD1280" s="6"/>
      <c r="AE1280" s="6"/>
    </row>
    <row r="1281" spans="1:31" ht="63.75" x14ac:dyDescent="0.2">
      <c r="A1281" s="6" t="s">
        <v>4063</v>
      </c>
      <c r="B1281" s="6" t="s">
        <v>6593</v>
      </c>
      <c r="C1281" s="20" t="s">
        <v>6594</v>
      </c>
      <c r="D1281" s="6" t="s">
        <v>6595</v>
      </c>
      <c r="E1281" s="6"/>
      <c r="F1281" s="6" t="s">
        <v>6563</v>
      </c>
      <c r="G1281" s="6" t="s">
        <v>6564</v>
      </c>
      <c r="H1281" s="6" t="str">
        <f t="shared" si="110"/>
        <v>NANNY
LITTLE PHIBBAH (P15
P22)</v>
      </c>
      <c r="I1281" s="6" t="s">
        <v>96</v>
      </c>
      <c r="J1281" s="6"/>
      <c r="K1281" s="6"/>
      <c r="L1281" s="6" t="s">
        <v>6596</v>
      </c>
      <c r="M1281" s="6" t="s">
        <v>6597</v>
      </c>
      <c r="N1281" s="6" t="s">
        <v>68</v>
      </c>
      <c r="O1281" s="6"/>
      <c r="P1281" s="6"/>
      <c r="Q1281" s="6"/>
      <c r="R1281" s="6"/>
      <c r="S1281" s="6"/>
      <c r="T1281" s="6"/>
      <c r="U1281" s="6"/>
      <c r="V1281" s="6"/>
      <c r="W1281" s="6"/>
      <c r="X1281" s="6"/>
      <c r="Y1281" s="6"/>
      <c r="Z1281" s="6"/>
      <c r="AA1281" s="6"/>
      <c r="AB1281" s="6"/>
      <c r="AC1281" s="6"/>
      <c r="AD1281" s="6"/>
      <c r="AE1281" s="6"/>
    </row>
    <row r="1282" spans="1:31" ht="114.75" x14ac:dyDescent="0.2">
      <c r="A1282" s="6" t="s">
        <v>5398</v>
      </c>
      <c r="B1282" s="6" t="s">
        <v>6598</v>
      </c>
      <c r="C1282" s="20" t="s">
        <v>6599</v>
      </c>
      <c r="D1282" s="6" t="s">
        <v>6600</v>
      </c>
      <c r="E1282" s="6"/>
      <c r="F1282" s="6"/>
      <c r="G1282" s="6"/>
      <c r="H1282" s="6" t="str">
        <f t="shared" ref="H1282:H1283" si="111">CONCATENATE(F1282,"(",G1282,")")</f>
        <v>()</v>
      </c>
      <c r="I1282" s="6" t="s">
        <v>112</v>
      </c>
      <c r="J1282" s="6"/>
      <c r="K1282" s="6"/>
      <c r="L1282" s="6" t="s">
        <v>1121</v>
      </c>
      <c r="M1282" s="6" t="str">
        <f>VLOOKUP(L1282, GLOSSARY!$A:$C, 2, FALSE)</f>
        <v>SAVANNA LA MAR</v>
      </c>
      <c r="N1282" s="6" t="s">
        <v>167</v>
      </c>
      <c r="O1282" s="6"/>
      <c r="P1282" s="6"/>
      <c r="Q1282" s="6"/>
      <c r="R1282" s="6"/>
      <c r="S1282" s="6"/>
      <c r="T1282" s="6"/>
      <c r="U1282" s="6"/>
      <c r="V1282" s="6"/>
      <c r="W1282" s="6"/>
      <c r="X1282" s="6"/>
      <c r="Y1282" s="6"/>
      <c r="Z1282" s="6"/>
      <c r="AA1282" s="6"/>
      <c r="AB1282" s="6"/>
      <c r="AC1282" s="6"/>
      <c r="AD1282" s="6"/>
      <c r="AE1282" s="6"/>
    </row>
    <row r="1283" spans="1:31" ht="153" x14ac:dyDescent="0.2">
      <c r="A1283" s="6" t="s">
        <v>5613</v>
      </c>
      <c r="B1283" s="6" t="s">
        <v>6601</v>
      </c>
      <c r="C1283" s="20" t="s">
        <v>6602</v>
      </c>
      <c r="D1283" s="6" t="s">
        <v>6603</v>
      </c>
      <c r="E1283" s="6"/>
      <c r="F1283" s="6" t="s">
        <v>340</v>
      </c>
      <c r="G1283" s="6" t="s">
        <v>339</v>
      </c>
      <c r="H1283" s="6" t="str">
        <f t="shared" si="111"/>
        <v>BETTY(P134)</v>
      </c>
      <c r="I1283" s="6" t="s">
        <v>409</v>
      </c>
      <c r="J1283" s="6"/>
      <c r="K1283" s="6"/>
      <c r="L1283" s="6" t="s">
        <v>657</v>
      </c>
      <c r="M1283" s="6" t="str">
        <f>VLOOKUP(L1283, GLOSSARY!$A:$C, 2, FALSE)</f>
        <v>UNKNOWN</v>
      </c>
      <c r="N1283" s="6"/>
      <c r="O1283" s="6"/>
      <c r="P1283" s="6"/>
      <c r="Q1283" s="6"/>
      <c r="R1283" s="6"/>
      <c r="S1283" s="6"/>
      <c r="T1283" s="6"/>
      <c r="U1283" s="6"/>
      <c r="V1283" s="6"/>
      <c r="W1283" s="6"/>
      <c r="X1283" s="6"/>
      <c r="Y1283" s="6"/>
      <c r="Z1283" s="6"/>
      <c r="AA1283" s="6"/>
      <c r="AB1283" s="6"/>
      <c r="AC1283" s="6"/>
      <c r="AD1283" s="6"/>
      <c r="AE1283" s="6"/>
    </row>
    <row r="1284" spans="1:31" ht="51" x14ac:dyDescent="0.2">
      <c r="A1284" s="18" t="s">
        <v>69</v>
      </c>
      <c r="B1284" s="18" t="s">
        <v>122</v>
      </c>
      <c r="C1284" s="19" t="s">
        <v>126</v>
      </c>
      <c r="D1284" s="18" t="s">
        <v>127</v>
      </c>
      <c r="E1284" s="18" t="s">
        <v>130</v>
      </c>
      <c r="F1284" s="18" t="s">
        <v>131</v>
      </c>
      <c r="G1284" s="18" t="s">
        <v>132</v>
      </c>
      <c r="H1284" s="18" t="str">
        <f t="shared" ref="H1284:H1291" si="112">CONCATENATE(F1284," (",G1284,")")</f>
        <v>MOLIA
JULINA (P1
P4)</v>
      </c>
      <c r="I1284" s="18" t="s">
        <v>96</v>
      </c>
      <c r="J1284" s="18" t="s">
        <v>35</v>
      </c>
      <c r="K1284" s="18" t="s">
        <v>136</v>
      </c>
      <c r="L1284" s="18" t="s">
        <v>140</v>
      </c>
      <c r="M1284" s="18" t="e">
        <f>VLOOKUP(L1284, GLOSSARY!$A:$C, 2, FALSE)</f>
        <v>#N/A</v>
      </c>
      <c r="N1284" s="18" t="s">
        <v>68</v>
      </c>
      <c r="O1284" s="18"/>
      <c r="P1284" s="18"/>
      <c r="Q1284" s="18"/>
      <c r="R1284" s="18"/>
      <c r="S1284" s="18"/>
      <c r="T1284" s="18"/>
      <c r="U1284" s="18"/>
      <c r="V1284" s="18"/>
      <c r="W1284" s="18"/>
      <c r="X1284" s="18"/>
      <c r="Y1284" s="18"/>
      <c r="Z1284" s="18"/>
      <c r="AA1284" s="18"/>
      <c r="AB1284" s="18"/>
      <c r="AC1284" s="18"/>
      <c r="AD1284" s="18"/>
      <c r="AE1284" s="18"/>
    </row>
    <row r="1285" spans="1:31" ht="38.25" x14ac:dyDescent="0.2">
      <c r="A1285" s="6" t="s">
        <v>69</v>
      </c>
      <c r="B1285" s="6" t="s">
        <v>146</v>
      </c>
      <c r="C1285" s="20" t="s">
        <v>148</v>
      </c>
      <c r="D1285" s="6" t="s">
        <v>152</v>
      </c>
      <c r="E1285" s="6"/>
      <c r="F1285" s="6" t="s">
        <v>157</v>
      </c>
      <c r="G1285" s="6" t="s">
        <v>159</v>
      </c>
      <c r="H1285" s="6" t="str">
        <f t="shared" si="112"/>
        <v>OGO
LITTLE LUCY (P13
P14)</v>
      </c>
      <c r="I1285" s="6" t="s">
        <v>96</v>
      </c>
      <c r="J1285" s="6"/>
      <c r="K1285" s="6"/>
      <c r="L1285" s="6" t="s">
        <v>99</v>
      </c>
      <c r="M1285" s="6" t="str">
        <f>VLOOKUP(L1285, GLOSSARY!$A:$C, 2, FALSE)</f>
        <v>PARADISE ESTATE</v>
      </c>
      <c r="N1285" s="6" t="s">
        <v>167</v>
      </c>
      <c r="O1285" s="6"/>
      <c r="P1285" s="6"/>
      <c r="Q1285" s="6"/>
      <c r="R1285" s="6"/>
      <c r="S1285" s="6"/>
      <c r="T1285" s="6"/>
      <c r="U1285" s="6"/>
      <c r="V1285" s="6"/>
      <c r="W1285" s="6"/>
      <c r="X1285" s="6"/>
      <c r="Y1285" s="6"/>
      <c r="Z1285" s="6"/>
      <c r="AA1285" s="6"/>
      <c r="AB1285" s="6"/>
      <c r="AC1285" s="6"/>
      <c r="AD1285" s="6"/>
      <c r="AE1285" s="6"/>
    </row>
    <row r="1286" spans="1:31" ht="38.25" x14ac:dyDescent="0.2">
      <c r="A1286" s="6" t="s">
        <v>69</v>
      </c>
      <c r="B1286" s="6" t="s">
        <v>177</v>
      </c>
      <c r="C1286" s="20" t="s">
        <v>178</v>
      </c>
      <c r="D1286" s="6" t="s">
        <v>179</v>
      </c>
      <c r="E1286" s="6" t="s">
        <v>180</v>
      </c>
      <c r="F1286" s="6" t="s">
        <v>182</v>
      </c>
      <c r="G1286" s="6" t="s">
        <v>187</v>
      </c>
      <c r="H1286" s="18" t="str">
        <f t="shared" si="112"/>
        <v>MOLIA
SILVIA (P1
P2)</v>
      </c>
      <c r="I1286" s="6" t="s">
        <v>96</v>
      </c>
      <c r="J1286" s="6" t="s">
        <v>35</v>
      </c>
      <c r="K1286" s="6" t="s">
        <v>141</v>
      </c>
      <c r="L1286" s="6" t="s">
        <v>99</v>
      </c>
      <c r="M1286" s="18" t="str">
        <f>VLOOKUP(L1286, GLOSSARY!$A:$C, 2, FALSE)</f>
        <v>PARADISE ESTATE</v>
      </c>
      <c r="N1286" s="6" t="s">
        <v>167</v>
      </c>
      <c r="O1286" s="6"/>
      <c r="P1286" s="6"/>
      <c r="Q1286" s="6"/>
      <c r="R1286" s="6"/>
      <c r="S1286" s="6"/>
      <c r="T1286" s="6"/>
      <c r="U1286" s="6"/>
      <c r="V1286" s="6"/>
      <c r="W1286" s="6"/>
      <c r="X1286" s="6"/>
      <c r="Y1286" s="6"/>
      <c r="Z1286" s="6"/>
      <c r="AA1286" s="6"/>
      <c r="AB1286" s="6"/>
      <c r="AC1286" s="6"/>
      <c r="AD1286" s="6"/>
      <c r="AE1286" s="6"/>
    </row>
    <row r="1287" spans="1:31" ht="38.25" x14ac:dyDescent="0.2">
      <c r="A1287" s="6" t="s">
        <v>69</v>
      </c>
      <c r="B1287" s="6" t="s">
        <v>199</v>
      </c>
      <c r="C1287" s="20" t="s">
        <v>200</v>
      </c>
      <c r="D1287" s="6" t="s">
        <v>203</v>
      </c>
      <c r="E1287" s="6" t="s">
        <v>206</v>
      </c>
      <c r="F1287" s="6" t="s">
        <v>208</v>
      </c>
      <c r="G1287" s="6" t="s">
        <v>210</v>
      </c>
      <c r="H1287" s="18" t="str">
        <f t="shared" si="112"/>
        <v>MOLIA
OGO (P1
P13)</v>
      </c>
      <c r="I1287" s="6" t="s">
        <v>96</v>
      </c>
      <c r="J1287" s="6" t="s">
        <v>213</v>
      </c>
      <c r="K1287" s="6" t="s">
        <v>141</v>
      </c>
      <c r="L1287" s="6" t="s">
        <v>99</v>
      </c>
      <c r="M1287" s="18" t="str">
        <f>VLOOKUP(L1287, GLOSSARY!$A:$C, 2, FALSE)</f>
        <v>PARADISE ESTATE</v>
      </c>
      <c r="N1287" s="6" t="s">
        <v>68</v>
      </c>
      <c r="O1287" s="6"/>
      <c r="P1287" s="6"/>
      <c r="Q1287" s="6"/>
      <c r="R1287" s="6"/>
      <c r="S1287" s="6"/>
      <c r="T1287" s="6"/>
      <c r="U1287" s="6"/>
      <c r="V1287" s="6"/>
      <c r="W1287" s="6"/>
      <c r="X1287" s="6"/>
      <c r="Y1287" s="6"/>
      <c r="Z1287" s="6"/>
      <c r="AA1287" s="6"/>
      <c r="AB1287" s="6"/>
      <c r="AC1287" s="6"/>
      <c r="AD1287" s="6"/>
      <c r="AE1287" s="6"/>
    </row>
    <row r="1288" spans="1:31" ht="38.25" x14ac:dyDescent="0.2">
      <c r="A1288" s="6" t="s">
        <v>69</v>
      </c>
      <c r="B1288" s="6" t="s">
        <v>223</v>
      </c>
      <c r="C1288" s="20" t="s">
        <v>225</v>
      </c>
      <c r="D1288" s="6" t="s">
        <v>226</v>
      </c>
      <c r="E1288" s="6"/>
      <c r="F1288" s="6" t="s">
        <v>157</v>
      </c>
      <c r="G1288" s="6" t="s">
        <v>159</v>
      </c>
      <c r="H1288" s="6" t="str">
        <f t="shared" si="112"/>
        <v>OGO
LITTLE LUCY (P13
P14)</v>
      </c>
      <c r="I1288" s="6" t="s">
        <v>96</v>
      </c>
      <c r="J1288" s="6"/>
      <c r="K1288" s="6"/>
      <c r="L1288" s="6" t="s">
        <v>230</v>
      </c>
      <c r="M1288" s="6" t="s">
        <v>232</v>
      </c>
      <c r="N1288" s="6" t="s">
        <v>68</v>
      </c>
      <c r="O1288" s="6"/>
      <c r="P1288" s="6"/>
      <c r="Q1288" s="6"/>
      <c r="R1288" s="6"/>
      <c r="S1288" s="6"/>
      <c r="T1288" s="6"/>
      <c r="U1288" s="6"/>
      <c r="V1288" s="6"/>
      <c r="W1288" s="6"/>
      <c r="X1288" s="6"/>
      <c r="Y1288" s="6"/>
      <c r="Z1288" s="6"/>
      <c r="AA1288" s="6"/>
      <c r="AB1288" s="6"/>
      <c r="AC1288" s="6"/>
      <c r="AD1288" s="6"/>
      <c r="AE1288" s="6"/>
    </row>
    <row r="1289" spans="1:31" ht="63.75" x14ac:dyDescent="0.2">
      <c r="A1289" s="6" t="s">
        <v>69</v>
      </c>
      <c r="B1289" s="6" t="s">
        <v>238</v>
      </c>
      <c r="C1289" s="20" t="s">
        <v>239</v>
      </c>
      <c r="D1289" s="6" t="s">
        <v>240</v>
      </c>
      <c r="E1289" s="6" t="s">
        <v>241</v>
      </c>
      <c r="F1289" s="6" t="s">
        <v>29</v>
      </c>
      <c r="G1289" s="6" t="s">
        <v>28</v>
      </c>
      <c r="H1289" s="18" t="str">
        <f t="shared" si="112"/>
        <v>MOLIA (P1)</v>
      </c>
      <c r="I1289" s="6" t="s">
        <v>96</v>
      </c>
      <c r="J1289" s="6" t="s">
        <v>35</v>
      </c>
      <c r="K1289" s="6" t="s">
        <v>207</v>
      </c>
      <c r="L1289" s="6" t="s">
        <v>209</v>
      </c>
      <c r="M1289" s="18" t="str">
        <f>VLOOKUP(L1289, GLOSSARY!$A:$C, 2, FALSE)</f>
        <v>BREADNUT ISLAND PEN</v>
      </c>
      <c r="N1289" s="6" t="s">
        <v>68</v>
      </c>
      <c r="O1289" s="6"/>
      <c r="P1289" s="6"/>
      <c r="Q1289" s="6"/>
      <c r="R1289" s="6"/>
      <c r="S1289" s="6"/>
      <c r="T1289" s="6"/>
      <c r="U1289" s="6"/>
      <c r="V1289" s="6"/>
      <c r="W1289" s="6"/>
      <c r="X1289" s="6"/>
      <c r="Y1289" s="6"/>
      <c r="Z1289" s="6"/>
      <c r="AA1289" s="6"/>
      <c r="AB1289" s="6"/>
      <c r="AC1289" s="6"/>
      <c r="AD1289" s="6"/>
      <c r="AE1289" s="6"/>
    </row>
    <row r="1290" spans="1:31" ht="89.25" x14ac:dyDescent="0.2">
      <c r="A1290" s="6" t="s">
        <v>69</v>
      </c>
      <c r="B1290" s="6" t="s">
        <v>253</v>
      </c>
      <c r="C1290" s="25" t="s">
        <v>258</v>
      </c>
      <c r="D1290" s="6" t="s">
        <v>261</v>
      </c>
      <c r="E1290" s="6" t="s">
        <v>263</v>
      </c>
      <c r="F1290" s="6" t="s">
        <v>263</v>
      </c>
      <c r="G1290" s="26" t="s">
        <v>266</v>
      </c>
      <c r="H1290" s="18" t="str">
        <f t="shared" si="112"/>
        <v>PARADISE QUASHEBA
MOLIA
OGO
NANNY (P18
P1
 P13 
P15)</v>
      </c>
      <c r="I1290" s="6" t="s">
        <v>96</v>
      </c>
      <c r="J1290" s="6" t="s">
        <v>213</v>
      </c>
      <c r="K1290" s="6" t="s">
        <v>207</v>
      </c>
      <c r="L1290" s="6" t="s">
        <v>209</v>
      </c>
      <c r="M1290" s="18" t="str">
        <f>VLOOKUP(L1290, GLOSSARY!$A:$C, 2, FALSE)</f>
        <v>BREADNUT ISLAND PEN</v>
      </c>
      <c r="N1290" s="6" t="s">
        <v>68</v>
      </c>
      <c r="O1290" s="6"/>
      <c r="P1290" s="6"/>
      <c r="Q1290" s="6"/>
      <c r="R1290" s="6"/>
      <c r="S1290" s="6"/>
      <c r="T1290" s="6"/>
      <c r="U1290" s="6"/>
      <c r="V1290" s="6"/>
      <c r="W1290" s="6"/>
      <c r="X1290" s="6"/>
      <c r="Y1290" s="6"/>
      <c r="Z1290" s="6"/>
      <c r="AA1290" s="6"/>
      <c r="AB1290" s="6"/>
      <c r="AC1290" s="6"/>
      <c r="AD1290" s="6"/>
      <c r="AE1290" s="6"/>
    </row>
    <row r="1291" spans="1:31" ht="38.25" x14ac:dyDescent="0.2">
      <c r="A1291" s="6" t="s">
        <v>3820</v>
      </c>
      <c r="B1291" s="6" t="s">
        <v>3821</v>
      </c>
      <c r="C1291" s="25" t="s">
        <v>3822</v>
      </c>
      <c r="D1291" s="6" t="s">
        <v>3823</v>
      </c>
      <c r="E1291" s="6" t="s">
        <v>206</v>
      </c>
      <c r="F1291" s="6" t="s">
        <v>208</v>
      </c>
      <c r="G1291" s="26" t="s">
        <v>210</v>
      </c>
      <c r="H1291" s="18" t="str">
        <f t="shared" si="112"/>
        <v>MOLIA
OGO (P1
P13)</v>
      </c>
      <c r="I1291" s="6" t="s">
        <v>784</v>
      </c>
      <c r="J1291" s="6" t="s">
        <v>3824</v>
      </c>
      <c r="K1291" s="6" t="s">
        <v>2304</v>
      </c>
      <c r="L1291" s="6" t="s">
        <v>55</v>
      </c>
      <c r="M1291" s="18" t="str">
        <f>VLOOKUP(L1291, GLOSSARY!$A:$C, 2, FALSE)</f>
        <v>EGYPT ESTATE</v>
      </c>
      <c r="N1291" s="6" t="s">
        <v>68</v>
      </c>
      <c r="O1291" s="6"/>
      <c r="P1291" s="6"/>
      <c r="Q1291" s="6"/>
      <c r="R1291" s="6"/>
      <c r="S1291" s="6"/>
      <c r="T1291" s="6"/>
      <c r="U1291" s="6"/>
      <c r="V1291" s="6"/>
      <c r="W1291" s="6"/>
      <c r="X1291" s="6"/>
      <c r="Y1291" s="6"/>
      <c r="Z1291" s="6"/>
      <c r="AA1291" s="6"/>
      <c r="AB1291" s="6"/>
      <c r="AC1291" s="6"/>
      <c r="AD1291" s="6"/>
      <c r="AE1291" s="6"/>
    </row>
    <row r="1292" spans="1:31" ht="127.5" x14ac:dyDescent="0.2">
      <c r="A1292" s="6" t="s">
        <v>6604</v>
      </c>
      <c r="B1292" s="6" t="s">
        <v>5312</v>
      </c>
      <c r="C1292" s="20" t="s">
        <v>6605</v>
      </c>
      <c r="D1292" s="6" t="s">
        <v>6606</v>
      </c>
      <c r="E1292" s="6"/>
      <c r="F1292" s="6" t="s">
        <v>6607</v>
      </c>
      <c r="G1292" s="6" t="s">
        <v>6608</v>
      </c>
      <c r="H1292" s="6" t="str">
        <f>CONCATENATE(F1292,"(",G1292,")")</f>
        <v>EGYPT HOUSE FRANKE
EGYPT QUASHE
THE OVERSEER(P194
P284
P43
)</v>
      </c>
      <c r="I1292" s="6" t="s">
        <v>1068</v>
      </c>
      <c r="J1292" s="6"/>
      <c r="K1292" s="6"/>
      <c r="L1292" s="6" t="s">
        <v>55</v>
      </c>
      <c r="M1292" s="6" t="s">
        <v>284</v>
      </c>
      <c r="N1292" s="6" t="s">
        <v>287</v>
      </c>
      <c r="O1292" s="6"/>
      <c r="P1292" s="6"/>
      <c r="Q1292" s="6"/>
      <c r="R1292" s="6"/>
      <c r="S1292" s="6"/>
      <c r="T1292" s="6"/>
      <c r="U1292" s="6"/>
      <c r="V1292" s="6"/>
      <c r="W1292" s="6"/>
      <c r="X1292" s="6"/>
      <c r="Y1292" s="6"/>
      <c r="Z1292" s="6"/>
      <c r="AA1292" s="6"/>
      <c r="AB1292" s="6"/>
      <c r="AC1292" s="6"/>
      <c r="AD1292" s="6"/>
      <c r="AE1292" s="6"/>
    </row>
    <row r="1293" spans="1:31" ht="114.75" x14ac:dyDescent="0.2">
      <c r="A1293" s="6" t="s">
        <v>6609</v>
      </c>
      <c r="B1293" s="6" t="s">
        <v>5917</v>
      </c>
      <c r="C1293" s="20" t="s">
        <v>6610</v>
      </c>
      <c r="D1293" s="6" t="s">
        <v>6611</v>
      </c>
      <c r="E1293" s="6"/>
      <c r="F1293" s="6" t="s">
        <v>6612</v>
      </c>
      <c r="G1293" s="6" t="s">
        <v>6613</v>
      </c>
      <c r="H1293" s="6" t="str">
        <f>CONCATENATE(F1293," (",G1293,")")</f>
        <v>ABASSE
JAMES WEDDERBURN
OGO (P39
P95
P13)</v>
      </c>
      <c r="I1293" s="6" t="s">
        <v>533</v>
      </c>
      <c r="J1293" s="6" t="s">
        <v>6614</v>
      </c>
      <c r="K1293" s="6"/>
      <c r="L1293" s="6" t="s">
        <v>6615</v>
      </c>
      <c r="M1293" s="6" t="e">
        <f>VLOOKUP(L1293, GLOSSARY!$A:$C, 2, FALSE)</f>
        <v>#N/A</v>
      </c>
      <c r="N1293" s="6" t="s">
        <v>68</v>
      </c>
      <c r="O1293" s="6"/>
      <c r="P1293" s="6"/>
      <c r="Q1293" s="6"/>
      <c r="R1293" s="6"/>
      <c r="S1293" s="6"/>
      <c r="T1293" s="6"/>
      <c r="U1293" s="6"/>
      <c r="V1293" s="6"/>
      <c r="W1293" s="6"/>
      <c r="X1293" s="6"/>
      <c r="Y1293" s="6"/>
      <c r="Z1293" s="6"/>
      <c r="AA1293" s="6"/>
      <c r="AB1293" s="6"/>
      <c r="AC1293" s="6"/>
      <c r="AD1293" s="6"/>
      <c r="AE1293" s="6"/>
    </row>
    <row r="1294" spans="1:31" ht="38.25" x14ac:dyDescent="0.2">
      <c r="A1294" s="6" t="s">
        <v>6616</v>
      </c>
      <c r="B1294" s="6" t="s">
        <v>5508</v>
      </c>
      <c r="C1294" s="20" t="s">
        <v>6617</v>
      </c>
      <c r="D1294" s="6" t="s">
        <v>6618</v>
      </c>
      <c r="E1294" s="6"/>
      <c r="F1294" s="6" t="s">
        <v>101</v>
      </c>
      <c r="G1294" s="6" t="s">
        <v>100</v>
      </c>
      <c r="H1294" s="6" t="str">
        <f>CONCATENATE(F1294,"(",G1294,")")</f>
        <v>PHIBBAH(P7)</v>
      </c>
      <c r="I1294" s="6" t="s">
        <v>784</v>
      </c>
      <c r="J1294" s="6"/>
      <c r="K1294" s="6"/>
      <c r="L1294" s="6" t="s">
        <v>2969</v>
      </c>
      <c r="M1294" s="6" t="str">
        <f>VLOOKUP(L1294, GLOSSARY!$A:$C, 2, FALSE)</f>
        <v>PHIBBAH'S GROUNDS</v>
      </c>
      <c r="N1294" s="6" t="s">
        <v>68</v>
      </c>
      <c r="O1294" s="6"/>
      <c r="P1294" s="6"/>
      <c r="Q1294" s="6"/>
      <c r="R1294" s="6"/>
      <c r="S1294" s="6"/>
      <c r="T1294" s="6"/>
      <c r="U1294" s="6"/>
      <c r="V1294" s="6"/>
      <c r="W1294" s="6"/>
      <c r="X1294" s="6"/>
      <c r="Y1294" s="6"/>
      <c r="Z1294" s="6"/>
      <c r="AA1294" s="6"/>
      <c r="AB1294" s="6"/>
      <c r="AC1294" s="6"/>
      <c r="AD1294" s="6"/>
      <c r="AE1294" s="6"/>
    </row>
    <row r="1295" spans="1:31" ht="165.75" x14ac:dyDescent="0.2">
      <c r="A1295" s="6" t="s">
        <v>6609</v>
      </c>
      <c r="B1295" s="6" t="s">
        <v>5532</v>
      </c>
      <c r="C1295" s="20" t="s">
        <v>6619</v>
      </c>
      <c r="D1295" s="6" t="s">
        <v>6620</v>
      </c>
      <c r="E1295" s="6"/>
      <c r="F1295" s="6" t="s">
        <v>6621</v>
      </c>
      <c r="G1295" s="6" t="s">
        <v>6622</v>
      </c>
      <c r="H1295" s="6" t="str">
        <f t="shared" ref="H1295:H1296" si="113">CONCATENATE(F1295," (",G1295,")")</f>
        <v>OGO
ABASSE
SOLON
CUDJOE (P13
P39
P26
P52)</v>
      </c>
      <c r="I1295" s="6" t="s">
        <v>1068</v>
      </c>
      <c r="J1295" s="6" t="s">
        <v>6623</v>
      </c>
      <c r="K1295" s="6"/>
      <c r="L1295" s="6" t="s">
        <v>55</v>
      </c>
      <c r="M1295" s="6" t="str">
        <f>VLOOKUP(L1295, GLOSSARY!$A:$C, 2, FALSE)</f>
        <v>EGYPT ESTATE</v>
      </c>
      <c r="N1295" s="6" t="s">
        <v>68</v>
      </c>
      <c r="O1295" s="6"/>
      <c r="P1295" s="6"/>
      <c r="Q1295" s="6"/>
      <c r="R1295" s="6"/>
      <c r="S1295" s="6"/>
      <c r="T1295" s="6"/>
      <c r="U1295" s="6"/>
      <c r="V1295" s="6"/>
      <c r="W1295" s="6"/>
      <c r="X1295" s="6"/>
      <c r="Y1295" s="6"/>
      <c r="Z1295" s="6"/>
      <c r="AA1295" s="6"/>
      <c r="AB1295" s="6"/>
      <c r="AC1295" s="6"/>
      <c r="AD1295" s="6"/>
      <c r="AE1295" s="6"/>
    </row>
    <row r="1296" spans="1:31" ht="89.25" x14ac:dyDescent="0.2">
      <c r="A1296" s="6" t="s">
        <v>6624</v>
      </c>
      <c r="B1296" s="6" t="s">
        <v>5651</v>
      </c>
      <c r="C1296" s="20" t="s">
        <v>6625</v>
      </c>
      <c r="D1296" s="6" t="s">
        <v>6626</v>
      </c>
      <c r="E1296" s="6"/>
      <c r="F1296" s="6" t="s">
        <v>6627</v>
      </c>
      <c r="G1296" s="6" t="s">
        <v>6628</v>
      </c>
      <c r="H1296" s="6" t="str">
        <f t="shared" si="113"/>
        <v>EGYPT LUCY
JOHN
JIMMY
THE OVERSEER (P3
P9
P54
P43)</v>
      </c>
      <c r="I1296" s="6" t="s">
        <v>859</v>
      </c>
      <c r="J1296" s="6" t="s">
        <v>754</v>
      </c>
      <c r="K1296" s="6"/>
      <c r="L1296" s="6" t="s">
        <v>209</v>
      </c>
      <c r="M1296" s="6" t="str">
        <f>VLOOKUP(L1296, GLOSSARY!$A:$C, 2, FALSE)</f>
        <v>BREADNUT ISLAND PEN</v>
      </c>
      <c r="N1296" s="6" t="s">
        <v>287</v>
      </c>
      <c r="O1296" s="6"/>
      <c r="P1296" s="6"/>
      <c r="Q1296" s="6"/>
      <c r="R1296" s="6"/>
      <c r="S1296" s="6"/>
      <c r="T1296" s="6"/>
      <c r="U1296" s="6"/>
      <c r="V1296" s="6"/>
      <c r="W1296" s="6"/>
      <c r="X1296" s="6"/>
      <c r="Y1296" s="6"/>
      <c r="Z1296" s="6"/>
      <c r="AA1296" s="6"/>
      <c r="AB1296" s="6"/>
      <c r="AC1296" s="6"/>
      <c r="AD1296" s="6"/>
      <c r="AE1296" s="6"/>
    </row>
    <row r="1297" spans="1:31" ht="63.75" x14ac:dyDescent="0.2">
      <c r="A1297" s="6" t="s">
        <v>6629</v>
      </c>
      <c r="B1297" s="6" t="s">
        <v>5747</v>
      </c>
      <c r="C1297" s="20" t="s">
        <v>6630</v>
      </c>
      <c r="D1297" s="6" t="s">
        <v>6631</v>
      </c>
      <c r="E1297" s="6"/>
      <c r="F1297" s="6" t="s">
        <v>6209</v>
      </c>
      <c r="G1297" s="6" t="s">
        <v>6436</v>
      </c>
      <c r="H1297" s="6" t="str">
        <f>CONCATENATE(F1297,"(",G1297,")")</f>
        <v>MOLIA
THE OVERSEER(P1
P43)</v>
      </c>
      <c r="I1297" s="6" t="s">
        <v>409</v>
      </c>
      <c r="J1297" s="6"/>
      <c r="K1297" s="6"/>
      <c r="L1297" s="6" t="s">
        <v>55</v>
      </c>
      <c r="M1297" s="6" t="str">
        <f>VLOOKUP(L1297, GLOSSARY!$A:$C, 2, FALSE)</f>
        <v>EGYPT ESTATE</v>
      </c>
      <c r="N1297" s="6" t="s">
        <v>68</v>
      </c>
      <c r="O1297" s="6"/>
      <c r="P1297" s="6"/>
      <c r="Q1297" s="6"/>
      <c r="R1297" s="6"/>
      <c r="S1297" s="6"/>
      <c r="T1297" s="6"/>
      <c r="U1297" s="6"/>
      <c r="V1297" s="6"/>
      <c r="W1297" s="6"/>
      <c r="X1297" s="6"/>
      <c r="Y1297" s="6"/>
      <c r="Z1297" s="6"/>
      <c r="AA1297" s="6"/>
      <c r="AB1297" s="6"/>
      <c r="AC1297" s="6"/>
      <c r="AD1297" s="6"/>
      <c r="AE1297" s="6"/>
    </row>
    <row r="1298" spans="1:31" ht="25.5" x14ac:dyDescent="0.2">
      <c r="A1298" s="6" t="s">
        <v>6150</v>
      </c>
      <c r="B1298" s="6" t="s">
        <v>5751</v>
      </c>
      <c r="C1298" s="20" t="s">
        <v>6632</v>
      </c>
      <c r="D1298" s="6" t="s">
        <v>6633</v>
      </c>
      <c r="E1298" s="6"/>
      <c r="F1298" s="6"/>
      <c r="G1298" s="6"/>
      <c r="H1298" s="6" t="str">
        <f t="shared" ref="H1298:H1305" si="114">CONCATENATE(F1298," (",G1298,")")</f>
        <v xml:space="preserve"> ()</v>
      </c>
      <c r="I1298" s="6" t="s">
        <v>759</v>
      </c>
      <c r="J1298" s="6"/>
      <c r="K1298" s="6"/>
      <c r="L1298" s="6" t="s">
        <v>55</v>
      </c>
      <c r="M1298" s="6" t="str">
        <f>VLOOKUP(L1298, GLOSSARY!$A:$C, 2, FALSE)</f>
        <v>EGYPT ESTATE</v>
      </c>
      <c r="N1298" s="6" t="s">
        <v>68</v>
      </c>
      <c r="O1298" s="6"/>
      <c r="P1298" s="6"/>
      <c r="Q1298" s="6"/>
      <c r="R1298" s="6"/>
      <c r="S1298" s="6"/>
      <c r="T1298" s="6"/>
      <c r="U1298" s="6"/>
      <c r="V1298" s="6"/>
      <c r="W1298" s="6"/>
      <c r="X1298" s="6"/>
      <c r="Y1298" s="6"/>
      <c r="Z1298" s="6"/>
      <c r="AA1298" s="6"/>
      <c r="AB1298" s="6"/>
      <c r="AC1298" s="6"/>
      <c r="AD1298" s="6"/>
      <c r="AE1298" s="6"/>
    </row>
    <row r="1299" spans="1:31" ht="409.5" x14ac:dyDescent="0.2">
      <c r="A1299" s="6" t="s">
        <v>6634</v>
      </c>
      <c r="B1299" s="6" t="s">
        <v>5766</v>
      </c>
      <c r="C1299" s="20" t="s">
        <v>6635</v>
      </c>
      <c r="D1299" s="6" t="s">
        <v>6636</v>
      </c>
      <c r="E1299" s="6" t="s">
        <v>6637</v>
      </c>
      <c r="F1299" s="6" t="s">
        <v>6638</v>
      </c>
      <c r="G1299" s="60" t="s">
        <v>6639</v>
      </c>
      <c r="H1299" s="18" t="str">
        <f t="shared" si="114"/>
        <v>ABBA
SALLY
LINCOLN
SUKEY
SOLON
OGO
CUDJOE
CUKOR
MOLIA
PEGGY
POMPEY
CHUB
MIRTILLA
FRANKE
JOHNIE
DAMSEL
PHOEBE
NANNY
JIMMY (P6
P17
P24
P37
P26
P13
P52
P110
P1
P19
P40
P57
P32
P59
P84
P34
P58
P15
P54)</v>
      </c>
      <c r="I1299" s="6" t="s">
        <v>759</v>
      </c>
      <c r="J1299" s="6" t="s">
        <v>6640</v>
      </c>
      <c r="K1299" s="6" t="s">
        <v>207</v>
      </c>
      <c r="L1299" s="6" t="s">
        <v>209</v>
      </c>
      <c r="M1299" s="18" t="str">
        <f>VLOOKUP(L1299, GLOSSARY!$A:$C, 2, FALSE)</f>
        <v>BREADNUT ISLAND PEN</v>
      </c>
      <c r="N1299" s="6" t="s">
        <v>167</v>
      </c>
      <c r="O1299" s="6"/>
      <c r="P1299" s="6"/>
      <c r="Q1299" s="6"/>
      <c r="R1299" s="6"/>
      <c r="S1299" s="6"/>
      <c r="T1299" s="6"/>
      <c r="U1299" s="6"/>
      <c r="V1299" s="6"/>
      <c r="W1299" s="6"/>
      <c r="X1299" s="6"/>
      <c r="Y1299" s="6"/>
      <c r="Z1299" s="6"/>
      <c r="AA1299" s="6"/>
      <c r="AB1299" s="6"/>
      <c r="AC1299" s="6"/>
      <c r="AD1299" s="6"/>
      <c r="AE1299" s="6"/>
    </row>
    <row r="1300" spans="1:31" ht="38.25" x14ac:dyDescent="0.2">
      <c r="A1300" s="18" t="s">
        <v>3825</v>
      </c>
      <c r="B1300" s="18" t="s">
        <v>3826</v>
      </c>
      <c r="C1300" s="19" t="s">
        <v>6641</v>
      </c>
      <c r="D1300" s="18" t="s">
        <v>3828</v>
      </c>
      <c r="E1300" s="18" t="s">
        <v>3829</v>
      </c>
      <c r="F1300" s="18" t="s">
        <v>29</v>
      </c>
      <c r="G1300" s="18" t="s">
        <v>28</v>
      </c>
      <c r="H1300" s="18" t="str">
        <f t="shared" si="114"/>
        <v>MOLIA (P1)</v>
      </c>
      <c r="I1300" s="16" t="s">
        <v>96</v>
      </c>
      <c r="J1300" s="6" t="s">
        <v>35</v>
      </c>
      <c r="K1300" s="6" t="s">
        <v>284</v>
      </c>
      <c r="L1300" s="6" t="s">
        <v>55</v>
      </c>
      <c r="M1300" s="18" t="str">
        <f>VLOOKUP(L1300, GLOSSARY!$A:$C, 2, FALSE)</f>
        <v>EGYPT ESTATE</v>
      </c>
      <c r="N1300" s="6" t="s">
        <v>68</v>
      </c>
      <c r="O1300" s="6"/>
      <c r="P1300" s="6"/>
      <c r="Q1300" s="6"/>
      <c r="R1300" s="6"/>
      <c r="S1300" s="6"/>
      <c r="T1300" s="6"/>
      <c r="U1300" s="6"/>
      <c r="V1300" s="6"/>
      <c r="W1300" s="6"/>
      <c r="X1300" s="6"/>
      <c r="Y1300" s="6"/>
      <c r="Z1300" s="6"/>
      <c r="AA1300" s="6"/>
      <c r="AB1300" s="6"/>
      <c r="AC1300" s="6"/>
      <c r="AD1300" s="6"/>
      <c r="AE1300" s="6"/>
    </row>
    <row r="1301" spans="1:31" ht="25.5" x14ac:dyDescent="0.2">
      <c r="A1301" s="18" t="s">
        <v>3825</v>
      </c>
      <c r="B1301" s="18" t="s">
        <v>3830</v>
      </c>
      <c r="C1301" s="19" t="s">
        <v>3831</v>
      </c>
      <c r="D1301" s="18" t="s">
        <v>3832</v>
      </c>
      <c r="E1301" s="18" t="s">
        <v>3829</v>
      </c>
      <c r="F1301" s="18" t="s">
        <v>29</v>
      </c>
      <c r="G1301" s="18" t="s">
        <v>28</v>
      </c>
      <c r="H1301" s="18" t="str">
        <f t="shared" si="114"/>
        <v>MOLIA (P1)</v>
      </c>
      <c r="I1301" s="16" t="s">
        <v>96</v>
      </c>
      <c r="J1301" s="6" t="s">
        <v>35</v>
      </c>
      <c r="K1301" s="6" t="s">
        <v>207</v>
      </c>
      <c r="L1301" s="6" t="s">
        <v>209</v>
      </c>
      <c r="M1301" s="18" t="str">
        <f>VLOOKUP(L1301, GLOSSARY!$A:$C, 2, FALSE)</f>
        <v>BREADNUT ISLAND PEN</v>
      </c>
      <c r="N1301" s="6" t="s">
        <v>68</v>
      </c>
      <c r="O1301" s="6"/>
      <c r="P1301" s="6"/>
      <c r="Q1301" s="6"/>
      <c r="R1301" s="6"/>
      <c r="S1301" s="6"/>
      <c r="T1301" s="6"/>
      <c r="U1301" s="6"/>
      <c r="V1301" s="6"/>
      <c r="W1301" s="6"/>
      <c r="X1301" s="6"/>
      <c r="Y1301" s="6"/>
      <c r="Z1301" s="6"/>
      <c r="AA1301" s="6"/>
      <c r="AB1301" s="6"/>
      <c r="AC1301" s="6"/>
      <c r="AD1301" s="6"/>
      <c r="AE1301" s="6"/>
    </row>
    <row r="1302" spans="1:31" ht="102" x14ac:dyDescent="0.2">
      <c r="A1302" s="6" t="s">
        <v>3833</v>
      </c>
      <c r="B1302" s="6" t="s">
        <v>3834</v>
      </c>
      <c r="C1302" s="20" t="s">
        <v>3835</v>
      </c>
      <c r="D1302" s="6" t="s">
        <v>3836</v>
      </c>
      <c r="E1302" s="6" t="s">
        <v>6642</v>
      </c>
      <c r="F1302" s="6" t="s">
        <v>6643</v>
      </c>
      <c r="G1302" s="6" t="s">
        <v>6644</v>
      </c>
      <c r="H1302" s="18" t="str">
        <f t="shared" si="114"/>
        <v>THE OVERSEER
ARTHUR FOREST
DAVID KINLOCK (P43
P47
P48)</v>
      </c>
      <c r="I1302" s="6" t="s">
        <v>784</v>
      </c>
      <c r="J1302" s="6" t="s">
        <v>61</v>
      </c>
      <c r="K1302" s="6" t="s">
        <v>426</v>
      </c>
      <c r="L1302" s="6" t="s">
        <v>427</v>
      </c>
      <c r="M1302" s="18" t="str">
        <f>VLOOKUP(L1302, GLOSSARY!$A:$C, 2, FALSE)</f>
        <v>MASEMURE ESTATE</v>
      </c>
      <c r="N1302" s="6" t="s">
        <v>68</v>
      </c>
      <c r="O1302" s="6"/>
      <c r="P1302" s="6"/>
      <c r="Q1302" s="6"/>
      <c r="R1302" s="6"/>
      <c r="S1302" s="6"/>
      <c r="T1302" s="6"/>
      <c r="U1302" s="6"/>
      <c r="V1302" s="6"/>
      <c r="W1302" s="6"/>
      <c r="X1302" s="6"/>
      <c r="Y1302" s="6"/>
      <c r="Z1302" s="6"/>
      <c r="AA1302" s="6"/>
      <c r="AB1302" s="6"/>
      <c r="AC1302" s="6"/>
      <c r="AD1302" s="6"/>
      <c r="AE1302" s="6"/>
    </row>
    <row r="1303" spans="1:31" ht="63.75" x14ac:dyDescent="0.2">
      <c r="A1303" s="6" t="s">
        <v>6645</v>
      </c>
      <c r="B1303" s="6" t="s">
        <v>4161</v>
      </c>
      <c r="C1303" s="20" t="s">
        <v>6646</v>
      </c>
      <c r="D1303" s="6" t="s">
        <v>6647</v>
      </c>
      <c r="E1303" s="6"/>
      <c r="F1303" s="6" t="s">
        <v>5832</v>
      </c>
      <c r="G1303" s="6" t="s">
        <v>6648</v>
      </c>
      <c r="H1303" s="6" t="str">
        <f t="shared" si="114"/>
        <v>EGYPT LUCY
THE OVERSEER (P3
P43)</v>
      </c>
      <c r="I1303" s="6" t="s">
        <v>957</v>
      </c>
      <c r="J1303" s="6"/>
      <c r="K1303" s="6"/>
      <c r="L1303" s="6" t="s">
        <v>209</v>
      </c>
      <c r="M1303" s="6" t="str">
        <f>VLOOKUP(L1303, GLOSSARY!$A:$C, 2, FALSE)</f>
        <v>BREADNUT ISLAND PEN</v>
      </c>
      <c r="N1303" s="6" t="s">
        <v>68</v>
      </c>
      <c r="O1303" s="6"/>
      <c r="P1303" s="6"/>
      <c r="Q1303" s="6"/>
      <c r="R1303" s="6"/>
      <c r="S1303" s="6"/>
      <c r="T1303" s="6"/>
      <c r="U1303" s="6"/>
      <c r="V1303" s="6"/>
      <c r="W1303" s="6"/>
      <c r="X1303" s="6"/>
      <c r="Y1303" s="6"/>
      <c r="Z1303" s="6"/>
      <c r="AA1303" s="6"/>
      <c r="AB1303" s="6"/>
      <c r="AC1303" s="6"/>
      <c r="AD1303" s="6"/>
      <c r="AE1303" s="6"/>
    </row>
    <row r="1304" spans="1:31" ht="76.5" x14ac:dyDescent="0.2">
      <c r="A1304" s="6" t="s">
        <v>6184</v>
      </c>
      <c r="B1304" s="6" t="s">
        <v>4515</v>
      </c>
      <c r="C1304" s="20" t="s">
        <v>6649</v>
      </c>
      <c r="D1304" s="6" t="s">
        <v>6650</v>
      </c>
      <c r="E1304" s="6"/>
      <c r="F1304" s="6" t="s">
        <v>6651</v>
      </c>
      <c r="G1304" s="6" t="s">
        <v>6652</v>
      </c>
      <c r="H1304" s="6" t="str">
        <f t="shared" si="114"/>
        <v>THE OVERSEER
JOHN HARTNOLE (P43
P81)</v>
      </c>
      <c r="I1304" s="6" t="s">
        <v>248</v>
      </c>
      <c r="J1304" s="6"/>
      <c r="K1304" s="6"/>
      <c r="L1304" s="6" t="s">
        <v>209</v>
      </c>
      <c r="M1304" s="6" t="str">
        <f>VLOOKUP(L1304, GLOSSARY!$A:$C, 2, FALSE)</f>
        <v>BREADNUT ISLAND PEN</v>
      </c>
      <c r="N1304" s="6" t="s">
        <v>68</v>
      </c>
      <c r="O1304" s="6"/>
      <c r="P1304" s="6"/>
      <c r="Q1304" s="6"/>
      <c r="R1304" s="6"/>
      <c r="S1304" s="6"/>
      <c r="T1304" s="6"/>
      <c r="U1304" s="6"/>
      <c r="V1304" s="6"/>
      <c r="W1304" s="6"/>
      <c r="X1304" s="6"/>
      <c r="Y1304" s="6"/>
      <c r="Z1304" s="6"/>
      <c r="AA1304" s="6"/>
      <c r="AB1304" s="6"/>
      <c r="AC1304" s="6"/>
      <c r="AD1304" s="6"/>
      <c r="AE1304" s="6"/>
    </row>
    <row r="1305" spans="1:31" ht="178.5" x14ac:dyDescent="0.2">
      <c r="A1305" s="6" t="s">
        <v>3833</v>
      </c>
      <c r="B1305" s="6" t="s">
        <v>3838</v>
      </c>
      <c r="C1305" s="20" t="s">
        <v>3839</v>
      </c>
      <c r="D1305" s="6" t="s">
        <v>3840</v>
      </c>
      <c r="E1305" s="6" t="s">
        <v>3841</v>
      </c>
      <c r="F1305" s="6" t="s">
        <v>6653</v>
      </c>
      <c r="G1305" s="6" t="s">
        <v>6654</v>
      </c>
      <c r="H1305" s="18" t="str">
        <f t="shared" si="114"/>
        <v>THE OVERSEER
DAVID KINLOCK
SAWNO
OGO
MOLIA
NANNY
SILVIA
 (P43
P48
P39
P13
P1
P15
P2)</v>
      </c>
      <c r="I1305" s="6" t="s">
        <v>784</v>
      </c>
      <c r="J1305" s="6" t="s">
        <v>3842</v>
      </c>
      <c r="K1305" s="6" t="s">
        <v>426</v>
      </c>
      <c r="L1305" s="6" t="s">
        <v>427</v>
      </c>
      <c r="M1305" s="18" t="str">
        <f>VLOOKUP(L1305, GLOSSARY!$A:$C, 2, FALSE)</f>
        <v>MASEMURE ESTATE</v>
      </c>
      <c r="N1305" s="6" t="s">
        <v>167</v>
      </c>
      <c r="O1305" s="6"/>
      <c r="P1305" s="6"/>
      <c r="Q1305" s="6"/>
      <c r="R1305" s="6"/>
      <c r="S1305" s="6"/>
      <c r="T1305" s="6"/>
      <c r="U1305" s="6"/>
      <c r="V1305" s="6"/>
      <c r="W1305" s="6"/>
      <c r="X1305" s="6"/>
      <c r="Y1305" s="6"/>
      <c r="Z1305" s="6"/>
      <c r="AA1305" s="6"/>
      <c r="AB1305" s="6"/>
      <c r="AC1305" s="6"/>
      <c r="AD1305" s="6"/>
      <c r="AE1305" s="6"/>
    </row>
    <row r="1306" spans="1:31" ht="114.75" x14ac:dyDescent="0.2">
      <c r="A1306" s="6" t="s">
        <v>6655</v>
      </c>
      <c r="B1306" s="6" t="s">
        <v>4173</v>
      </c>
      <c r="C1306" s="20" t="s">
        <v>6656</v>
      </c>
      <c r="D1306" s="6" t="s">
        <v>6657</v>
      </c>
      <c r="E1306" s="6"/>
      <c r="F1306" s="6" t="s">
        <v>6658</v>
      </c>
      <c r="G1306" s="6" t="s">
        <v>6659</v>
      </c>
      <c r="H1306" s="6" t="str">
        <f>CONCATENATE(F1306,"(",G1306,")")</f>
        <v>CUDJOE
SALLY
NANNY(P15
P17
P52)</v>
      </c>
      <c r="I1306" s="6" t="s">
        <v>139</v>
      </c>
      <c r="J1306" s="6"/>
      <c r="K1306" s="6"/>
      <c r="L1306" s="6" t="s">
        <v>209</v>
      </c>
      <c r="M1306" s="6" t="str">
        <f>VLOOKUP(L1306, GLOSSARY!$A:$C, 2, FALSE)</f>
        <v>BREADNUT ISLAND PEN</v>
      </c>
      <c r="N1306" s="6" t="s">
        <v>68</v>
      </c>
      <c r="O1306" s="6"/>
      <c r="P1306" s="6"/>
      <c r="Q1306" s="6"/>
      <c r="R1306" s="6"/>
      <c r="S1306" s="6"/>
      <c r="T1306" s="6"/>
      <c r="U1306" s="6"/>
      <c r="V1306" s="6"/>
      <c r="W1306" s="6"/>
      <c r="X1306" s="6"/>
      <c r="Y1306" s="6"/>
      <c r="Z1306" s="6"/>
      <c r="AA1306" s="6"/>
      <c r="AB1306" s="6"/>
      <c r="AC1306" s="6"/>
      <c r="AD1306" s="6"/>
      <c r="AE1306" s="6"/>
    </row>
    <row r="1307" spans="1:31" ht="38.25" x14ac:dyDescent="0.2">
      <c r="A1307" s="6" t="s">
        <v>3833</v>
      </c>
      <c r="B1307" s="6" t="s">
        <v>3843</v>
      </c>
      <c r="C1307" s="20" t="s">
        <v>3844</v>
      </c>
      <c r="D1307" s="6" t="s">
        <v>3845</v>
      </c>
      <c r="E1307" s="6" t="s">
        <v>3846</v>
      </c>
      <c r="F1307" s="6" t="s">
        <v>6660</v>
      </c>
      <c r="G1307" s="6" t="s">
        <v>6661</v>
      </c>
      <c r="H1307" s="18" t="str">
        <f t="shared" ref="H1307:H1311" si="115">CONCATENATE(F1307," (",G1307,")")</f>
        <v>NANNY
SILVIA (P15
P2)</v>
      </c>
      <c r="I1307" s="6" t="s">
        <v>1047</v>
      </c>
      <c r="J1307" s="6"/>
      <c r="K1307" s="6" t="s">
        <v>207</v>
      </c>
      <c r="L1307" s="6" t="s">
        <v>209</v>
      </c>
      <c r="M1307" s="18" t="str">
        <f>VLOOKUP(L1307, GLOSSARY!$A:$C, 2, FALSE)</f>
        <v>BREADNUT ISLAND PEN</v>
      </c>
      <c r="N1307" s="6" t="s">
        <v>68</v>
      </c>
      <c r="O1307" s="6"/>
      <c r="P1307" s="6"/>
      <c r="Q1307" s="6"/>
      <c r="R1307" s="6"/>
      <c r="S1307" s="6"/>
      <c r="T1307" s="6"/>
      <c r="U1307" s="6"/>
      <c r="V1307" s="6"/>
      <c r="W1307" s="6"/>
      <c r="X1307" s="6"/>
      <c r="Y1307" s="6"/>
      <c r="Z1307" s="6"/>
      <c r="AA1307" s="6"/>
      <c r="AB1307" s="6"/>
      <c r="AC1307" s="6"/>
      <c r="AD1307" s="6"/>
      <c r="AE1307" s="6"/>
    </row>
    <row r="1308" spans="1:31" ht="63.75" x14ac:dyDescent="0.2">
      <c r="A1308" s="6" t="s">
        <v>3833</v>
      </c>
      <c r="B1308" s="6" t="s">
        <v>3847</v>
      </c>
      <c r="C1308" s="20" t="s">
        <v>3848</v>
      </c>
      <c r="D1308" s="6" t="s">
        <v>3849</v>
      </c>
      <c r="E1308" s="6" t="s">
        <v>3850</v>
      </c>
      <c r="F1308" s="6" t="s">
        <v>6662</v>
      </c>
      <c r="G1308" s="6" t="s">
        <v>6663</v>
      </c>
      <c r="H1308" s="18" t="str">
        <f t="shared" si="115"/>
        <v>DAVID KINLOCK
THE OVERSEER
MOLIA (P48
P43
P1)</v>
      </c>
      <c r="I1308" s="6" t="s">
        <v>1047</v>
      </c>
      <c r="J1308" s="6" t="s">
        <v>3851</v>
      </c>
      <c r="K1308" s="6" t="s">
        <v>207</v>
      </c>
      <c r="L1308" s="6" t="s">
        <v>209</v>
      </c>
      <c r="M1308" s="18" t="str">
        <f>VLOOKUP(L1308, GLOSSARY!$A:$C, 2, FALSE)</f>
        <v>BREADNUT ISLAND PEN</v>
      </c>
      <c r="N1308" s="6" t="s">
        <v>167</v>
      </c>
      <c r="O1308" s="6"/>
      <c r="P1308" s="6"/>
      <c r="Q1308" s="6"/>
      <c r="R1308" s="6"/>
      <c r="S1308" s="6"/>
      <c r="T1308" s="6"/>
      <c r="U1308" s="6"/>
      <c r="V1308" s="6"/>
      <c r="W1308" s="6"/>
      <c r="X1308" s="6"/>
      <c r="Y1308" s="6"/>
      <c r="Z1308" s="6"/>
      <c r="AA1308" s="6"/>
      <c r="AB1308" s="6"/>
      <c r="AC1308" s="6"/>
      <c r="AD1308" s="6"/>
      <c r="AE1308" s="6"/>
    </row>
    <row r="1309" spans="1:31" ht="25.5" x14ac:dyDescent="0.2">
      <c r="A1309" s="6" t="s">
        <v>3833</v>
      </c>
      <c r="B1309" s="6" t="s">
        <v>3852</v>
      </c>
      <c r="C1309" s="20" t="s">
        <v>3853</v>
      </c>
      <c r="D1309" s="6" t="s">
        <v>3854</v>
      </c>
      <c r="E1309" s="6" t="s">
        <v>3855</v>
      </c>
      <c r="F1309" s="6" t="s">
        <v>38</v>
      </c>
      <c r="G1309" s="6" t="s">
        <v>6221</v>
      </c>
      <c r="H1309" s="18" t="str">
        <f t="shared" si="115"/>
        <v>SILVIA (P25
P119)</v>
      </c>
      <c r="I1309" s="6" t="s">
        <v>1068</v>
      </c>
      <c r="J1309" s="6"/>
      <c r="K1309" s="6" t="s">
        <v>207</v>
      </c>
      <c r="L1309" s="6" t="s">
        <v>209</v>
      </c>
      <c r="M1309" s="18" t="str">
        <f>VLOOKUP(L1309, GLOSSARY!$A:$C, 2, FALSE)</f>
        <v>BREADNUT ISLAND PEN</v>
      </c>
      <c r="N1309" s="6" t="s">
        <v>68</v>
      </c>
      <c r="O1309" s="6"/>
      <c r="P1309" s="6"/>
      <c r="Q1309" s="6"/>
      <c r="R1309" s="6"/>
      <c r="S1309" s="6"/>
      <c r="T1309" s="6"/>
      <c r="U1309" s="6"/>
      <c r="V1309" s="6"/>
      <c r="W1309" s="6"/>
      <c r="X1309" s="6"/>
      <c r="Y1309" s="6"/>
      <c r="Z1309" s="6"/>
      <c r="AA1309" s="6"/>
      <c r="AB1309" s="6"/>
      <c r="AC1309" s="6"/>
      <c r="AD1309" s="6"/>
      <c r="AE1309" s="6"/>
    </row>
    <row r="1310" spans="1:31" ht="114.75" x14ac:dyDescent="0.2">
      <c r="A1310" s="6" t="s">
        <v>3833</v>
      </c>
      <c r="B1310" s="6" t="s">
        <v>3852</v>
      </c>
      <c r="C1310" s="20" t="s">
        <v>3856</v>
      </c>
      <c r="D1310" s="6" t="s">
        <v>3857</v>
      </c>
      <c r="E1310" s="6" t="s">
        <v>3858</v>
      </c>
      <c r="F1310" s="6" t="s">
        <v>6664</v>
      </c>
      <c r="G1310" s="6" t="s">
        <v>6665</v>
      </c>
      <c r="H1310" s="18" t="str">
        <f t="shared" si="115"/>
        <v>CUDJOE
NANNY
SALLY
PEGGY
MOLIA (P52
P15
P17
P19
P1)</v>
      </c>
      <c r="I1310" s="6" t="s">
        <v>139</v>
      </c>
      <c r="J1310" s="6" t="s">
        <v>35</v>
      </c>
      <c r="K1310" s="6" t="s">
        <v>207</v>
      </c>
      <c r="L1310" s="6" t="s">
        <v>209</v>
      </c>
      <c r="M1310" s="18" t="str">
        <f>VLOOKUP(L1310, GLOSSARY!$A:$C, 2, FALSE)</f>
        <v>BREADNUT ISLAND PEN</v>
      </c>
      <c r="N1310" s="6" t="s">
        <v>68</v>
      </c>
      <c r="O1310" s="6"/>
      <c r="P1310" s="6"/>
      <c r="Q1310" s="6"/>
      <c r="R1310" s="6"/>
      <c r="S1310" s="6"/>
      <c r="T1310" s="6"/>
      <c r="U1310" s="6"/>
      <c r="V1310" s="6"/>
      <c r="W1310" s="6"/>
      <c r="X1310" s="6"/>
      <c r="Y1310" s="6"/>
      <c r="Z1310" s="6"/>
      <c r="AA1310" s="6"/>
      <c r="AB1310" s="6"/>
      <c r="AC1310" s="6"/>
      <c r="AD1310" s="6"/>
      <c r="AE1310" s="6"/>
    </row>
    <row r="1311" spans="1:31" ht="140.25" x14ac:dyDescent="0.2">
      <c r="A1311" s="6" t="s">
        <v>3833</v>
      </c>
      <c r="B1311" s="6" t="s">
        <v>3859</v>
      </c>
      <c r="C1311" s="20" t="s">
        <v>3860</v>
      </c>
      <c r="D1311" s="6" t="s">
        <v>3861</v>
      </c>
      <c r="E1311" s="6" t="s">
        <v>6666</v>
      </c>
      <c r="F1311" s="6" t="s">
        <v>6667</v>
      </c>
      <c r="G1311" s="6" t="s">
        <v>6668</v>
      </c>
      <c r="H1311" s="18" t="str">
        <f t="shared" si="115"/>
        <v>CUDJOE
NANNY
SALLY
PEGGY
MOLIA
THE NEIGHBOR (P52
P15
P17
P19
P1
P46)</v>
      </c>
      <c r="I1311" s="6" t="s">
        <v>784</v>
      </c>
      <c r="J1311" s="6" t="s">
        <v>35</v>
      </c>
      <c r="K1311" s="6" t="s">
        <v>3862</v>
      </c>
      <c r="L1311" s="6" t="s">
        <v>3863</v>
      </c>
      <c r="M1311" s="18" t="e">
        <f>VLOOKUP(L1311, GLOSSARY!$A:$C, 2, FALSE)</f>
        <v>#N/A</v>
      </c>
      <c r="N1311" s="6" t="s">
        <v>68</v>
      </c>
      <c r="O1311" s="6"/>
      <c r="P1311" s="6"/>
      <c r="Q1311" s="6"/>
      <c r="R1311" s="6"/>
      <c r="S1311" s="6"/>
      <c r="T1311" s="6"/>
      <c r="U1311" s="6"/>
      <c r="V1311" s="6"/>
      <c r="W1311" s="6"/>
      <c r="X1311" s="6"/>
      <c r="Y1311" s="6"/>
      <c r="Z1311" s="6"/>
      <c r="AA1311" s="6"/>
      <c r="AB1311" s="6"/>
      <c r="AC1311" s="6"/>
      <c r="AD1311" s="6"/>
      <c r="AE1311" s="6"/>
    </row>
    <row r="1312" spans="1:31" ht="63.75" x14ac:dyDescent="0.2">
      <c r="A1312" s="6" t="s">
        <v>6669</v>
      </c>
      <c r="B1312" s="6" t="s">
        <v>4551</v>
      </c>
      <c r="C1312" s="20" t="s">
        <v>6670</v>
      </c>
      <c r="D1312" s="6" t="s">
        <v>6671</v>
      </c>
      <c r="E1312" s="6"/>
      <c r="F1312" s="6" t="s">
        <v>6672</v>
      </c>
      <c r="G1312" s="6" t="s">
        <v>6673</v>
      </c>
      <c r="H1312" s="6" t="str">
        <f>CONCATENATE(F1312,"(",G1312,")")</f>
        <v>JOB
PHIBBAH(P29
P7)</v>
      </c>
      <c r="I1312" s="6" t="s">
        <v>3809</v>
      </c>
      <c r="J1312" s="6"/>
      <c r="K1312" s="6"/>
      <c r="L1312" s="6" t="s">
        <v>55</v>
      </c>
      <c r="M1312" s="6" t="str">
        <f>VLOOKUP(L1312, GLOSSARY!$A:$C, 2, FALSE)</f>
        <v>EGYPT ESTATE</v>
      </c>
      <c r="N1312" s="6" t="s">
        <v>287</v>
      </c>
      <c r="O1312" s="6"/>
      <c r="P1312" s="6"/>
      <c r="Q1312" s="6"/>
      <c r="R1312" s="6"/>
      <c r="S1312" s="6"/>
      <c r="T1312" s="6"/>
      <c r="U1312" s="6"/>
      <c r="V1312" s="6"/>
      <c r="W1312" s="6"/>
      <c r="X1312" s="6"/>
      <c r="Y1312" s="6"/>
      <c r="Z1312" s="6"/>
      <c r="AA1312" s="6"/>
      <c r="AB1312" s="6"/>
      <c r="AC1312" s="6"/>
      <c r="AD1312" s="6"/>
      <c r="AE1312" s="6"/>
    </row>
    <row r="1313" spans="1:31" ht="38.25" x14ac:dyDescent="0.2">
      <c r="A1313" s="6" t="s">
        <v>3833</v>
      </c>
      <c r="B1313" s="6" t="s">
        <v>3864</v>
      </c>
      <c r="C1313" s="20" t="s">
        <v>3865</v>
      </c>
      <c r="D1313" s="6" t="s">
        <v>3866</v>
      </c>
      <c r="E1313" s="6" t="s">
        <v>3829</v>
      </c>
      <c r="F1313" s="6" t="s">
        <v>29</v>
      </c>
      <c r="G1313" s="6" t="s">
        <v>28</v>
      </c>
      <c r="H1313" s="18" t="str">
        <f>CONCATENATE(F1313," (",G1313,")")</f>
        <v>MOLIA (P1)</v>
      </c>
      <c r="I1313" s="6" t="s">
        <v>784</v>
      </c>
      <c r="J1313" s="6" t="s">
        <v>35</v>
      </c>
      <c r="K1313" s="6" t="s">
        <v>426</v>
      </c>
      <c r="L1313" s="6" t="s">
        <v>427</v>
      </c>
      <c r="M1313" s="18" t="str">
        <f>VLOOKUP(L1313, GLOSSARY!$A:$C, 2, FALSE)</f>
        <v>MASEMURE ESTATE</v>
      </c>
      <c r="N1313" s="6" t="s">
        <v>68</v>
      </c>
      <c r="O1313" s="6"/>
      <c r="P1313" s="6"/>
      <c r="Q1313" s="6"/>
      <c r="R1313" s="6"/>
      <c r="S1313" s="6"/>
      <c r="T1313" s="6"/>
      <c r="U1313" s="6"/>
      <c r="V1313" s="6"/>
      <c r="W1313" s="6"/>
      <c r="X1313" s="6"/>
      <c r="Y1313" s="6"/>
      <c r="Z1313" s="6"/>
      <c r="AA1313" s="6"/>
      <c r="AB1313" s="6"/>
      <c r="AC1313" s="6"/>
      <c r="AD1313" s="6"/>
      <c r="AE1313" s="6"/>
    </row>
    <row r="1314" spans="1:31" ht="165.75" x14ac:dyDescent="0.2">
      <c r="A1314" s="6" t="s">
        <v>6674</v>
      </c>
      <c r="B1314" s="6" t="s">
        <v>4229</v>
      </c>
      <c r="C1314" s="20" t="s">
        <v>6675</v>
      </c>
      <c r="D1314" s="6" t="s">
        <v>6676</v>
      </c>
      <c r="E1314" s="6"/>
      <c r="F1314" s="6" t="s">
        <v>6677</v>
      </c>
      <c r="G1314" s="6" t="s">
        <v>6678</v>
      </c>
      <c r="H1314" s="6" t="str">
        <f t="shared" ref="H1314:H1322" si="116">CONCATENATE(F1314,"(",G1314,")")</f>
        <v>THE PROPRIETRESS
OLD LEANDRA
JOHN
THE OVERSEER(P50
P28
P9
P43)</v>
      </c>
      <c r="I1314" s="6" t="s">
        <v>1047</v>
      </c>
      <c r="J1314" s="6"/>
      <c r="K1314" s="6"/>
      <c r="L1314" s="6" t="s">
        <v>209</v>
      </c>
      <c r="M1314" s="6" t="str">
        <f>VLOOKUP(L1314, GLOSSARY!$A:$C, 2, FALSE)</f>
        <v>BREADNUT ISLAND PEN</v>
      </c>
      <c r="N1314" s="6"/>
      <c r="O1314" s="6"/>
      <c r="P1314" s="6"/>
      <c r="Q1314" s="6"/>
      <c r="R1314" s="6"/>
      <c r="S1314" s="6"/>
      <c r="T1314" s="6"/>
      <c r="U1314" s="6"/>
      <c r="V1314" s="6"/>
      <c r="W1314" s="6"/>
      <c r="X1314" s="6"/>
      <c r="Y1314" s="6"/>
      <c r="Z1314" s="6"/>
      <c r="AA1314" s="6"/>
      <c r="AB1314" s="6"/>
      <c r="AC1314" s="6"/>
      <c r="AD1314" s="6"/>
      <c r="AE1314" s="6"/>
    </row>
    <row r="1315" spans="1:31" ht="153" x14ac:dyDescent="0.2">
      <c r="A1315" s="6" t="s">
        <v>5327</v>
      </c>
      <c r="B1315" s="6" t="s">
        <v>6679</v>
      </c>
      <c r="C1315" s="20" t="s">
        <v>6680</v>
      </c>
      <c r="D1315" s="6" t="s">
        <v>6681</v>
      </c>
      <c r="E1315" s="6"/>
      <c r="F1315" s="6" t="s">
        <v>6682</v>
      </c>
      <c r="G1315" s="6" t="s">
        <v>6683</v>
      </c>
      <c r="H1315" s="6" t="str">
        <f t="shared" si="116"/>
        <v>SUKEY
THE OVERSEER
HANNIBAL(P297
P43
P37)</v>
      </c>
      <c r="I1315" s="6" t="s">
        <v>784</v>
      </c>
      <c r="J1315" s="6"/>
      <c r="K1315" s="6"/>
      <c r="L1315" s="6" t="s">
        <v>427</v>
      </c>
      <c r="M1315" s="6" t="str">
        <f>VLOOKUP(L1315, GLOSSARY!$A:$C, 2, FALSE)</f>
        <v>MASEMURE ESTATE</v>
      </c>
      <c r="N1315" s="6" t="s">
        <v>68</v>
      </c>
      <c r="O1315" s="6"/>
      <c r="P1315" s="6"/>
      <c r="Q1315" s="6"/>
      <c r="R1315" s="6"/>
      <c r="S1315" s="6"/>
      <c r="T1315" s="6"/>
      <c r="U1315" s="6"/>
      <c r="V1315" s="6"/>
      <c r="W1315" s="6"/>
      <c r="X1315" s="6"/>
      <c r="Y1315" s="6"/>
      <c r="Z1315" s="6"/>
      <c r="AA1315" s="6"/>
      <c r="AB1315" s="6"/>
      <c r="AC1315" s="6"/>
      <c r="AD1315" s="6"/>
      <c r="AE1315" s="6"/>
    </row>
    <row r="1316" spans="1:31" ht="165.75" x14ac:dyDescent="0.2">
      <c r="A1316" s="6" t="s">
        <v>6684</v>
      </c>
      <c r="B1316" s="6" t="s">
        <v>2067</v>
      </c>
      <c r="C1316" s="20" t="s">
        <v>6685</v>
      </c>
      <c r="D1316" s="6" t="s">
        <v>6686</v>
      </c>
      <c r="E1316" s="6"/>
      <c r="F1316" s="6" t="s">
        <v>6687</v>
      </c>
      <c r="G1316" s="6" t="s">
        <v>6688</v>
      </c>
      <c r="H1316" s="6" t="str">
        <f t="shared" si="116"/>
        <v>CHUB
MOLIA
MR. GRANT
THE OVERSEER(P57
P1
P280
P43)</v>
      </c>
      <c r="I1316" s="6" t="s">
        <v>533</v>
      </c>
      <c r="J1316" s="6"/>
      <c r="K1316" s="6"/>
      <c r="L1316" s="6" t="s">
        <v>427</v>
      </c>
      <c r="M1316" s="6" t="str">
        <f>VLOOKUP(L1316, GLOSSARY!$A:$C, 2, FALSE)</f>
        <v>MASEMURE ESTATE</v>
      </c>
      <c r="N1316" s="6" t="s">
        <v>68</v>
      </c>
      <c r="O1316" s="6"/>
      <c r="P1316" s="6"/>
      <c r="Q1316" s="6"/>
      <c r="R1316" s="6"/>
      <c r="S1316" s="6"/>
      <c r="T1316" s="6"/>
      <c r="U1316" s="6"/>
      <c r="V1316" s="6"/>
      <c r="W1316" s="6"/>
      <c r="X1316" s="6"/>
      <c r="Y1316" s="6"/>
      <c r="Z1316" s="6"/>
      <c r="AA1316" s="6"/>
      <c r="AB1316" s="6"/>
      <c r="AC1316" s="6"/>
      <c r="AD1316" s="6"/>
      <c r="AE1316" s="6"/>
    </row>
    <row r="1317" spans="1:31" ht="76.5" x14ac:dyDescent="0.2">
      <c r="A1317" s="6" t="s">
        <v>6684</v>
      </c>
      <c r="B1317" s="6" t="s">
        <v>2079</v>
      </c>
      <c r="C1317" s="20" t="s">
        <v>6689</v>
      </c>
      <c r="D1317" s="6" t="s">
        <v>6690</v>
      </c>
      <c r="E1317" s="6"/>
      <c r="F1317" s="6" t="s">
        <v>6691</v>
      </c>
      <c r="G1317" s="6" t="s">
        <v>6692</v>
      </c>
      <c r="H1317" s="6" t="str">
        <f t="shared" si="116"/>
        <v>CESAR
MOLIA(P281
P1)</v>
      </c>
      <c r="I1317" s="6" t="s">
        <v>533</v>
      </c>
      <c r="J1317" s="6"/>
      <c r="K1317" s="6"/>
      <c r="L1317" s="6" t="s">
        <v>55</v>
      </c>
      <c r="M1317" s="6" t="str">
        <f>VLOOKUP(L1317, GLOSSARY!$A:$C, 2, FALSE)</f>
        <v>EGYPT ESTATE</v>
      </c>
      <c r="N1317" s="6" t="s">
        <v>68</v>
      </c>
      <c r="O1317" s="6"/>
      <c r="P1317" s="6"/>
      <c r="Q1317" s="6"/>
      <c r="R1317" s="6"/>
      <c r="S1317" s="6"/>
      <c r="T1317" s="6"/>
      <c r="U1317" s="6"/>
      <c r="V1317" s="6"/>
      <c r="W1317" s="6"/>
      <c r="X1317" s="6"/>
      <c r="Y1317" s="6"/>
      <c r="Z1317" s="6"/>
      <c r="AA1317" s="6"/>
      <c r="AB1317" s="6"/>
      <c r="AC1317" s="6"/>
      <c r="AD1317" s="6"/>
      <c r="AE1317" s="6"/>
    </row>
    <row r="1318" spans="1:31" ht="216.75" x14ac:dyDescent="0.2">
      <c r="A1318" s="6" t="s">
        <v>6693</v>
      </c>
      <c r="B1318" s="6" t="s">
        <v>6694</v>
      </c>
      <c r="C1318" s="20" t="s">
        <v>6695</v>
      </c>
      <c r="D1318" s="6" t="s">
        <v>6696</v>
      </c>
      <c r="E1318" s="6"/>
      <c r="F1318" s="6" t="s">
        <v>6697</v>
      </c>
      <c r="G1318" s="6" t="s">
        <v>6698</v>
      </c>
      <c r="H1318" s="6" t="str">
        <f t="shared" si="116"/>
        <v>MR. BURTON
RIPLEY
YOUNG HORLOCK
RIPLEY'S DAUGHTERS
(P285
P286
P287
P288
P289)</v>
      </c>
      <c r="I1318" s="6" t="s">
        <v>2834</v>
      </c>
      <c r="J1318" s="6"/>
      <c r="K1318" s="6"/>
      <c r="L1318" s="6" t="s">
        <v>3057</v>
      </c>
      <c r="M1318" s="6" t="str">
        <f>VLOOKUP(L1318, GLOSSARY!$A:$C, 2, FALSE)</f>
        <v>KINGSTON</v>
      </c>
      <c r="N1318" s="6" t="s">
        <v>68</v>
      </c>
      <c r="O1318" s="6"/>
      <c r="P1318" s="6"/>
      <c r="Q1318" s="6"/>
      <c r="R1318" s="6"/>
      <c r="S1318" s="6"/>
      <c r="T1318" s="6"/>
      <c r="U1318" s="6"/>
      <c r="V1318" s="6"/>
      <c r="W1318" s="6"/>
      <c r="X1318" s="6"/>
      <c r="Y1318" s="6"/>
      <c r="Z1318" s="6"/>
      <c r="AA1318" s="6"/>
      <c r="AB1318" s="6"/>
      <c r="AC1318" s="6"/>
      <c r="AD1318" s="6"/>
      <c r="AE1318" s="6"/>
    </row>
    <row r="1319" spans="1:31" ht="51" x14ac:dyDescent="0.2">
      <c r="A1319" s="6" t="s">
        <v>6699</v>
      </c>
      <c r="B1319" s="6" t="s">
        <v>5879</v>
      </c>
      <c r="C1319" s="20" t="s">
        <v>6695</v>
      </c>
      <c r="D1319" s="6" t="s">
        <v>6700</v>
      </c>
      <c r="E1319" s="6"/>
      <c r="F1319" s="6" t="s">
        <v>48</v>
      </c>
      <c r="G1319" s="6" t="s">
        <v>4805</v>
      </c>
      <c r="H1319" s="6" t="str">
        <f t="shared" si="116"/>
        <v>THE OVERSEER(P43
P16)</v>
      </c>
      <c r="I1319" s="6" t="s">
        <v>26</v>
      </c>
      <c r="J1319" s="6"/>
      <c r="K1319" s="6"/>
      <c r="L1319" s="6" t="s">
        <v>209</v>
      </c>
      <c r="M1319" s="6" t="str">
        <f>VLOOKUP(L1319, GLOSSARY!$A:$C, 2, FALSE)</f>
        <v>BREADNUT ISLAND PEN</v>
      </c>
      <c r="N1319" s="6" t="s">
        <v>68</v>
      </c>
      <c r="O1319" s="6"/>
      <c r="P1319" s="6"/>
      <c r="Q1319" s="6"/>
      <c r="R1319" s="6"/>
      <c r="S1319" s="6"/>
      <c r="T1319" s="6"/>
      <c r="U1319" s="6"/>
      <c r="V1319" s="6"/>
      <c r="W1319" s="6"/>
      <c r="X1319" s="6"/>
      <c r="Y1319" s="6"/>
      <c r="Z1319" s="6"/>
      <c r="AA1319" s="6"/>
      <c r="AB1319" s="6"/>
      <c r="AC1319" s="6"/>
      <c r="AD1319" s="6"/>
      <c r="AE1319" s="6"/>
    </row>
    <row r="1320" spans="1:31" ht="165.75" x14ac:dyDescent="0.2">
      <c r="A1320" s="6" t="s">
        <v>6701</v>
      </c>
      <c r="B1320" s="6" t="s">
        <v>6702</v>
      </c>
      <c r="C1320" s="20" t="s">
        <v>6703</v>
      </c>
      <c r="D1320" s="6" t="s">
        <v>6704</v>
      </c>
      <c r="E1320" s="6"/>
      <c r="F1320" s="6" t="s">
        <v>6705</v>
      </c>
      <c r="G1320" s="6" t="s">
        <v>6706</v>
      </c>
      <c r="H1320" s="6" t="str">
        <f t="shared" si="116"/>
        <v>THE OVERSEER
VINE
LAWRENCE OLIPHANT
SAM BARTON(P43
P12
P306
P368)</v>
      </c>
      <c r="I1320" s="6" t="s">
        <v>342</v>
      </c>
      <c r="J1320" s="6"/>
      <c r="K1320" s="6"/>
      <c r="L1320" s="6" t="s">
        <v>55</v>
      </c>
      <c r="M1320" s="6" t="str">
        <f>VLOOKUP(L1320, GLOSSARY!$A:$C, 2, FALSE)</f>
        <v>EGYPT ESTATE</v>
      </c>
      <c r="N1320" s="6" t="s">
        <v>167</v>
      </c>
      <c r="O1320" s="6"/>
      <c r="P1320" s="6"/>
      <c r="Q1320" s="6"/>
      <c r="R1320" s="6"/>
      <c r="S1320" s="6"/>
      <c r="T1320" s="6"/>
      <c r="U1320" s="6"/>
      <c r="V1320" s="6"/>
      <c r="W1320" s="6"/>
      <c r="X1320" s="6"/>
      <c r="Y1320" s="6"/>
      <c r="Z1320" s="6"/>
      <c r="AA1320" s="6"/>
      <c r="AB1320" s="6"/>
      <c r="AC1320" s="6"/>
      <c r="AD1320" s="6"/>
      <c r="AE1320" s="6"/>
    </row>
    <row r="1321" spans="1:31" ht="318.75" x14ac:dyDescent="0.2">
      <c r="A1321" s="6" t="s">
        <v>5327</v>
      </c>
      <c r="B1321" s="6" t="s">
        <v>2098</v>
      </c>
      <c r="C1321" s="20" t="s">
        <v>6707</v>
      </c>
      <c r="D1321" s="6" t="s">
        <v>6708</v>
      </c>
      <c r="E1321" s="6"/>
      <c r="F1321" s="6" t="s">
        <v>6709</v>
      </c>
      <c r="G1321" s="6" t="s">
        <v>6710</v>
      </c>
      <c r="H1321" s="6" t="str">
        <f t="shared" si="116"/>
        <v>SOLON
SUKEY
PHOEBE
OWORIA
MOLIA
CUKOR
MIRTILLA(P26
P37
P58
P40
P1
P110
P32)</v>
      </c>
      <c r="I1321" s="6" t="s">
        <v>784</v>
      </c>
      <c r="J1321" s="6"/>
      <c r="K1321" s="6"/>
      <c r="L1321" s="6" t="s">
        <v>6711</v>
      </c>
      <c r="M1321" s="6" t="s">
        <v>6712</v>
      </c>
      <c r="N1321" s="6" t="s">
        <v>68</v>
      </c>
      <c r="O1321" s="6"/>
      <c r="P1321" s="6"/>
      <c r="Q1321" s="6"/>
      <c r="R1321" s="6"/>
      <c r="S1321" s="6"/>
      <c r="T1321" s="6"/>
      <c r="U1321" s="6"/>
      <c r="V1321" s="6"/>
      <c r="W1321" s="6"/>
      <c r="X1321" s="6"/>
      <c r="Y1321" s="6"/>
      <c r="Z1321" s="6"/>
      <c r="AA1321" s="6"/>
      <c r="AB1321" s="6"/>
      <c r="AC1321" s="6"/>
      <c r="AD1321" s="6"/>
      <c r="AE1321" s="6"/>
    </row>
    <row r="1322" spans="1:31" ht="63.75" x14ac:dyDescent="0.2">
      <c r="A1322" s="6" t="s">
        <v>5327</v>
      </c>
      <c r="B1322" s="6" t="s">
        <v>6713</v>
      </c>
      <c r="C1322" s="20" t="s">
        <v>6714</v>
      </c>
      <c r="D1322" s="6" t="s">
        <v>6715</v>
      </c>
      <c r="E1322" s="6"/>
      <c r="F1322" s="6" t="s">
        <v>6716</v>
      </c>
      <c r="G1322" s="6" t="s">
        <v>6717</v>
      </c>
      <c r="H1322" s="6" t="str">
        <f t="shared" si="116"/>
        <v>JIMMY
HANNIBAL(P54
P297)</v>
      </c>
      <c r="I1322" s="6" t="s">
        <v>784</v>
      </c>
      <c r="J1322" s="6"/>
      <c r="K1322" s="6"/>
      <c r="L1322" s="6" t="s">
        <v>427</v>
      </c>
      <c r="M1322" s="6" t="str">
        <f>VLOOKUP(L1322, GLOSSARY!$A:$C, 2, FALSE)</f>
        <v>MASEMURE ESTATE</v>
      </c>
      <c r="N1322" s="6" t="s">
        <v>68</v>
      </c>
      <c r="O1322" s="6"/>
      <c r="P1322" s="6"/>
      <c r="Q1322" s="6"/>
      <c r="R1322" s="6"/>
      <c r="S1322" s="6"/>
      <c r="T1322" s="6"/>
      <c r="U1322" s="6"/>
      <c r="V1322" s="6"/>
      <c r="W1322" s="6"/>
      <c r="X1322" s="6"/>
      <c r="Y1322" s="6"/>
      <c r="Z1322" s="6"/>
      <c r="AA1322" s="6"/>
      <c r="AB1322" s="6"/>
      <c r="AC1322" s="6"/>
      <c r="AD1322" s="6"/>
      <c r="AE1322" s="6"/>
    </row>
    <row r="1323" spans="1:31" ht="165.75" x14ac:dyDescent="0.2">
      <c r="A1323" s="6" t="s">
        <v>6358</v>
      </c>
      <c r="B1323" s="6" t="s">
        <v>1421</v>
      </c>
      <c r="C1323" s="20" t="s">
        <v>6718</v>
      </c>
      <c r="D1323" s="6" t="s">
        <v>6719</v>
      </c>
      <c r="E1323" s="6"/>
      <c r="F1323" s="6" t="s">
        <v>6720</v>
      </c>
      <c r="G1323" s="6" t="s">
        <v>6721</v>
      </c>
      <c r="H1323" s="6" t="str">
        <f t="shared" ref="H1323:H1360" si="117">CONCATENATE(F1323," (",G1323,")")</f>
        <v>PHIBBAH
BESS
EGYPT LUCY
ABBA (P7
P41
P3
P6)</v>
      </c>
      <c r="I1323" s="6" t="s">
        <v>2834</v>
      </c>
      <c r="J1323" s="6"/>
      <c r="K1323" s="6"/>
      <c r="L1323" s="6" t="s">
        <v>6722</v>
      </c>
      <c r="M1323" s="6" t="s">
        <v>6723</v>
      </c>
      <c r="N1323" s="6" t="s">
        <v>68</v>
      </c>
      <c r="O1323" s="6"/>
      <c r="P1323" s="6"/>
      <c r="Q1323" s="6"/>
      <c r="R1323" s="6"/>
      <c r="S1323" s="6"/>
      <c r="T1323" s="6"/>
      <c r="U1323" s="6"/>
      <c r="V1323" s="6"/>
      <c r="W1323" s="6"/>
      <c r="X1323" s="6"/>
      <c r="Y1323" s="6"/>
      <c r="Z1323" s="6"/>
      <c r="AA1323" s="6"/>
      <c r="AB1323" s="6"/>
      <c r="AC1323" s="6"/>
      <c r="AD1323" s="6"/>
      <c r="AE1323" s="6"/>
    </row>
    <row r="1324" spans="1:31" ht="38.25" x14ac:dyDescent="0.2">
      <c r="A1324" s="6" t="s">
        <v>6724</v>
      </c>
      <c r="B1324" s="6" t="s">
        <v>1434</v>
      </c>
      <c r="C1324" s="20" t="s">
        <v>6725</v>
      </c>
      <c r="D1324" s="6" t="s">
        <v>6726</v>
      </c>
      <c r="E1324" s="6"/>
      <c r="F1324" s="6" t="s">
        <v>101</v>
      </c>
      <c r="G1324" s="6" t="s">
        <v>100</v>
      </c>
      <c r="H1324" s="6" t="str">
        <f t="shared" si="117"/>
        <v>PHIBBAH (P7)</v>
      </c>
      <c r="I1324" s="6" t="s">
        <v>859</v>
      </c>
      <c r="J1324" s="6"/>
      <c r="K1324" s="6"/>
      <c r="L1324" s="6" t="s">
        <v>6727</v>
      </c>
      <c r="M1324" s="6" t="s">
        <v>236</v>
      </c>
      <c r="N1324" s="6" t="s">
        <v>287</v>
      </c>
      <c r="O1324" s="6"/>
      <c r="P1324" s="6"/>
      <c r="Q1324" s="6"/>
      <c r="R1324" s="6"/>
      <c r="S1324" s="6"/>
      <c r="T1324" s="6"/>
      <c r="U1324" s="6"/>
      <c r="V1324" s="6"/>
      <c r="W1324" s="6"/>
      <c r="X1324" s="6"/>
      <c r="Y1324" s="6"/>
      <c r="Z1324" s="6"/>
      <c r="AA1324" s="6"/>
      <c r="AB1324" s="6"/>
      <c r="AC1324" s="6"/>
      <c r="AD1324" s="6"/>
      <c r="AE1324" s="6"/>
    </row>
    <row r="1325" spans="1:31" ht="51" x14ac:dyDescent="0.2">
      <c r="A1325" s="6" t="s">
        <v>6728</v>
      </c>
      <c r="B1325" s="6" t="s">
        <v>1453</v>
      </c>
      <c r="C1325" s="20" t="s">
        <v>6729</v>
      </c>
      <c r="D1325" s="6" t="s">
        <v>6730</v>
      </c>
      <c r="E1325" s="6"/>
      <c r="F1325" s="6" t="s">
        <v>2135</v>
      </c>
      <c r="G1325" s="6" t="s">
        <v>6731</v>
      </c>
      <c r="H1325" s="6" t="str">
        <f t="shared" si="117"/>
        <v>PHIBBAH
THE OVERSEER (P7
P43)</v>
      </c>
      <c r="I1325" s="6" t="s">
        <v>859</v>
      </c>
      <c r="J1325" s="6"/>
      <c r="K1325" s="6"/>
      <c r="L1325" s="6" t="s">
        <v>6727</v>
      </c>
      <c r="M1325" s="6" t="s">
        <v>236</v>
      </c>
      <c r="N1325" s="6" t="s">
        <v>167</v>
      </c>
      <c r="O1325" s="6"/>
      <c r="P1325" s="6"/>
      <c r="Q1325" s="6"/>
      <c r="R1325" s="6"/>
      <c r="S1325" s="6"/>
      <c r="T1325" s="6"/>
      <c r="U1325" s="6"/>
      <c r="V1325" s="6"/>
      <c r="W1325" s="6"/>
      <c r="X1325" s="6"/>
      <c r="Y1325" s="6"/>
      <c r="Z1325" s="6"/>
      <c r="AA1325" s="6"/>
      <c r="AB1325" s="6"/>
      <c r="AC1325" s="6"/>
      <c r="AD1325" s="6"/>
      <c r="AE1325" s="6"/>
    </row>
    <row r="1326" spans="1:31" ht="38.25" x14ac:dyDescent="0.2">
      <c r="A1326" s="6" t="s">
        <v>6732</v>
      </c>
      <c r="B1326" s="6" t="s">
        <v>2120</v>
      </c>
      <c r="C1326" s="20" t="s">
        <v>6733</v>
      </c>
      <c r="D1326" s="6" t="s">
        <v>6734</v>
      </c>
      <c r="E1326" s="6" t="s">
        <v>6735</v>
      </c>
      <c r="F1326" s="6" t="s">
        <v>151</v>
      </c>
      <c r="G1326" s="6" t="s">
        <v>150</v>
      </c>
      <c r="H1326" s="18" t="str">
        <f t="shared" si="117"/>
        <v>VINE (P12)</v>
      </c>
      <c r="I1326" s="6" t="s">
        <v>1678</v>
      </c>
      <c r="J1326" s="6"/>
      <c r="K1326" s="6" t="s">
        <v>207</v>
      </c>
      <c r="L1326" s="6" t="s">
        <v>209</v>
      </c>
      <c r="M1326" s="18" t="str">
        <f>VLOOKUP(L1326, GLOSSARY!$A:$C, 2, FALSE)</f>
        <v>BREADNUT ISLAND PEN</v>
      </c>
      <c r="N1326" s="6" t="s">
        <v>167</v>
      </c>
      <c r="O1326" s="6"/>
      <c r="P1326" s="6"/>
      <c r="Q1326" s="6"/>
      <c r="R1326" s="6"/>
      <c r="S1326" s="6"/>
      <c r="T1326" s="6"/>
      <c r="U1326" s="6"/>
      <c r="V1326" s="6"/>
      <c r="W1326" s="6"/>
      <c r="X1326" s="6"/>
      <c r="Y1326" s="6"/>
      <c r="Z1326" s="6"/>
      <c r="AA1326" s="6"/>
      <c r="AB1326" s="6"/>
      <c r="AC1326" s="6"/>
      <c r="AD1326" s="6"/>
      <c r="AE1326" s="6"/>
    </row>
    <row r="1327" spans="1:31" ht="51" x14ac:dyDescent="0.2">
      <c r="A1327" s="6" t="s">
        <v>6736</v>
      </c>
      <c r="B1327" s="6" t="s">
        <v>6737</v>
      </c>
      <c r="C1327" s="20" t="s">
        <v>6738</v>
      </c>
      <c r="D1327" s="6" t="s">
        <v>6739</v>
      </c>
      <c r="E1327" s="6" t="s">
        <v>6740</v>
      </c>
      <c r="F1327" s="6" t="s">
        <v>6741</v>
      </c>
      <c r="G1327" s="6" t="s">
        <v>6742</v>
      </c>
      <c r="H1327" s="18" t="str">
        <f t="shared" si="117"/>
        <v>VINE
MR. MCARTHUR (P12
P114)</v>
      </c>
      <c r="I1327" s="6" t="s">
        <v>859</v>
      </c>
      <c r="J1327" s="6"/>
      <c r="K1327" s="6" t="s">
        <v>757</v>
      </c>
      <c r="L1327" s="6" t="s">
        <v>758</v>
      </c>
      <c r="M1327" s="18" t="str">
        <f>VLOOKUP(L1327, GLOSSARY!$A:$C, 2, FALSE)</f>
        <v>ROARING RIVER ESTATE</v>
      </c>
      <c r="N1327" s="6" t="s">
        <v>68</v>
      </c>
      <c r="O1327" s="6"/>
      <c r="P1327" s="6"/>
      <c r="Q1327" s="6"/>
      <c r="R1327" s="6"/>
      <c r="S1327" s="6"/>
      <c r="T1327" s="6"/>
      <c r="U1327" s="6"/>
      <c r="V1327" s="6"/>
      <c r="W1327" s="6"/>
      <c r="X1327" s="6"/>
      <c r="Y1327" s="6"/>
      <c r="Z1327" s="6"/>
      <c r="AA1327" s="6"/>
      <c r="AB1327" s="6"/>
      <c r="AC1327" s="6"/>
      <c r="AD1327" s="6"/>
      <c r="AE1327" s="6"/>
    </row>
    <row r="1328" spans="1:31" ht="127.5" x14ac:dyDescent="0.2">
      <c r="A1328" s="6" t="s">
        <v>6743</v>
      </c>
      <c r="B1328" s="6" t="s">
        <v>2171</v>
      </c>
      <c r="C1328" s="20" t="s">
        <v>6744</v>
      </c>
      <c r="D1328" s="6" t="s">
        <v>6745</v>
      </c>
      <c r="E1328" s="6" t="s">
        <v>6746</v>
      </c>
      <c r="F1328" s="6" t="s">
        <v>6747</v>
      </c>
      <c r="G1328" s="6" t="s">
        <v>6748</v>
      </c>
      <c r="H1328" s="18" t="str">
        <f t="shared" si="117"/>
        <v>WILLIAM BARNES
DICK
JIMMY
CLORINDA (P109
P38
P54
P130)</v>
      </c>
      <c r="I1328" s="6" t="s">
        <v>112</v>
      </c>
      <c r="J1328" s="6"/>
      <c r="K1328" s="6" t="s">
        <v>207</v>
      </c>
      <c r="L1328" s="6" t="s">
        <v>209</v>
      </c>
      <c r="M1328" s="18" t="str">
        <f>VLOOKUP(L1328, GLOSSARY!$A:$C, 2, FALSE)</f>
        <v>BREADNUT ISLAND PEN</v>
      </c>
      <c r="N1328" s="6" t="s">
        <v>68</v>
      </c>
      <c r="O1328" s="6"/>
      <c r="P1328" s="6"/>
      <c r="Q1328" s="6"/>
      <c r="R1328" s="6"/>
      <c r="S1328" s="6"/>
      <c r="T1328" s="6"/>
      <c r="U1328" s="6"/>
      <c r="V1328" s="6"/>
      <c r="W1328" s="6"/>
      <c r="X1328" s="6"/>
      <c r="Y1328" s="6"/>
      <c r="Z1328" s="6"/>
      <c r="AA1328" s="6"/>
      <c r="AB1328" s="6"/>
      <c r="AC1328" s="6"/>
      <c r="AD1328" s="6"/>
      <c r="AE1328" s="6"/>
    </row>
    <row r="1329" spans="1:31" ht="76.5" x14ac:dyDescent="0.2">
      <c r="A1329" s="6" t="s">
        <v>6749</v>
      </c>
      <c r="B1329" s="6" t="s">
        <v>6750</v>
      </c>
      <c r="C1329" s="20" t="s">
        <v>6751</v>
      </c>
      <c r="D1329" s="6" t="s">
        <v>6752</v>
      </c>
      <c r="E1329" s="6" t="s">
        <v>6753</v>
      </c>
      <c r="F1329" s="6" t="s">
        <v>1059</v>
      </c>
      <c r="G1329" s="6" t="s">
        <v>1060</v>
      </c>
      <c r="H1329" s="18" t="str">
        <f t="shared" si="117"/>
        <v>THE OVERSEER
PHIBBAH (P43
P7)</v>
      </c>
      <c r="I1329" s="6" t="s">
        <v>26</v>
      </c>
      <c r="J1329" s="6"/>
      <c r="K1329" s="6" t="s">
        <v>207</v>
      </c>
      <c r="L1329" s="6" t="s">
        <v>209</v>
      </c>
      <c r="M1329" s="18" t="str">
        <f>VLOOKUP(L1329, GLOSSARY!$A:$C, 2, FALSE)</f>
        <v>BREADNUT ISLAND PEN</v>
      </c>
      <c r="N1329" s="6" t="s">
        <v>167</v>
      </c>
      <c r="O1329" s="6"/>
      <c r="P1329" s="6"/>
      <c r="Q1329" s="6"/>
      <c r="R1329" s="6"/>
      <c r="S1329" s="6"/>
      <c r="T1329" s="6"/>
      <c r="U1329" s="6"/>
      <c r="V1329" s="6"/>
      <c r="W1329" s="6"/>
      <c r="X1329" s="6"/>
      <c r="Y1329" s="6"/>
      <c r="Z1329" s="6"/>
      <c r="AA1329" s="6"/>
      <c r="AB1329" s="6"/>
      <c r="AC1329" s="6"/>
      <c r="AD1329" s="6"/>
      <c r="AE1329" s="6"/>
    </row>
    <row r="1330" spans="1:31" ht="114.75" x14ac:dyDescent="0.2">
      <c r="A1330" s="6" t="s">
        <v>6754</v>
      </c>
      <c r="B1330" s="6" t="s">
        <v>6755</v>
      </c>
      <c r="C1330" s="20" t="s">
        <v>6756</v>
      </c>
      <c r="D1330" s="6" t="s">
        <v>6757</v>
      </c>
      <c r="E1330" s="6"/>
      <c r="F1330" s="6" t="s">
        <v>6758</v>
      </c>
      <c r="G1330" s="6" t="s">
        <v>6759</v>
      </c>
      <c r="H1330" s="6" t="str">
        <f t="shared" si="117"/>
        <v>STOMPE
POLLY (P243
P244)</v>
      </c>
      <c r="I1330" s="6" t="s">
        <v>112</v>
      </c>
      <c r="J1330" s="6"/>
      <c r="K1330" s="6"/>
      <c r="L1330" s="6" t="s">
        <v>657</v>
      </c>
      <c r="M1330" s="6" t="str">
        <f>VLOOKUP(L1330, GLOSSARY!$A:$C, 2, FALSE)</f>
        <v>UNKNOWN</v>
      </c>
      <c r="N1330" s="6"/>
      <c r="O1330" s="6"/>
      <c r="P1330" s="6"/>
      <c r="Q1330" s="6"/>
      <c r="R1330" s="6"/>
      <c r="S1330" s="6"/>
      <c r="T1330" s="6"/>
      <c r="U1330" s="6"/>
      <c r="V1330" s="6"/>
      <c r="W1330" s="6"/>
      <c r="X1330" s="6"/>
      <c r="Y1330" s="6"/>
      <c r="Z1330" s="6"/>
      <c r="AA1330" s="6"/>
      <c r="AB1330" s="6"/>
      <c r="AC1330" s="6"/>
      <c r="AD1330" s="6"/>
      <c r="AE1330" s="6"/>
    </row>
    <row r="1331" spans="1:31" ht="63.75" x14ac:dyDescent="0.2">
      <c r="A1331" s="6" t="s">
        <v>6760</v>
      </c>
      <c r="B1331" s="6" t="s">
        <v>1610</v>
      </c>
      <c r="C1331" s="20" t="s">
        <v>6761</v>
      </c>
      <c r="D1331" s="6" t="s">
        <v>6762</v>
      </c>
      <c r="E1331" s="6"/>
      <c r="F1331" s="6" t="s">
        <v>6763</v>
      </c>
      <c r="G1331" s="6" t="s">
        <v>6764</v>
      </c>
      <c r="H1331" s="6" t="str">
        <f t="shared" si="117"/>
        <v>SALLY
CHUB (P17
P57)</v>
      </c>
      <c r="I1331" s="6" t="s">
        <v>112</v>
      </c>
      <c r="J1331" s="6"/>
      <c r="K1331" s="6"/>
      <c r="L1331" s="6" t="s">
        <v>209</v>
      </c>
      <c r="M1331" s="6" t="str">
        <f>VLOOKUP(L1331, GLOSSARY!$A:$C, 2, FALSE)</f>
        <v>BREADNUT ISLAND PEN</v>
      </c>
      <c r="N1331" s="6" t="s">
        <v>68</v>
      </c>
      <c r="O1331" s="6"/>
      <c r="P1331" s="6"/>
      <c r="Q1331" s="6"/>
      <c r="R1331" s="6"/>
      <c r="S1331" s="6"/>
      <c r="T1331" s="6"/>
      <c r="U1331" s="6"/>
      <c r="V1331" s="6"/>
      <c r="W1331" s="6"/>
      <c r="X1331" s="6"/>
      <c r="Y1331" s="6"/>
      <c r="Z1331" s="6"/>
      <c r="AA1331" s="6"/>
      <c r="AB1331" s="6"/>
      <c r="AC1331" s="6"/>
      <c r="AD1331" s="6"/>
      <c r="AE1331" s="6"/>
    </row>
    <row r="1332" spans="1:31" ht="25.5" x14ac:dyDescent="0.2">
      <c r="A1332" s="6" t="s">
        <v>6765</v>
      </c>
      <c r="B1332" s="6" t="s">
        <v>1610</v>
      </c>
      <c r="C1332" s="20" t="s">
        <v>6761</v>
      </c>
      <c r="D1332" s="6" t="s">
        <v>6766</v>
      </c>
      <c r="E1332" s="6"/>
      <c r="F1332" s="6"/>
      <c r="G1332" s="6"/>
      <c r="H1332" s="6" t="str">
        <f t="shared" si="117"/>
        <v xml:space="preserve"> ()</v>
      </c>
      <c r="I1332" s="6" t="s">
        <v>784</v>
      </c>
      <c r="J1332" s="6"/>
      <c r="K1332" s="6"/>
      <c r="L1332" s="6" t="s">
        <v>427</v>
      </c>
      <c r="M1332" s="6" t="str">
        <f>VLOOKUP(L1332, GLOSSARY!$A:$C, 2, FALSE)</f>
        <v>MASEMURE ESTATE</v>
      </c>
      <c r="N1332" s="6" t="s">
        <v>68</v>
      </c>
      <c r="O1332" s="6"/>
      <c r="P1332" s="6"/>
      <c r="Q1332" s="6"/>
      <c r="R1332" s="6"/>
      <c r="S1332" s="6"/>
      <c r="T1332" s="6"/>
      <c r="U1332" s="6"/>
      <c r="V1332" s="6"/>
      <c r="W1332" s="6"/>
      <c r="X1332" s="6"/>
      <c r="Y1332" s="6"/>
      <c r="Z1332" s="6"/>
      <c r="AA1332" s="6"/>
      <c r="AB1332" s="6"/>
      <c r="AC1332" s="6"/>
      <c r="AD1332" s="6"/>
      <c r="AE1332" s="6"/>
    </row>
    <row r="1333" spans="1:31" ht="51" x14ac:dyDescent="0.2">
      <c r="A1333" s="6" t="s">
        <v>4460</v>
      </c>
      <c r="B1333" s="6" t="s">
        <v>6767</v>
      </c>
      <c r="C1333" s="20" t="s">
        <v>6768</v>
      </c>
      <c r="D1333" s="6" t="s">
        <v>6769</v>
      </c>
      <c r="E1333" s="6"/>
      <c r="F1333" s="6"/>
      <c r="G1333" s="6"/>
      <c r="H1333" s="18" t="str">
        <f t="shared" si="117"/>
        <v xml:space="preserve"> ()</v>
      </c>
      <c r="I1333" s="6" t="s">
        <v>26</v>
      </c>
      <c r="J1333" s="6"/>
      <c r="K1333" s="6" t="s">
        <v>207</v>
      </c>
      <c r="L1333" s="6" t="s">
        <v>209</v>
      </c>
      <c r="M1333" s="18" t="str">
        <f>VLOOKUP(L1333, GLOSSARY!$A:$C, 2, FALSE)</f>
        <v>BREADNUT ISLAND PEN</v>
      </c>
      <c r="N1333" s="6" t="s">
        <v>68</v>
      </c>
      <c r="O1333" s="6"/>
      <c r="P1333" s="6"/>
      <c r="Q1333" s="6"/>
      <c r="R1333" s="6"/>
      <c r="S1333" s="6"/>
      <c r="T1333" s="6"/>
      <c r="U1333" s="6"/>
      <c r="V1333" s="6"/>
      <c r="W1333" s="6"/>
      <c r="X1333" s="6"/>
      <c r="Y1333" s="6"/>
      <c r="Z1333" s="6"/>
      <c r="AA1333" s="6"/>
      <c r="AB1333" s="6"/>
      <c r="AC1333" s="6"/>
      <c r="AD1333" s="6"/>
      <c r="AE1333" s="6"/>
    </row>
    <row r="1334" spans="1:31" ht="89.25" x14ac:dyDescent="0.2">
      <c r="A1334" s="6" t="s">
        <v>6770</v>
      </c>
      <c r="B1334" s="6" t="s">
        <v>6771</v>
      </c>
      <c r="C1334" s="20" t="s">
        <v>6772</v>
      </c>
      <c r="D1334" s="6" t="s">
        <v>6773</v>
      </c>
      <c r="E1334" s="6" t="s">
        <v>6774</v>
      </c>
      <c r="F1334" s="6" t="s">
        <v>6775</v>
      </c>
      <c r="G1334" s="6" t="s">
        <v>6776</v>
      </c>
      <c r="H1334" s="18" t="str">
        <f t="shared" si="117"/>
        <v>VINE
THE OVERSEER (P12
P43)</v>
      </c>
      <c r="I1334" s="6" t="s">
        <v>957</v>
      </c>
      <c r="J1334" s="6"/>
      <c r="K1334" s="6" t="s">
        <v>207</v>
      </c>
      <c r="L1334" s="6" t="s">
        <v>209</v>
      </c>
      <c r="M1334" s="18" t="str">
        <f>VLOOKUP(L1334, GLOSSARY!$A:$C, 2, FALSE)</f>
        <v>BREADNUT ISLAND PEN</v>
      </c>
      <c r="N1334" s="6" t="s">
        <v>68</v>
      </c>
      <c r="O1334" s="6"/>
      <c r="P1334" s="6"/>
      <c r="Q1334" s="6"/>
      <c r="R1334" s="6"/>
      <c r="S1334" s="6"/>
      <c r="T1334" s="6"/>
      <c r="U1334" s="6"/>
      <c r="V1334" s="6"/>
      <c r="W1334" s="6"/>
      <c r="X1334" s="6"/>
      <c r="Y1334" s="6"/>
      <c r="Z1334" s="6"/>
      <c r="AA1334" s="6"/>
      <c r="AB1334" s="6"/>
      <c r="AC1334" s="6"/>
      <c r="AD1334" s="6"/>
      <c r="AE1334" s="6"/>
    </row>
    <row r="1335" spans="1:31" ht="102" x14ac:dyDescent="0.2">
      <c r="A1335" s="6" t="s">
        <v>6777</v>
      </c>
      <c r="B1335" s="6" t="s">
        <v>6778</v>
      </c>
      <c r="C1335" s="20" t="s">
        <v>6779</v>
      </c>
      <c r="D1335" s="6" t="s">
        <v>6780</v>
      </c>
      <c r="E1335" s="6" t="s">
        <v>6781</v>
      </c>
      <c r="F1335" s="6" t="s">
        <v>6782</v>
      </c>
      <c r="G1335" s="6" t="s">
        <v>6783</v>
      </c>
      <c r="H1335" s="18" t="str">
        <f t="shared" si="117"/>
        <v>DANIEL HUGHES
BILLY LOWTHER
JOHN (P112
P113
P9)</v>
      </c>
      <c r="I1335" s="6" t="s">
        <v>3803</v>
      </c>
      <c r="J1335" s="6"/>
      <c r="K1335" s="6" t="s">
        <v>207</v>
      </c>
      <c r="L1335" s="6" t="s">
        <v>209</v>
      </c>
      <c r="M1335" s="18" t="str">
        <f>VLOOKUP(L1335, GLOSSARY!$A:$C, 2, FALSE)</f>
        <v>BREADNUT ISLAND PEN</v>
      </c>
      <c r="N1335" s="6" t="s">
        <v>68</v>
      </c>
      <c r="O1335" s="6"/>
      <c r="P1335" s="6"/>
      <c r="Q1335" s="6"/>
      <c r="R1335" s="6"/>
      <c r="S1335" s="6"/>
      <c r="T1335" s="6"/>
      <c r="U1335" s="6"/>
      <c r="V1335" s="6"/>
      <c r="W1335" s="6"/>
      <c r="X1335" s="6"/>
      <c r="Y1335" s="6"/>
      <c r="Z1335" s="6"/>
      <c r="AA1335" s="6"/>
      <c r="AB1335" s="6"/>
      <c r="AC1335" s="6"/>
      <c r="AD1335" s="6"/>
      <c r="AE1335" s="6"/>
    </row>
    <row r="1336" spans="1:31" ht="63.75" x14ac:dyDescent="0.2">
      <c r="A1336" s="6" t="s">
        <v>6645</v>
      </c>
      <c r="B1336" s="6" t="s">
        <v>6778</v>
      </c>
      <c r="C1336" s="20" t="s">
        <v>6779</v>
      </c>
      <c r="D1336" s="6" t="s">
        <v>6784</v>
      </c>
      <c r="E1336" s="6"/>
      <c r="F1336" s="6" t="s">
        <v>5832</v>
      </c>
      <c r="G1336" s="6" t="s">
        <v>6648</v>
      </c>
      <c r="H1336" s="6" t="str">
        <f t="shared" si="117"/>
        <v>EGYPT LUCY
THE OVERSEER (P3
P43)</v>
      </c>
      <c r="I1336" s="6" t="s">
        <v>957</v>
      </c>
      <c r="J1336" s="6"/>
      <c r="K1336" s="6"/>
      <c r="L1336" s="6" t="s">
        <v>209</v>
      </c>
      <c r="M1336" s="6" t="str">
        <f>VLOOKUP(L1336, GLOSSARY!$A:$C, 2, FALSE)</f>
        <v>BREADNUT ISLAND PEN</v>
      </c>
      <c r="N1336" s="6" t="s">
        <v>68</v>
      </c>
      <c r="O1336" s="6"/>
      <c r="P1336" s="6"/>
      <c r="Q1336" s="6"/>
      <c r="R1336" s="6"/>
      <c r="S1336" s="6"/>
      <c r="T1336" s="6"/>
      <c r="U1336" s="6"/>
      <c r="V1336" s="6"/>
      <c r="W1336" s="6"/>
      <c r="X1336" s="6"/>
      <c r="Y1336" s="6"/>
      <c r="Z1336" s="6"/>
      <c r="AA1336" s="6"/>
      <c r="AB1336" s="6"/>
      <c r="AC1336" s="6"/>
      <c r="AD1336" s="6"/>
      <c r="AE1336" s="6"/>
    </row>
    <row r="1337" spans="1:31" ht="38.25" x14ac:dyDescent="0.2">
      <c r="A1337" s="6" t="s">
        <v>6785</v>
      </c>
      <c r="B1337" s="6" t="s">
        <v>6786</v>
      </c>
      <c r="C1337" s="20" t="s">
        <v>6787</v>
      </c>
      <c r="D1337" s="6" t="s">
        <v>6788</v>
      </c>
      <c r="E1337" s="6" t="s">
        <v>6789</v>
      </c>
      <c r="F1337" s="6" t="s">
        <v>841</v>
      </c>
      <c r="G1337" s="6" t="s">
        <v>840</v>
      </c>
      <c r="H1337" s="18" t="str">
        <f t="shared" si="117"/>
        <v>EGYPT CLARA (P129)</v>
      </c>
      <c r="I1337" s="6" t="s">
        <v>96</v>
      </c>
      <c r="J1337" s="6"/>
      <c r="K1337" s="6" t="s">
        <v>141</v>
      </c>
      <c r="L1337" s="6" t="s">
        <v>99</v>
      </c>
      <c r="M1337" s="18" t="str">
        <f>VLOOKUP(L1337, GLOSSARY!$A:$C, 2, FALSE)</f>
        <v>PARADISE ESTATE</v>
      </c>
      <c r="N1337" s="6" t="s">
        <v>68</v>
      </c>
      <c r="O1337" s="6"/>
      <c r="P1337" s="6"/>
      <c r="Q1337" s="6"/>
      <c r="R1337" s="6"/>
      <c r="S1337" s="6"/>
      <c r="T1337" s="6"/>
      <c r="U1337" s="6"/>
      <c r="V1337" s="6"/>
      <c r="W1337" s="6"/>
      <c r="X1337" s="6"/>
      <c r="Y1337" s="6"/>
      <c r="Z1337" s="6"/>
      <c r="AA1337" s="6"/>
      <c r="AB1337" s="6"/>
      <c r="AC1337" s="6"/>
      <c r="AD1337" s="6"/>
      <c r="AE1337" s="6"/>
    </row>
    <row r="1338" spans="1:31" ht="63.75" x14ac:dyDescent="0.2">
      <c r="A1338" s="6" t="s">
        <v>6790</v>
      </c>
      <c r="B1338" s="6" t="s">
        <v>6791</v>
      </c>
      <c r="C1338" s="20" t="s">
        <v>6792</v>
      </c>
      <c r="D1338" s="6" t="s">
        <v>6793</v>
      </c>
      <c r="E1338" s="6" t="s">
        <v>6794</v>
      </c>
      <c r="F1338" s="6" t="s">
        <v>6795</v>
      </c>
      <c r="G1338" s="6" t="s">
        <v>6796</v>
      </c>
      <c r="H1338" s="18" t="str">
        <f t="shared" si="117"/>
        <v>DR. GRAHAM
MAZARINE (P108
P123)</v>
      </c>
      <c r="I1338" s="6" t="s">
        <v>1068</v>
      </c>
      <c r="J1338" s="6"/>
      <c r="K1338" s="6" t="s">
        <v>207</v>
      </c>
      <c r="L1338" s="6" t="s">
        <v>209</v>
      </c>
      <c r="M1338" s="18" t="str">
        <f>VLOOKUP(L1338, GLOSSARY!$A:$C, 2, FALSE)</f>
        <v>BREADNUT ISLAND PEN</v>
      </c>
      <c r="N1338" s="6" t="s">
        <v>68</v>
      </c>
      <c r="O1338" s="6"/>
      <c r="P1338" s="6"/>
      <c r="Q1338" s="6"/>
      <c r="R1338" s="6"/>
      <c r="S1338" s="6"/>
      <c r="T1338" s="6"/>
      <c r="U1338" s="6"/>
      <c r="V1338" s="6"/>
      <c r="W1338" s="6"/>
      <c r="X1338" s="6"/>
      <c r="Y1338" s="6"/>
      <c r="Z1338" s="6"/>
      <c r="AA1338" s="6"/>
      <c r="AB1338" s="6"/>
      <c r="AC1338" s="6"/>
      <c r="AD1338" s="6"/>
      <c r="AE1338" s="6"/>
    </row>
    <row r="1339" spans="1:31" ht="63.75" x14ac:dyDescent="0.2">
      <c r="A1339" s="6" t="s">
        <v>6797</v>
      </c>
      <c r="B1339" s="6" t="s">
        <v>6798</v>
      </c>
      <c r="C1339" s="20" t="s">
        <v>6799</v>
      </c>
      <c r="D1339" s="6" t="s">
        <v>6800</v>
      </c>
      <c r="E1339" s="6"/>
      <c r="F1339" s="6" t="s">
        <v>6801</v>
      </c>
      <c r="G1339" s="6" t="s">
        <v>6802</v>
      </c>
      <c r="H1339" s="6" t="str">
        <f t="shared" si="117"/>
        <v>MOLIA
JOHNIE
SOLON (P3
P26
P20)</v>
      </c>
      <c r="I1339" s="6" t="s">
        <v>439</v>
      </c>
      <c r="J1339" s="6"/>
      <c r="K1339" s="6"/>
      <c r="L1339" s="6" t="s">
        <v>440</v>
      </c>
      <c r="M1339" s="6" t="str">
        <f>VLOOKUP(L1339, GLOSSARY!$A:$C, 2, FALSE)</f>
        <v>THE ROAD(S)</v>
      </c>
      <c r="N1339" s="6" t="s">
        <v>68</v>
      </c>
      <c r="O1339" s="6"/>
      <c r="P1339" s="6"/>
      <c r="Q1339" s="6"/>
      <c r="R1339" s="6"/>
      <c r="S1339" s="6"/>
      <c r="T1339" s="6"/>
      <c r="U1339" s="6"/>
      <c r="V1339" s="6"/>
      <c r="W1339" s="6"/>
      <c r="X1339" s="6"/>
      <c r="Y1339" s="6"/>
      <c r="Z1339" s="6"/>
      <c r="AA1339" s="6"/>
      <c r="AB1339" s="6"/>
      <c r="AC1339" s="6"/>
      <c r="AD1339" s="6"/>
      <c r="AE1339" s="6"/>
    </row>
    <row r="1340" spans="1:31" ht="63.75" x14ac:dyDescent="0.2">
      <c r="A1340" s="6" t="s">
        <v>6701</v>
      </c>
      <c r="B1340" s="6" t="s">
        <v>6803</v>
      </c>
      <c r="C1340" s="20" t="s">
        <v>6799</v>
      </c>
      <c r="D1340" s="6" t="s">
        <v>6804</v>
      </c>
      <c r="E1340" s="6"/>
      <c r="F1340" s="6" t="s">
        <v>6805</v>
      </c>
      <c r="G1340" s="6" t="s">
        <v>6806</v>
      </c>
      <c r="H1340" s="6" t="str">
        <f t="shared" si="117"/>
        <v>VINE
THE OVERSEER (P12
P43)</v>
      </c>
      <c r="I1340" s="6" t="s">
        <v>342</v>
      </c>
      <c r="J1340" s="6"/>
      <c r="K1340" s="6"/>
      <c r="L1340" s="6" t="s">
        <v>209</v>
      </c>
      <c r="M1340" s="6" t="str">
        <f>VLOOKUP(L1340, GLOSSARY!$A:$C, 2, FALSE)</f>
        <v>BREADNUT ISLAND PEN</v>
      </c>
      <c r="N1340" s="6" t="s">
        <v>167</v>
      </c>
      <c r="O1340" s="6"/>
      <c r="P1340" s="6"/>
      <c r="Q1340" s="6"/>
      <c r="R1340" s="6"/>
      <c r="S1340" s="6"/>
      <c r="T1340" s="6"/>
      <c r="U1340" s="6"/>
      <c r="V1340" s="6"/>
      <c r="W1340" s="6"/>
      <c r="X1340" s="6"/>
      <c r="Y1340" s="6"/>
      <c r="Z1340" s="6"/>
      <c r="AA1340" s="6"/>
      <c r="AB1340" s="6"/>
      <c r="AC1340" s="6"/>
      <c r="AD1340" s="6"/>
      <c r="AE1340" s="6"/>
    </row>
    <row r="1341" spans="1:31" ht="63.75" x14ac:dyDescent="0.2">
      <c r="A1341" s="6" t="s">
        <v>6797</v>
      </c>
      <c r="B1341" s="6" t="s">
        <v>6807</v>
      </c>
      <c r="C1341" s="20" t="s">
        <v>6808</v>
      </c>
      <c r="D1341" s="6" t="s">
        <v>6809</v>
      </c>
      <c r="E1341" s="6"/>
      <c r="F1341" s="6" t="s">
        <v>6810</v>
      </c>
      <c r="G1341" s="6" t="s">
        <v>6811</v>
      </c>
      <c r="H1341" s="6" t="str">
        <f t="shared" si="117"/>
        <v>MOLIA
THE OVERSEER
MR. HAYWARD (P1
P43
P161)</v>
      </c>
      <c r="I1341" s="6" t="s">
        <v>439</v>
      </c>
      <c r="J1341" s="6"/>
      <c r="K1341" s="6"/>
      <c r="L1341" s="6" t="s">
        <v>6812</v>
      </c>
      <c r="M1341" s="6" t="e">
        <f>VLOOKUP(L1341, GLOSSARY!$A:$C, 2, FALSE)</f>
        <v>#N/A</v>
      </c>
      <c r="N1341" s="6" t="s">
        <v>68</v>
      </c>
      <c r="O1341" s="6"/>
      <c r="P1341" s="6"/>
      <c r="Q1341" s="6"/>
      <c r="R1341" s="6"/>
      <c r="S1341" s="6"/>
      <c r="T1341" s="6"/>
      <c r="U1341" s="6"/>
      <c r="V1341" s="6"/>
      <c r="W1341" s="6"/>
      <c r="X1341" s="6"/>
      <c r="Y1341" s="6"/>
      <c r="Z1341" s="6"/>
      <c r="AA1341" s="6"/>
      <c r="AB1341" s="6"/>
      <c r="AC1341" s="6"/>
      <c r="AD1341" s="6"/>
      <c r="AE1341" s="6"/>
    </row>
    <row r="1342" spans="1:31" ht="89.25" x14ac:dyDescent="0.2">
      <c r="A1342" s="6" t="s">
        <v>6701</v>
      </c>
      <c r="B1342" s="6" t="s">
        <v>6813</v>
      </c>
      <c r="C1342" s="20" t="s">
        <v>6814</v>
      </c>
      <c r="D1342" s="6" t="s">
        <v>6815</v>
      </c>
      <c r="E1342" s="6"/>
      <c r="F1342" s="6" t="s">
        <v>6816</v>
      </c>
      <c r="G1342" s="6" t="s">
        <v>6817</v>
      </c>
      <c r="H1342" s="6" t="str">
        <f t="shared" si="117"/>
        <v>COOBAH
VINE (P16
P12)</v>
      </c>
      <c r="I1342" s="6" t="s">
        <v>3792</v>
      </c>
      <c r="J1342" s="6" t="s">
        <v>6130</v>
      </c>
      <c r="K1342" s="6"/>
      <c r="L1342" s="6" t="s">
        <v>209</v>
      </c>
      <c r="M1342" s="6" t="str">
        <f>VLOOKUP(L1342, GLOSSARY!$A:$C, 2, FALSE)</f>
        <v>BREADNUT ISLAND PEN</v>
      </c>
      <c r="N1342" s="6" t="s">
        <v>167</v>
      </c>
      <c r="O1342" s="6"/>
      <c r="P1342" s="6"/>
      <c r="Q1342" s="6"/>
      <c r="R1342" s="6"/>
      <c r="S1342" s="6"/>
      <c r="T1342" s="6"/>
      <c r="U1342" s="6"/>
      <c r="V1342" s="6"/>
      <c r="W1342" s="6"/>
      <c r="X1342" s="6"/>
      <c r="Y1342" s="6"/>
      <c r="Z1342" s="6"/>
      <c r="AA1342" s="6"/>
      <c r="AB1342" s="6"/>
      <c r="AC1342" s="6"/>
      <c r="AD1342" s="6"/>
      <c r="AE1342" s="6"/>
    </row>
    <row r="1343" spans="1:31" ht="102" x14ac:dyDescent="0.2">
      <c r="A1343" s="6" t="s">
        <v>6797</v>
      </c>
      <c r="B1343" s="6" t="s">
        <v>6818</v>
      </c>
      <c r="C1343" s="20" t="s">
        <v>6819</v>
      </c>
      <c r="D1343" s="6" t="s">
        <v>6820</v>
      </c>
      <c r="E1343" s="6"/>
      <c r="F1343" s="6" t="s">
        <v>6821</v>
      </c>
      <c r="G1343" s="6" t="s">
        <v>6811</v>
      </c>
      <c r="H1343" s="6" t="str">
        <f t="shared" si="117"/>
        <v>MOLIA
MR. HAYWARD
THE OVERSEER (P1
P43
P161)</v>
      </c>
      <c r="I1343" s="6" t="s">
        <v>439</v>
      </c>
      <c r="J1343" s="6"/>
      <c r="K1343" s="6"/>
      <c r="L1343" s="6" t="s">
        <v>1121</v>
      </c>
      <c r="M1343" s="6" t="str">
        <f>VLOOKUP(L1343, GLOSSARY!$A:$C, 2, FALSE)</f>
        <v>SAVANNA LA MAR</v>
      </c>
      <c r="N1343" s="6" t="s">
        <v>68</v>
      </c>
      <c r="O1343" s="6"/>
      <c r="P1343" s="6"/>
      <c r="Q1343" s="6"/>
      <c r="R1343" s="6"/>
      <c r="S1343" s="6"/>
      <c r="T1343" s="6"/>
      <c r="U1343" s="6"/>
      <c r="V1343" s="6"/>
      <c r="W1343" s="6"/>
      <c r="X1343" s="6"/>
      <c r="Y1343" s="6"/>
      <c r="Z1343" s="6"/>
      <c r="AA1343" s="6"/>
      <c r="AB1343" s="6"/>
      <c r="AC1343" s="6"/>
      <c r="AD1343" s="6"/>
      <c r="AE1343" s="6"/>
    </row>
    <row r="1344" spans="1:31" ht="63.75" x14ac:dyDescent="0.2">
      <c r="A1344" s="6" t="s">
        <v>6701</v>
      </c>
      <c r="B1344" s="6" t="s">
        <v>6818</v>
      </c>
      <c r="C1344" s="20" t="s">
        <v>6819</v>
      </c>
      <c r="D1344" s="6" t="s">
        <v>6822</v>
      </c>
      <c r="E1344" s="6"/>
      <c r="F1344" s="6" t="s">
        <v>6816</v>
      </c>
      <c r="G1344" s="6" t="s">
        <v>6817</v>
      </c>
      <c r="H1344" s="6" t="str">
        <f t="shared" si="117"/>
        <v>COOBAH
VINE (P16
P12)</v>
      </c>
      <c r="I1344" s="6" t="s">
        <v>3792</v>
      </c>
      <c r="J1344" s="6" t="s">
        <v>6130</v>
      </c>
      <c r="K1344" s="6"/>
      <c r="L1344" s="6" t="s">
        <v>209</v>
      </c>
      <c r="M1344" s="6" t="str">
        <f>VLOOKUP(L1344, GLOSSARY!$A:$C, 2, FALSE)</f>
        <v>BREADNUT ISLAND PEN</v>
      </c>
      <c r="N1344" s="6" t="s">
        <v>167</v>
      </c>
      <c r="O1344" s="6"/>
      <c r="P1344" s="6"/>
      <c r="Q1344" s="6"/>
      <c r="R1344" s="6"/>
      <c r="S1344" s="6"/>
      <c r="T1344" s="6"/>
      <c r="U1344" s="6"/>
      <c r="V1344" s="6"/>
      <c r="W1344" s="6"/>
      <c r="X1344" s="6"/>
      <c r="Y1344" s="6"/>
      <c r="Z1344" s="6"/>
      <c r="AA1344" s="6"/>
      <c r="AB1344" s="6"/>
      <c r="AC1344" s="6"/>
      <c r="AD1344" s="6"/>
      <c r="AE1344" s="6"/>
    </row>
    <row r="1345" spans="1:31" ht="63.75" x14ac:dyDescent="0.2">
      <c r="A1345" s="6" t="s">
        <v>6701</v>
      </c>
      <c r="B1345" s="6" t="s">
        <v>6818</v>
      </c>
      <c r="C1345" s="20" t="s">
        <v>6823</v>
      </c>
      <c r="D1345" s="6" t="s">
        <v>6824</v>
      </c>
      <c r="E1345" s="6"/>
      <c r="F1345" s="6" t="s">
        <v>6825</v>
      </c>
      <c r="G1345" s="6" t="s">
        <v>6826</v>
      </c>
      <c r="H1345" s="6" t="str">
        <f t="shared" si="117"/>
        <v>VINE
ABBA (P12
P6)</v>
      </c>
      <c r="I1345" s="6" t="s">
        <v>3792</v>
      </c>
      <c r="J1345" s="6"/>
      <c r="K1345" s="6"/>
      <c r="L1345" s="6" t="s">
        <v>209</v>
      </c>
      <c r="M1345" s="6" t="str">
        <f>VLOOKUP(L1345, GLOSSARY!$A:$C, 2, FALSE)</f>
        <v>BREADNUT ISLAND PEN</v>
      </c>
      <c r="N1345" s="6" t="s">
        <v>167</v>
      </c>
      <c r="O1345" s="6"/>
      <c r="P1345" s="6"/>
      <c r="Q1345" s="6"/>
      <c r="R1345" s="6"/>
      <c r="S1345" s="6"/>
      <c r="T1345" s="6"/>
      <c r="U1345" s="6"/>
      <c r="V1345" s="6"/>
      <c r="W1345" s="6"/>
      <c r="X1345" s="6"/>
      <c r="Y1345" s="6"/>
      <c r="Z1345" s="6"/>
      <c r="AA1345" s="6"/>
      <c r="AB1345" s="6"/>
      <c r="AC1345" s="6"/>
      <c r="AD1345" s="6"/>
      <c r="AE1345" s="6"/>
    </row>
    <row r="1346" spans="1:31" ht="25.5" x14ac:dyDescent="0.2">
      <c r="A1346" s="6" t="s">
        <v>6797</v>
      </c>
      <c r="B1346" s="6" t="s">
        <v>6798</v>
      </c>
      <c r="C1346" s="20" t="s">
        <v>6827</v>
      </c>
      <c r="D1346" s="6" t="s">
        <v>6828</v>
      </c>
      <c r="E1346" s="6"/>
      <c r="F1346" s="6" t="s">
        <v>29</v>
      </c>
      <c r="G1346" s="6" t="s">
        <v>28</v>
      </c>
      <c r="H1346" s="6" t="str">
        <f t="shared" si="117"/>
        <v>MOLIA (P1)</v>
      </c>
      <c r="I1346" s="6" t="s">
        <v>439</v>
      </c>
      <c r="J1346" s="6"/>
      <c r="K1346" s="6"/>
      <c r="L1346" s="6" t="s">
        <v>440</v>
      </c>
      <c r="M1346" s="6" t="str">
        <f>VLOOKUP(L1346, GLOSSARY!$A:$C, 2, FALSE)</f>
        <v>THE ROAD(S)</v>
      </c>
      <c r="N1346" s="6" t="s">
        <v>68</v>
      </c>
      <c r="O1346" s="6"/>
      <c r="P1346" s="6"/>
      <c r="Q1346" s="6"/>
      <c r="R1346" s="6"/>
      <c r="S1346" s="6"/>
      <c r="T1346" s="6"/>
      <c r="U1346" s="6"/>
      <c r="V1346" s="6"/>
      <c r="W1346" s="6"/>
      <c r="X1346" s="6"/>
      <c r="Y1346" s="6"/>
      <c r="Z1346" s="6"/>
      <c r="AA1346" s="6"/>
      <c r="AB1346" s="6"/>
      <c r="AC1346" s="6"/>
      <c r="AD1346" s="6"/>
      <c r="AE1346" s="6"/>
    </row>
    <row r="1347" spans="1:31" ht="38.25" x14ac:dyDescent="0.2">
      <c r="A1347" s="6" t="s">
        <v>6701</v>
      </c>
      <c r="B1347" s="6" t="s">
        <v>6798</v>
      </c>
      <c r="C1347" s="20" t="s">
        <v>6827</v>
      </c>
      <c r="D1347" s="6" t="s">
        <v>6829</v>
      </c>
      <c r="E1347" s="6"/>
      <c r="F1347" s="6" t="s">
        <v>151</v>
      </c>
      <c r="G1347" s="6" t="s">
        <v>150</v>
      </c>
      <c r="H1347" s="6" t="str">
        <f t="shared" si="117"/>
        <v>VINE (P12)</v>
      </c>
      <c r="I1347" s="6" t="s">
        <v>3792</v>
      </c>
      <c r="J1347" s="6"/>
      <c r="K1347" s="6"/>
      <c r="L1347" s="6" t="s">
        <v>209</v>
      </c>
      <c r="M1347" s="6" t="str">
        <f>VLOOKUP(L1347, GLOSSARY!$A:$C, 2, FALSE)</f>
        <v>BREADNUT ISLAND PEN</v>
      </c>
      <c r="N1347" s="6" t="s">
        <v>167</v>
      </c>
      <c r="O1347" s="6"/>
      <c r="P1347" s="6"/>
      <c r="Q1347" s="6"/>
      <c r="R1347" s="6"/>
      <c r="S1347" s="6"/>
      <c r="T1347" s="6"/>
      <c r="U1347" s="6"/>
      <c r="V1347" s="6"/>
      <c r="W1347" s="6"/>
      <c r="X1347" s="6"/>
      <c r="Y1347" s="6"/>
      <c r="Z1347" s="6"/>
      <c r="AA1347" s="6"/>
      <c r="AB1347" s="6"/>
      <c r="AC1347" s="6"/>
      <c r="AD1347" s="6"/>
      <c r="AE1347" s="6"/>
    </row>
    <row r="1348" spans="1:31" ht="38.25" x14ac:dyDescent="0.2">
      <c r="A1348" s="6" t="s">
        <v>6701</v>
      </c>
      <c r="B1348" s="6" t="s">
        <v>6830</v>
      </c>
      <c r="C1348" s="20" t="s">
        <v>6831</v>
      </c>
      <c r="D1348" s="6" t="s">
        <v>6832</v>
      </c>
      <c r="E1348" s="6"/>
      <c r="F1348" s="6" t="s">
        <v>151</v>
      </c>
      <c r="G1348" s="6" t="s">
        <v>150</v>
      </c>
      <c r="H1348" s="6" t="str">
        <f t="shared" si="117"/>
        <v>VINE (P12)</v>
      </c>
      <c r="I1348" s="6" t="s">
        <v>3792</v>
      </c>
      <c r="J1348" s="6"/>
      <c r="K1348" s="6"/>
      <c r="L1348" s="6" t="s">
        <v>209</v>
      </c>
      <c r="M1348" s="6" t="str">
        <f>VLOOKUP(L1348, GLOSSARY!$A:$C, 2, FALSE)</f>
        <v>BREADNUT ISLAND PEN</v>
      </c>
      <c r="N1348" s="6" t="s">
        <v>167</v>
      </c>
      <c r="O1348" s="6"/>
      <c r="P1348" s="6"/>
      <c r="Q1348" s="6"/>
      <c r="R1348" s="6"/>
      <c r="S1348" s="6"/>
      <c r="T1348" s="6"/>
      <c r="U1348" s="6"/>
      <c r="V1348" s="6"/>
      <c r="W1348" s="6"/>
      <c r="X1348" s="6"/>
      <c r="Y1348" s="6"/>
      <c r="Z1348" s="6"/>
      <c r="AA1348" s="6"/>
      <c r="AB1348" s="6"/>
      <c r="AC1348" s="6"/>
      <c r="AD1348" s="6"/>
      <c r="AE1348" s="6"/>
    </row>
    <row r="1349" spans="1:31" ht="25.5" x14ac:dyDescent="0.2">
      <c r="A1349" s="6" t="s">
        <v>6701</v>
      </c>
      <c r="B1349" s="6" t="s">
        <v>2323</v>
      </c>
      <c r="C1349" s="20" t="s">
        <v>6833</v>
      </c>
      <c r="D1349" s="6" t="s">
        <v>6834</v>
      </c>
      <c r="E1349" s="6"/>
      <c r="F1349" s="6" t="s">
        <v>151</v>
      </c>
      <c r="G1349" s="6" t="s">
        <v>150</v>
      </c>
      <c r="H1349" s="6" t="str">
        <f t="shared" si="117"/>
        <v>VINE (P12)</v>
      </c>
      <c r="I1349" s="6" t="s">
        <v>3792</v>
      </c>
      <c r="J1349" s="6"/>
      <c r="K1349" s="6"/>
      <c r="L1349" s="6" t="s">
        <v>209</v>
      </c>
      <c r="M1349" s="6" t="str">
        <f>VLOOKUP(L1349, GLOSSARY!$A:$C, 2, FALSE)</f>
        <v>BREADNUT ISLAND PEN</v>
      </c>
      <c r="N1349" s="6" t="s">
        <v>167</v>
      </c>
      <c r="O1349" s="6"/>
      <c r="P1349" s="6"/>
      <c r="Q1349" s="6"/>
      <c r="R1349" s="6"/>
      <c r="S1349" s="6"/>
      <c r="T1349" s="6"/>
      <c r="U1349" s="6"/>
      <c r="V1349" s="6"/>
      <c r="W1349" s="6"/>
      <c r="X1349" s="6"/>
      <c r="Y1349" s="6"/>
      <c r="Z1349" s="6"/>
      <c r="AA1349" s="6"/>
      <c r="AB1349" s="6"/>
      <c r="AC1349" s="6"/>
      <c r="AD1349" s="6"/>
      <c r="AE1349" s="6"/>
    </row>
    <row r="1350" spans="1:31" ht="25.5" x14ac:dyDescent="0.2">
      <c r="A1350" s="6" t="s">
        <v>6797</v>
      </c>
      <c r="B1350" s="6" t="s">
        <v>2332</v>
      </c>
      <c r="C1350" s="20" t="s">
        <v>6835</v>
      </c>
      <c r="D1350" s="6" t="s">
        <v>6836</v>
      </c>
      <c r="E1350" s="6"/>
      <c r="F1350" s="6" t="s">
        <v>29</v>
      </c>
      <c r="G1350" s="6" t="s">
        <v>28</v>
      </c>
      <c r="H1350" s="6" t="str">
        <f t="shared" si="117"/>
        <v>MOLIA (P1)</v>
      </c>
      <c r="I1350" s="6" t="s">
        <v>439</v>
      </c>
      <c r="J1350" s="6"/>
      <c r="K1350" s="6"/>
      <c r="L1350" s="6" t="s">
        <v>440</v>
      </c>
      <c r="M1350" s="6" t="str">
        <f>VLOOKUP(L1350, GLOSSARY!$A:$C, 2, FALSE)</f>
        <v>THE ROAD(S)</v>
      </c>
      <c r="N1350" s="6" t="s">
        <v>68</v>
      </c>
      <c r="O1350" s="6"/>
      <c r="P1350" s="6"/>
      <c r="Q1350" s="6"/>
      <c r="R1350" s="6"/>
      <c r="S1350" s="6"/>
      <c r="T1350" s="6"/>
      <c r="U1350" s="6"/>
      <c r="V1350" s="6"/>
      <c r="W1350" s="6"/>
      <c r="X1350" s="6"/>
      <c r="Y1350" s="6"/>
      <c r="Z1350" s="6"/>
      <c r="AA1350" s="6"/>
      <c r="AB1350" s="6"/>
      <c r="AC1350" s="6"/>
      <c r="AD1350" s="6"/>
      <c r="AE1350" s="6"/>
    </row>
    <row r="1351" spans="1:31" ht="25.5" x14ac:dyDescent="0.2">
      <c r="A1351" s="6" t="s">
        <v>6797</v>
      </c>
      <c r="B1351" s="6" t="s">
        <v>6837</v>
      </c>
      <c r="C1351" s="20" t="s">
        <v>6838</v>
      </c>
      <c r="D1351" s="6" t="s">
        <v>6839</v>
      </c>
      <c r="E1351" s="6"/>
      <c r="F1351" s="6" t="s">
        <v>29</v>
      </c>
      <c r="G1351" s="6" t="s">
        <v>28</v>
      </c>
      <c r="H1351" s="6" t="str">
        <f t="shared" si="117"/>
        <v>MOLIA (P1)</v>
      </c>
      <c r="I1351" s="6" t="s">
        <v>439</v>
      </c>
      <c r="J1351" s="6"/>
      <c r="K1351" s="6"/>
      <c r="L1351" s="6" t="s">
        <v>440</v>
      </c>
      <c r="M1351" s="6" t="str">
        <f>VLOOKUP(L1351, GLOSSARY!$A:$C, 2, FALSE)</f>
        <v>THE ROAD(S)</v>
      </c>
      <c r="N1351" s="6" t="s">
        <v>68</v>
      </c>
      <c r="O1351" s="6"/>
      <c r="P1351" s="6"/>
      <c r="Q1351" s="6"/>
      <c r="R1351" s="6"/>
      <c r="S1351" s="6"/>
      <c r="T1351" s="6"/>
      <c r="U1351" s="6"/>
      <c r="V1351" s="6"/>
      <c r="W1351" s="6"/>
      <c r="X1351" s="6"/>
      <c r="Y1351" s="6"/>
      <c r="Z1351" s="6"/>
      <c r="AA1351" s="6"/>
      <c r="AB1351" s="6"/>
      <c r="AC1351" s="6"/>
      <c r="AD1351" s="6"/>
      <c r="AE1351" s="6"/>
    </row>
    <row r="1352" spans="1:31" ht="204" x14ac:dyDescent="0.2">
      <c r="A1352" s="6" t="s">
        <v>6840</v>
      </c>
      <c r="B1352" s="6" t="s">
        <v>6841</v>
      </c>
      <c r="C1352" s="20" t="s">
        <v>6842</v>
      </c>
      <c r="D1352" s="6" t="s">
        <v>6843</v>
      </c>
      <c r="E1352" s="6" t="s">
        <v>6844</v>
      </c>
      <c r="F1352" s="6" t="s">
        <v>6845</v>
      </c>
      <c r="G1352" s="6" t="s">
        <v>6846</v>
      </c>
      <c r="H1352" s="18" t="str">
        <f t="shared" si="117"/>
        <v>COOBAH
SILVIA [ADULT]
DAGO
MR. MEYLER'S TOM
JOHN HARTNOLE (P16
P122
P121
P120
P81
)</v>
      </c>
      <c r="I1352" s="6" t="s">
        <v>935</v>
      </c>
      <c r="J1352" s="6" t="s">
        <v>6847</v>
      </c>
      <c r="K1352" s="6" t="s">
        <v>207</v>
      </c>
      <c r="L1352" s="6" t="s">
        <v>209</v>
      </c>
      <c r="M1352" s="18" t="str">
        <f>VLOOKUP(L1352, GLOSSARY!$A:$C, 2, FALSE)</f>
        <v>BREADNUT ISLAND PEN</v>
      </c>
      <c r="N1352" s="6" t="s">
        <v>68</v>
      </c>
      <c r="O1352" s="6"/>
      <c r="P1352" s="6"/>
      <c r="Q1352" s="6"/>
      <c r="R1352" s="6"/>
      <c r="S1352" s="6"/>
      <c r="T1352" s="6"/>
      <c r="U1352" s="6"/>
      <c r="V1352" s="6"/>
      <c r="W1352" s="6"/>
      <c r="X1352" s="6"/>
      <c r="Y1352" s="6"/>
      <c r="Z1352" s="6"/>
      <c r="AA1352" s="6"/>
      <c r="AB1352" s="6"/>
      <c r="AC1352" s="6"/>
      <c r="AD1352" s="6"/>
      <c r="AE1352" s="6"/>
    </row>
    <row r="1353" spans="1:31" ht="63.75" x14ac:dyDescent="0.2">
      <c r="A1353" s="6" t="s">
        <v>6848</v>
      </c>
      <c r="B1353" s="6" t="s">
        <v>6849</v>
      </c>
      <c r="C1353" s="20" t="s">
        <v>6850</v>
      </c>
      <c r="D1353" s="6" t="s">
        <v>6851</v>
      </c>
      <c r="E1353" s="6"/>
      <c r="F1353" s="6" t="s">
        <v>6805</v>
      </c>
      <c r="G1353" s="6" t="s">
        <v>6806</v>
      </c>
      <c r="H1353" s="6" t="str">
        <f t="shared" si="117"/>
        <v>VINE
THE OVERSEER (P12
P43)</v>
      </c>
      <c r="I1353" s="6" t="s">
        <v>957</v>
      </c>
      <c r="J1353" s="6"/>
      <c r="K1353" s="6"/>
      <c r="L1353" s="6" t="s">
        <v>209</v>
      </c>
      <c r="M1353" s="6" t="str">
        <f>VLOOKUP(L1353, GLOSSARY!$A:$C, 2, FALSE)</f>
        <v>BREADNUT ISLAND PEN</v>
      </c>
      <c r="N1353" s="6" t="s">
        <v>68</v>
      </c>
      <c r="O1353" s="6"/>
      <c r="P1353" s="6"/>
      <c r="Q1353" s="6"/>
      <c r="R1353" s="6"/>
      <c r="S1353" s="6"/>
      <c r="T1353" s="6"/>
      <c r="U1353" s="6"/>
      <c r="V1353" s="6"/>
      <c r="W1353" s="6"/>
      <c r="X1353" s="6"/>
      <c r="Y1353" s="6"/>
      <c r="Z1353" s="6"/>
      <c r="AA1353" s="6"/>
      <c r="AB1353" s="6"/>
      <c r="AC1353" s="6"/>
      <c r="AD1353" s="6"/>
      <c r="AE1353" s="6"/>
    </row>
    <row r="1354" spans="1:31" ht="127.5" x14ac:dyDescent="0.2">
      <c r="A1354" s="6" t="s">
        <v>6852</v>
      </c>
      <c r="B1354" s="6" t="s">
        <v>6853</v>
      </c>
      <c r="C1354" s="20" t="s">
        <v>6854</v>
      </c>
      <c r="D1354" s="6" t="s">
        <v>6855</v>
      </c>
      <c r="E1354" s="6"/>
      <c r="F1354" s="6" t="s">
        <v>2135</v>
      </c>
      <c r="G1354" s="6" t="s">
        <v>2136</v>
      </c>
      <c r="H1354" s="6" t="str">
        <f t="shared" si="117"/>
        <v>PHIBBAH
THE OVERSEER (P7
P43)</v>
      </c>
      <c r="I1354" s="6" t="s">
        <v>533</v>
      </c>
      <c r="J1354" s="6"/>
      <c r="K1354" s="6"/>
      <c r="L1354" s="6" t="s">
        <v>209</v>
      </c>
      <c r="M1354" s="6" t="str">
        <f>VLOOKUP(L1354, GLOSSARY!$A:$C, 2, FALSE)</f>
        <v>BREADNUT ISLAND PEN</v>
      </c>
      <c r="N1354" s="6" t="s">
        <v>167</v>
      </c>
      <c r="O1354" s="6"/>
      <c r="P1354" s="6"/>
      <c r="Q1354" s="6"/>
      <c r="R1354" s="6"/>
      <c r="S1354" s="6"/>
      <c r="T1354" s="6"/>
      <c r="U1354" s="6"/>
      <c r="V1354" s="6"/>
      <c r="W1354" s="6"/>
      <c r="X1354" s="6"/>
      <c r="Y1354" s="6"/>
      <c r="Z1354" s="6"/>
      <c r="AA1354" s="6"/>
      <c r="AB1354" s="6"/>
      <c r="AC1354" s="6"/>
      <c r="AD1354" s="6"/>
      <c r="AE1354" s="6"/>
    </row>
    <row r="1355" spans="1:31" ht="127.5" x14ac:dyDescent="0.2">
      <c r="A1355" s="6" t="s">
        <v>6852</v>
      </c>
      <c r="B1355" s="6" t="s">
        <v>2371</v>
      </c>
      <c r="C1355" s="20" t="s">
        <v>6856</v>
      </c>
      <c r="D1355" s="6" t="s">
        <v>6857</v>
      </c>
      <c r="E1355" s="6"/>
      <c r="F1355" s="6" t="s">
        <v>6858</v>
      </c>
      <c r="G1355" s="6" t="s">
        <v>6859</v>
      </c>
      <c r="H1355" s="6" t="str">
        <f t="shared" si="117"/>
        <v>PHIBBAH
HOUSE FRANKE
VINE (P7
P10
P12
)</v>
      </c>
      <c r="I1355" s="6" t="s">
        <v>533</v>
      </c>
      <c r="J1355" s="6"/>
      <c r="K1355" s="6"/>
      <c r="L1355" s="6" t="s">
        <v>209</v>
      </c>
      <c r="M1355" s="6" t="str">
        <f>VLOOKUP(L1355, GLOSSARY!$A:$C, 2, FALSE)</f>
        <v>BREADNUT ISLAND PEN</v>
      </c>
      <c r="N1355" s="6" t="s">
        <v>167</v>
      </c>
      <c r="O1355" s="6"/>
      <c r="P1355" s="6"/>
      <c r="Q1355" s="6"/>
      <c r="R1355" s="6"/>
      <c r="S1355" s="6"/>
      <c r="T1355" s="6"/>
      <c r="U1355" s="6"/>
      <c r="V1355" s="6"/>
      <c r="W1355" s="6"/>
      <c r="X1355" s="6"/>
      <c r="Y1355" s="6"/>
      <c r="Z1355" s="6"/>
      <c r="AA1355" s="6"/>
      <c r="AB1355" s="6"/>
      <c r="AC1355" s="6"/>
      <c r="AD1355" s="6"/>
      <c r="AE1355" s="6"/>
    </row>
    <row r="1356" spans="1:31" ht="216.75" x14ac:dyDescent="0.2">
      <c r="A1356" s="6" t="s">
        <v>6852</v>
      </c>
      <c r="B1356" s="6" t="s">
        <v>2378</v>
      </c>
      <c r="C1356" s="20" t="s">
        <v>6860</v>
      </c>
      <c r="D1356" s="6" t="s">
        <v>6861</v>
      </c>
      <c r="E1356" s="6"/>
      <c r="F1356" s="6" t="s">
        <v>6862</v>
      </c>
      <c r="G1356" s="6" t="s">
        <v>6863</v>
      </c>
      <c r="H1356" s="6" t="str">
        <f t="shared" si="117"/>
        <v>HOUSE FRANKE
PHIBBAH
THE PLANTER'S WIFE
DIDO
THE OVERSEER (P10
P7
P45
P105
P43)</v>
      </c>
      <c r="I1356" s="6" t="s">
        <v>533</v>
      </c>
      <c r="J1356" s="6"/>
      <c r="K1356" s="6"/>
      <c r="L1356" s="6" t="s">
        <v>209</v>
      </c>
      <c r="M1356" s="6" t="str">
        <f>VLOOKUP(L1356, GLOSSARY!$A:$C, 2, FALSE)</f>
        <v>BREADNUT ISLAND PEN</v>
      </c>
      <c r="N1356" s="6" t="s">
        <v>167</v>
      </c>
      <c r="O1356" s="6"/>
      <c r="P1356" s="6"/>
      <c r="Q1356" s="6"/>
      <c r="R1356" s="6"/>
      <c r="S1356" s="6"/>
      <c r="T1356" s="6"/>
      <c r="U1356" s="6"/>
      <c r="V1356" s="6"/>
      <c r="W1356" s="6"/>
      <c r="X1356" s="6"/>
      <c r="Y1356" s="6"/>
      <c r="Z1356" s="6"/>
      <c r="AA1356" s="6"/>
      <c r="AB1356" s="6"/>
      <c r="AC1356" s="6"/>
      <c r="AD1356" s="6"/>
      <c r="AE1356" s="6"/>
    </row>
    <row r="1357" spans="1:31" ht="153" x14ac:dyDescent="0.2">
      <c r="A1357" s="6" t="s">
        <v>6852</v>
      </c>
      <c r="B1357" s="6" t="s">
        <v>2378</v>
      </c>
      <c r="C1357" s="20" t="s">
        <v>6864</v>
      </c>
      <c r="D1357" s="6" t="s">
        <v>6865</v>
      </c>
      <c r="E1357" s="6"/>
      <c r="F1357" s="6" t="s">
        <v>6866</v>
      </c>
      <c r="G1357" s="6" t="s">
        <v>6867</v>
      </c>
      <c r="H1357" s="6" t="str">
        <f t="shared" si="117"/>
        <v>THE OVERSEER
VINE
ELLEN
VENUS
PHIBBAH (P43
P12
P33
P193)</v>
      </c>
      <c r="I1357" s="6" t="s">
        <v>957</v>
      </c>
      <c r="J1357" s="6"/>
      <c r="K1357" s="6"/>
      <c r="L1357" s="6" t="s">
        <v>209</v>
      </c>
      <c r="M1357" s="6" t="str">
        <f>VLOOKUP(L1357, GLOSSARY!$A:$C, 2, FALSE)</f>
        <v>BREADNUT ISLAND PEN</v>
      </c>
      <c r="N1357" s="6" t="s">
        <v>68</v>
      </c>
      <c r="O1357" s="6"/>
      <c r="P1357" s="6"/>
      <c r="Q1357" s="6"/>
      <c r="R1357" s="6"/>
      <c r="S1357" s="6"/>
      <c r="T1357" s="6"/>
      <c r="U1357" s="6"/>
      <c r="V1357" s="6"/>
      <c r="W1357" s="6"/>
      <c r="X1357" s="6"/>
      <c r="Y1357" s="6"/>
      <c r="Z1357" s="6"/>
      <c r="AA1357" s="6"/>
      <c r="AB1357" s="6"/>
      <c r="AC1357" s="6"/>
      <c r="AD1357" s="6"/>
      <c r="AE1357" s="6"/>
    </row>
    <row r="1358" spans="1:31" ht="38.25" x14ac:dyDescent="0.2">
      <c r="A1358" s="6" t="s">
        <v>6852</v>
      </c>
      <c r="B1358" s="6" t="s">
        <v>6868</v>
      </c>
      <c r="C1358" s="20" t="s">
        <v>6864</v>
      </c>
      <c r="D1358" s="6" t="s">
        <v>6869</v>
      </c>
      <c r="E1358" s="6"/>
      <c r="F1358" s="6" t="s">
        <v>101</v>
      </c>
      <c r="G1358" s="6" t="s">
        <v>100</v>
      </c>
      <c r="H1358" s="6" t="str">
        <f t="shared" si="117"/>
        <v>PHIBBAH (P7)</v>
      </c>
      <c r="I1358" s="6" t="s">
        <v>533</v>
      </c>
      <c r="J1358" s="6"/>
      <c r="K1358" s="6"/>
      <c r="L1358" s="6" t="s">
        <v>209</v>
      </c>
      <c r="M1358" s="6" t="str">
        <f>VLOOKUP(L1358, GLOSSARY!$A:$C, 2, FALSE)</f>
        <v>BREADNUT ISLAND PEN</v>
      </c>
      <c r="N1358" s="6" t="s">
        <v>167</v>
      </c>
      <c r="O1358" s="6"/>
      <c r="P1358" s="6"/>
      <c r="Q1358" s="6"/>
      <c r="R1358" s="6"/>
      <c r="S1358" s="6"/>
      <c r="T1358" s="6"/>
      <c r="U1358" s="6"/>
      <c r="V1358" s="6"/>
      <c r="W1358" s="6"/>
      <c r="X1358" s="6"/>
      <c r="Y1358" s="6"/>
      <c r="Z1358" s="6"/>
      <c r="AA1358" s="6"/>
      <c r="AB1358" s="6"/>
      <c r="AC1358" s="6"/>
      <c r="AD1358" s="6"/>
      <c r="AE1358" s="6"/>
    </row>
    <row r="1359" spans="1:31" ht="89.25" x14ac:dyDescent="0.2">
      <c r="A1359" s="6" t="s">
        <v>6852</v>
      </c>
      <c r="B1359" s="6" t="s">
        <v>6572</v>
      </c>
      <c r="C1359" s="20" t="s">
        <v>6870</v>
      </c>
      <c r="D1359" s="6" t="s">
        <v>6871</v>
      </c>
      <c r="E1359" s="6"/>
      <c r="F1359" s="6" t="s">
        <v>101</v>
      </c>
      <c r="G1359" s="6" t="s">
        <v>100</v>
      </c>
      <c r="H1359" s="6" t="str">
        <f t="shared" si="117"/>
        <v>PHIBBAH (P7)</v>
      </c>
      <c r="I1359" s="6" t="s">
        <v>533</v>
      </c>
      <c r="J1359" s="6"/>
      <c r="K1359" s="6"/>
      <c r="L1359" s="6" t="s">
        <v>209</v>
      </c>
      <c r="M1359" s="6" t="str">
        <f>VLOOKUP(L1359, GLOSSARY!$A:$C, 2, FALSE)</f>
        <v>BREADNUT ISLAND PEN</v>
      </c>
      <c r="N1359" s="6" t="s">
        <v>167</v>
      </c>
      <c r="O1359" s="6"/>
      <c r="P1359" s="6"/>
      <c r="Q1359" s="6"/>
      <c r="R1359" s="6"/>
      <c r="S1359" s="6"/>
      <c r="T1359" s="6"/>
      <c r="U1359" s="6"/>
      <c r="V1359" s="6"/>
      <c r="W1359" s="6"/>
      <c r="X1359" s="6"/>
      <c r="Y1359" s="6"/>
      <c r="Z1359" s="6"/>
      <c r="AA1359" s="6"/>
      <c r="AB1359" s="6"/>
      <c r="AC1359" s="6"/>
      <c r="AD1359" s="6"/>
      <c r="AE1359" s="6"/>
    </row>
    <row r="1360" spans="1:31" ht="51" x14ac:dyDescent="0.2">
      <c r="A1360" s="6" t="s">
        <v>6852</v>
      </c>
      <c r="B1360" s="6" t="s">
        <v>6872</v>
      </c>
      <c r="C1360" s="20" t="s">
        <v>6873</v>
      </c>
      <c r="D1360" s="6" t="s">
        <v>6874</v>
      </c>
      <c r="E1360" s="6"/>
      <c r="F1360" s="6" t="s">
        <v>2135</v>
      </c>
      <c r="G1360" s="6" t="s">
        <v>6731</v>
      </c>
      <c r="H1360" s="6" t="str">
        <f t="shared" si="117"/>
        <v>PHIBBAH
THE OVERSEER (P7
P43)</v>
      </c>
      <c r="I1360" s="6" t="s">
        <v>409</v>
      </c>
      <c r="J1360" s="6"/>
      <c r="K1360" s="6"/>
      <c r="L1360" s="6" t="s">
        <v>209</v>
      </c>
      <c r="M1360" s="6" t="str">
        <f>VLOOKUP(L1360, GLOSSARY!$A:$C, 2, FALSE)</f>
        <v>BREADNUT ISLAND PEN</v>
      </c>
      <c r="N1360" s="6" t="s">
        <v>167</v>
      </c>
      <c r="O1360" s="6"/>
      <c r="P1360" s="6"/>
      <c r="Q1360" s="6"/>
      <c r="R1360" s="6"/>
      <c r="S1360" s="6"/>
      <c r="T1360" s="6"/>
      <c r="U1360" s="6"/>
      <c r="V1360" s="6"/>
      <c r="W1360" s="6"/>
      <c r="X1360" s="6"/>
      <c r="Y1360" s="6"/>
      <c r="Z1360" s="6"/>
      <c r="AA1360" s="6"/>
      <c r="AB1360" s="6"/>
      <c r="AC1360" s="6"/>
      <c r="AD1360" s="6"/>
      <c r="AE1360" s="6"/>
    </row>
    <row r="1361" spans="1:31" ht="63.75" x14ac:dyDescent="0.2">
      <c r="A1361" s="6" t="s">
        <v>2774</v>
      </c>
      <c r="B1361" s="6" t="s">
        <v>5675</v>
      </c>
      <c r="C1361" s="20" t="s">
        <v>6875</v>
      </c>
      <c r="D1361" s="6" t="s">
        <v>6876</v>
      </c>
      <c r="E1361" s="6"/>
      <c r="F1361" s="6" t="s">
        <v>3961</v>
      </c>
      <c r="G1361" s="6" t="s">
        <v>2629</v>
      </c>
      <c r="H1361" s="6" t="str">
        <f>CONCATENATE(F1361,"(",G1361,")")</f>
        <v>LINCOLN
THE OVERSEER(P43
P24
)</v>
      </c>
      <c r="I1361" s="6" t="s">
        <v>112</v>
      </c>
      <c r="J1361" s="6"/>
      <c r="K1361" s="6"/>
      <c r="L1361" s="6" t="s">
        <v>55</v>
      </c>
      <c r="M1361" s="6" t="str">
        <f>VLOOKUP(L1361, GLOSSARY!$A:$C, 2, FALSE)</f>
        <v>EGYPT ESTATE</v>
      </c>
      <c r="N1361" s="6" t="s">
        <v>6877</v>
      </c>
      <c r="O1361" s="6"/>
      <c r="P1361" s="6"/>
      <c r="Q1361" s="6"/>
      <c r="R1361" s="6"/>
      <c r="S1361" s="6"/>
      <c r="T1361" s="6"/>
      <c r="U1361" s="6"/>
      <c r="V1361" s="6"/>
      <c r="W1361" s="6"/>
      <c r="X1361" s="6"/>
      <c r="Y1361" s="6"/>
      <c r="Z1361" s="6"/>
      <c r="AA1361" s="6"/>
      <c r="AB1361" s="6"/>
      <c r="AC1361" s="6"/>
      <c r="AD1361" s="6"/>
      <c r="AE1361" s="6"/>
    </row>
    <row r="1362" spans="1:31" ht="127.5" x14ac:dyDescent="0.2">
      <c r="A1362" s="6" t="s">
        <v>6878</v>
      </c>
      <c r="B1362" s="6" t="s">
        <v>6879</v>
      </c>
      <c r="C1362" s="20" t="s">
        <v>6880</v>
      </c>
      <c r="D1362" s="6" t="s">
        <v>6881</v>
      </c>
      <c r="E1362" s="6"/>
      <c r="F1362" s="6" t="s">
        <v>6882</v>
      </c>
      <c r="G1362" s="6" t="s">
        <v>6883</v>
      </c>
      <c r="H1362" s="6" t="str">
        <f>CONCATENATE(F1362," (",G1362,")")</f>
        <v>EGYPT LUCY
LITTLE QUASHE
PHIBBAH
VINE (P3
P5
P7
P12)</v>
      </c>
      <c r="I1362" s="6" t="s">
        <v>533</v>
      </c>
      <c r="J1362" s="6"/>
      <c r="K1362" s="6"/>
      <c r="L1362" s="6" t="s">
        <v>55</v>
      </c>
      <c r="M1362" s="6" t="str">
        <f>VLOOKUP(L1362, GLOSSARY!$A:$C, 2, FALSE)</f>
        <v>EGYPT ESTATE</v>
      </c>
      <c r="N1362" s="6" t="s">
        <v>167</v>
      </c>
      <c r="O1362" s="6"/>
      <c r="P1362" s="6"/>
      <c r="Q1362" s="6"/>
      <c r="R1362" s="6"/>
      <c r="S1362" s="6"/>
      <c r="T1362" s="6"/>
      <c r="U1362" s="6"/>
      <c r="V1362" s="6"/>
      <c r="W1362" s="6"/>
      <c r="X1362" s="6"/>
      <c r="Y1362" s="6"/>
      <c r="Z1362" s="6"/>
      <c r="AA1362" s="6"/>
      <c r="AB1362" s="6"/>
      <c r="AC1362" s="6"/>
      <c r="AD1362" s="6"/>
      <c r="AE1362" s="6"/>
    </row>
    <row r="1363" spans="1:31" ht="63.75" x14ac:dyDescent="0.2">
      <c r="A1363" s="6" t="s">
        <v>6884</v>
      </c>
      <c r="B1363" s="6" t="s">
        <v>6879</v>
      </c>
      <c r="C1363" s="20" t="s">
        <v>6880</v>
      </c>
      <c r="D1363" s="6" t="s">
        <v>6885</v>
      </c>
      <c r="E1363" s="6"/>
      <c r="F1363" s="6" t="s">
        <v>6209</v>
      </c>
      <c r="G1363" s="6" t="s">
        <v>6436</v>
      </c>
      <c r="H1363" s="6" t="str">
        <f>CONCATENATE(F1363,"(",G1363,")")</f>
        <v>MOLIA
THE OVERSEER(P1
P43)</v>
      </c>
      <c r="I1363" s="6" t="s">
        <v>409</v>
      </c>
      <c r="J1363" s="6"/>
      <c r="K1363" s="6"/>
      <c r="L1363" s="6" t="s">
        <v>209</v>
      </c>
      <c r="M1363" s="6" t="str">
        <f>VLOOKUP(L1363, GLOSSARY!$A:$C, 2, FALSE)</f>
        <v>BREADNUT ISLAND PEN</v>
      </c>
      <c r="N1363" s="6" t="s">
        <v>167</v>
      </c>
      <c r="O1363" s="6"/>
      <c r="P1363" s="6"/>
      <c r="Q1363" s="6"/>
      <c r="R1363" s="6"/>
      <c r="S1363" s="6"/>
      <c r="T1363" s="6"/>
      <c r="U1363" s="6"/>
      <c r="V1363" s="6"/>
      <c r="W1363" s="6"/>
      <c r="X1363" s="6"/>
      <c r="Y1363" s="6"/>
      <c r="Z1363" s="6"/>
      <c r="AA1363" s="6"/>
      <c r="AB1363" s="6"/>
      <c r="AC1363" s="6"/>
      <c r="AD1363" s="6"/>
      <c r="AE1363" s="6"/>
    </row>
    <row r="1364" spans="1:31" ht="63.75" x14ac:dyDescent="0.2">
      <c r="A1364" s="6" t="s">
        <v>6886</v>
      </c>
      <c r="B1364" s="6" t="s">
        <v>2432</v>
      </c>
      <c r="C1364" s="20" t="s">
        <v>6887</v>
      </c>
      <c r="D1364" s="6" t="s">
        <v>6888</v>
      </c>
      <c r="E1364" s="6" t="s">
        <v>6889</v>
      </c>
      <c r="F1364" s="6" t="s">
        <v>6890</v>
      </c>
      <c r="G1364" s="6" t="s">
        <v>6891</v>
      </c>
      <c r="H1364" s="18" t="str">
        <f t="shared" ref="H1364:H1367" si="118">CONCATENATE(F1364," (",G1364,")")</f>
        <v>LUCY
OGO
HAGAR (P14
P13
P82)</v>
      </c>
      <c r="I1364" s="6" t="s">
        <v>1047</v>
      </c>
      <c r="J1364" s="6" t="s">
        <v>162</v>
      </c>
      <c r="K1364" s="6" t="s">
        <v>284</v>
      </c>
      <c r="L1364" s="6" t="s">
        <v>55</v>
      </c>
      <c r="M1364" s="18" t="str">
        <f>VLOOKUP(L1364, GLOSSARY!$A:$C, 2, FALSE)</f>
        <v>EGYPT ESTATE</v>
      </c>
      <c r="N1364" s="6" t="s">
        <v>68</v>
      </c>
      <c r="O1364" s="6"/>
      <c r="P1364" s="6"/>
      <c r="Q1364" s="6"/>
      <c r="R1364" s="6"/>
      <c r="S1364" s="6"/>
      <c r="T1364" s="6"/>
      <c r="U1364" s="6"/>
      <c r="V1364" s="6"/>
      <c r="W1364" s="6"/>
      <c r="X1364" s="6"/>
      <c r="Y1364" s="6"/>
      <c r="Z1364" s="6"/>
      <c r="AA1364" s="6"/>
      <c r="AB1364" s="6"/>
      <c r="AC1364" s="6"/>
      <c r="AD1364" s="6"/>
      <c r="AE1364" s="6"/>
    </row>
    <row r="1365" spans="1:31" ht="38.25" x14ac:dyDescent="0.2">
      <c r="A1365" s="6" t="s">
        <v>3867</v>
      </c>
      <c r="B1365" s="6" t="s">
        <v>3868</v>
      </c>
      <c r="C1365" s="20" t="s">
        <v>3869</v>
      </c>
      <c r="D1365" s="6" t="s">
        <v>3870</v>
      </c>
      <c r="E1365" s="6" t="s">
        <v>3855</v>
      </c>
      <c r="F1365" s="6" t="s">
        <v>38</v>
      </c>
      <c r="G1365" s="6" t="s">
        <v>40</v>
      </c>
      <c r="H1365" s="18" t="str">
        <f t="shared" si="118"/>
        <v>SILVIA (P2)</v>
      </c>
      <c r="I1365" s="6" t="s">
        <v>759</v>
      </c>
      <c r="J1365" s="6"/>
      <c r="K1365" s="6"/>
      <c r="L1365" s="6"/>
      <c r="M1365" s="18" t="e">
        <f>VLOOKUP(L1365, GLOSSARY!$A:$C, 2, FALSE)</f>
        <v>#N/A</v>
      </c>
      <c r="N1365" s="6"/>
      <c r="O1365" s="6"/>
      <c r="P1365" s="6"/>
      <c r="Q1365" s="6"/>
      <c r="R1365" s="6"/>
      <c r="S1365" s="6"/>
      <c r="T1365" s="6"/>
      <c r="U1365" s="6"/>
      <c r="V1365" s="6"/>
      <c r="W1365" s="6"/>
      <c r="X1365" s="6"/>
      <c r="Y1365" s="6"/>
      <c r="Z1365" s="6"/>
      <c r="AA1365" s="6"/>
      <c r="AB1365" s="6"/>
      <c r="AC1365" s="6"/>
      <c r="AD1365" s="6"/>
      <c r="AE1365" s="6"/>
    </row>
    <row r="1366" spans="1:31" ht="102" x14ac:dyDescent="0.2">
      <c r="A1366" s="6" t="s">
        <v>3871</v>
      </c>
      <c r="B1366" s="6" t="s">
        <v>3872</v>
      </c>
      <c r="C1366" s="25" t="s">
        <v>3873</v>
      </c>
      <c r="D1366" s="6" t="s">
        <v>3874</v>
      </c>
      <c r="E1366" s="6" t="s">
        <v>3875</v>
      </c>
      <c r="F1366" s="6" t="s">
        <v>119</v>
      </c>
      <c r="G1366" s="6" t="s">
        <v>118</v>
      </c>
      <c r="H1366" s="18" t="str">
        <f t="shared" si="118"/>
        <v>JOHN (P9)</v>
      </c>
      <c r="I1366" s="6" t="s">
        <v>533</v>
      </c>
      <c r="J1366" s="6" t="s">
        <v>754</v>
      </c>
      <c r="K1366" s="6" t="s">
        <v>207</v>
      </c>
      <c r="L1366" s="6" t="s">
        <v>209</v>
      </c>
      <c r="M1366" s="18" t="str">
        <f>VLOOKUP(L1366, GLOSSARY!$A:$C, 2, FALSE)</f>
        <v>BREADNUT ISLAND PEN</v>
      </c>
      <c r="N1366" s="6" t="s">
        <v>68</v>
      </c>
      <c r="O1366" s="6"/>
      <c r="P1366" s="6"/>
      <c r="Q1366" s="6"/>
      <c r="R1366" s="6"/>
      <c r="S1366" s="6"/>
      <c r="T1366" s="6"/>
      <c r="U1366" s="6"/>
      <c r="V1366" s="6"/>
      <c r="W1366" s="6"/>
      <c r="X1366" s="6"/>
      <c r="Y1366" s="6"/>
      <c r="Z1366" s="6"/>
      <c r="AA1366" s="6"/>
      <c r="AB1366" s="6"/>
      <c r="AC1366" s="6"/>
      <c r="AD1366" s="6"/>
      <c r="AE1366" s="6"/>
    </row>
    <row r="1367" spans="1:31" ht="63.75" x14ac:dyDescent="0.2">
      <c r="A1367" s="6" t="s">
        <v>6892</v>
      </c>
      <c r="B1367" s="6" t="s">
        <v>4830</v>
      </c>
      <c r="C1367" s="20" t="s">
        <v>6893</v>
      </c>
      <c r="D1367" s="6" t="s">
        <v>6894</v>
      </c>
      <c r="E1367" s="6" t="s">
        <v>46</v>
      </c>
      <c r="F1367" s="6" t="s">
        <v>48</v>
      </c>
      <c r="G1367" s="6" t="s">
        <v>50</v>
      </c>
      <c r="H1367" s="18" t="str">
        <f t="shared" si="118"/>
        <v>THE OVERSEER (P43)</v>
      </c>
      <c r="I1367" s="6" t="s">
        <v>326</v>
      </c>
      <c r="J1367" s="6"/>
      <c r="K1367" s="6" t="s">
        <v>207</v>
      </c>
      <c r="L1367" s="6" t="s">
        <v>209</v>
      </c>
      <c r="M1367" s="18" t="str">
        <f>VLOOKUP(L1367, GLOSSARY!$A:$C, 2, FALSE)</f>
        <v>BREADNUT ISLAND PEN</v>
      </c>
      <c r="N1367" s="6" t="s">
        <v>68</v>
      </c>
      <c r="O1367" s="6"/>
      <c r="P1367" s="6"/>
      <c r="Q1367" s="6"/>
      <c r="R1367" s="6"/>
      <c r="S1367" s="6"/>
      <c r="T1367" s="6"/>
      <c r="U1367" s="6"/>
      <c r="V1367" s="6"/>
      <c r="W1367" s="6"/>
      <c r="X1367" s="6"/>
      <c r="Y1367" s="6"/>
      <c r="Z1367" s="6"/>
      <c r="AA1367" s="6"/>
      <c r="AB1367" s="6"/>
      <c r="AC1367" s="6"/>
      <c r="AD1367" s="6"/>
      <c r="AE1367" s="6"/>
    </row>
    <row r="1368" spans="1:31" ht="63.75" x14ac:dyDescent="0.2">
      <c r="A1368" s="6" t="s">
        <v>6895</v>
      </c>
      <c r="B1368" s="6" t="s">
        <v>4830</v>
      </c>
      <c r="C1368" s="20" t="s">
        <v>6893</v>
      </c>
      <c r="D1368" s="6" t="s">
        <v>6896</v>
      </c>
      <c r="E1368" s="6"/>
      <c r="F1368" s="6" t="s">
        <v>48</v>
      </c>
      <c r="G1368" s="6" t="s">
        <v>50</v>
      </c>
      <c r="H1368" s="6" t="str">
        <f t="shared" ref="H1368:H1373" si="119">CONCATENATE(F1368,"(",G1368,")")</f>
        <v>THE OVERSEER(P43)</v>
      </c>
      <c r="I1368" s="6" t="s">
        <v>60</v>
      </c>
      <c r="J1368" s="6"/>
      <c r="K1368" s="6"/>
      <c r="L1368" s="6" t="s">
        <v>209</v>
      </c>
      <c r="M1368" s="6" t="str">
        <f>VLOOKUP(L1368, GLOSSARY!$A:$C, 2, FALSE)</f>
        <v>BREADNUT ISLAND PEN</v>
      </c>
      <c r="N1368" s="6" t="s">
        <v>68</v>
      </c>
      <c r="O1368" s="6"/>
      <c r="P1368" s="6"/>
      <c r="Q1368" s="6"/>
      <c r="R1368" s="6"/>
      <c r="S1368" s="6"/>
      <c r="T1368" s="6"/>
      <c r="U1368" s="6"/>
      <c r="V1368" s="6"/>
      <c r="W1368" s="6"/>
      <c r="X1368" s="6"/>
      <c r="Y1368" s="6"/>
      <c r="Z1368" s="6"/>
      <c r="AA1368" s="6"/>
      <c r="AB1368" s="6"/>
      <c r="AC1368" s="6"/>
      <c r="AD1368" s="6"/>
      <c r="AE1368" s="6"/>
    </row>
    <row r="1369" spans="1:31" ht="267.75" x14ac:dyDescent="0.2">
      <c r="A1369" s="6" t="s">
        <v>3881</v>
      </c>
      <c r="B1369" s="6" t="s">
        <v>4092</v>
      </c>
      <c r="C1369" s="20" t="s">
        <v>6897</v>
      </c>
      <c r="D1369" s="6" t="s">
        <v>6898</v>
      </c>
      <c r="E1369" s="6"/>
      <c r="F1369" s="6" t="s">
        <v>6899</v>
      </c>
      <c r="G1369" s="6" t="s">
        <v>6900</v>
      </c>
      <c r="H1369" s="6" t="str">
        <f t="shared" si="119"/>
        <v>THE OVERSEER
MR. STONE
MR. WEECH
MR. CARR
MR. RANKIN
JAMES WEDDERBURN
(P43
P64
P202
P390
P391
P95)</v>
      </c>
      <c r="I1369" s="6" t="s">
        <v>784</v>
      </c>
      <c r="J1369" s="6"/>
      <c r="K1369" s="6"/>
      <c r="L1369" s="6" t="s">
        <v>3037</v>
      </c>
      <c r="M1369" s="6" t="str">
        <f>VLOOKUP(L1369, GLOSSARY!$A:$C, 2, FALSE)</f>
        <v>BLUECASTLE ESTATE</v>
      </c>
      <c r="N1369" s="6" t="s">
        <v>68</v>
      </c>
      <c r="O1369" s="6"/>
      <c r="P1369" s="6"/>
      <c r="Q1369" s="6"/>
      <c r="R1369" s="6"/>
      <c r="S1369" s="6"/>
      <c r="T1369" s="6"/>
      <c r="U1369" s="6"/>
      <c r="V1369" s="6"/>
      <c r="W1369" s="6"/>
      <c r="X1369" s="6"/>
      <c r="Y1369" s="6"/>
      <c r="Z1369" s="6"/>
      <c r="AA1369" s="6"/>
      <c r="AB1369" s="6"/>
      <c r="AC1369" s="6"/>
      <c r="AD1369" s="6"/>
      <c r="AE1369" s="6"/>
    </row>
    <row r="1370" spans="1:31" ht="229.5" x14ac:dyDescent="0.2">
      <c r="A1370" s="6" t="s">
        <v>3881</v>
      </c>
      <c r="B1370" s="6" t="s">
        <v>6901</v>
      </c>
      <c r="C1370" s="20" t="s">
        <v>6902</v>
      </c>
      <c r="D1370" s="6" t="s">
        <v>6903</v>
      </c>
      <c r="E1370" s="6"/>
      <c r="F1370" s="6" t="s">
        <v>6904</v>
      </c>
      <c r="G1370" s="6" t="s">
        <v>6905</v>
      </c>
      <c r="H1370" s="6" t="str">
        <f t="shared" si="119"/>
        <v>THE OVERSEER
SOLON
CUDJOE
OGO
MOLIA
FRANKE
SAWNO
JOHNIE
MIRTILLA(P43
P26
P52
P13
P37
P1
P59
P38
P20
P32)</v>
      </c>
      <c r="I1370" s="6" t="s">
        <v>784</v>
      </c>
      <c r="J1370" s="6"/>
      <c r="K1370" s="6"/>
      <c r="L1370" s="6" t="s">
        <v>209</v>
      </c>
      <c r="M1370" s="6" t="str">
        <f>VLOOKUP(L1370, GLOSSARY!$A:$C, 2, FALSE)</f>
        <v>BREADNUT ISLAND PEN</v>
      </c>
      <c r="N1370" s="6" t="s">
        <v>68</v>
      </c>
      <c r="O1370" s="6"/>
      <c r="P1370" s="6"/>
      <c r="Q1370" s="6"/>
      <c r="R1370" s="6"/>
      <c r="S1370" s="6"/>
      <c r="T1370" s="6"/>
      <c r="U1370" s="6"/>
      <c r="V1370" s="6"/>
      <c r="W1370" s="6"/>
      <c r="X1370" s="6"/>
      <c r="Y1370" s="6"/>
      <c r="Z1370" s="6"/>
      <c r="AA1370" s="6"/>
      <c r="AB1370" s="6"/>
      <c r="AC1370" s="6"/>
      <c r="AD1370" s="6"/>
      <c r="AE1370" s="6"/>
    </row>
    <row r="1371" spans="1:31" ht="408" x14ac:dyDescent="0.2">
      <c r="A1371" s="6" t="s">
        <v>3881</v>
      </c>
      <c r="B1371" s="6" t="s">
        <v>4112</v>
      </c>
      <c r="C1371" s="20" t="s">
        <v>6902</v>
      </c>
      <c r="D1371" s="6" t="s">
        <v>6906</v>
      </c>
      <c r="E1371" s="6"/>
      <c r="F1371" s="6" t="s">
        <v>6907</v>
      </c>
      <c r="G1371" s="6" t="s">
        <v>6908</v>
      </c>
      <c r="H1371" s="6" t="str">
        <f t="shared" si="119"/>
        <v>THE OVERSEER
JAMES WEDDERBURN
LINCOLN
SAWNO
SOLON
CUDJOE
JOHNIE
CUKOR
SUKEY
FRANKE
SALLY
OGO
NANNY
MOLIA
MIRTILLA
PEGGY
(P43
P95
P24
P26
P38
P52
P20
P110
P37
P59
P17
P13
P15
P1
P32
P19)</v>
      </c>
      <c r="I1371" s="6" t="s">
        <v>784</v>
      </c>
      <c r="J1371" s="6"/>
      <c r="K1371" s="6"/>
      <c r="L1371" s="6" t="s">
        <v>3037</v>
      </c>
      <c r="M1371" s="6" t="str">
        <f>VLOOKUP(L1371, GLOSSARY!$A:$C, 2, FALSE)</f>
        <v>BLUECASTLE ESTATE</v>
      </c>
      <c r="N1371" s="6" t="s">
        <v>167</v>
      </c>
      <c r="O1371" s="6"/>
      <c r="P1371" s="6"/>
      <c r="Q1371" s="6"/>
      <c r="R1371" s="6"/>
      <c r="S1371" s="6"/>
      <c r="T1371" s="6"/>
      <c r="U1371" s="6"/>
      <c r="V1371" s="6"/>
      <c r="W1371" s="6"/>
      <c r="X1371" s="6"/>
      <c r="Y1371" s="6"/>
      <c r="Z1371" s="6"/>
      <c r="AA1371" s="6"/>
      <c r="AB1371" s="6"/>
      <c r="AC1371" s="6"/>
      <c r="AD1371" s="6"/>
      <c r="AE1371" s="6"/>
    </row>
    <row r="1372" spans="1:31" ht="63.75" x14ac:dyDescent="0.2">
      <c r="A1372" s="6" t="s">
        <v>3881</v>
      </c>
      <c r="B1372" s="6" t="s">
        <v>4133</v>
      </c>
      <c r="C1372" s="20" t="s">
        <v>6909</v>
      </c>
      <c r="D1372" s="6" t="s">
        <v>6910</v>
      </c>
      <c r="E1372" s="6"/>
      <c r="F1372" s="6" t="s">
        <v>6911</v>
      </c>
      <c r="G1372" s="6" t="s">
        <v>6912</v>
      </c>
      <c r="H1372" s="6" t="str">
        <f t="shared" si="119"/>
        <v>THE OVERSEER
BLUECASTLE OVERSEER(P43
P392)</v>
      </c>
      <c r="I1372" s="6" t="s">
        <v>784</v>
      </c>
      <c r="J1372" s="6"/>
      <c r="K1372" s="6"/>
      <c r="L1372" s="6" t="s">
        <v>3037</v>
      </c>
      <c r="M1372" s="6" t="str">
        <f>VLOOKUP(L1372, GLOSSARY!$A:$C, 2, FALSE)</f>
        <v>BLUECASTLE ESTATE</v>
      </c>
      <c r="N1372" s="6" t="s">
        <v>68</v>
      </c>
      <c r="O1372" s="6"/>
      <c r="P1372" s="6"/>
      <c r="Q1372" s="6"/>
      <c r="R1372" s="6"/>
      <c r="S1372" s="6"/>
      <c r="T1372" s="6"/>
      <c r="U1372" s="6"/>
      <c r="V1372" s="6"/>
      <c r="W1372" s="6"/>
      <c r="X1372" s="6"/>
      <c r="Y1372" s="6"/>
      <c r="Z1372" s="6"/>
      <c r="AA1372" s="6"/>
      <c r="AB1372" s="6"/>
      <c r="AC1372" s="6"/>
      <c r="AD1372" s="6"/>
      <c r="AE1372" s="6"/>
    </row>
    <row r="1373" spans="1:31" ht="38.25" x14ac:dyDescent="0.2">
      <c r="A1373" s="6" t="s">
        <v>3881</v>
      </c>
      <c r="B1373" s="6" t="s">
        <v>4133</v>
      </c>
      <c r="C1373" s="20" t="s">
        <v>6913</v>
      </c>
      <c r="D1373" s="6" t="s">
        <v>6914</v>
      </c>
      <c r="E1373" s="6"/>
      <c r="F1373" s="6" t="s">
        <v>2175</v>
      </c>
      <c r="G1373" s="6" t="s">
        <v>2174</v>
      </c>
      <c r="H1373" s="6" t="str">
        <f t="shared" si="119"/>
        <v>BREADNUT ISLAND PEN FIELDHANDS(P393)</v>
      </c>
      <c r="I1373" s="6" t="s">
        <v>784</v>
      </c>
      <c r="J1373" s="6"/>
      <c r="K1373" s="6"/>
      <c r="L1373" s="6" t="s">
        <v>209</v>
      </c>
      <c r="M1373" s="6" t="str">
        <f>VLOOKUP(L1373, GLOSSARY!$A:$C, 2, FALSE)</f>
        <v>BREADNUT ISLAND PEN</v>
      </c>
      <c r="N1373" s="6" t="s">
        <v>68</v>
      </c>
      <c r="O1373" s="6"/>
      <c r="P1373" s="6"/>
      <c r="Q1373" s="6"/>
      <c r="R1373" s="6"/>
      <c r="S1373" s="6"/>
      <c r="T1373" s="6"/>
      <c r="U1373" s="6"/>
      <c r="V1373" s="6"/>
      <c r="W1373" s="6"/>
      <c r="X1373" s="6"/>
      <c r="Y1373" s="6"/>
      <c r="Z1373" s="6"/>
      <c r="AA1373" s="6"/>
      <c r="AB1373" s="6"/>
      <c r="AC1373" s="6"/>
      <c r="AD1373" s="6"/>
      <c r="AE1373" s="6"/>
    </row>
    <row r="1374" spans="1:31" ht="76.5" x14ac:dyDescent="0.2">
      <c r="A1374" s="6" t="s">
        <v>3876</v>
      </c>
      <c r="B1374" s="6" t="s">
        <v>3877</v>
      </c>
      <c r="C1374" s="20" t="s">
        <v>3878</v>
      </c>
      <c r="D1374" s="6" t="s">
        <v>3879</v>
      </c>
      <c r="E1374" s="6" t="s">
        <v>3880</v>
      </c>
      <c r="F1374" s="6" t="s">
        <v>6915</v>
      </c>
      <c r="G1374" s="6" t="s">
        <v>6395</v>
      </c>
      <c r="H1374" s="18" t="str">
        <f t="shared" ref="H1374:H1377" si="120">CONCATENATE(F1374," (",G1374,")")</f>
        <v>JOHN
PHIBBAH (P9
P7)</v>
      </c>
      <c r="I1374" s="6" t="s">
        <v>3803</v>
      </c>
      <c r="J1374" s="6" t="s">
        <v>754</v>
      </c>
      <c r="K1374" s="6" t="s">
        <v>207</v>
      </c>
      <c r="L1374" s="6"/>
      <c r="M1374" s="18" t="e">
        <f>VLOOKUP(L1374, GLOSSARY!$A:$C, 2, FALSE)</f>
        <v>#N/A</v>
      </c>
      <c r="N1374" s="6" t="s">
        <v>68</v>
      </c>
      <c r="O1374" s="6"/>
      <c r="P1374" s="6"/>
      <c r="Q1374" s="6"/>
      <c r="R1374" s="6"/>
      <c r="S1374" s="6"/>
      <c r="T1374" s="6"/>
      <c r="U1374" s="6"/>
      <c r="V1374" s="6"/>
      <c r="W1374" s="6"/>
      <c r="X1374" s="6"/>
      <c r="Y1374" s="6"/>
      <c r="Z1374" s="6"/>
      <c r="AA1374" s="6"/>
      <c r="AB1374" s="6"/>
      <c r="AC1374" s="6"/>
      <c r="AD1374" s="6"/>
      <c r="AE1374" s="6"/>
    </row>
    <row r="1375" spans="1:31" ht="38.25" x14ac:dyDescent="0.2">
      <c r="A1375" s="6" t="s">
        <v>316</v>
      </c>
      <c r="B1375" s="6" t="s">
        <v>4129</v>
      </c>
      <c r="C1375" s="20" t="s">
        <v>6916</v>
      </c>
      <c r="D1375" s="6" t="s">
        <v>6917</v>
      </c>
      <c r="E1375" s="6" t="s">
        <v>6918</v>
      </c>
      <c r="F1375" s="6" t="s">
        <v>6919</v>
      </c>
      <c r="G1375" s="6" t="s">
        <v>6920</v>
      </c>
      <c r="H1375" s="18" t="str">
        <f t="shared" si="120"/>
        <v>JOHNIE
ABBA (P20
P6)</v>
      </c>
      <c r="I1375" s="6" t="s">
        <v>533</v>
      </c>
      <c r="J1375" s="6"/>
      <c r="K1375" s="6" t="s">
        <v>207</v>
      </c>
      <c r="L1375" s="6" t="s">
        <v>209</v>
      </c>
      <c r="M1375" s="18" t="str">
        <f>VLOOKUP(L1375, GLOSSARY!$A:$C, 2, FALSE)</f>
        <v>BREADNUT ISLAND PEN</v>
      </c>
      <c r="N1375" s="6" t="s">
        <v>68</v>
      </c>
      <c r="O1375" s="6"/>
      <c r="P1375" s="6"/>
      <c r="Q1375" s="6"/>
      <c r="R1375" s="6"/>
      <c r="S1375" s="6"/>
      <c r="T1375" s="6"/>
      <c r="U1375" s="6"/>
      <c r="V1375" s="6"/>
      <c r="W1375" s="6"/>
      <c r="X1375" s="6"/>
      <c r="Y1375" s="6"/>
      <c r="Z1375" s="6"/>
      <c r="AA1375" s="6"/>
      <c r="AB1375" s="6"/>
      <c r="AC1375" s="6"/>
      <c r="AD1375" s="6"/>
      <c r="AE1375" s="6"/>
    </row>
    <row r="1376" spans="1:31" ht="63.75" x14ac:dyDescent="0.2">
      <c r="A1376" s="6" t="s">
        <v>6921</v>
      </c>
      <c r="B1376" s="6" t="s">
        <v>4161</v>
      </c>
      <c r="C1376" s="20" t="s">
        <v>6922</v>
      </c>
      <c r="D1376" s="6" t="s">
        <v>6923</v>
      </c>
      <c r="E1376" s="6"/>
      <c r="F1376" s="6" t="s">
        <v>6924</v>
      </c>
      <c r="G1376" s="6" t="s">
        <v>6925</v>
      </c>
      <c r="H1376" s="6" t="str">
        <f t="shared" si="120"/>
        <v>COOBAH
LITTLE NANCY (P16
P230)</v>
      </c>
      <c r="I1376" s="6" t="s">
        <v>859</v>
      </c>
      <c r="J1376" s="6" t="s">
        <v>6926</v>
      </c>
      <c r="K1376" s="6"/>
      <c r="L1376" s="6" t="s">
        <v>209</v>
      </c>
      <c r="M1376" s="6" t="str">
        <f>VLOOKUP(L1376, GLOSSARY!$A:$C, 2, FALSE)</f>
        <v>BREADNUT ISLAND PEN</v>
      </c>
      <c r="N1376" s="6" t="s">
        <v>68</v>
      </c>
      <c r="O1376" s="6"/>
      <c r="P1376" s="6"/>
      <c r="Q1376" s="6"/>
      <c r="R1376" s="6"/>
      <c r="S1376" s="6"/>
      <c r="T1376" s="6"/>
      <c r="U1376" s="6"/>
      <c r="V1376" s="6"/>
      <c r="W1376" s="6"/>
      <c r="X1376" s="6"/>
      <c r="Y1376" s="6"/>
      <c r="Z1376" s="6"/>
      <c r="AA1376" s="6"/>
      <c r="AB1376" s="6"/>
      <c r="AC1376" s="6"/>
      <c r="AD1376" s="6"/>
      <c r="AE1376" s="6"/>
    </row>
    <row r="1377" spans="1:31" ht="51" x14ac:dyDescent="0.2">
      <c r="A1377" s="6" t="s">
        <v>6927</v>
      </c>
      <c r="B1377" s="6" t="s">
        <v>6928</v>
      </c>
      <c r="C1377" s="20" t="s">
        <v>6929</v>
      </c>
      <c r="D1377" s="6" t="s">
        <v>6930</v>
      </c>
      <c r="E1377" s="6" t="s">
        <v>6931</v>
      </c>
      <c r="F1377" s="6" t="s">
        <v>6932</v>
      </c>
      <c r="G1377" s="6" t="s">
        <v>6933</v>
      </c>
      <c r="H1377" s="18" t="str">
        <f t="shared" si="120"/>
        <v>LITTLE MIMBER
JOHN HARTNOLE (P80
P81)</v>
      </c>
      <c r="I1377" s="6" t="s">
        <v>1678</v>
      </c>
      <c r="J1377" s="6"/>
      <c r="K1377" s="6"/>
      <c r="L1377" s="6"/>
      <c r="M1377" s="18" t="e">
        <f>VLOOKUP(L1377, GLOSSARY!$A:$C, 2, FALSE)</f>
        <v>#N/A</v>
      </c>
      <c r="N1377" s="6"/>
      <c r="O1377" s="6"/>
      <c r="P1377" s="6"/>
      <c r="Q1377" s="6"/>
      <c r="R1377" s="6"/>
      <c r="S1377" s="6"/>
      <c r="T1377" s="6"/>
      <c r="U1377" s="6"/>
      <c r="V1377" s="6"/>
      <c r="W1377" s="6"/>
      <c r="X1377" s="6"/>
      <c r="Y1377" s="6"/>
      <c r="Z1377" s="6"/>
      <c r="AA1377" s="6"/>
      <c r="AB1377" s="6"/>
      <c r="AC1377" s="6"/>
      <c r="AD1377" s="6"/>
      <c r="AE1377" s="6"/>
    </row>
    <row r="1378" spans="1:31" ht="89.25" x14ac:dyDescent="0.2">
      <c r="A1378" s="6" t="s">
        <v>3881</v>
      </c>
      <c r="B1378" s="6" t="s">
        <v>6934</v>
      </c>
      <c r="C1378" s="20" t="s">
        <v>6935</v>
      </c>
      <c r="D1378" s="6" t="s">
        <v>6936</v>
      </c>
      <c r="E1378" s="6"/>
      <c r="F1378" s="6" t="s">
        <v>6937</v>
      </c>
      <c r="G1378" s="6" t="s">
        <v>6564</v>
      </c>
      <c r="H1378" s="6" t="str">
        <f t="shared" ref="H1378:H1387" si="121">CONCATENATE(F1378,"(",G1378,")")</f>
        <v>THE OVERSEER
NANNY
LITTLE PHIBBAH(P15
P22)</v>
      </c>
      <c r="I1378" s="6" t="s">
        <v>533</v>
      </c>
      <c r="J1378" s="6"/>
      <c r="K1378" s="6"/>
      <c r="L1378" s="6" t="s">
        <v>209</v>
      </c>
      <c r="M1378" s="6" t="str">
        <f>VLOOKUP(L1378, GLOSSARY!$A:$C, 2, FALSE)</f>
        <v>BREADNUT ISLAND PEN</v>
      </c>
      <c r="N1378" s="6" t="s">
        <v>68</v>
      </c>
      <c r="O1378" s="6"/>
      <c r="P1378" s="6"/>
      <c r="Q1378" s="6"/>
      <c r="R1378" s="6"/>
      <c r="S1378" s="6"/>
      <c r="T1378" s="6"/>
      <c r="U1378" s="6"/>
      <c r="V1378" s="6"/>
      <c r="W1378" s="6"/>
      <c r="X1378" s="6"/>
      <c r="Y1378" s="6"/>
      <c r="Z1378" s="6"/>
      <c r="AA1378" s="6"/>
      <c r="AB1378" s="6"/>
      <c r="AC1378" s="6"/>
      <c r="AD1378" s="6"/>
      <c r="AE1378" s="6"/>
    </row>
    <row r="1379" spans="1:31" ht="114.75" x14ac:dyDescent="0.2">
      <c r="A1379" s="6" t="s">
        <v>3881</v>
      </c>
      <c r="B1379" s="6" t="s">
        <v>4165</v>
      </c>
      <c r="C1379" s="20" t="s">
        <v>6938</v>
      </c>
      <c r="D1379" s="6" t="s">
        <v>6939</v>
      </c>
      <c r="E1379" s="6"/>
      <c r="F1379" s="6" t="s">
        <v>6940</v>
      </c>
      <c r="G1379" s="6" t="s">
        <v>6941</v>
      </c>
      <c r="H1379" s="6" t="str">
        <f t="shared" si="121"/>
        <v>NANNY
PHOEBE
DAMSEL(P15
P34
P58)</v>
      </c>
      <c r="I1379" s="6" t="s">
        <v>533</v>
      </c>
      <c r="J1379" s="6"/>
      <c r="K1379" s="6"/>
      <c r="L1379" s="6" t="s">
        <v>209</v>
      </c>
      <c r="M1379" s="6" t="str">
        <f>VLOOKUP(L1379, GLOSSARY!$A:$C, 2, FALSE)</f>
        <v>BREADNUT ISLAND PEN</v>
      </c>
      <c r="N1379" s="6" t="s">
        <v>68</v>
      </c>
      <c r="O1379" s="6"/>
      <c r="P1379" s="6"/>
      <c r="Q1379" s="6"/>
      <c r="R1379" s="6"/>
      <c r="S1379" s="6"/>
      <c r="T1379" s="6"/>
      <c r="U1379" s="6"/>
      <c r="V1379" s="6"/>
      <c r="W1379" s="6"/>
      <c r="X1379" s="6"/>
      <c r="Y1379" s="6"/>
      <c r="Z1379" s="6"/>
      <c r="AA1379" s="6"/>
      <c r="AB1379" s="6"/>
      <c r="AC1379" s="6"/>
      <c r="AD1379" s="6"/>
      <c r="AE1379" s="6"/>
    </row>
    <row r="1380" spans="1:31" ht="63.75" x14ac:dyDescent="0.2">
      <c r="A1380" s="6" t="s">
        <v>3881</v>
      </c>
      <c r="B1380" s="6" t="s">
        <v>4165</v>
      </c>
      <c r="C1380" s="20" t="s">
        <v>6938</v>
      </c>
      <c r="D1380" s="6" t="s">
        <v>6942</v>
      </c>
      <c r="E1380" s="6"/>
      <c r="F1380" s="6" t="s">
        <v>6943</v>
      </c>
      <c r="G1380" s="6" t="s">
        <v>6944</v>
      </c>
      <c r="H1380" s="6" t="str">
        <f t="shared" si="121"/>
        <v>SAWNO
SOLON(P38
P26)</v>
      </c>
      <c r="I1380" s="6" t="s">
        <v>533</v>
      </c>
      <c r="J1380" s="6"/>
      <c r="K1380" s="6"/>
      <c r="L1380" s="6" t="s">
        <v>209</v>
      </c>
      <c r="M1380" s="6" t="str">
        <f>VLOOKUP(L1380, GLOSSARY!$A:$C, 2, FALSE)</f>
        <v>BREADNUT ISLAND PEN</v>
      </c>
      <c r="N1380" s="6" t="s">
        <v>167</v>
      </c>
      <c r="O1380" s="6"/>
      <c r="P1380" s="6"/>
      <c r="Q1380" s="6"/>
      <c r="R1380" s="6"/>
      <c r="S1380" s="6"/>
      <c r="T1380" s="6"/>
      <c r="U1380" s="6"/>
      <c r="V1380" s="6"/>
      <c r="W1380" s="6"/>
      <c r="X1380" s="6"/>
      <c r="Y1380" s="6"/>
      <c r="Z1380" s="6"/>
      <c r="AA1380" s="6"/>
      <c r="AB1380" s="6"/>
      <c r="AC1380" s="6"/>
      <c r="AD1380" s="6"/>
      <c r="AE1380" s="6"/>
    </row>
    <row r="1381" spans="1:31" ht="63.75" x14ac:dyDescent="0.2">
      <c r="A1381" s="6" t="s">
        <v>6945</v>
      </c>
      <c r="B1381" s="6" t="s">
        <v>6368</v>
      </c>
      <c r="C1381" s="20" t="s">
        <v>6946</v>
      </c>
      <c r="D1381" s="6" t="s">
        <v>6947</v>
      </c>
      <c r="E1381" s="6"/>
      <c r="F1381" s="6" t="s">
        <v>6948</v>
      </c>
      <c r="G1381" s="6" t="s">
        <v>6949</v>
      </c>
      <c r="H1381" s="6" t="str">
        <f t="shared" si="121"/>
        <v>DANIEL
FARLANE(P42
P278)</v>
      </c>
      <c r="I1381" s="6" t="s">
        <v>1068</v>
      </c>
      <c r="J1381" s="6"/>
      <c r="K1381" s="6"/>
      <c r="L1381" s="6" t="s">
        <v>55</v>
      </c>
      <c r="M1381" s="6" t="str">
        <f>VLOOKUP(L1381, GLOSSARY!$A:$C, 2, FALSE)</f>
        <v>EGYPT ESTATE</v>
      </c>
      <c r="N1381" s="6" t="s">
        <v>167</v>
      </c>
      <c r="O1381" s="6"/>
      <c r="P1381" s="6"/>
      <c r="Q1381" s="6"/>
      <c r="R1381" s="6"/>
      <c r="S1381" s="6"/>
      <c r="T1381" s="6"/>
      <c r="U1381" s="6"/>
      <c r="V1381" s="6"/>
      <c r="W1381" s="6"/>
      <c r="X1381" s="6"/>
      <c r="Y1381" s="6"/>
      <c r="Z1381" s="6"/>
      <c r="AA1381" s="6"/>
      <c r="AB1381" s="6"/>
      <c r="AC1381" s="6"/>
      <c r="AD1381" s="6"/>
      <c r="AE1381" s="6"/>
    </row>
    <row r="1382" spans="1:31" ht="63.75" x14ac:dyDescent="0.2">
      <c r="A1382" s="6" t="s">
        <v>3881</v>
      </c>
      <c r="B1382" s="6" t="s">
        <v>6368</v>
      </c>
      <c r="C1382" s="20" t="s">
        <v>6946</v>
      </c>
      <c r="D1382" s="6" t="s">
        <v>6950</v>
      </c>
      <c r="E1382" s="6"/>
      <c r="F1382" s="6" t="s">
        <v>6943</v>
      </c>
      <c r="G1382" s="6" t="s">
        <v>6944</v>
      </c>
      <c r="H1382" s="6" t="str">
        <f t="shared" si="121"/>
        <v>SAWNO
SOLON(P38
P26)</v>
      </c>
      <c r="I1382" s="6" t="s">
        <v>533</v>
      </c>
      <c r="J1382" s="6"/>
      <c r="K1382" s="6"/>
      <c r="L1382" s="6" t="s">
        <v>209</v>
      </c>
      <c r="M1382" s="6" t="str">
        <f>VLOOKUP(L1382, GLOSSARY!$A:$C, 2, FALSE)</f>
        <v>BREADNUT ISLAND PEN</v>
      </c>
      <c r="N1382" s="6" t="s">
        <v>68</v>
      </c>
      <c r="O1382" s="6"/>
      <c r="P1382" s="6"/>
      <c r="Q1382" s="6"/>
      <c r="R1382" s="6"/>
      <c r="S1382" s="6"/>
      <c r="T1382" s="6"/>
      <c r="U1382" s="6"/>
      <c r="V1382" s="6"/>
      <c r="W1382" s="6"/>
      <c r="X1382" s="6"/>
      <c r="Y1382" s="6"/>
      <c r="Z1382" s="6"/>
      <c r="AA1382" s="6"/>
      <c r="AB1382" s="6"/>
      <c r="AC1382" s="6"/>
      <c r="AD1382" s="6"/>
      <c r="AE1382" s="6"/>
    </row>
    <row r="1383" spans="1:31" ht="63.75" x14ac:dyDescent="0.2">
      <c r="A1383" s="6" t="s">
        <v>6951</v>
      </c>
      <c r="B1383" s="6" t="s">
        <v>6376</v>
      </c>
      <c r="C1383" s="20" t="s">
        <v>6952</v>
      </c>
      <c r="D1383" s="6" t="s">
        <v>6953</v>
      </c>
      <c r="E1383" s="6"/>
      <c r="F1383" s="6" t="s">
        <v>2135</v>
      </c>
      <c r="G1383" s="6" t="s">
        <v>2136</v>
      </c>
      <c r="H1383" s="6" t="str">
        <f t="shared" si="121"/>
        <v>PHIBBAH
THE OVERSEER(P7
P43)</v>
      </c>
      <c r="I1383" s="6" t="s">
        <v>957</v>
      </c>
      <c r="J1383" s="6"/>
      <c r="K1383" s="6"/>
      <c r="L1383" s="6" t="s">
        <v>209</v>
      </c>
      <c r="M1383" s="6" t="str">
        <f>VLOOKUP(L1383, GLOSSARY!$A:$C, 2, FALSE)</f>
        <v>BREADNUT ISLAND PEN</v>
      </c>
      <c r="N1383" s="6" t="s">
        <v>68</v>
      </c>
      <c r="O1383" s="6"/>
      <c r="P1383" s="6"/>
      <c r="Q1383" s="6"/>
      <c r="R1383" s="6"/>
      <c r="S1383" s="6"/>
      <c r="T1383" s="6"/>
      <c r="U1383" s="6"/>
      <c r="V1383" s="6"/>
      <c r="W1383" s="6"/>
      <c r="X1383" s="6"/>
      <c r="Y1383" s="6"/>
      <c r="Z1383" s="6"/>
      <c r="AA1383" s="6"/>
      <c r="AB1383" s="6"/>
      <c r="AC1383" s="6"/>
      <c r="AD1383" s="6"/>
      <c r="AE1383" s="6"/>
    </row>
    <row r="1384" spans="1:31" ht="165.75" x14ac:dyDescent="0.2">
      <c r="A1384" s="6" t="s">
        <v>3881</v>
      </c>
      <c r="B1384" s="6" t="s">
        <v>4173</v>
      </c>
      <c r="C1384" s="20" t="s">
        <v>6954</v>
      </c>
      <c r="D1384" s="6" t="s">
        <v>6955</v>
      </c>
      <c r="E1384" s="6"/>
      <c r="F1384" s="6" t="s">
        <v>6956</v>
      </c>
      <c r="G1384" s="6" t="s">
        <v>6957</v>
      </c>
      <c r="H1384" s="6" t="str">
        <f t="shared" si="121"/>
        <v>SALLY
JOHN HARTNOLE
THE OVERSEER
JIMMY(P17
P81
P43
P54)</v>
      </c>
      <c r="I1384" s="6" t="s">
        <v>533</v>
      </c>
      <c r="J1384" s="6"/>
      <c r="K1384" s="6"/>
      <c r="L1384" s="6" t="s">
        <v>55</v>
      </c>
      <c r="M1384" s="6" t="str">
        <f>VLOOKUP(L1384, GLOSSARY!$A:$C, 2, FALSE)</f>
        <v>EGYPT ESTATE</v>
      </c>
      <c r="N1384" s="6" t="s">
        <v>167</v>
      </c>
      <c r="O1384" s="6"/>
      <c r="P1384" s="6"/>
      <c r="Q1384" s="6"/>
      <c r="R1384" s="6"/>
      <c r="S1384" s="6"/>
      <c r="T1384" s="6"/>
      <c r="U1384" s="6"/>
      <c r="V1384" s="6"/>
      <c r="W1384" s="6"/>
      <c r="X1384" s="6"/>
      <c r="Y1384" s="6"/>
      <c r="Z1384" s="6"/>
      <c r="AA1384" s="6"/>
      <c r="AB1384" s="6"/>
      <c r="AC1384" s="6"/>
      <c r="AD1384" s="6"/>
      <c r="AE1384" s="6"/>
    </row>
    <row r="1385" spans="1:31" ht="63.75" x14ac:dyDescent="0.2">
      <c r="A1385" s="6" t="s">
        <v>3881</v>
      </c>
      <c r="B1385" s="6" t="s">
        <v>6386</v>
      </c>
      <c r="C1385" s="20" t="s">
        <v>6958</v>
      </c>
      <c r="D1385" s="6" t="s">
        <v>6959</v>
      </c>
      <c r="E1385" s="6"/>
      <c r="F1385" s="6" t="s">
        <v>6960</v>
      </c>
      <c r="G1385" s="6" t="s">
        <v>6961</v>
      </c>
      <c r="H1385" s="6" t="str">
        <f t="shared" si="121"/>
        <v>SALLY
THE OVERSEER(P17
P43)</v>
      </c>
      <c r="I1385" s="6" t="s">
        <v>533</v>
      </c>
      <c r="J1385" s="6"/>
      <c r="K1385" s="6"/>
      <c r="L1385" s="6" t="s">
        <v>209</v>
      </c>
      <c r="M1385" s="6" t="str">
        <f>VLOOKUP(L1385, GLOSSARY!$A:$C, 2, FALSE)</f>
        <v>BREADNUT ISLAND PEN</v>
      </c>
      <c r="N1385" s="6" t="s">
        <v>68</v>
      </c>
      <c r="O1385" s="6"/>
      <c r="P1385" s="6"/>
      <c r="Q1385" s="6"/>
      <c r="R1385" s="6"/>
      <c r="S1385" s="6"/>
      <c r="T1385" s="6"/>
      <c r="U1385" s="6"/>
      <c r="V1385" s="6"/>
      <c r="W1385" s="6"/>
      <c r="X1385" s="6"/>
      <c r="Y1385" s="6"/>
      <c r="Z1385" s="6"/>
      <c r="AA1385" s="6"/>
      <c r="AB1385" s="6"/>
      <c r="AC1385" s="6"/>
      <c r="AD1385" s="6"/>
      <c r="AE1385" s="6"/>
    </row>
    <row r="1386" spans="1:31" ht="216.75" x14ac:dyDescent="0.2">
      <c r="A1386" s="6" t="s">
        <v>3881</v>
      </c>
      <c r="B1386" s="6" t="s">
        <v>6386</v>
      </c>
      <c r="C1386" s="20" t="s">
        <v>6962</v>
      </c>
      <c r="D1386" s="6" t="s">
        <v>6963</v>
      </c>
      <c r="E1386" s="6"/>
      <c r="F1386" s="6" t="s">
        <v>6964</v>
      </c>
      <c r="G1386" s="6" t="s">
        <v>6965</v>
      </c>
      <c r="H1386" s="6" t="str">
        <f t="shared" si="121"/>
        <v>PHOEBE
SAWNO
SOLON
SUKEY
THE OVERSEER(P58
P38
P26
P37
P43)</v>
      </c>
      <c r="I1386" s="6" t="s">
        <v>533</v>
      </c>
      <c r="J1386" s="6"/>
      <c r="K1386" s="6"/>
      <c r="L1386" s="6" t="s">
        <v>209</v>
      </c>
      <c r="M1386" s="6" t="str">
        <f>VLOOKUP(L1386, GLOSSARY!$A:$C, 2, FALSE)</f>
        <v>BREADNUT ISLAND PEN</v>
      </c>
      <c r="N1386" s="6" t="s">
        <v>68</v>
      </c>
      <c r="O1386" s="6"/>
      <c r="P1386" s="6"/>
      <c r="Q1386" s="6"/>
      <c r="R1386" s="6"/>
      <c r="S1386" s="6"/>
      <c r="T1386" s="6"/>
      <c r="U1386" s="6"/>
      <c r="V1386" s="6"/>
      <c r="W1386" s="6"/>
      <c r="X1386" s="6"/>
      <c r="Y1386" s="6"/>
      <c r="Z1386" s="6"/>
      <c r="AA1386" s="6"/>
      <c r="AB1386" s="6"/>
      <c r="AC1386" s="6"/>
      <c r="AD1386" s="6"/>
      <c r="AE1386" s="6"/>
    </row>
    <row r="1387" spans="1:31" ht="89.25" x14ac:dyDescent="0.2">
      <c r="A1387" s="6" t="s">
        <v>6966</v>
      </c>
      <c r="B1387" s="6" t="s">
        <v>4536</v>
      </c>
      <c r="C1387" s="20" t="s">
        <v>6962</v>
      </c>
      <c r="D1387" s="6" t="s">
        <v>6967</v>
      </c>
      <c r="E1387" s="6"/>
      <c r="F1387" s="6" t="s">
        <v>48</v>
      </c>
      <c r="G1387" s="6" t="s">
        <v>50</v>
      </c>
      <c r="H1387" s="6" t="str">
        <f t="shared" si="121"/>
        <v>THE OVERSEER(P43)</v>
      </c>
      <c r="I1387" s="6" t="s">
        <v>112</v>
      </c>
      <c r="J1387" s="6"/>
      <c r="K1387" s="6"/>
      <c r="L1387" s="6" t="s">
        <v>209</v>
      </c>
      <c r="M1387" s="6" t="str">
        <f>VLOOKUP(L1387, GLOSSARY!$A:$C, 2, FALSE)</f>
        <v>BREADNUT ISLAND PEN</v>
      </c>
      <c r="N1387" s="6" t="s">
        <v>68</v>
      </c>
      <c r="O1387" s="6"/>
      <c r="P1387" s="6"/>
      <c r="Q1387" s="6"/>
      <c r="R1387" s="6"/>
      <c r="S1387" s="6"/>
      <c r="T1387" s="6"/>
      <c r="U1387" s="6"/>
      <c r="V1387" s="6"/>
      <c r="W1387" s="6"/>
      <c r="X1387" s="6"/>
      <c r="Y1387" s="6"/>
      <c r="Z1387" s="6"/>
      <c r="AA1387" s="6"/>
      <c r="AB1387" s="6"/>
      <c r="AC1387" s="6"/>
      <c r="AD1387" s="6"/>
      <c r="AE1387" s="6"/>
    </row>
    <row r="1388" spans="1:31" ht="51" x14ac:dyDescent="0.2">
      <c r="A1388" s="6" t="s">
        <v>6968</v>
      </c>
      <c r="B1388" s="6" t="s">
        <v>3843</v>
      </c>
      <c r="C1388" s="20" t="s">
        <v>6969</v>
      </c>
      <c r="D1388" s="6" t="s">
        <v>6970</v>
      </c>
      <c r="E1388" s="6" t="s">
        <v>4716</v>
      </c>
      <c r="F1388" s="6" t="s">
        <v>90</v>
      </c>
      <c r="G1388" s="6" t="s">
        <v>89</v>
      </c>
      <c r="H1388" s="18" t="str">
        <f>CONCATENATE(F1388," (",G1388,")")</f>
        <v>ABBA (P6)</v>
      </c>
      <c r="I1388" s="6" t="s">
        <v>533</v>
      </c>
      <c r="J1388" s="6"/>
      <c r="K1388" s="6" t="s">
        <v>207</v>
      </c>
      <c r="L1388" s="6" t="s">
        <v>209</v>
      </c>
      <c r="M1388" s="18" t="str">
        <f>VLOOKUP(L1388, GLOSSARY!$A:$C, 2, FALSE)</f>
        <v>BREADNUT ISLAND PEN</v>
      </c>
      <c r="N1388" s="6" t="s">
        <v>68</v>
      </c>
      <c r="O1388" s="6"/>
      <c r="P1388" s="6"/>
      <c r="Q1388" s="6"/>
      <c r="R1388" s="6"/>
      <c r="S1388" s="6"/>
      <c r="T1388" s="6"/>
      <c r="U1388" s="6"/>
      <c r="V1388" s="6"/>
      <c r="W1388" s="6"/>
      <c r="X1388" s="6"/>
      <c r="Y1388" s="6"/>
      <c r="Z1388" s="6"/>
      <c r="AA1388" s="6"/>
      <c r="AB1388" s="6"/>
      <c r="AC1388" s="6"/>
      <c r="AD1388" s="6"/>
      <c r="AE1388" s="6"/>
    </row>
    <row r="1389" spans="1:31" ht="140.25" x14ac:dyDescent="0.2">
      <c r="A1389" s="6" t="s">
        <v>3881</v>
      </c>
      <c r="B1389" s="6" t="s">
        <v>4541</v>
      </c>
      <c r="C1389" s="20" t="s">
        <v>6971</v>
      </c>
      <c r="D1389" s="6" t="s">
        <v>6972</v>
      </c>
      <c r="E1389" s="6"/>
      <c r="F1389" s="6" t="s">
        <v>6973</v>
      </c>
      <c r="G1389" s="6" t="s">
        <v>6974</v>
      </c>
      <c r="H1389" s="6" t="str">
        <f>CONCATENATE(F1389,"(",G1389,")")</f>
        <v>SAWNO
SOLON
PHOEBE(P58
P38
P26
P43)</v>
      </c>
      <c r="I1389" s="6" t="s">
        <v>533</v>
      </c>
      <c r="J1389" s="6"/>
      <c r="K1389" s="6"/>
      <c r="L1389" s="6" t="s">
        <v>209</v>
      </c>
      <c r="M1389" s="6" t="str">
        <f>VLOOKUP(L1389, GLOSSARY!$A:$C, 2, FALSE)</f>
        <v>BREADNUT ISLAND PEN</v>
      </c>
      <c r="N1389" s="6" t="s">
        <v>68</v>
      </c>
      <c r="O1389" s="6"/>
      <c r="P1389" s="6"/>
      <c r="Q1389" s="6"/>
      <c r="R1389" s="6"/>
      <c r="S1389" s="6"/>
      <c r="T1389" s="6"/>
      <c r="U1389" s="6"/>
      <c r="V1389" s="6"/>
      <c r="W1389" s="6"/>
      <c r="X1389" s="6"/>
      <c r="Y1389" s="6"/>
      <c r="Z1389" s="6"/>
      <c r="AA1389" s="6"/>
      <c r="AB1389" s="6"/>
      <c r="AC1389" s="6"/>
      <c r="AD1389" s="6"/>
      <c r="AE1389" s="6"/>
    </row>
    <row r="1390" spans="1:31" ht="76.5" x14ac:dyDescent="0.2">
      <c r="A1390" s="6" t="s">
        <v>6968</v>
      </c>
      <c r="B1390" s="6" t="s">
        <v>4541</v>
      </c>
      <c r="C1390" s="20" t="s">
        <v>6975</v>
      </c>
      <c r="D1390" s="6" t="s">
        <v>6976</v>
      </c>
      <c r="E1390" s="6" t="s">
        <v>4716</v>
      </c>
      <c r="F1390" s="6" t="s">
        <v>90</v>
      </c>
      <c r="G1390" s="6" t="s">
        <v>89</v>
      </c>
      <c r="H1390" s="18" t="str">
        <f t="shared" ref="H1390:H1391" si="122">CONCATENATE(F1390," (",G1390,")")</f>
        <v>ABBA (P6)</v>
      </c>
      <c r="I1390" s="6" t="s">
        <v>533</v>
      </c>
      <c r="J1390" s="6"/>
      <c r="K1390" s="6" t="s">
        <v>207</v>
      </c>
      <c r="L1390" s="6" t="s">
        <v>209</v>
      </c>
      <c r="M1390" s="18" t="str">
        <f>VLOOKUP(L1390, GLOSSARY!$A:$C, 2, FALSE)</f>
        <v>BREADNUT ISLAND PEN</v>
      </c>
      <c r="N1390" s="6" t="s">
        <v>68</v>
      </c>
      <c r="O1390" s="6"/>
      <c r="P1390" s="6"/>
      <c r="Q1390" s="6"/>
      <c r="R1390" s="6"/>
      <c r="S1390" s="6"/>
      <c r="T1390" s="6"/>
      <c r="U1390" s="6"/>
      <c r="V1390" s="6"/>
      <c r="W1390" s="6"/>
      <c r="X1390" s="6"/>
      <c r="Y1390" s="6"/>
      <c r="Z1390" s="6"/>
      <c r="AA1390" s="6"/>
      <c r="AB1390" s="6"/>
      <c r="AC1390" s="6"/>
      <c r="AD1390" s="6"/>
      <c r="AE1390" s="6"/>
    </row>
    <row r="1391" spans="1:31" ht="25.5" x14ac:dyDescent="0.2">
      <c r="A1391" s="6" t="s">
        <v>6968</v>
      </c>
      <c r="B1391" s="6" t="s">
        <v>4179</v>
      </c>
      <c r="C1391" s="20" t="s">
        <v>6977</v>
      </c>
      <c r="D1391" s="6" t="s">
        <v>6978</v>
      </c>
      <c r="E1391" s="6" t="s">
        <v>4716</v>
      </c>
      <c r="F1391" s="6" t="s">
        <v>90</v>
      </c>
      <c r="G1391" s="6" t="s">
        <v>89</v>
      </c>
      <c r="H1391" s="18" t="str">
        <f t="shared" si="122"/>
        <v>ABBA (P6)</v>
      </c>
      <c r="I1391" s="6" t="s">
        <v>533</v>
      </c>
      <c r="J1391" s="6"/>
      <c r="K1391" s="6" t="s">
        <v>207</v>
      </c>
      <c r="L1391" s="6" t="s">
        <v>209</v>
      </c>
      <c r="M1391" s="18" t="str">
        <f>VLOOKUP(L1391, GLOSSARY!$A:$C, 2, FALSE)</f>
        <v>BREADNUT ISLAND PEN</v>
      </c>
      <c r="N1391" s="6" t="s">
        <v>68</v>
      </c>
      <c r="O1391" s="6"/>
      <c r="P1391" s="6"/>
      <c r="Q1391" s="6"/>
      <c r="R1391" s="6"/>
      <c r="S1391" s="6"/>
      <c r="T1391" s="6"/>
      <c r="U1391" s="6"/>
      <c r="V1391" s="6"/>
      <c r="W1391" s="6"/>
      <c r="X1391" s="6"/>
      <c r="Y1391" s="6"/>
      <c r="Z1391" s="6"/>
      <c r="AA1391" s="6"/>
      <c r="AB1391" s="6"/>
      <c r="AC1391" s="6"/>
      <c r="AD1391" s="6"/>
      <c r="AE1391" s="6"/>
    </row>
    <row r="1392" spans="1:31" ht="114.75" x14ac:dyDescent="0.2">
      <c r="A1392" s="6" t="s">
        <v>3881</v>
      </c>
      <c r="B1392" s="6" t="s">
        <v>4179</v>
      </c>
      <c r="C1392" s="20" t="s">
        <v>6977</v>
      </c>
      <c r="D1392" s="6" t="s">
        <v>6979</v>
      </c>
      <c r="E1392" s="6"/>
      <c r="F1392" s="6" t="s">
        <v>6980</v>
      </c>
      <c r="G1392" s="6" t="s">
        <v>6981</v>
      </c>
      <c r="H1392" s="6" t="str">
        <f t="shared" ref="H1392:H1394" si="123">CONCATENATE(F1392,"(",G1392,")")</f>
        <v>THE OVERSEER
CUKOR
JOHN WEDDERBURN(P43
P110
P95)</v>
      </c>
      <c r="I1392" s="6" t="s">
        <v>248</v>
      </c>
      <c r="J1392" s="6"/>
      <c r="K1392" s="6"/>
      <c r="L1392" s="6"/>
      <c r="M1392" s="6" t="e">
        <f>VLOOKUP(L1392, GLOSSARY!$A:$C, 2, FALSE)</f>
        <v>#N/A</v>
      </c>
      <c r="N1392" s="6"/>
      <c r="O1392" s="6"/>
      <c r="P1392" s="6"/>
      <c r="Q1392" s="6"/>
      <c r="R1392" s="6"/>
      <c r="S1392" s="6"/>
      <c r="T1392" s="6"/>
      <c r="U1392" s="6"/>
      <c r="V1392" s="6"/>
      <c r="W1392" s="6"/>
      <c r="X1392" s="6"/>
      <c r="Y1392" s="6"/>
      <c r="Z1392" s="6"/>
      <c r="AA1392" s="6"/>
      <c r="AB1392" s="6"/>
      <c r="AC1392" s="6"/>
      <c r="AD1392" s="6"/>
      <c r="AE1392" s="6"/>
    </row>
    <row r="1393" spans="1:31" ht="140.25" x14ac:dyDescent="0.2">
      <c r="A1393" s="6" t="s">
        <v>3881</v>
      </c>
      <c r="B1393" s="6" t="s">
        <v>4182</v>
      </c>
      <c r="C1393" s="20" t="s">
        <v>6982</v>
      </c>
      <c r="D1393" s="6" t="s">
        <v>6983</v>
      </c>
      <c r="E1393" s="6"/>
      <c r="F1393" s="6" t="s">
        <v>6984</v>
      </c>
      <c r="G1393" s="6" t="s">
        <v>6974</v>
      </c>
      <c r="H1393" s="6" t="str">
        <f t="shared" si="123"/>
        <v>SAWNO
PHOEBE
SOLON(P58
P38
P26
P43)</v>
      </c>
      <c r="I1393" s="6" t="s">
        <v>533</v>
      </c>
      <c r="J1393" s="6"/>
      <c r="K1393" s="6"/>
      <c r="L1393" s="6" t="s">
        <v>209</v>
      </c>
      <c r="M1393" s="6" t="str">
        <f>VLOOKUP(L1393, GLOSSARY!$A:$C, 2, FALSE)</f>
        <v>BREADNUT ISLAND PEN</v>
      </c>
      <c r="N1393" s="6" t="s">
        <v>68</v>
      </c>
      <c r="O1393" s="6"/>
      <c r="P1393" s="6"/>
      <c r="Q1393" s="6"/>
      <c r="R1393" s="6"/>
      <c r="S1393" s="6"/>
      <c r="T1393" s="6"/>
      <c r="U1393" s="6"/>
      <c r="V1393" s="6"/>
      <c r="W1393" s="6"/>
      <c r="X1393" s="6"/>
      <c r="Y1393" s="6"/>
      <c r="Z1393" s="6"/>
      <c r="AA1393" s="6"/>
      <c r="AB1393" s="6"/>
      <c r="AC1393" s="6"/>
      <c r="AD1393" s="6"/>
      <c r="AE1393" s="6"/>
    </row>
    <row r="1394" spans="1:31" ht="25.5" x14ac:dyDescent="0.2">
      <c r="A1394" s="6" t="s">
        <v>6985</v>
      </c>
      <c r="B1394" s="6" t="s">
        <v>4547</v>
      </c>
      <c r="C1394" s="20" t="s">
        <v>6986</v>
      </c>
      <c r="D1394" s="6" t="s">
        <v>6987</v>
      </c>
      <c r="E1394" s="6"/>
      <c r="F1394" s="6" t="s">
        <v>1363</v>
      </c>
      <c r="G1394" s="6" t="s">
        <v>1362</v>
      </c>
      <c r="H1394" s="6" t="str">
        <f t="shared" si="123"/>
        <v>OLD MOLL(P220)</v>
      </c>
      <c r="I1394" s="6" t="s">
        <v>1068</v>
      </c>
      <c r="J1394" s="6"/>
      <c r="K1394" s="6"/>
      <c r="L1394" s="6" t="s">
        <v>99</v>
      </c>
      <c r="M1394" s="6" t="str">
        <f>VLOOKUP(L1394, GLOSSARY!$A:$C, 2, FALSE)</f>
        <v>PARADISE ESTATE</v>
      </c>
      <c r="N1394" s="6" t="s">
        <v>167</v>
      </c>
      <c r="O1394" s="6"/>
      <c r="P1394" s="6"/>
      <c r="Q1394" s="6"/>
      <c r="R1394" s="6"/>
      <c r="S1394" s="6"/>
      <c r="T1394" s="6"/>
      <c r="U1394" s="6"/>
      <c r="V1394" s="6"/>
      <c r="W1394" s="6"/>
      <c r="X1394" s="6"/>
      <c r="Y1394" s="6"/>
      <c r="Z1394" s="6"/>
      <c r="AA1394" s="6"/>
      <c r="AB1394" s="6"/>
      <c r="AC1394" s="6"/>
      <c r="AD1394" s="6"/>
      <c r="AE1394" s="6"/>
    </row>
    <row r="1395" spans="1:31" ht="51" x14ac:dyDescent="0.2">
      <c r="A1395" s="6" t="s">
        <v>3881</v>
      </c>
      <c r="B1395" s="6" t="s">
        <v>3882</v>
      </c>
      <c r="C1395" s="20" t="s">
        <v>3883</v>
      </c>
      <c r="D1395" s="6" t="s">
        <v>3884</v>
      </c>
      <c r="E1395" s="6" t="s">
        <v>3885</v>
      </c>
      <c r="F1395" s="6" t="s">
        <v>6988</v>
      </c>
      <c r="G1395" s="6" t="s">
        <v>6989</v>
      </c>
      <c r="H1395" s="18" t="str">
        <f t="shared" ref="H1395:H1398" si="124">CONCATENATE(F1395," (",G1395,")")</f>
        <v>LINCOLN
MOLIA (P24
P1)</v>
      </c>
      <c r="I1395" s="6" t="s">
        <v>656</v>
      </c>
      <c r="J1395" s="6" t="s">
        <v>35</v>
      </c>
      <c r="K1395" s="6" t="s">
        <v>207</v>
      </c>
      <c r="L1395" s="6" t="s">
        <v>209</v>
      </c>
      <c r="M1395" s="18" t="str">
        <f>VLOOKUP(L1395, GLOSSARY!$A:$C, 2, FALSE)</f>
        <v>BREADNUT ISLAND PEN</v>
      </c>
      <c r="N1395" s="6" t="s">
        <v>167</v>
      </c>
      <c r="O1395" s="6"/>
      <c r="P1395" s="6"/>
      <c r="Q1395" s="6"/>
      <c r="R1395" s="6"/>
      <c r="S1395" s="6"/>
      <c r="T1395" s="6"/>
      <c r="U1395" s="6"/>
      <c r="V1395" s="6"/>
      <c r="W1395" s="6"/>
      <c r="X1395" s="6"/>
      <c r="Y1395" s="6"/>
      <c r="Z1395" s="6"/>
      <c r="AA1395" s="6"/>
      <c r="AB1395" s="6"/>
      <c r="AC1395" s="6"/>
      <c r="AD1395" s="6"/>
      <c r="AE1395" s="6"/>
    </row>
    <row r="1396" spans="1:31" ht="63.75" x14ac:dyDescent="0.2">
      <c r="A1396" s="6" t="s">
        <v>3881</v>
      </c>
      <c r="B1396" s="6" t="s">
        <v>3886</v>
      </c>
      <c r="C1396" s="20" t="s">
        <v>3887</v>
      </c>
      <c r="D1396" s="6" t="s">
        <v>3888</v>
      </c>
      <c r="E1396" s="6" t="s">
        <v>3885</v>
      </c>
      <c r="F1396" s="6" t="s">
        <v>6988</v>
      </c>
      <c r="G1396" s="6" t="s">
        <v>6989</v>
      </c>
      <c r="H1396" s="18" t="str">
        <f t="shared" si="124"/>
        <v>LINCOLN
MOLIA (P24
P1)</v>
      </c>
      <c r="I1396" s="6" t="s">
        <v>656</v>
      </c>
      <c r="J1396" s="6" t="s">
        <v>35</v>
      </c>
      <c r="K1396" s="6" t="s">
        <v>3889</v>
      </c>
      <c r="L1396" s="6" t="s">
        <v>3890</v>
      </c>
      <c r="M1396" s="18" t="e">
        <f>VLOOKUP(L1396, GLOSSARY!$A:$C, 2, FALSE)</f>
        <v>#N/A</v>
      </c>
      <c r="N1396" s="6" t="s">
        <v>68</v>
      </c>
      <c r="O1396" s="6"/>
      <c r="P1396" s="6"/>
      <c r="Q1396" s="6"/>
      <c r="R1396" s="6"/>
      <c r="S1396" s="6"/>
      <c r="T1396" s="6"/>
      <c r="U1396" s="6"/>
      <c r="V1396" s="6"/>
      <c r="W1396" s="6"/>
      <c r="X1396" s="6"/>
      <c r="Y1396" s="6"/>
      <c r="Z1396" s="6"/>
      <c r="AA1396" s="6"/>
      <c r="AB1396" s="6"/>
      <c r="AC1396" s="6"/>
      <c r="AD1396" s="6"/>
      <c r="AE1396" s="6"/>
    </row>
    <row r="1397" spans="1:31" ht="165.75" x14ac:dyDescent="0.2">
      <c r="A1397" s="6" t="s">
        <v>6754</v>
      </c>
      <c r="B1397" s="6" t="s">
        <v>3859</v>
      </c>
      <c r="C1397" s="20" t="s">
        <v>6990</v>
      </c>
      <c r="D1397" s="6" t="s">
        <v>6991</v>
      </c>
      <c r="E1397" s="6"/>
      <c r="F1397" s="6" t="s">
        <v>6992</v>
      </c>
      <c r="G1397" s="6" t="s">
        <v>6993</v>
      </c>
      <c r="H1397" s="6" t="str">
        <f t="shared" si="124"/>
        <v>EGYPT LUCY
PHIBBAH
COOBAH
DAGO
JOB (P3
P16
P7
P241
P29)</v>
      </c>
      <c r="I1397" s="6" t="s">
        <v>3801</v>
      </c>
      <c r="J1397" s="6" t="s">
        <v>6926</v>
      </c>
      <c r="K1397" s="6"/>
      <c r="L1397" s="6" t="s">
        <v>6994</v>
      </c>
      <c r="M1397" s="6" t="s">
        <v>6995</v>
      </c>
      <c r="N1397" s="6" t="s">
        <v>68</v>
      </c>
      <c r="O1397" s="6"/>
      <c r="P1397" s="6"/>
      <c r="Q1397" s="6"/>
      <c r="R1397" s="6"/>
      <c r="S1397" s="6"/>
      <c r="T1397" s="6"/>
      <c r="U1397" s="6"/>
      <c r="V1397" s="6"/>
      <c r="W1397" s="6"/>
      <c r="X1397" s="6"/>
      <c r="Y1397" s="6"/>
      <c r="Z1397" s="6"/>
      <c r="AA1397" s="6"/>
      <c r="AB1397" s="6"/>
      <c r="AC1397" s="6"/>
      <c r="AD1397" s="6"/>
      <c r="AE1397" s="6"/>
    </row>
    <row r="1398" spans="1:31" ht="76.5" x14ac:dyDescent="0.2">
      <c r="A1398" s="6" t="s">
        <v>3891</v>
      </c>
      <c r="B1398" s="6" t="s">
        <v>3892</v>
      </c>
      <c r="C1398" s="20" t="s">
        <v>3893</v>
      </c>
      <c r="D1398" s="6" t="s">
        <v>3894</v>
      </c>
      <c r="E1398" s="6" t="s">
        <v>3895</v>
      </c>
      <c r="F1398" s="6" t="s">
        <v>6915</v>
      </c>
      <c r="G1398" s="6" t="s">
        <v>6395</v>
      </c>
      <c r="H1398" s="18" t="str">
        <f t="shared" si="124"/>
        <v>JOHN
PHIBBAH (P9
P7)</v>
      </c>
      <c r="I1398" s="6" t="s">
        <v>533</v>
      </c>
      <c r="J1398" s="6" t="s">
        <v>754</v>
      </c>
      <c r="K1398" s="6" t="s">
        <v>207</v>
      </c>
      <c r="L1398" s="6" t="s">
        <v>209</v>
      </c>
      <c r="M1398" s="18" t="str">
        <f>VLOOKUP(L1398, GLOSSARY!$A:$C, 2, FALSE)</f>
        <v>BREADNUT ISLAND PEN</v>
      </c>
      <c r="N1398" s="6" t="s">
        <v>287</v>
      </c>
      <c r="O1398" s="6"/>
      <c r="P1398" s="6"/>
      <c r="Q1398" s="6"/>
      <c r="R1398" s="6"/>
      <c r="S1398" s="6"/>
      <c r="T1398" s="6"/>
      <c r="U1398" s="6"/>
      <c r="V1398" s="6"/>
      <c r="W1398" s="6"/>
      <c r="X1398" s="6"/>
      <c r="Y1398" s="6"/>
      <c r="Z1398" s="6"/>
      <c r="AA1398" s="6"/>
      <c r="AB1398" s="6"/>
      <c r="AC1398" s="6"/>
      <c r="AD1398" s="6"/>
      <c r="AE1398" s="6"/>
    </row>
    <row r="1399" spans="1:31" ht="114.75" x14ac:dyDescent="0.2">
      <c r="A1399" s="6" t="s">
        <v>3881</v>
      </c>
      <c r="B1399" s="6" t="s">
        <v>4551</v>
      </c>
      <c r="C1399" s="20" t="s">
        <v>3893</v>
      </c>
      <c r="D1399" s="6" t="s">
        <v>6996</v>
      </c>
      <c r="E1399" s="6"/>
      <c r="F1399" s="6" t="s">
        <v>6997</v>
      </c>
      <c r="G1399" s="6" t="s">
        <v>6998</v>
      </c>
      <c r="H1399" s="6" t="str">
        <f>CONCATENATE(F1399,"(",G1399,")")</f>
        <v>SOLON
BESS
PHOEBE(P26
P58
P41)</v>
      </c>
      <c r="I1399" s="6" t="s">
        <v>533</v>
      </c>
      <c r="J1399" s="6"/>
      <c r="K1399" s="6"/>
      <c r="L1399" s="6" t="s">
        <v>209</v>
      </c>
      <c r="M1399" s="6" t="str">
        <f>VLOOKUP(L1399, GLOSSARY!$A:$C, 2, FALSE)</f>
        <v>BREADNUT ISLAND PEN</v>
      </c>
      <c r="N1399" s="6" t="s">
        <v>68</v>
      </c>
      <c r="O1399" s="6"/>
      <c r="P1399" s="6"/>
      <c r="Q1399" s="6"/>
      <c r="R1399" s="6"/>
      <c r="S1399" s="6"/>
      <c r="T1399" s="6"/>
      <c r="U1399" s="6"/>
      <c r="V1399" s="6"/>
      <c r="W1399" s="6"/>
      <c r="X1399" s="6"/>
      <c r="Y1399" s="6"/>
      <c r="Z1399" s="6"/>
      <c r="AA1399" s="6"/>
      <c r="AB1399" s="6"/>
      <c r="AC1399" s="6"/>
      <c r="AD1399" s="6"/>
      <c r="AE1399" s="6"/>
    </row>
    <row r="1400" spans="1:31" ht="51" x14ac:dyDescent="0.2">
      <c r="A1400" s="6" t="s">
        <v>3881</v>
      </c>
      <c r="B1400" s="6" t="s">
        <v>3896</v>
      </c>
      <c r="C1400" s="20" t="s">
        <v>3897</v>
      </c>
      <c r="D1400" s="6" t="s">
        <v>3898</v>
      </c>
      <c r="E1400" s="6" t="s">
        <v>3885</v>
      </c>
      <c r="F1400" s="6" t="s">
        <v>6988</v>
      </c>
      <c r="G1400" s="6" t="s">
        <v>6989</v>
      </c>
      <c r="H1400" s="18" t="str">
        <f t="shared" ref="H1400:H1402" si="125">CONCATENATE(F1400," (",G1400,")")</f>
        <v>LINCOLN
MOLIA (P24
P1)</v>
      </c>
      <c r="I1400" s="6" t="s">
        <v>656</v>
      </c>
      <c r="J1400" s="6" t="s">
        <v>35</v>
      </c>
      <c r="K1400" s="6" t="s">
        <v>207</v>
      </c>
      <c r="L1400" s="6" t="s">
        <v>209</v>
      </c>
      <c r="M1400" s="18" t="str">
        <f>VLOOKUP(L1400, GLOSSARY!$A:$C, 2, FALSE)</f>
        <v>BREADNUT ISLAND PEN</v>
      </c>
      <c r="N1400" s="6" t="s">
        <v>68</v>
      </c>
      <c r="O1400" s="6"/>
      <c r="P1400" s="6"/>
      <c r="Q1400" s="6"/>
      <c r="R1400" s="6"/>
      <c r="S1400" s="6"/>
      <c r="T1400" s="6"/>
      <c r="U1400" s="6"/>
      <c r="V1400" s="6"/>
      <c r="W1400" s="6"/>
      <c r="X1400" s="6"/>
      <c r="Y1400" s="6"/>
      <c r="Z1400" s="6"/>
      <c r="AA1400" s="6"/>
      <c r="AB1400" s="6"/>
      <c r="AC1400" s="6"/>
      <c r="AD1400" s="6"/>
      <c r="AE1400" s="6"/>
    </row>
    <row r="1401" spans="1:31" ht="25.5" x14ac:dyDescent="0.2">
      <c r="A1401" s="6" t="s">
        <v>3899</v>
      </c>
      <c r="B1401" s="6" t="s">
        <v>3892</v>
      </c>
      <c r="C1401" s="20" t="s">
        <v>3900</v>
      </c>
      <c r="D1401" s="6" t="s">
        <v>3901</v>
      </c>
      <c r="E1401" s="6" t="s">
        <v>3875</v>
      </c>
      <c r="F1401" s="6" t="s">
        <v>119</v>
      </c>
      <c r="G1401" s="6" t="s">
        <v>118</v>
      </c>
      <c r="H1401" s="18" t="str">
        <f t="shared" si="125"/>
        <v>JOHN (P9)</v>
      </c>
      <c r="I1401" s="6" t="s">
        <v>533</v>
      </c>
      <c r="J1401" s="6" t="s">
        <v>754</v>
      </c>
      <c r="K1401" s="6" t="s">
        <v>207</v>
      </c>
      <c r="L1401" s="6" t="s">
        <v>209</v>
      </c>
      <c r="M1401" s="18" t="str">
        <f>VLOOKUP(L1401, GLOSSARY!$A:$C, 2, FALSE)</f>
        <v>BREADNUT ISLAND PEN</v>
      </c>
      <c r="N1401" s="6" t="s">
        <v>167</v>
      </c>
      <c r="O1401" s="6"/>
      <c r="P1401" s="6"/>
      <c r="Q1401" s="6"/>
      <c r="R1401" s="6"/>
      <c r="S1401" s="6"/>
      <c r="T1401" s="6"/>
      <c r="U1401" s="6"/>
      <c r="V1401" s="6"/>
      <c r="W1401" s="6"/>
      <c r="X1401" s="6"/>
      <c r="Y1401" s="6"/>
      <c r="Z1401" s="6"/>
      <c r="AA1401" s="6"/>
      <c r="AB1401" s="6"/>
      <c r="AC1401" s="6"/>
      <c r="AD1401" s="6"/>
      <c r="AE1401" s="6"/>
    </row>
    <row r="1402" spans="1:31" ht="51" x14ac:dyDescent="0.2">
      <c r="A1402" s="6" t="s">
        <v>6999</v>
      </c>
      <c r="B1402" s="6" t="s">
        <v>3892</v>
      </c>
      <c r="C1402" s="20" t="s">
        <v>3900</v>
      </c>
      <c r="D1402" s="6" t="s">
        <v>7000</v>
      </c>
      <c r="E1402" s="6" t="s">
        <v>7001</v>
      </c>
      <c r="F1402" s="6" t="s">
        <v>7002</v>
      </c>
      <c r="G1402" s="6" t="s">
        <v>7003</v>
      </c>
      <c r="H1402" s="18" t="str">
        <f t="shared" si="125"/>
        <v>NANNY
LITTLE PHIBBAH (P15
P22)</v>
      </c>
      <c r="I1402" s="6" t="s">
        <v>533</v>
      </c>
      <c r="J1402" s="6"/>
      <c r="K1402" s="6" t="s">
        <v>207</v>
      </c>
      <c r="L1402" s="6" t="s">
        <v>209</v>
      </c>
      <c r="M1402" s="18" t="str">
        <f>VLOOKUP(L1402, GLOSSARY!$A:$C, 2, FALSE)</f>
        <v>BREADNUT ISLAND PEN</v>
      </c>
      <c r="N1402" s="6" t="s">
        <v>68</v>
      </c>
      <c r="O1402" s="6"/>
      <c r="P1402" s="6"/>
      <c r="Q1402" s="6"/>
      <c r="R1402" s="6"/>
      <c r="S1402" s="6"/>
      <c r="T1402" s="6"/>
      <c r="U1402" s="6"/>
      <c r="V1402" s="6"/>
      <c r="W1402" s="6"/>
      <c r="X1402" s="6"/>
      <c r="Y1402" s="6"/>
      <c r="Z1402" s="6"/>
      <c r="AA1402" s="6"/>
      <c r="AB1402" s="6"/>
      <c r="AC1402" s="6"/>
      <c r="AD1402" s="6"/>
      <c r="AE1402" s="6"/>
    </row>
    <row r="1403" spans="1:31" ht="63.75" x14ac:dyDescent="0.2">
      <c r="A1403" s="6" t="s">
        <v>6951</v>
      </c>
      <c r="B1403" s="6" t="s">
        <v>4205</v>
      </c>
      <c r="C1403" s="20" t="s">
        <v>7004</v>
      </c>
      <c r="D1403" s="6" t="s">
        <v>7005</v>
      </c>
      <c r="E1403" s="6"/>
      <c r="F1403" s="6" t="s">
        <v>2135</v>
      </c>
      <c r="G1403" s="6" t="s">
        <v>2136</v>
      </c>
      <c r="H1403" s="6" t="str">
        <f>CONCATENATE(F1403,"(",G1403,")")</f>
        <v>PHIBBAH
THE OVERSEER(P7
P43)</v>
      </c>
      <c r="I1403" s="6" t="s">
        <v>957</v>
      </c>
      <c r="J1403" s="6"/>
      <c r="K1403" s="6"/>
      <c r="L1403" s="6" t="s">
        <v>209</v>
      </c>
      <c r="M1403" s="6" t="str">
        <f>VLOOKUP(L1403, GLOSSARY!$A:$C, 2, FALSE)</f>
        <v>BREADNUT ISLAND PEN</v>
      </c>
      <c r="N1403" s="6" t="s">
        <v>68</v>
      </c>
      <c r="O1403" s="6"/>
      <c r="P1403" s="6"/>
      <c r="Q1403" s="6"/>
      <c r="R1403" s="6"/>
      <c r="S1403" s="6"/>
      <c r="T1403" s="6"/>
      <c r="U1403" s="6"/>
      <c r="V1403" s="6"/>
      <c r="W1403" s="6"/>
      <c r="X1403" s="6"/>
      <c r="Y1403" s="6"/>
      <c r="Z1403" s="6"/>
      <c r="AA1403" s="6"/>
      <c r="AB1403" s="6"/>
      <c r="AC1403" s="6"/>
      <c r="AD1403" s="6"/>
      <c r="AE1403" s="6"/>
    </row>
    <row r="1404" spans="1:31" ht="140.25" x14ac:dyDescent="0.2">
      <c r="A1404" s="6" t="s">
        <v>7006</v>
      </c>
      <c r="B1404" s="6" t="s">
        <v>4213</v>
      </c>
      <c r="C1404" s="20" t="s">
        <v>7007</v>
      </c>
      <c r="D1404" s="6" t="s">
        <v>7008</v>
      </c>
      <c r="E1404" s="6" t="s">
        <v>6250</v>
      </c>
      <c r="F1404" s="6" t="s">
        <v>183</v>
      </c>
      <c r="G1404" s="6" t="s">
        <v>7003</v>
      </c>
      <c r="H1404" s="18" t="str">
        <f t="shared" ref="H1404:H1406" si="126">CONCATENATE(F1404," (",G1404,")")</f>
        <v>NANNY (P15
P22)</v>
      </c>
      <c r="I1404" s="6" t="s">
        <v>533</v>
      </c>
      <c r="J1404" s="6"/>
      <c r="K1404" s="6" t="s">
        <v>207</v>
      </c>
      <c r="L1404" s="6" t="s">
        <v>209</v>
      </c>
      <c r="M1404" s="18" t="str">
        <f>VLOOKUP(L1404, GLOSSARY!$A:$C, 2, FALSE)</f>
        <v>BREADNUT ISLAND PEN</v>
      </c>
      <c r="N1404" s="6" t="s">
        <v>68</v>
      </c>
      <c r="O1404" s="6"/>
      <c r="P1404" s="6"/>
      <c r="Q1404" s="6"/>
      <c r="R1404" s="6"/>
      <c r="S1404" s="6"/>
      <c r="T1404" s="6"/>
      <c r="U1404" s="6"/>
      <c r="V1404" s="6"/>
      <c r="W1404" s="6"/>
      <c r="X1404" s="6"/>
      <c r="Y1404" s="6"/>
      <c r="Z1404" s="6"/>
      <c r="AA1404" s="6"/>
      <c r="AB1404" s="6"/>
      <c r="AC1404" s="6"/>
      <c r="AD1404" s="6"/>
      <c r="AE1404" s="6"/>
    </row>
    <row r="1405" spans="1:31" ht="114.75" x14ac:dyDescent="0.2">
      <c r="A1405" s="6" t="s">
        <v>7009</v>
      </c>
      <c r="B1405" s="6" t="s">
        <v>4213</v>
      </c>
      <c r="C1405" s="20" t="s">
        <v>7007</v>
      </c>
      <c r="D1405" s="6" t="s">
        <v>7010</v>
      </c>
      <c r="E1405" s="6"/>
      <c r="F1405" s="6" t="s">
        <v>7011</v>
      </c>
      <c r="G1405" s="6" t="s">
        <v>7012</v>
      </c>
      <c r="H1405" s="6" t="str">
        <f t="shared" si="126"/>
        <v>NANNY
LITTLE PHIBBAH
THE OVERSEER (P15
P22
P43)</v>
      </c>
      <c r="I1405" s="6" t="s">
        <v>112</v>
      </c>
      <c r="J1405" s="6"/>
      <c r="K1405" s="6"/>
      <c r="L1405" s="6" t="s">
        <v>55</v>
      </c>
      <c r="M1405" s="6" t="str">
        <f>VLOOKUP(L1405, GLOSSARY!$A:$C, 2, FALSE)</f>
        <v>EGYPT ESTATE</v>
      </c>
      <c r="N1405" s="6"/>
      <c r="O1405" s="6"/>
      <c r="P1405" s="6"/>
      <c r="Q1405" s="6"/>
      <c r="R1405" s="6"/>
      <c r="S1405" s="6"/>
      <c r="T1405" s="6"/>
      <c r="U1405" s="6"/>
      <c r="V1405" s="6"/>
      <c r="W1405" s="6"/>
      <c r="X1405" s="6"/>
      <c r="Y1405" s="6"/>
      <c r="Z1405" s="6"/>
      <c r="AA1405" s="6"/>
      <c r="AB1405" s="6"/>
      <c r="AC1405" s="6"/>
      <c r="AD1405" s="6"/>
      <c r="AE1405" s="6"/>
    </row>
    <row r="1406" spans="1:31" ht="127.5" x14ac:dyDescent="0.2">
      <c r="A1406" s="6" t="s">
        <v>7013</v>
      </c>
      <c r="B1406" s="6" t="s">
        <v>4217</v>
      </c>
      <c r="C1406" s="20" t="s">
        <v>7014</v>
      </c>
      <c r="D1406" s="6" t="s">
        <v>7015</v>
      </c>
      <c r="E1406" s="6" t="s">
        <v>7016</v>
      </c>
      <c r="F1406" s="6" t="s">
        <v>7017</v>
      </c>
      <c r="G1406" s="6" t="s">
        <v>7018</v>
      </c>
      <c r="H1406" s="18" t="str">
        <f t="shared" si="126"/>
        <v>NANNY
SOLON
SAWNO/DOWOTRONNY
OWORIA
CHUB (P15
P26
P38
P40
P57)</v>
      </c>
      <c r="I1406" s="6" t="s">
        <v>533</v>
      </c>
      <c r="J1406" s="6" t="s">
        <v>7019</v>
      </c>
      <c r="K1406" s="6" t="s">
        <v>7020</v>
      </c>
      <c r="L1406" s="6" t="s">
        <v>7021</v>
      </c>
      <c r="M1406" s="18" t="e">
        <f>VLOOKUP(L1406, GLOSSARY!$A:$C, 2, FALSE)</f>
        <v>#N/A</v>
      </c>
      <c r="N1406" s="6" t="s">
        <v>68</v>
      </c>
      <c r="O1406" s="6"/>
      <c r="P1406" s="6"/>
      <c r="Q1406" s="6"/>
      <c r="R1406" s="6"/>
      <c r="S1406" s="6"/>
      <c r="T1406" s="6"/>
      <c r="U1406" s="6"/>
      <c r="V1406" s="6"/>
      <c r="W1406" s="6"/>
      <c r="X1406" s="6"/>
      <c r="Y1406" s="6"/>
      <c r="Z1406" s="6"/>
      <c r="AA1406" s="6"/>
      <c r="AB1406" s="6"/>
      <c r="AC1406" s="6"/>
      <c r="AD1406" s="6"/>
      <c r="AE1406" s="6"/>
    </row>
    <row r="1407" spans="1:31" ht="102" x14ac:dyDescent="0.2">
      <c r="A1407" s="6" t="s">
        <v>3881</v>
      </c>
      <c r="B1407" s="6" t="s">
        <v>5025</v>
      </c>
      <c r="C1407" s="20" t="s">
        <v>7022</v>
      </c>
      <c r="D1407" s="6" t="s">
        <v>7023</v>
      </c>
      <c r="E1407" s="6"/>
      <c r="F1407" s="6" t="s">
        <v>7024</v>
      </c>
      <c r="G1407" s="6" t="s">
        <v>7025</v>
      </c>
      <c r="H1407" s="6" t="str">
        <f>CONCATENATE(F1407,"(",G1407,")")</f>
        <v>THE OVERSEER
LINCOLN(P43
P24)</v>
      </c>
      <c r="I1407" s="6" t="s">
        <v>112</v>
      </c>
      <c r="J1407" s="6"/>
      <c r="K1407" s="6"/>
      <c r="L1407" s="6" t="s">
        <v>209</v>
      </c>
      <c r="M1407" s="6" t="str">
        <f>VLOOKUP(L1407, GLOSSARY!$A:$C, 2, FALSE)</f>
        <v>BREADNUT ISLAND PEN</v>
      </c>
      <c r="N1407" s="6" t="s">
        <v>68</v>
      </c>
      <c r="O1407" s="6"/>
      <c r="P1407" s="6"/>
      <c r="Q1407" s="6"/>
      <c r="R1407" s="6"/>
      <c r="S1407" s="6"/>
      <c r="T1407" s="6"/>
      <c r="U1407" s="6"/>
      <c r="V1407" s="6"/>
      <c r="W1407" s="6"/>
      <c r="X1407" s="6"/>
      <c r="Y1407" s="6"/>
      <c r="Z1407" s="6"/>
      <c r="AA1407" s="6"/>
      <c r="AB1407" s="6"/>
      <c r="AC1407" s="6"/>
      <c r="AD1407" s="6"/>
      <c r="AE1407" s="6"/>
    </row>
    <row r="1408" spans="1:31" ht="63.75" x14ac:dyDescent="0.2">
      <c r="A1408" s="6" t="s">
        <v>7026</v>
      </c>
      <c r="B1408" s="6" t="s">
        <v>5025</v>
      </c>
      <c r="C1408" s="20" t="s">
        <v>7027</v>
      </c>
      <c r="D1408" s="6" t="s">
        <v>7028</v>
      </c>
      <c r="E1408" s="6" t="s">
        <v>7029</v>
      </c>
      <c r="F1408" s="6" t="s">
        <v>7030</v>
      </c>
      <c r="G1408" s="6" t="s">
        <v>7031</v>
      </c>
      <c r="H1408" s="18" t="str">
        <f t="shared" ref="H1408:H1410" si="127">CONCATENATE(F1408," (",G1408,")")</f>
        <v>NANNY
SOLON
PHOEBE (P15
P26
P58)</v>
      </c>
      <c r="I1408" s="6" t="s">
        <v>533</v>
      </c>
      <c r="J1408" s="6"/>
      <c r="K1408" s="6" t="s">
        <v>207</v>
      </c>
      <c r="L1408" s="6" t="s">
        <v>209</v>
      </c>
      <c r="M1408" s="18" t="str">
        <f>VLOOKUP(L1408, GLOSSARY!$A:$C, 2, FALSE)</f>
        <v>BREADNUT ISLAND PEN</v>
      </c>
      <c r="N1408" s="6" t="s">
        <v>68</v>
      </c>
      <c r="O1408" s="6"/>
      <c r="P1408" s="6"/>
      <c r="Q1408" s="6"/>
      <c r="R1408" s="6"/>
      <c r="S1408" s="6"/>
      <c r="T1408" s="6"/>
      <c r="U1408" s="6"/>
      <c r="V1408" s="6"/>
      <c r="W1408" s="6"/>
      <c r="X1408" s="6"/>
      <c r="Y1408" s="6"/>
      <c r="Z1408" s="6"/>
      <c r="AA1408" s="6"/>
      <c r="AB1408" s="6"/>
      <c r="AC1408" s="6"/>
      <c r="AD1408" s="6"/>
      <c r="AE1408" s="6"/>
    </row>
    <row r="1409" spans="1:31" ht="102" x14ac:dyDescent="0.2">
      <c r="A1409" s="6" t="s">
        <v>7032</v>
      </c>
      <c r="B1409" s="6" t="s">
        <v>4247</v>
      </c>
      <c r="C1409" s="20" t="s">
        <v>7033</v>
      </c>
      <c r="D1409" s="6" t="s">
        <v>7034</v>
      </c>
      <c r="E1409" s="6" t="s">
        <v>7035</v>
      </c>
      <c r="F1409" s="6" t="s">
        <v>7036</v>
      </c>
      <c r="G1409" s="6" t="s">
        <v>7037</v>
      </c>
      <c r="H1409" s="18" t="str">
        <f t="shared" si="127"/>
        <v>SALLY
JAMES WEDDERBURN
THE OVERSEER (P17
P95
P43)</v>
      </c>
      <c r="I1409" s="6" t="s">
        <v>656</v>
      </c>
      <c r="J1409" s="6"/>
      <c r="K1409" s="6" t="s">
        <v>3038</v>
      </c>
      <c r="L1409" s="6" t="s">
        <v>3037</v>
      </c>
      <c r="M1409" s="18" t="str">
        <f>VLOOKUP(L1409, GLOSSARY!$A:$C, 2, FALSE)</f>
        <v>BLUECASTLE ESTATE</v>
      </c>
      <c r="N1409" s="6" t="s">
        <v>68</v>
      </c>
      <c r="O1409" s="6"/>
      <c r="P1409" s="6"/>
      <c r="Q1409" s="6"/>
      <c r="R1409" s="6"/>
      <c r="S1409" s="6"/>
      <c r="T1409" s="6"/>
      <c r="U1409" s="6"/>
      <c r="V1409" s="6"/>
      <c r="W1409" s="6"/>
      <c r="X1409" s="6"/>
      <c r="Y1409" s="6"/>
      <c r="Z1409" s="6"/>
      <c r="AA1409" s="6"/>
      <c r="AB1409" s="6"/>
      <c r="AC1409" s="6"/>
      <c r="AD1409" s="6"/>
      <c r="AE1409" s="6"/>
    </row>
    <row r="1410" spans="1:31" ht="114.75" x14ac:dyDescent="0.2">
      <c r="A1410" s="6" t="s">
        <v>6754</v>
      </c>
      <c r="B1410" s="6" t="s">
        <v>4256</v>
      </c>
      <c r="C1410" s="20" t="s">
        <v>7038</v>
      </c>
      <c r="D1410" s="6" t="s">
        <v>7039</v>
      </c>
      <c r="E1410" s="6"/>
      <c r="F1410" s="6" t="s">
        <v>7040</v>
      </c>
      <c r="G1410" s="6" t="s">
        <v>7041</v>
      </c>
      <c r="H1410" s="6" t="str">
        <f t="shared" si="127"/>
        <v>HOUSE FRANKE
COOBAH
THE OVERSEER
 (P10
P16
P43)</v>
      </c>
      <c r="I1410" s="6" t="s">
        <v>3801</v>
      </c>
      <c r="J1410" s="6" t="s">
        <v>6926</v>
      </c>
      <c r="K1410" s="6"/>
      <c r="L1410" s="6" t="s">
        <v>209</v>
      </c>
      <c r="M1410" s="6" t="str">
        <f>VLOOKUP(L1410, GLOSSARY!$A:$C, 2, FALSE)</f>
        <v>BREADNUT ISLAND PEN</v>
      </c>
      <c r="N1410" s="6" t="s">
        <v>68</v>
      </c>
      <c r="O1410" s="6"/>
      <c r="P1410" s="6"/>
      <c r="Q1410" s="6"/>
      <c r="R1410" s="6"/>
      <c r="S1410" s="6"/>
      <c r="T1410" s="6"/>
      <c r="U1410" s="6"/>
      <c r="V1410" s="6"/>
      <c r="W1410" s="6"/>
      <c r="X1410" s="6"/>
      <c r="Y1410" s="6"/>
      <c r="Z1410" s="6"/>
      <c r="AA1410" s="6"/>
      <c r="AB1410" s="6"/>
      <c r="AC1410" s="6"/>
      <c r="AD1410" s="6"/>
      <c r="AE1410" s="6"/>
    </row>
    <row r="1411" spans="1:31" ht="191.25" x14ac:dyDescent="0.2">
      <c r="A1411" s="6" t="s">
        <v>3881</v>
      </c>
      <c r="B1411" s="6" t="s">
        <v>4618</v>
      </c>
      <c r="C1411" s="20" t="s">
        <v>7042</v>
      </c>
      <c r="D1411" s="6" t="s">
        <v>7043</v>
      </c>
      <c r="E1411" s="6"/>
      <c r="F1411" s="6" t="s">
        <v>7044</v>
      </c>
      <c r="G1411" s="6" t="s">
        <v>7045</v>
      </c>
      <c r="H1411" s="6" t="str">
        <f t="shared" ref="H1411:H1428" si="128">CONCATENATE(F1411,"(",G1411,")")</f>
        <v>THE OVERSEER
SOLON
OWORIA
NANNY(P43
P26
P40
P15
)</v>
      </c>
      <c r="I1411" s="6" t="s">
        <v>533</v>
      </c>
      <c r="J1411" s="6"/>
      <c r="K1411" s="6"/>
      <c r="L1411" s="6" t="s">
        <v>209</v>
      </c>
      <c r="M1411" s="6" t="str">
        <f>VLOOKUP(L1411, GLOSSARY!$A:$C, 2, FALSE)</f>
        <v>BREADNUT ISLAND PEN</v>
      </c>
      <c r="N1411" s="6" t="s">
        <v>68</v>
      </c>
      <c r="O1411" s="6"/>
      <c r="P1411" s="6"/>
      <c r="Q1411" s="6"/>
      <c r="R1411" s="6"/>
      <c r="S1411" s="6"/>
      <c r="T1411" s="6"/>
      <c r="U1411" s="6"/>
      <c r="V1411" s="6"/>
      <c r="W1411" s="6"/>
      <c r="X1411" s="6"/>
      <c r="Y1411" s="6"/>
      <c r="Z1411" s="6"/>
      <c r="AA1411" s="6"/>
      <c r="AB1411" s="6"/>
      <c r="AC1411" s="6"/>
      <c r="AD1411" s="6"/>
      <c r="AE1411" s="6"/>
    </row>
    <row r="1412" spans="1:31" ht="153" x14ac:dyDescent="0.2">
      <c r="A1412" s="6" t="s">
        <v>7046</v>
      </c>
      <c r="B1412" s="6" t="s">
        <v>4294</v>
      </c>
      <c r="C1412" s="20" t="s">
        <v>7047</v>
      </c>
      <c r="D1412" s="6" t="s">
        <v>7048</v>
      </c>
      <c r="E1412" s="6"/>
      <c r="F1412" s="6" t="s">
        <v>7049</v>
      </c>
      <c r="G1412" s="6" t="s">
        <v>7050</v>
      </c>
      <c r="H1412" s="6" t="str">
        <f t="shared" si="128"/>
        <v>MRS. MARIN
MR. MARIN
ENSLAVED WOMAN [MARIN'S]
(P397
P398
P399)</v>
      </c>
      <c r="I1412" s="6" t="s">
        <v>112</v>
      </c>
      <c r="J1412" s="6"/>
      <c r="K1412" s="6"/>
      <c r="L1412" s="6" t="s">
        <v>657</v>
      </c>
      <c r="M1412" s="6" t="str">
        <f>VLOOKUP(L1412, GLOSSARY!$A:$C, 2, FALSE)</f>
        <v>UNKNOWN</v>
      </c>
      <c r="N1412" s="6" t="s">
        <v>68</v>
      </c>
      <c r="O1412" s="6"/>
      <c r="P1412" s="6"/>
      <c r="Q1412" s="6"/>
      <c r="R1412" s="6"/>
      <c r="S1412" s="6"/>
      <c r="T1412" s="6"/>
      <c r="U1412" s="6"/>
      <c r="V1412" s="6"/>
      <c r="W1412" s="6"/>
      <c r="X1412" s="6"/>
      <c r="Y1412" s="6"/>
      <c r="Z1412" s="6"/>
      <c r="AA1412" s="6"/>
      <c r="AB1412" s="6"/>
      <c r="AC1412" s="6"/>
      <c r="AD1412" s="6"/>
      <c r="AE1412" s="6"/>
    </row>
    <row r="1413" spans="1:31" ht="306" x14ac:dyDescent="0.2">
      <c r="A1413" s="6" t="s">
        <v>3881</v>
      </c>
      <c r="B1413" s="6" t="s">
        <v>7051</v>
      </c>
      <c r="C1413" s="20" t="s">
        <v>7052</v>
      </c>
      <c r="D1413" s="6" t="s">
        <v>7053</v>
      </c>
      <c r="E1413" s="6"/>
      <c r="F1413" s="6" t="s">
        <v>7054</v>
      </c>
      <c r="G1413" s="6" t="s">
        <v>7055</v>
      </c>
      <c r="H1413" s="6" t="str">
        <f t="shared" si="128"/>
        <v>PHOEBE
SOLON
NANNY
DAMSEL
OWORIA
THE OVERSEER(
P58
P34
P40
P15
P26
P43
)</v>
      </c>
      <c r="I1413" s="6" t="s">
        <v>533</v>
      </c>
      <c r="J1413" s="6"/>
      <c r="K1413" s="6"/>
      <c r="L1413" s="6" t="s">
        <v>209</v>
      </c>
      <c r="M1413" s="6" t="str">
        <f>VLOOKUP(L1413, GLOSSARY!$A:$C, 2, FALSE)</f>
        <v>BREADNUT ISLAND PEN</v>
      </c>
      <c r="N1413" s="6" t="s">
        <v>68</v>
      </c>
      <c r="O1413" s="6"/>
      <c r="P1413" s="6"/>
      <c r="Q1413" s="6"/>
      <c r="R1413" s="6"/>
      <c r="S1413" s="6"/>
      <c r="T1413" s="6"/>
      <c r="U1413" s="6"/>
      <c r="V1413" s="6"/>
      <c r="W1413" s="6"/>
      <c r="X1413" s="6"/>
      <c r="Y1413" s="6"/>
      <c r="Z1413" s="6"/>
      <c r="AA1413" s="6"/>
      <c r="AB1413" s="6"/>
      <c r="AC1413" s="6"/>
      <c r="AD1413" s="6"/>
      <c r="AE1413" s="6"/>
    </row>
    <row r="1414" spans="1:31" ht="38.25" x14ac:dyDescent="0.2">
      <c r="A1414" s="6" t="s">
        <v>3881</v>
      </c>
      <c r="B1414" s="6" t="s">
        <v>4308</v>
      </c>
      <c r="C1414" s="20" t="s">
        <v>7056</v>
      </c>
      <c r="D1414" s="6" t="s">
        <v>7057</v>
      </c>
      <c r="E1414" s="6"/>
      <c r="F1414" s="6" t="s">
        <v>202</v>
      </c>
      <c r="G1414" s="6" t="s">
        <v>201</v>
      </c>
      <c r="H1414" s="6" t="str">
        <f t="shared" si="128"/>
        <v>SALLY(P17)</v>
      </c>
      <c r="I1414" s="6" t="s">
        <v>533</v>
      </c>
      <c r="J1414" s="6"/>
      <c r="K1414" s="6"/>
      <c r="L1414" s="6" t="s">
        <v>209</v>
      </c>
      <c r="M1414" s="6" t="str">
        <f>VLOOKUP(L1414, GLOSSARY!$A:$C, 2, FALSE)</f>
        <v>BREADNUT ISLAND PEN</v>
      </c>
      <c r="N1414" s="6" t="s">
        <v>167</v>
      </c>
      <c r="O1414" s="6"/>
      <c r="P1414" s="6"/>
      <c r="Q1414" s="6"/>
      <c r="R1414" s="6"/>
      <c r="S1414" s="6"/>
      <c r="T1414" s="6"/>
      <c r="U1414" s="6"/>
      <c r="V1414" s="6"/>
      <c r="W1414" s="6"/>
      <c r="X1414" s="6"/>
      <c r="Y1414" s="6"/>
      <c r="Z1414" s="6"/>
      <c r="AA1414" s="6"/>
      <c r="AB1414" s="6"/>
      <c r="AC1414" s="6"/>
      <c r="AD1414" s="6"/>
      <c r="AE1414" s="6"/>
    </row>
    <row r="1415" spans="1:31" ht="165.75" x14ac:dyDescent="0.2">
      <c r="A1415" s="6" t="s">
        <v>3881</v>
      </c>
      <c r="B1415" s="6" t="s">
        <v>7058</v>
      </c>
      <c r="C1415" s="20" t="s">
        <v>7059</v>
      </c>
      <c r="D1415" s="6" t="s">
        <v>7060</v>
      </c>
      <c r="E1415" s="6"/>
      <c r="F1415" s="6" t="s">
        <v>7061</v>
      </c>
      <c r="G1415" s="6" t="s">
        <v>7062</v>
      </c>
      <c r="H1415" s="6" t="str">
        <f t="shared" si="128"/>
        <v>SALLY
SOLON
OWORIA
DAMSEL(P17
P26
P40
P34)</v>
      </c>
      <c r="I1415" s="6" t="s">
        <v>533</v>
      </c>
      <c r="J1415" s="6"/>
      <c r="K1415" s="6"/>
      <c r="L1415" s="6" t="s">
        <v>209</v>
      </c>
      <c r="M1415" s="6" t="str">
        <f>VLOOKUP(L1415, GLOSSARY!$A:$C, 2, FALSE)</f>
        <v>BREADNUT ISLAND PEN</v>
      </c>
      <c r="N1415" s="6" t="s">
        <v>68</v>
      </c>
      <c r="O1415" s="6"/>
      <c r="P1415" s="6"/>
      <c r="Q1415" s="6"/>
      <c r="R1415" s="6"/>
      <c r="S1415" s="6"/>
      <c r="T1415" s="6"/>
      <c r="U1415" s="6"/>
      <c r="V1415" s="6"/>
      <c r="W1415" s="6"/>
      <c r="X1415" s="6"/>
      <c r="Y1415" s="6"/>
      <c r="Z1415" s="6"/>
      <c r="AA1415" s="6"/>
      <c r="AB1415" s="6"/>
      <c r="AC1415" s="6"/>
      <c r="AD1415" s="6"/>
      <c r="AE1415" s="6"/>
    </row>
    <row r="1416" spans="1:31" ht="12.75" x14ac:dyDescent="0.2">
      <c r="A1416" s="6" t="s">
        <v>3881</v>
      </c>
      <c r="B1416" s="6" t="s">
        <v>4354</v>
      </c>
      <c r="C1416" s="20" t="s">
        <v>7063</v>
      </c>
      <c r="D1416" s="6" t="s">
        <v>7064</v>
      </c>
      <c r="E1416" s="6"/>
      <c r="F1416" s="6"/>
      <c r="G1416" s="6"/>
      <c r="H1416" s="6" t="str">
        <f t="shared" si="128"/>
        <v>()</v>
      </c>
      <c r="I1416" s="6" t="s">
        <v>784</v>
      </c>
      <c r="J1416" s="6"/>
      <c r="K1416" s="6"/>
      <c r="L1416" s="6" t="s">
        <v>3037</v>
      </c>
      <c r="M1416" s="6" t="str">
        <f>VLOOKUP(L1416, GLOSSARY!$A:$C, 2, FALSE)</f>
        <v>BLUECASTLE ESTATE</v>
      </c>
      <c r="N1416" s="6" t="s">
        <v>68</v>
      </c>
      <c r="O1416" s="6"/>
      <c r="P1416" s="6"/>
      <c r="Q1416" s="6"/>
      <c r="R1416" s="6"/>
      <c r="S1416" s="6"/>
      <c r="T1416" s="6"/>
      <c r="U1416" s="6"/>
      <c r="V1416" s="6"/>
      <c r="W1416" s="6"/>
      <c r="X1416" s="6"/>
      <c r="Y1416" s="6"/>
      <c r="Z1416" s="6"/>
      <c r="AA1416" s="6"/>
      <c r="AB1416" s="6"/>
      <c r="AC1416" s="6"/>
      <c r="AD1416" s="6"/>
      <c r="AE1416" s="6"/>
    </row>
    <row r="1417" spans="1:31" ht="409.5" x14ac:dyDescent="0.2">
      <c r="A1417" s="6" t="s">
        <v>3881</v>
      </c>
      <c r="B1417" s="6" t="s">
        <v>7065</v>
      </c>
      <c r="C1417" s="20" t="s">
        <v>7066</v>
      </c>
      <c r="D1417" s="6" t="s">
        <v>7067</v>
      </c>
      <c r="E1417" s="6"/>
      <c r="F1417" s="6" t="s">
        <v>7068</v>
      </c>
      <c r="G1417" s="6" t="s">
        <v>7069</v>
      </c>
      <c r="H1417" s="6" t="str">
        <f t="shared" si="128"/>
        <v>PHOEBE
THE OVERSEER
SALLY
SOLON
OWORIA
CHUB
DR. JAMES WEDDERBURN
JIMMY 
DAMSEL(P58
P26
P40
P17
P34
P43
P57
P95
P54)</v>
      </c>
      <c r="I1417" s="6" t="s">
        <v>533</v>
      </c>
      <c r="J1417" s="6"/>
      <c r="K1417" s="6"/>
      <c r="L1417" s="6" t="s">
        <v>209</v>
      </c>
      <c r="M1417" s="6" t="str">
        <f>VLOOKUP(L1417, GLOSSARY!$A:$C, 2, FALSE)</f>
        <v>BREADNUT ISLAND PEN</v>
      </c>
      <c r="N1417" s="6" t="s">
        <v>68</v>
      </c>
      <c r="O1417" s="6"/>
      <c r="P1417" s="6"/>
      <c r="Q1417" s="6"/>
      <c r="R1417" s="6"/>
      <c r="S1417" s="6"/>
      <c r="T1417" s="6"/>
      <c r="U1417" s="6"/>
      <c r="V1417" s="6"/>
      <c r="W1417" s="6"/>
      <c r="X1417" s="6"/>
      <c r="Y1417" s="6"/>
      <c r="Z1417" s="6"/>
      <c r="AA1417" s="6"/>
      <c r="AB1417" s="6"/>
      <c r="AC1417" s="6"/>
      <c r="AD1417" s="6"/>
      <c r="AE1417" s="6"/>
    </row>
    <row r="1418" spans="1:31" ht="216.75" x14ac:dyDescent="0.2">
      <c r="A1418" s="6" t="s">
        <v>7070</v>
      </c>
      <c r="B1418" s="6" t="s">
        <v>4665</v>
      </c>
      <c r="C1418" s="20" t="s">
        <v>7066</v>
      </c>
      <c r="D1418" s="6" t="s">
        <v>7071</v>
      </c>
      <c r="E1418" s="6"/>
      <c r="F1418" s="6" t="s">
        <v>7072</v>
      </c>
      <c r="G1418" s="6" t="s">
        <v>7073</v>
      </c>
      <c r="H1418" s="6" t="str">
        <f t="shared" si="128"/>
        <v>HOUSE FRANKE
PARADISE JACK
CHARLES COOK
EGYPT QUASHE
MULATTO DAVIE(P10
P35
P284
P119
P396)</v>
      </c>
      <c r="I1418" s="6" t="s">
        <v>1678</v>
      </c>
      <c r="J1418" s="6"/>
      <c r="K1418" s="6"/>
      <c r="L1418" s="6" t="s">
        <v>99</v>
      </c>
      <c r="M1418" s="6" t="str">
        <f>VLOOKUP(L1418, GLOSSARY!$A:$C, 2, FALSE)</f>
        <v>PARADISE ESTATE</v>
      </c>
      <c r="N1418" s="6" t="s">
        <v>68</v>
      </c>
      <c r="O1418" s="6"/>
      <c r="P1418" s="6"/>
      <c r="Q1418" s="6"/>
      <c r="R1418" s="6"/>
      <c r="S1418" s="6"/>
      <c r="T1418" s="6"/>
      <c r="U1418" s="6"/>
      <c r="V1418" s="6"/>
      <c r="W1418" s="6"/>
      <c r="X1418" s="6"/>
      <c r="Y1418" s="6"/>
      <c r="Z1418" s="6"/>
      <c r="AA1418" s="6"/>
      <c r="AB1418" s="6"/>
      <c r="AC1418" s="6"/>
      <c r="AD1418" s="6"/>
      <c r="AE1418" s="6"/>
    </row>
    <row r="1419" spans="1:31" ht="89.25" x14ac:dyDescent="0.2">
      <c r="A1419" s="6" t="s">
        <v>3881</v>
      </c>
      <c r="B1419" s="6" t="s">
        <v>4357</v>
      </c>
      <c r="C1419" s="20" t="s">
        <v>7074</v>
      </c>
      <c r="D1419" s="6" t="s">
        <v>7075</v>
      </c>
      <c r="E1419" s="6"/>
      <c r="F1419" s="6" t="s">
        <v>7076</v>
      </c>
      <c r="G1419" s="6" t="s">
        <v>7077</v>
      </c>
      <c r="H1419" s="6" t="str">
        <f t="shared" si="128"/>
        <v>PHOEBE
THE OVERSEER
(P58
P43)</v>
      </c>
      <c r="I1419" s="6" t="s">
        <v>533</v>
      </c>
      <c r="J1419" s="6"/>
      <c r="K1419" s="6"/>
      <c r="L1419" s="6" t="s">
        <v>209</v>
      </c>
      <c r="M1419" s="6" t="str">
        <f>VLOOKUP(L1419, GLOSSARY!$A:$C, 2, FALSE)</f>
        <v>BREADNUT ISLAND PEN</v>
      </c>
      <c r="N1419" s="6" t="s">
        <v>68</v>
      </c>
      <c r="O1419" s="6"/>
      <c r="P1419" s="6"/>
      <c r="Q1419" s="6"/>
      <c r="R1419" s="6"/>
      <c r="S1419" s="6"/>
      <c r="T1419" s="6"/>
      <c r="U1419" s="6"/>
      <c r="V1419" s="6"/>
      <c r="W1419" s="6"/>
      <c r="X1419" s="6"/>
      <c r="Y1419" s="6"/>
      <c r="Z1419" s="6"/>
      <c r="AA1419" s="6"/>
      <c r="AB1419" s="6"/>
      <c r="AC1419" s="6"/>
      <c r="AD1419" s="6"/>
      <c r="AE1419" s="6"/>
    </row>
    <row r="1420" spans="1:31" ht="242.25" x14ac:dyDescent="0.2">
      <c r="A1420" s="6" t="s">
        <v>3881</v>
      </c>
      <c r="B1420" s="6" t="s">
        <v>4364</v>
      </c>
      <c r="C1420" s="20" t="s">
        <v>7078</v>
      </c>
      <c r="D1420" s="6" t="s">
        <v>7079</v>
      </c>
      <c r="E1420" s="6"/>
      <c r="F1420" s="6" t="s">
        <v>7080</v>
      </c>
      <c r="G1420" s="6" t="s">
        <v>7081</v>
      </c>
      <c r="H1420" s="6" t="str">
        <f t="shared" si="128"/>
        <v>CUDJOE
SOLON
PHOEBE
SALLY
THE OVERSEER(
P52
P26
P58
P17
P43)</v>
      </c>
      <c r="I1420" s="6" t="s">
        <v>533</v>
      </c>
      <c r="J1420" s="6"/>
      <c r="K1420" s="6"/>
      <c r="L1420" s="6" t="s">
        <v>209</v>
      </c>
      <c r="M1420" s="6" t="str">
        <f>VLOOKUP(L1420, GLOSSARY!$A:$C, 2, FALSE)</f>
        <v>BREADNUT ISLAND PEN</v>
      </c>
      <c r="N1420" s="6" t="s">
        <v>68</v>
      </c>
      <c r="O1420" s="6"/>
      <c r="P1420" s="6"/>
      <c r="Q1420" s="6"/>
      <c r="R1420" s="6"/>
      <c r="S1420" s="6"/>
      <c r="T1420" s="6"/>
      <c r="U1420" s="6"/>
      <c r="V1420" s="6"/>
      <c r="W1420" s="6"/>
      <c r="X1420" s="6"/>
      <c r="Y1420" s="6"/>
      <c r="Z1420" s="6"/>
      <c r="AA1420" s="6"/>
      <c r="AB1420" s="6"/>
      <c r="AC1420" s="6"/>
      <c r="AD1420" s="6"/>
      <c r="AE1420" s="6"/>
    </row>
    <row r="1421" spans="1:31" ht="216.75" x14ac:dyDescent="0.2">
      <c r="A1421" s="6" t="s">
        <v>3881</v>
      </c>
      <c r="B1421" s="6" t="s">
        <v>5113</v>
      </c>
      <c r="C1421" s="20" t="s">
        <v>7082</v>
      </c>
      <c r="D1421" s="6" t="s">
        <v>7083</v>
      </c>
      <c r="E1421" s="6"/>
      <c r="F1421" s="6" t="s">
        <v>7084</v>
      </c>
      <c r="G1421" s="6" t="s">
        <v>7085</v>
      </c>
      <c r="H1421" s="6" t="str">
        <f t="shared" si="128"/>
        <v>CUDJOE
SOLON
PHOEBE
SALLY(P52
P26
P58
P17
P34
P43)</v>
      </c>
      <c r="I1421" s="6" t="s">
        <v>533</v>
      </c>
      <c r="J1421" s="6"/>
      <c r="K1421" s="6"/>
      <c r="L1421" s="6" t="s">
        <v>7086</v>
      </c>
      <c r="M1421" s="6" t="s">
        <v>7087</v>
      </c>
      <c r="N1421" s="6" t="s">
        <v>68</v>
      </c>
      <c r="O1421" s="6"/>
      <c r="P1421" s="6"/>
      <c r="Q1421" s="6"/>
      <c r="R1421" s="6"/>
      <c r="S1421" s="6"/>
      <c r="T1421" s="6"/>
      <c r="U1421" s="6"/>
      <c r="V1421" s="6"/>
      <c r="W1421" s="6"/>
      <c r="X1421" s="6"/>
      <c r="Y1421" s="6"/>
      <c r="Z1421" s="6"/>
      <c r="AA1421" s="6"/>
      <c r="AB1421" s="6"/>
      <c r="AC1421" s="6"/>
      <c r="AD1421" s="6"/>
      <c r="AE1421" s="6"/>
    </row>
    <row r="1422" spans="1:31" ht="127.5" x14ac:dyDescent="0.2">
      <c r="A1422" s="6" t="s">
        <v>7088</v>
      </c>
      <c r="B1422" s="6" t="s">
        <v>5113</v>
      </c>
      <c r="C1422" s="20" t="s">
        <v>7089</v>
      </c>
      <c r="D1422" s="6" t="s">
        <v>7090</v>
      </c>
      <c r="E1422" s="6"/>
      <c r="F1422" s="6" t="s">
        <v>7091</v>
      </c>
      <c r="G1422" s="6" t="s">
        <v>7092</v>
      </c>
      <c r="H1422" s="6" t="str">
        <f t="shared" si="128"/>
        <v>EGYPT LUCY
MR. HARTNOLE
LITTLE QUASHE [EGYPT DRIVER](P3
P359
P381)</v>
      </c>
      <c r="I1422" s="6" t="s">
        <v>112</v>
      </c>
      <c r="J1422" s="6"/>
      <c r="K1422" s="6"/>
      <c r="L1422" s="6" t="s">
        <v>209</v>
      </c>
      <c r="M1422" s="6" t="str">
        <f>VLOOKUP(L1422, GLOSSARY!$A:$C, 2, FALSE)</f>
        <v>BREADNUT ISLAND PEN</v>
      </c>
      <c r="N1422" s="6" t="s">
        <v>167</v>
      </c>
      <c r="O1422" s="6"/>
      <c r="P1422" s="6"/>
      <c r="Q1422" s="6"/>
      <c r="R1422" s="6"/>
      <c r="S1422" s="6"/>
      <c r="T1422" s="6"/>
      <c r="U1422" s="6"/>
      <c r="V1422" s="6"/>
      <c r="W1422" s="6"/>
      <c r="X1422" s="6"/>
      <c r="Y1422" s="6"/>
      <c r="Z1422" s="6"/>
      <c r="AA1422" s="6"/>
      <c r="AB1422" s="6"/>
      <c r="AC1422" s="6"/>
      <c r="AD1422" s="6"/>
      <c r="AE1422" s="6"/>
    </row>
    <row r="1423" spans="1:31" ht="76.5" x14ac:dyDescent="0.2">
      <c r="A1423" s="6" t="s">
        <v>3881</v>
      </c>
      <c r="B1423" s="6" t="s">
        <v>4384</v>
      </c>
      <c r="C1423" s="20" t="s">
        <v>7093</v>
      </c>
      <c r="D1423" s="6" t="s">
        <v>7094</v>
      </c>
      <c r="E1423" s="6"/>
      <c r="F1423" s="6" t="s">
        <v>7095</v>
      </c>
      <c r="G1423" s="6" t="s">
        <v>7096</v>
      </c>
      <c r="H1423" s="6" t="str">
        <f t="shared" si="128"/>
        <v>THE OVERSEER
BREADNUT ISLAND PEN FIELDHANDS(P43
P393)</v>
      </c>
      <c r="I1423" s="6" t="s">
        <v>112</v>
      </c>
      <c r="J1423" s="6"/>
      <c r="K1423" s="6"/>
      <c r="L1423" s="6" t="s">
        <v>209</v>
      </c>
      <c r="M1423" s="6" t="s">
        <v>207</v>
      </c>
      <c r="N1423" s="6" t="s">
        <v>68</v>
      </c>
      <c r="O1423" s="6"/>
      <c r="P1423" s="6"/>
      <c r="Q1423" s="6"/>
      <c r="R1423" s="6"/>
      <c r="S1423" s="6"/>
      <c r="T1423" s="6"/>
      <c r="U1423" s="6"/>
      <c r="V1423" s="6"/>
      <c r="W1423" s="6"/>
      <c r="X1423" s="6"/>
      <c r="Y1423" s="6"/>
      <c r="Z1423" s="6"/>
      <c r="AA1423" s="6"/>
      <c r="AB1423" s="6"/>
      <c r="AC1423" s="6"/>
      <c r="AD1423" s="6"/>
      <c r="AE1423" s="6"/>
    </row>
    <row r="1424" spans="1:31" ht="369.75" x14ac:dyDescent="0.2">
      <c r="A1424" s="6" t="s">
        <v>3881</v>
      </c>
      <c r="B1424" s="6" t="s">
        <v>4384</v>
      </c>
      <c r="C1424" s="20" t="s">
        <v>7097</v>
      </c>
      <c r="D1424" s="6" t="s">
        <v>7098</v>
      </c>
      <c r="E1424" s="6"/>
      <c r="F1424" s="6" t="s">
        <v>7099</v>
      </c>
      <c r="G1424" s="6" t="s">
        <v>7100</v>
      </c>
      <c r="H1424" s="6" t="str">
        <f t="shared" si="128"/>
        <v>SALLY
SOLON
SAWNO
CUDJOE
OWORIA
CHUB
DAMSEL
PHOEBE(P17
P26
P38
P40
P57
P60
P34
P52)</v>
      </c>
      <c r="I1424" s="6" t="s">
        <v>533</v>
      </c>
      <c r="J1424" s="6"/>
      <c r="K1424" s="6"/>
      <c r="L1424" s="6" t="s">
        <v>209</v>
      </c>
      <c r="M1424" s="6" t="str">
        <f>VLOOKUP(L1424, GLOSSARY!$A:$C, 2, FALSE)</f>
        <v>BREADNUT ISLAND PEN</v>
      </c>
      <c r="N1424" s="6" t="s">
        <v>68</v>
      </c>
      <c r="O1424" s="6"/>
      <c r="P1424" s="6"/>
      <c r="Q1424" s="6"/>
      <c r="R1424" s="6"/>
      <c r="S1424" s="6"/>
      <c r="T1424" s="6"/>
      <c r="U1424" s="6"/>
      <c r="V1424" s="6"/>
      <c r="W1424" s="6"/>
      <c r="X1424" s="6"/>
      <c r="Y1424" s="6"/>
      <c r="Z1424" s="6"/>
      <c r="AA1424" s="6"/>
      <c r="AB1424" s="6"/>
      <c r="AC1424" s="6"/>
      <c r="AD1424" s="6"/>
      <c r="AE1424" s="6"/>
    </row>
    <row r="1425" spans="1:31" ht="280.5" x14ac:dyDescent="0.2">
      <c r="A1425" s="6" t="s">
        <v>3881</v>
      </c>
      <c r="B1425" s="6" t="s">
        <v>5138</v>
      </c>
      <c r="C1425" s="20" t="s">
        <v>7101</v>
      </c>
      <c r="D1425" s="6" t="s">
        <v>7102</v>
      </c>
      <c r="E1425" s="6"/>
      <c r="F1425" s="6" t="s">
        <v>7103</v>
      </c>
      <c r="G1425" s="6" t="s">
        <v>7104</v>
      </c>
      <c r="H1425" s="6" t="str">
        <f t="shared" si="128"/>
        <v>SOLON
SAWNO
OWORIA
PHOEBE
DAMSEL
BREADNUT ISLAND PEN FIELDHANDS(P26
P38
P34
P40
P52
P393)</v>
      </c>
      <c r="I1425" s="6" t="s">
        <v>533</v>
      </c>
      <c r="J1425" s="6"/>
      <c r="K1425" s="6"/>
      <c r="L1425" s="6" t="s">
        <v>209</v>
      </c>
      <c r="M1425" s="6" t="str">
        <f>VLOOKUP(L1425, GLOSSARY!$A:$C, 2, FALSE)</f>
        <v>BREADNUT ISLAND PEN</v>
      </c>
      <c r="N1425" s="6" t="s">
        <v>68</v>
      </c>
      <c r="O1425" s="6"/>
      <c r="P1425" s="6"/>
      <c r="Q1425" s="6"/>
      <c r="R1425" s="6"/>
      <c r="S1425" s="6"/>
      <c r="T1425" s="6"/>
      <c r="U1425" s="6"/>
      <c r="V1425" s="6"/>
      <c r="W1425" s="6"/>
      <c r="X1425" s="6"/>
      <c r="Y1425" s="6"/>
      <c r="Z1425" s="6"/>
      <c r="AA1425" s="6"/>
      <c r="AB1425" s="6"/>
      <c r="AC1425" s="6"/>
      <c r="AD1425" s="6"/>
      <c r="AE1425" s="6"/>
    </row>
    <row r="1426" spans="1:31" ht="114.75" x14ac:dyDescent="0.2">
      <c r="A1426" s="6" t="s">
        <v>3881</v>
      </c>
      <c r="B1426" s="6" t="s">
        <v>5152</v>
      </c>
      <c r="C1426" s="20" t="s">
        <v>7105</v>
      </c>
      <c r="D1426" s="6" t="s">
        <v>7106</v>
      </c>
      <c r="E1426" s="6"/>
      <c r="F1426" s="6" t="s">
        <v>7107</v>
      </c>
      <c r="G1426" s="6" t="s">
        <v>7108</v>
      </c>
      <c r="H1426" s="6" t="str">
        <f t="shared" si="128"/>
        <v>NANNY
THE OVERSEER
CUMBERLAND(P15
P269
P43)</v>
      </c>
      <c r="I1426" s="6" t="s">
        <v>112</v>
      </c>
      <c r="J1426" s="6"/>
      <c r="K1426" s="6"/>
      <c r="L1426" s="6" t="s">
        <v>209</v>
      </c>
      <c r="M1426" s="6" t="str">
        <f>VLOOKUP(L1426, GLOSSARY!$A:$C, 2, FALSE)</f>
        <v>BREADNUT ISLAND PEN</v>
      </c>
      <c r="N1426" s="6" t="s">
        <v>167</v>
      </c>
      <c r="O1426" s="6"/>
      <c r="P1426" s="6"/>
      <c r="Q1426" s="6"/>
      <c r="R1426" s="6"/>
      <c r="S1426" s="6"/>
      <c r="T1426" s="6"/>
      <c r="U1426" s="6"/>
      <c r="V1426" s="6"/>
      <c r="W1426" s="6"/>
      <c r="X1426" s="6"/>
      <c r="Y1426" s="6"/>
      <c r="Z1426" s="6"/>
      <c r="AA1426" s="6"/>
      <c r="AB1426" s="6"/>
      <c r="AC1426" s="6"/>
      <c r="AD1426" s="6"/>
      <c r="AE1426" s="6"/>
    </row>
    <row r="1427" spans="1:31" ht="51" x14ac:dyDescent="0.2">
      <c r="A1427" s="6" t="s">
        <v>3881</v>
      </c>
      <c r="B1427" s="6" t="s">
        <v>5158</v>
      </c>
      <c r="C1427" s="20" t="s">
        <v>7109</v>
      </c>
      <c r="D1427" s="6" t="s">
        <v>7110</v>
      </c>
      <c r="E1427" s="6"/>
      <c r="F1427" s="6" t="s">
        <v>2175</v>
      </c>
      <c r="G1427" s="6" t="s">
        <v>2174</v>
      </c>
      <c r="H1427" s="6" t="str">
        <f t="shared" si="128"/>
        <v>BREADNUT ISLAND PEN FIELDHANDS(P393)</v>
      </c>
      <c r="I1427" s="6" t="s">
        <v>784</v>
      </c>
      <c r="J1427" s="6"/>
      <c r="K1427" s="6"/>
      <c r="L1427" s="6" t="s">
        <v>209</v>
      </c>
      <c r="M1427" s="6" t="str">
        <f>VLOOKUP(L1427, GLOSSARY!$A:$C, 2, FALSE)</f>
        <v>BREADNUT ISLAND PEN</v>
      </c>
      <c r="N1427" s="6" t="s">
        <v>68</v>
      </c>
      <c r="O1427" s="6"/>
      <c r="P1427" s="6"/>
      <c r="Q1427" s="6"/>
      <c r="R1427" s="6"/>
      <c r="S1427" s="6"/>
      <c r="T1427" s="6"/>
      <c r="U1427" s="6"/>
      <c r="V1427" s="6"/>
      <c r="W1427" s="6"/>
      <c r="X1427" s="6"/>
      <c r="Y1427" s="6"/>
      <c r="Z1427" s="6"/>
      <c r="AA1427" s="6"/>
      <c r="AB1427" s="6"/>
      <c r="AC1427" s="6"/>
      <c r="AD1427" s="6"/>
      <c r="AE1427" s="6"/>
    </row>
    <row r="1428" spans="1:31" ht="114.75" x14ac:dyDescent="0.2">
      <c r="A1428" s="6" t="s">
        <v>3881</v>
      </c>
      <c r="B1428" s="6" t="s">
        <v>5158</v>
      </c>
      <c r="C1428" s="20" t="s">
        <v>7111</v>
      </c>
      <c r="D1428" s="6" t="s">
        <v>7112</v>
      </c>
      <c r="E1428" s="6"/>
      <c r="F1428" s="6" t="s">
        <v>7113</v>
      </c>
      <c r="G1428" s="6" t="s">
        <v>7114</v>
      </c>
      <c r="H1428" s="6" t="str">
        <f t="shared" si="128"/>
        <v>DAMSEL
SAWNO
PHOEBE(P52
P38
P34)</v>
      </c>
      <c r="I1428" s="6" t="s">
        <v>533</v>
      </c>
      <c r="J1428" s="6"/>
      <c r="K1428" s="6"/>
      <c r="L1428" s="6" t="s">
        <v>209</v>
      </c>
      <c r="M1428" s="6" t="str">
        <f>VLOOKUP(L1428, GLOSSARY!$A:$C, 2, FALSE)</f>
        <v>BREADNUT ISLAND PEN</v>
      </c>
      <c r="N1428" s="6" t="s">
        <v>68</v>
      </c>
      <c r="O1428" s="6"/>
      <c r="P1428" s="6"/>
      <c r="Q1428" s="6"/>
      <c r="R1428" s="6"/>
      <c r="S1428" s="6"/>
      <c r="T1428" s="6"/>
      <c r="U1428" s="6"/>
      <c r="V1428" s="6"/>
      <c r="W1428" s="6"/>
      <c r="X1428" s="6"/>
      <c r="Y1428" s="6"/>
      <c r="Z1428" s="6"/>
      <c r="AA1428" s="6"/>
      <c r="AB1428" s="6"/>
      <c r="AC1428" s="6"/>
      <c r="AD1428" s="6"/>
      <c r="AE1428" s="6"/>
    </row>
    <row r="1429" spans="1:31" ht="127.5" x14ac:dyDescent="0.2">
      <c r="A1429" s="6" t="s">
        <v>7115</v>
      </c>
      <c r="B1429" s="6" t="s">
        <v>7116</v>
      </c>
      <c r="C1429" s="20" t="s">
        <v>7117</v>
      </c>
      <c r="D1429" s="6" t="s">
        <v>7118</v>
      </c>
      <c r="E1429" s="6"/>
      <c r="F1429" s="6" t="s">
        <v>7119</v>
      </c>
      <c r="G1429" s="6" t="s">
        <v>7120</v>
      </c>
      <c r="H1429" s="6" t="str">
        <f>CONCATENATE(F1429," (",G1429,")")</f>
        <v>EGYPT LUCY
THE OVERSEER
DANIEL (P3
P43
P42)</v>
      </c>
      <c r="I1429" s="6" t="s">
        <v>957</v>
      </c>
      <c r="J1429" s="6"/>
      <c r="K1429" s="6"/>
      <c r="L1429" s="6" t="s">
        <v>55</v>
      </c>
      <c r="M1429" s="6" t="str">
        <f>VLOOKUP(L1429, GLOSSARY!$A:$C, 2, FALSE)</f>
        <v>EGYPT ESTATE</v>
      </c>
      <c r="N1429" s="6" t="s">
        <v>68</v>
      </c>
      <c r="O1429" s="6"/>
      <c r="P1429" s="6"/>
      <c r="Q1429" s="6"/>
      <c r="R1429" s="6"/>
      <c r="S1429" s="6"/>
      <c r="T1429" s="6"/>
      <c r="U1429" s="6"/>
      <c r="V1429" s="6"/>
      <c r="W1429" s="6"/>
      <c r="X1429" s="6"/>
      <c r="Y1429" s="6"/>
      <c r="Z1429" s="6"/>
      <c r="AA1429" s="6"/>
      <c r="AB1429" s="6"/>
      <c r="AC1429" s="6"/>
      <c r="AD1429" s="6"/>
      <c r="AE1429" s="6"/>
    </row>
    <row r="1430" spans="1:31" ht="165.75" x14ac:dyDescent="0.2">
      <c r="A1430" s="6" t="s">
        <v>6951</v>
      </c>
      <c r="B1430" s="6" t="s">
        <v>4792</v>
      </c>
      <c r="C1430" s="20" t="s">
        <v>7121</v>
      </c>
      <c r="D1430" s="6" t="s">
        <v>7122</v>
      </c>
      <c r="E1430" s="6"/>
      <c r="F1430" s="6" t="s">
        <v>7123</v>
      </c>
      <c r="G1430" s="6" t="s">
        <v>7124</v>
      </c>
      <c r="H1430" s="6" t="str">
        <f t="shared" ref="H1430:H1449" si="129">CONCATENATE(F1430,"(",G1430,")")</f>
        <v>PHIBBAH
THE OVERSEER
HOUSE FRANKE
EGYPT LUCY(P7
P43
P10
P3)</v>
      </c>
      <c r="I1430" s="6" t="s">
        <v>957</v>
      </c>
      <c r="J1430" s="6"/>
      <c r="K1430" s="6"/>
      <c r="L1430" s="6" t="s">
        <v>7125</v>
      </c>
      <c r="M1430" s="6" t="s">
        <v>7020</v>
      </c>
      <c r="N1430" s="6" t="s">
        <v>68</v>
      </c>
      <c r="O1430" s="6"/>
      <c r="P1430" s="6"/>
      <c r="Q1430" s="6"/>
      <c r="R1430" s="6"/>
      <c r="S1430" s="6"/>
      <c r="T1430" s="6"/>
      <c r="U1430" s="6"/>
      <c r="V1430" s="6"/>
      <c r="W1430" s="6"/>
      <c r="X1430" s="6"/>
      <c r="Y1430" s="6"/>
      <c r="Z1430" s="6"/>
      <c r="AA1430" s="6"/>
      <c r="AB1430" s="6"/>
      <c r="AC1430" s="6"/>
      <c r="AD1430" s="6"/>
      <c r="AE1430" s="6"/>
    </row>
    <row r="1431" spans="1:31" ht="409.5" x14ac:dyDescent="0.2">
      <c r="A1431" s="6" t="s">
        <v>7126</v>
      </c>
      <c r="B1431" s="6" t="s">
        <v>5390</v>
      </c>
      <c r="C1431" s="20" t="s">
        <v>7127</v>
      </c>
      <c r="D1431" s="6" t="s">
        <v>7128</v>
      </c>
      <c r="E1431" s="6"/>
      <c r="F1431" s="6" t="s">
        <v>7129</v>
      </c>
      <c r="G1431" s="6" t="s">
        <v>7130</v>
      </c>
      <c r="H1431" s="6" t="str">
        <f t="shared" si="129"/>
        <v>LINCOLN
SAWNO
CUDJOE
JOHNIE
CUKOR
SUKEY
FRANKE
MIRTILLA
PHOEBE
OGO
NANNY
PEGGY
MOLIA
SALLY(P24
P38
P52
P20
P110
P37
P59
P32
P58
P13
P15
P1
P17
P19)</v>
      </c>
      <c r="I1431" s="6" t="s">
        <v>784</v>
      </c>
      <c r="J1431" s="6"/>
      <c r="K1431" s="6"/>
      <c r="L1431" s="6" t="s">
        <v>158</v>
      </c>
      <c r="M1431" s="6" t="str">
        <f>VLOOKUP(L1431, GLOSSARY!$A:$C, 2, FALSE)</f>
        <v>CABARITTA ESTATE</v>
      </c>
      <c r="N1431" s="6" t="s">
        <v>68</v>
      </c>
      <c r="O1431" s="6"/>
      <c r="P1431" s="6"/>
      <c r="Q1431" s="6"/>
      <c r="R1431" s="6"/>
      <c r="S1431" s="6"/>
      <c r="T1431" s="6"/>
      <c r="U1431" s="6"/>
      <c r="V1431" s="6"/>
      <c r="W1431" s="6"/>
      <c r="X1431" s="6"/>
      <c r="Y1431" s="6"/>
      <c r="Z1431" s="6"/>
      <c r="AA1431" s="6"/>
      <c r="AB1431" s="6"/>
      <c r="AC1431" s="6"/>
      <c r="AD1431" s="6"/>
      <c r="AE1431" s="6"/>
    </row>
    <row r="1432" spans="1:31" ht="102" x14ac:dyDescent="0.2">
      <c r="A1432" s="6" t="s">
        <v>7126</v>
      </c>
      <c r="B1432" s="6" t="s">
        <v>7131</v>
      </c>
      <c r="C1432" s="20" t="s">
        <v>7132</v>
      </c>
      <c r="D1432" s="6" t="s">
        <v>7133</v>
      </c>
      <c r="E1432" s="6"/>
      <c r="F1432" s="6"/>
      <c r="G1432" s="6"/>
      <c r="H1432" s="6" t="str">
        <f t="shared" si="129"/>
        <v>()</v>
      </c>
      <c r="I1432" s="6" t="s">
        <v>869</v>
      </c>
      <c r="J1432" s="6"/>
      <c r="K1432" s="6"/>
      <c r="L1432" s="6" t="s">
        <v>7134</v>
      </c>
      <c r="M1432" s="6" t="str">
        <f>VLOOKUP(L1432, GLOSSARY!$A:$C, 2, FALSE)</f>
        <v>BREADNUT ISLAND PEN</v>
      </c>
      <c r="N1432" s="6" t="s">
        <v>1481</v>
      </c>
      <c r="O1432" s="6"/>
      <c r="P1432" s="6"/>
      <c r="Q1432" s="6"/>
      <c r="R1432" s="6"/>
      <c r="S1432" s="6"/>
      <c r="T1432" s="6"/>
      <c r="U1432" s="6"/>
      <c r="V1432" s="6"/>
      <c r="W1432" s="6"/>
      <c r="X1432" s="6"/>
      <c r="Y1432" s="6"/>
      <c r="Z1432" s="6"/>
      <c r="AA1432" s="6"/>
      <c r="AB1432" s="6"/>
      <c r="AC1432" s="6"/>
      <c r="AD1432" s="6"/>
      <c r="AE1432" s="6"/>
    </row>
    <row r="1433" spans="1:31" ht="63.75" x14ac:dyDescent="0.2">
      <c r="A1433" s="6" t="s">
        <v>7126</v>
      </c>
      <c r="B1433" s="6" t="s">
        <v>5508</v>
      </c>
      <c r="C1433" s="20" t="s">
        <v>7135</v>
      </c>
      <c r="D1433" s="6" t="s">
        <v>7136</v>
      </c>
      <c r="E1433" s="6"/>
      <c r="F1433" s="6"/>
      <c r="G1433" s="6"/>
      <c r="H1433" s="6" t="str">
        <f t="shared" si="129"/>
        <v>()</v>
      </c>
      <c r="I1433" s="6" t="s">
        <v>869</v>
      </c>
      <c r="J1433" s="6"/>
      <c r="K1433" s="6"/>
      <c r="L1433" s="6" t="s">
        <v>209</v>
      </c>
      <c r="M1433" s="6" t="str">
        <f>VLOOKUP(L1433, GLOSSARY!$A:$C, 2, FALSE)</f>
        <v>BREADNUT ISLAND PEN</v>
      </c>
      <c r="N1433" s="6" t="s">
        <v>167</v>
      </c>
      <c r="O1433" s="6"/>
      <c r="P1433" s="6"/>
      <c r="Q1433" s="6"/>
      <c r="R1433" s="6"/>
      <c r="S1433" s="6"/>
      <c r="T1433" s="6"/>
      <c r="U1433" s="6"/>
      <c r="V1433" s="6"/>
      <c r="W1433" s="6"/>
      <c r="X1433" s="6"/>
      <c r="Y1433" s="6"/>
      <c r="Z1433" s="6"/>
      <c r="AA1433" s="6"/>
      <c r="AB1433" s="6"/>
      <c r="AC1433" s="6"/>
      <c r="AD1433" s="6"/>
      <c r="AE1433" s="6"/>
    </row>
    <row r="1434" spans="1:31" ht="38.25" x14ac:dyDescent="0.2">
      <c r="A1434" s="6" t="s">
        <v>7126</v>
      </c>
      <c r="B1434" s="6" t="s">
        <v>5926</v>
      </c>
      <c r="C1434" s="20" t="s">
        <v>7137</v>
      </c>
      <c r="D1434" s="6" t="s">
        <v>7138</v>
      </c>
      <c r="E1434" s="6"/>
      <c r="F1434" s="6"/>
      <c r="G1434" s="6"/>
      <c r="H1434" s="6" t="str">
        <f t="shared" si="129"/>
        <v>()</v>
      </c>
      <c r="I1434" s="6" t="s">
        <v>869</v>
      </c>
      <c r="J1434" s="6"/>
      <c r="K1434" s="6"/>
      <c r="L1434" s="6" t="s">
        <v>7134</v>
      </c>
      <c r="M1434" s="6" t="str">
        <f>VLOOKUP(L1434, GLOSSARY!$A:$C, 2, FALSE)</f>
        <v>BREADNUT ISLAND PEN</v>
      </c>
      <c r="N1434" s="6" t="s">
        <v>167</v>
      </c>
      <c r="O1434" s="6"/>
      <c r="P1434" s="6"/>
      <c r="Q1434" s="6"/>
      <c r="R1434" s="6"/>
      <c r="S1434" s="6"/>
      <c r="T1434" s="6"/>
      <c r="U1434" s="6"/>
      <c r="V1434" s="6"/>
      <c r="W1434" s="6"/>
      <c r="X1434" s="6"/>
      <c r="Y1434" s="6"/>
      <c r="Z1434" s="6"/>
      <c r="AA1434" s="6"/>
      <c r="AB1434" s="6"/>
      <c r="AC1434" s="6"/>
      <c r="AD1434" s="6"/>
      <c r="AE1434" s="6"/>
    </row>
    <row r="1435" spans="1:31" ht="89.25" x14ac:dyDescent="0.2">
      <c r="A1435" s="6" t="s">
        <v>7126</v>
      </c>
      <c r="B1435" s="6" t="s">
        <v>5568</v>
      </c>
      <c r="C1435" s="20" t="s">
        <v>7139</v>
      </c>
      <c r="D1435" s="6" t="s">
        <v>7140</v>
      </c>
      <c r="E1435" s="6"/>
      <c r="F1435" s="6"/>
      <c r="G1435" s="6"/>
      <c r="H1435" s="6" t="str">
        <f t="shared" si="129"/>
        <v>()</v>
      </c>
      <c r="I1435" s="6" t="s">
        <v>869</v>
      </c>
      <c r="J1435" s="6"/>
      <c r="K1435" s="6"/>
      <c r="L1435" s="6" t="s">
        <v>209</v>
      </c>
      <c r="M1435" s="6" t="str">
        <f>VLOOKUP(L1435, GLOSSARY!$A:$C, 2, FALSE)</f>
        <v>BREADNUT ISLAND PEN</v>
      </c>
      <c r="N1435" s="6" t="s">
        <v>167</v>
      </c>
      <c r="O1435" s="6"/>
      <c r="P1435" s="6"/>
      <c r="Q1435" s="6"/>
      <c r="R1435" s="6"/>
      <c r="S1435" s="6"/>
      <c r="T1435" s="6"/>
      <c r="U1435" s="6"/>
      <c r="V1435" s="6"/>
      <c r="W1435" s="6"/>
      <c r="X1435" s="6"/>
      <c r="Y1435" s="6"/>
      <c r="Z1435" s="6"/>
      <c r="AA1435" s="6"/>
      <c r="AB1435" s="6"/>
      <c r="AC1435" s="6"/>
      <c r="AD1435" s="6"/>
      <c r="AE1435" s="6"/>
    </row>
    <row r="1436" spans="1:31" ht="51" x14ac:dyDescent="0.2">
      <c r="A1436" s="6" t="s">
        <v>7141</v>
      </c>
      <c r="B1436" s="6" t="s">
        <v>5599</v>
      </c>
      <c r="C1436" s="20" t="s">
        <v>7142</v>
      </c>
      <c r="D1436" s="6" t="s">
        <v>7143</v>
      </c>
      <c r="E1436" s="6"/>
      <c r="F1436" s="6" t="s">
        <v>2209</v>
      </c>
      <c r="G1436" s="6" t="s">
        <v>2208</v>
      </c>
      <c r="H1436" s="6" t="str">
        <f t="shared" si="129"/>
        <v>DR. LIGHTFOOT(P400)</v>
      </c>
      <c r="I1436" s="6" t="s">
        <v>248</v>
      </c>
      <c r="J1436" s="6"/>
      <c r="K1436" s="6"/>
      <c r="L1436" s="6" t="s">
        <v>657</v>
      </c>
      <c r="M1436" s="6" t="str">
        <f>VLOOKUP(L1436, GLOSSARY!$A:$C, 2, FALSE)</f>
        <v>UNKNOWN</v>
      </c>
      <c r="N1436" s="6" t="s">
        <v>68</v>
      </c>
      <c r="O1436" s="6"/>
      <c r="P1436" s="6"/>
      <c r="Q1436" s="6"/>
      <c r="R1436" s="6"/>
      <c r="S1436" s="6"/>
      <c r="T1436" s="6"/>
      <c r="U1436" s="6"/>
      <c r="V1436" s="6"/>
      <c r="W1436" s="6"/>
      <c r="X1436" s="6"/>
      <c r="Y1436" s="6"/>
      <c r="Z1436" s="6"/>
      <c r="AA1436" s="6"/>
      <c r="AB1436" s="6"/>
      <c r="AC1436" s="6"/>
      <c r="AD1436" s="6"/>
      <c r="AE1436" s="6"/>
    </row>
    <row r="1437" spans="1:31" ht="114.75" x14ac:dyDescent="0.2">
      <c r="A1437" s="6" t="s">
        <v>7126</v>
      </c>
      <c r="B1437" s="6" t="s">
        <v>5609</v>
      </c>
      <c r="C1437" s="20" t="s">
        <v>7144</v>
      </c>
      <c r="D1437" s="6" t="s">
        <v>7145</v>
      </c>
      <c r="E1437" s="6"/>
      <c r="F1437" s="6" t="s">
        <v>7146</v>
      </c>
      <c r="G1437" s="6" t="s">
        <v>7147</v>
      </c>
      <c r="H1437" s="6" t="str">
        <f t="shared" si="129"/>
        <v>SOLON
MOLIA
THE OVERSEER(P26
P1
P43)</v>
      </c>
      <c r="I1437" s="6" t="s">
        <v>656</v>
      </c>
      <c r="J1437" s="6"/>
      <c r="K1437" s="6"/>
      <c r="L1437" s="6" t="s">
        <v>209</v>
      </c>
      <c r="M1437" s="6" t="str">
        <f>VLOOKUP(L1437, GLOSSARY!$A:$C, 2, FALSE)</f>
        <v>BREADNUT ISLAND PEN</v>
      </c>
      <c r="N1437" s="6" t="s">
        <v>167</v>
      </c>
      <c r="O1437" s="6"/>
      <c r="P1437" s="6"/>
      <c r="Q1437" s="6"/>
      <c r="R1437" s="6"/>
      <c r="S1437" s="6"/>
      <c r="T1437" s="6"/>
      <c r="U1437" s="6"/>
      <c r="V1437" s="6"/>
      <c r="W1437" s="6"/>
      <c r="X1437" s="6"/>
      <c r="Y1437" s="6"/>
      <c r="Z1437" s="6"/>
      <c r="AA1437" s="6"/>
      <c r="AB1437" s="6"/>
      <c r="AC1437" s="6"/>
      <c r="AD1437" s="6"/>
      <c r="AE1437" s="6"/>
    </row>
    <row r="1438" spans="1:31" ht="51" x14ac:dyDescent="0.2">
      <c r="A1438" s="6" t="s">
        <v>7126</v>
      </c>
      <c r="B1438" s="6" t="s">
        <v>7148</v>
      </c>
      <c r="C1438" s="20" t="s">
        <v>7149</v>
      </c>
      <c r="D1438" s="6" t="s">
        <v>7150</v>
      </c>
      <c r="E1438" s="6"/>
      <c r="F1438" s="6"/>
      <c r="G1438" s="6"/>
      <c r="H1438" s="6" t="str">
        <f t="shared" si="129"/>
        <v>()</v>
      </c>
      <c r="I1438" s="6" t="s">
        <v>869</v>
      </c>
      <c r="J1438" s="6"/>
      <c r="K1438" s="6"/>
      <c r="L1438" s="6" t="s">
        <v>209</v>
      </c>
      <c r="M1438" s="6" t="str">
        <f>VLOOKUP(L1438, GLOSSARY!$A:$C, 2, FALSE)</f>
        <v>BREADNUT ISLAND PEN</v>
      </c>
      <c r="N1438" s="6" t="s">
        <v>167</v>
      </c>
      <c r="O1438" s="6"/>
      <c r="P1438" s="6"/>
      <c r="Q1438" s="6"/>
      <c r="R1438" s="6"/>
      <c r="S1438" s="6"/>
      <c r="T1438" s="6"/>
      <c r="U1438" s="6"/>
      <c r="V1438" s="6"/>
      <c r="W1438" s="6"/>
      <c r="X1438" s="6"/>
      <c r="Y1438" s="6"/>
      <c r="Z1438" s="6"/>
      <c r="AA1438" s="6"/>
      <c r="AB1438" s="6"/>
      <c r="AC1438" s="6"/>
      <c r="AD1438" s="6"/>
      <c r="AE1438" s="6"/>
    </row>
    <row r="1439" spans="1:31" ht="38.25" x14ac:dyDescent="0.2">
      <c r="A1439" s="6" t="s">
        <v>7126</v>
      </c>
      <c r="B1439" s="6" t="s">
        <v>5622</v>
      </c>
      <c r="C1439" s="20" t="s">
        <v>7151</v>
      </c>
      <c r="D1439" s="6" t="s">
        <v>7152</v>
      </c>
      <c r="E1439" s="6"/>
      <c r="F1439" s="6"/>
      <c r="G1439" s="6"/>
      <c r="H1439" s="6" t="str">
        <f t="shared" si="129"/>
        <v>()</v>
      </c>
      <c r="I1439" s="6" t="s">
        <v>869</v>
      </c>
      <c r="J1439" s="6"/>
      <c r="K1439" s="6"/>
      <c r="L1439" s="6" t="s">
        <v>209</v>
      </c>
      <c r="M1439" s="6" t="str">
        <f>VLOOKUP(L1439, GLOSSARY!$A:$C, 2, FALSE)</f>
        <v>BREADNUT ISLAND PEN</v>
      </c>
      <c r="N1439" s="6" t="s">
        <v>167</v>
      </c>
      <c r="O1439" s="6"/>
      <c r="P1439" s="6"/>
      <c r="Q1439" s="6"/>
      <c r="R1439" s="6"/>
      <c r="S1439" s="6"/>
      <c r="T1439" s="6"/>
      <c r="U1439" s="6"/>
      <c r="V1439" s="6"/>
      <c r="W1439" s="6"/>
      <c r="X1439" s="6"/>
      <c r="Y1439" s="6"/>
      <c r="Z1439" s="6"/>
      <c r="AA1439" s="6"/>
      <c r="AB1439" s="6"/>
      <c r="AC1439" s="6"/>
      <c r="AD1439" s="6"/>
      <c r="AE1439" s="6"/>
    </row>
    <row r="1440" spans="1:31" ht="382.5" x14ac:dyDescent="0.2">
      <c r="A1440" s="6" t="s">
        <v>7126</v>
      </c>
      <c r="B1440" s="6" t="s">
        <v>7153</v>
      </c>
      <c r="C1440" s="20" t="s">
        <v>7154</v>
      </c>
      <c r="D1440" s="6" t="s">
        <v>7155</v>
      </c>
      <c r="E1440" s="6"/>
      <c r="F1440" s="6" t="s">
        <v>7156</v>
      </c>
      <c r="G1440" s="6" t="s">
        <v>7157</v>
      </c>
      <c r="H1440" s="6" t="str">
        <f t="shared" si="129"/>
        <v>BREADNUT ISLAND PEN FIELD HANDS
THE OVERSEER
MR. HAYWARD(P393
P43
P161)</v>
      </c>
      <c r="I1440" s="6" t="s">
        <v>784</v>
      </c>
      <c r="J1440" s="6"/>
      <c r="K1440" s="6"/>
      <c r="L1440" s="6" t="s">
        <v>209</v>
      </c>
      <c r="M1440" s="6" t="str">
        <f>VLOOKUP(L1440, GLOSSARY!$A:$C, 2, FALSE)</f>
        <v>BREADNUT ISLAND PEN</v>
      </c>
      <c r="N1440" s="6" t="s">
        <v>167</v>
      </c>
      <c r="O1440" s="6"/>
      <c r="P1440" s="6"/>
      <c r="Q1440" s="6"/>
      <c r="R1440" s="6"/>
      <c r="S1440" s="6"/>
      <c r="T1440" s="6"/>
      <c r="U1440" s="6"/>
      <c r="V1440" s="6"/>
      <c r="W1440" s="6"/>
      <c r="X1440" s="6"/>
      <c r="Y1440" s="6"/>
      <c r="Z1440" s="6"/>
      <c r="AA1440" s="6"/>
      <c r="AB1440" s="6"/>
      <c r="AC1440" s="6"/>
      <c r="AD1440" s="6"/>
      <c r="AE1440" s="6"/>
    </row>
    <row r="1441" spans="1:31" ht="409.5" x14ac:dyDescent="0.2">
      <c r="A1441" s="6" t="s">
        <v>7126</v>
      </c>
      <c r="B1441" s="6" t="s">
        <v>7158</v>
      </c>
      <c r="C1441" s="20" t="s">
        <v>7154</v>
      </c>
      <c r="D1441" s="6" t="s">
        <v>7159</v>
      </c>
      <c r="E1441" s="6"/>
      <c r="F1441" s="6"/>
      <c r="G1441" s="6"/>
      <c r="H1441" s="6" t="str">
        <f t="shared" si="129"/>
        <v>()</v>
      </c>
      <c r="I1441" s="6" t="s">
        <v>784</v>
      </c>
      <c r="J1441" s="6"/>
      <c r="K1441" s="6"/>
      <c r="L1441" s="6" t="s">
        <v>209</v>
      </c>
      <c r="M1441" s="6" t="str">
        <f>VLOOKUP(L1441, GLOSSARY!$A:$C, 2, FALSE)</f>
        <v>BREADNUT ISLAND PEN</v>
      </c>
      <c r="N1441" s="6" t="s">
        <v>68</v>
      </c>
      <c r="O1441" s="6"/>
      <c r="P1441" s="6"/>
      <c r="Q1441" s="6"/>
      <c r="R1441" s="6"/>
      <c r="S1441" s="6"/>
      <c r="T1441" s="6"/>
      <c r="U1441" s="6"/>
      <c r="V1441" s="6"/>
      <c r="W1441" s="6"/>
      <c r="X1441" s="6"/>
      <c r="Y1441" s="6"/>
      <c r="Z1441" s="6"/>
      <c r="AA1441" s="6"/>
      <c r="AB1441" s="6"/>
      <c r="AC1441" s="6"/>
      <c r="AD1441" s="6"/>
      <c r="AE1441" s="6"/>
    </row>
    <row r="1442" spans="1:31" ht="114.75" x14ac:dyDescent="0.2">
      <c r="A1442" s="6" t="s">
        <v>7126</v>
      </c>
      <c r="B1442" s="6" t="s">
        <v>7160</v>
      </c>
      <c r="C1442" s="20" t="s">
        <v>7161</v>
      </c>
      <c r="D1442" s="6" t="s">
        <v>7162</v>
      </c>
      <c r="E1442" s="6"/>
      <c r="F1442" s="6" t="s">
        <v>7163</v>
      </c>
      <c r="G1442" s="6" t="s">
        <v>7164</v>
      </c>
      <c r="H1442" s="6" t="str">
        <f t="shared" si="129"/>
        <v>MOLIA
LINCOLN
THE OVERSEER(P1
P24
P43)</v>
      </c>
      <c r="I1442" s="6" t="s">
        <v>656</v>
      </c>
      <c r="J1442" s="6"/>
      <c r="K1442" s="6"/>
      <c r="L1442" s="6" t="s">
        <v>7134</v>
      </c>
      <c r="M1442" s="6" t="str">
        <f>VLOOKUP(L1442, GLOSSARY!$A:$C, 2, FALSE)</f>
        <v>BREADNUT ISLAND PEN</v>
      </c>
      <c r="N1442" s="6" t="s">
        <v>68</v>
      </c>
      <c r="O1442" s="6"/>
      <c r="P1442" s="6"/>
      <c r="Q1442" s="6"/>
      <c r="R1442" s="6"/>
      <c r="S1442" s="6"/>
      <c r="T1442" s="6"/>
      <c r="U1442" s="6"/>
      <c r="V1442" s="6"/>
      <c r="W1442" s="6"/>
      <c r="X1442" s="6"/>
      <c r="Y1442" s="6"/>
      <c r="Z1442" s="6"/>
      <c r="AA1442" s="6"/>
      <c r="AB1442" s="6"/>
      <c r="AC1442" s="6"/>
      <c r="AD1442" s="6"/>
      <c r="AE1442" s="6"/>
    </row>
    <row r="1443" spans="1:31" ht="38.25" x14ac:dyDescent="0.2">
      <c r="A1443" s="6" t="s">
        <v>7126</v>
      </c>
      <c r="B1443" s="6" t="s">
        <v>7165</v>
      </c>
      <c r="C1443" s="20" t="s">
        <v>7161</v>
      </c>
      <c r="D1443" s="6" t="s">
        <v>7166</v>
      </c>
      <c r="E1443" s="6"/>
      <c r="F1443" s="6"/>
      <c r="G1443" s="6"/>
      <c r="H1443" s="6" t="str">
        <f t="shared" si="129"/>
        <v>()</v>
      </c>
      <c r="I1443" s="6" t="s">
        <v>869</v>
      </c>
      <c r="J1443" s="6"/>
      <c r="K1443" s="6"/>
      <c r="L1443" s="6" t="s">
        <v>209</v>
      </c>
      <c r="M1443" s="6" t="str">
        <f>VLOOKUP(L1443, GLOSSARY!$A:$C, 2, FALSE)</f>
        <v>BREADNUT ISLAND PEN</v>
      </c>
      <c r="N1443" s="6" t="s">
        <v>167</v>
      </c>
      <c r="O1443" s="6"/>
      <c r="P1443" s="6"/>
      <c r="Q1443" s="6"/>
      <c r="R1443" s="6"/>
      <c r="S1443" s="6"/>
      <c r="T1443" s="6"/>
      <c r="U1443" s="6"/>
      <c r="V1443" s="6"/>
      <c r="W1443" s="6"/>
      <c r="X1443" s="6"/>
      <c r="Y1443" s="6"/>
      <c r="Z1443" s="6"/>
      <c r="AA1443" s="6"/>
      <c r="AB1443" s="6"/>
      <c r="AC1443" s="6"/>
      <c r="AD1443" s="6"/>
      <c r="AE1443" s="6"/>
    </row>
    <row r="1444" spans="1:31" ht="63.75" x14ac:dyDescent="0.2">
      <c r="A1444" s="6" t="s">
        <v>7126</v>
      </c>
      <c r="B1444" s="6" t="s">
        <v>7167</v>
      </c>
      <c r="C1444" s="20" t="s">
        <v>7168</v>
      </c>
      <c r="D1444" s="6" t="s">
        <v>7169</v>
      </c>
      <c r="E1444" s="6"/>
      <c r="F1444" s="6" t="s">
        <v>7170</v>
      </c>
      <c r="G1444" s="6" t="s">
        <v>7171</v>
      </c>
      <c r="H1444" s="6" t="str">
        <f t="shared" si="129"/>
        <v>LINCOLN
MOLIA(P24
P1)</v>
      </c>
      <c r="I1444" s="6" t="s">
        <v>656</v>
      </c>
      <c r="J1444" s="6"/>
      <c r="K1444" s="6"/>
      <c r="L1444" s="6" t="s">
        <v>186</v>
      </c>
      <c r="M1444" s="6" t="str">
        <f>VLOOKUP(L1444, GLOSSARY!$A:$C, 2, FALSE)</f>
        <v xml:space="preserve">WILDERNESS </v>
      </c>
      <c r="N1444" s="6" t="s">
        <v>287</v>
      </c>
      <c r="O1444" s="6"/>
      <c r="P1444" s="6"/>
      <c r="Q1444" s="6"/>
      <c r="R1444" s="6"/>
      <c r="S1444" s="6"/>
      <c r="T1444" s="6"/>
      <c r="U1444" s="6"/>
      <c r="V1444" s="6"/>
      <c r="W1444" s="6"/>
      <c r="X1444" s="6"/>
      <c r="Y1444" s="6"/>
      <c r="Z1444" s="6"/>
      <c r="AA1444" s="6"/>
      <c r="AB1444" s="6"/>
      <c r="AC1444" s="6"/>
      <c r="AD1444" s="6"/>
      <c r="AE1444" s="6"/>
    </row>
    <row r="1445" spans="1:31" ht="63.75" x14ac:dyDescent="0.2">
      <c r="A1445" s="6" t="s">
        <v>7126</v>
      </c>
      <c r="B1445" s="6" t="s">
        <v>5637</v>
      </c>
      <c r="C1445" s="20" t="s">
        <v>7172</v>
      </c>
      <c r="D1445" s="6" t="s">
        <v>7173</v>
      </c>
      <c r="E1445" s="6"/>
      <c r="F1445" s="6" t="s">
        <v>7170</v>
      </c>
      <c r="G1445" s="6" t="s">
        <v>7171</v>
      </c>
      <c r="H1445" s="6" t="str">
        <f t="shared" si="129"/>
        <v>LINCOLN
MOLIA(P24
P1)</v>
      </c>
      <c r="I1445" s="6" t="s">
        <v>656</v>
      </c>
      <c r="J1445" s="6"/>
      <c r="K1445" s="6"/>
      <c r="L1445" s="6" t="s">
        <v>209</v>
      </c>
      <c r="M1445" s="6" t="str">
        <f>VLOOKUP(L1445, GLOSSARY!$A:$C, 2, FALSE)</f>
        <v>BREADNUT ISLAND PEN</v>
      </c>
      <c r="N1445" s="6" t="s">
        <v>68</v>
      </c>
      <c r="O1445" s="6"/>
      <c r="P1445" s="6"/>
      <c r="Q1445" s="6"/>
      <c r="R1445" s="6"/>
      <c r="S1445" s="6"/>
      <c r="T1445" s="6"/>
      <c r="U1445" s="6"/>
      <c r="V1445" s="6"/>
      <c r="W1445" s="6"/>
      <c r="X1445" s="6"/>
      <c r="Y1445" s="6"/>
      <c r="Z1445" s="6"/>
      <c r="AA1445" s="6"/>
      <c r="AB1445" s="6"/>
      <c r="AC1445" s="6"/>
      <c r="AD1445" s="6"/>
      <c r="AE1445" s="6"/>
    </row>
    <row r="1446" spans="1:31" ht="63.75" x14ac:dyDescent="0.2">
      <c r="A1446" s="6" t="s">
        <v>7126</v>
      </c>
      <c r="B1446" s="6" t="s">
        <v>7174</v>
      </c>
      <c r="C1446" s="20" t="s">
        <v>7175</v>
      </c>
      <c r="D1446" s="6" t="s">
        <v>7176</v>
      </c>
      <c r="E1446" s="6"/>
      <c r="F1446" s="6" t="s">
        <v>7177</v>
      </c>
      <c r="G1446" s="6" t="s">
        <v>7178</v>
      </c>
      <c r="H1446" s="6" t="str">
        <f t="shared" si="129"/>
        <v>SOLON
MOLIA(P26
P1)</v>
      </c>
      <c r="I1446" s="6" t="s">
        <v>656</v>
      </c>
      <c r="J1446" s="6"/>
      <c r="K1446" s="6"/>
      <c r="L1446" s="6" t="s">
        <v>186</v>
      </c>
      <c r="M1446" s="6" t="str">
        <f>VLOOKUP(L1446, GLOSSARY!$A:$C, 2, FALSE)</f>
        <v xml:space="preserve">WILDERNESS </v>
      </c>
      <c r="N1446" s="6" t="s">
        <v>68</v>
      </c>
      <c r="O1446" s="6"/>
      <c r="P1446" s="6"/>
      <c r="Q1446" s="6"/>
      <c r="R1446" s="6"/>
      <c r="S1446" s="6"/>
      <c r="T1446" s="6"/>
      <c r="U1446" s="6"/>
      <c r="V1446" s="6"/>
      <c r="W1446" s="6"/>
      <c r="X1446" s="6"/>
      <c r="Y1446" s="6"/>
      <c r="Z1446" s="6"/>
      <c r="AA1446" s="6"/>
      <c r="AB1446" s="6"/>
      <c r="AC1446" s="6"/>
      <c r="AD1446" s="6"/>
      <c r="AE1446" s="6"/>
    </row>
    <row r="1447" spans="1:31" ht="114.75" x14ac:dyDescent="0.2">
      <c r="A1447" s="6" t="s">
        <v>7126</v>
      </c>
      <c r="B1447" s="6" t="s">
        <v>5663</v>
      </c>
      <c r="C1447" s="20" t="s">
        <v>7179</v>
      </c>
      <c r="D1447" s="6" t="s">
        <v>7180</v>
      </c>
      <c r="E1447" s="6"/>
      <c r="F1447" s="6" t="s">
        <v>7146</v>
      </c>
      <c r="G1447" s="6" t="s">
        <v>7147</v>
      </c>
      <c r="H1447" s="6" t="str">
        <f t="shared" si="129"/>
        <v>SOLON
MOLIA
THE OVERSEER(P26
P1
P43)</v>
      </c>
      <c r="I1447" s="6" t="s">
        <v>656</v>
      </c>
      <c r="J1447" s="6"/>
      <c r="K1447" s="6"/>
      <c r="L1447" s="6" t="s">
        <v>186</v>
      </c>
      <c r="M1447" s="6" t="str">
        <f>VLOOKUP(L1447, GLOSSARY!$A:$C, 2, FALSE)</f>
        <v xml:space="preserve">WILDERNESS </v>
      </c>
      <c r="N1447" s="6" t="s">
        <v>68</v>
      </c>
      <c r="O1447" s="6"/>
      <c r="P1447" s="6"/>
      <c r="Q1447" s="6"/>
      <c r="R1447" s="6"/>
      <c r="S1447" s="6"/>
      <c r="T1447" s="6"/>
      <c r="U1447" s="6"/>
      <c r="V1447" s="6"/>
      <c r="W1447" s="6"/>
      <c r="X1447" s="6"/>
      <c r="Y1447" s="6"/>
      <c r="Z1447" s="6"/>
      <c r="AA1447" s="6"/>
      <c r="AB1447" s="6"/>
      <c r="AC1447" s="6"/>
      <c r="AD1447" s="6"/>
      <c r="AE1447" s="6"/>
    </row>
    <row r="1448" spans="1:31" ht="25.5" x14ac:dyDescent="0.2">
      <c r="A1448" s="6" t="s">
        <v>7126</v>
      </c>
      <c r="B1448" s="6" t="s">
        <v>5673</v>
      </c>
      <c r="C1448" s="20" t="s">
        <v>7181</v>
      </c>
      <c r="D1448" s="6" t="s">
        <v>7182</v>
      </c>
      <c r="E1448" s="6"/>
      <c r="F1448" s="6" t="s">
        <v>277</v>
      </c>
      <c r="G1448" s="6" t="s">
        <v>276</v>
      </c>
      <c r="H1448" s="6" t="str">
        <f t="shared" si="129"/>
        <v>SOLON(P26)</v>
      </c>
      <c r="I1448" s="6" t="s">
        <v>656</v>
      </c>
      <c r="J1448" s="6"/>
      <c r="K1448" s="6"/>
      <c r="L1448" s="6" t="s">
        <v>209</v>
      </c>
      <c r="M1448" s="6" t="str">
        <f>VLOOKUP(L1448, GLOSSARY!$A:$C, 2, FALSE)</f>
        <v>BREADNUT ISLAND PEN</v>
      </c>
      <c r="N1448" s="6" t="s">
        <v>167</v>
      </c>
      <c r="O1448" s="6"/>
      <c r="P1448" s="6"/>
      <c r="Q1448" s="6"/>
      <c r="R1448" s="6"/>
      <c r="S1448" s="6"/>
      <c r="T1448" s="6"/>
      <c r="U1448" s="6"/>
      <c r="V1448" s="6"/>
      <c r="W1448" s="6"/>
      <c r="X1448" s="6"/>
      <c r="Y1448" s="6"/>
      <c r="Z1448" s="6"/>
      <c r="AA1448" s="6"/>
      <c r="AB1448" s="6"/>
      <c r="AC1448" s="6"/>
      <c r="AD1448" s="6"/>
      <c r="AE1448" s="6"/>
    </row>
    <row r="1449" spans="1:31" ht="229.5" x14ac:dyDescent="0.2">
      <c r="A1449" s="6" t="s">
        <v>7126</v>
      </c>
      <c r="B1449" s="6" t="s">
        <v>7183</v>
      </c>
      <c r="C1449" s="20" t="s">
        <v>7184</v>
      </c>
      <c r="D1449" s="6" t="s">
        <v>7185</v>
      </c>
      <c r="E1449" s="6"/>
      <c r="F1449" s="6" t="s">
        <v>7186</v>
      </c>
      <c r="G1449" s="6" t="s">
        <v>7187</v>
      </c>
      <c r="H1449" s="6" t="str">
        <f t="shared" si="129"/>
        <v>SOLON
MOLIA
THE OVERSEER
DAVID FRAILL
ADAM [OLD HOPE ESTATE](P26
P1
P43
P394
P395)</v>
      </c>
      <c r="I1449" s="6" t="s">
        <v>656</v>
      </c>
      <c r="J1449" s="6"/>
      <c r="K1449" s="6"/>
      <c r="L1449" s="6" t="s">
        <v>7188</v>
      </c>
      <c r="M1449" s="6" t="s">
        <v>7189</v>
      </c>
      <c r="N1449" s="6" t="s">
        <v>68</v>
      </c>
      <c r="O1449" s="6"/>
      <c r="P1449" s="6"/>
      <c r="Q1449" s="6"/>
      <c r="R1449" s="6"/>
      <c r="S1449" s="6"/>
      <c r="T1449" s="6"/>
      <c r="U1449" s="6"/>
      <c r="V1449" s="6"/>
      <c r="W1449" s="6"/>
      <c r="X1449" s="6"/>
      <c r="Y1449" s="6"/>
      <c r="Z1449" s="6"/>
      <c r="AA1449" s="6"/>
      <c r="AB1449" s="6"/>
      <c r="AC1449" s="6"/>
      <c r="AD1449" s="6"/>
      <c r="AE1449" s="6"/>
    </row>
    <row r="1450" spans="1:31" ht="12.75" x14ac:dyDescent="0.2">
      <c r="A1450" s="6" t="s">
        <v>7126</v>
      </c>
      <c r="B1450" s="6" t="s">
        <v>5675</v>
      </c>
      <c r="C1450" s="20" t="s">
        <v>7190</v>
      </c>
      <c r="D1450" s="6" t="s">
        <v>7191</v>
      </c>
      <c r="E1450" s="6"/>
      <c r="F1450" s="6" t="s">
        <v>29</v>
      </c>
      <c r="G1450" s="6" t="s">
        <v>28</v>
      </c>
      <c r="H1450" s="6" t="s">
        <v>28</v>
      </c>
      <c r="I1450" s="6" t="s">
        <v>112</v>
      </c>
      <c r="J1450" s="6"/>
      <c r="K1450" s="6"/>
      <c r="L1450" s="6" t="s">
        <v>209</v>
      </c>
      <c r="M1450" s="6" t="str">
        <f>VLOOKUP(L1450, GLOSSARY!$A:$C, 2, FALSE)</f>
        <v>BREADNUT ISLAND PEN</v>
      </c>
      <c r="N1450" s="6" t="s">
        <v>68</v>
      </c>
      <c r="O1450" s="6"/>
      <c r="P1450" s="6"/>
      <c r="Q1450" s="6"/>
      <c r="R1450" s="6"/>
      <c r="S1450" s="6"/>
      <c r="T1450" s="6"/>
      <c r="U1450" s="6"/>
      <c r="V1450" s="6"/>
      <c r="W1450" s="6"/>
      <c r="X1450" s="6"/>
      <c r="Y1450" s="6"/>
      <c r="Z1450" s="6"/>
      <c r="AA1450" s="6"/>
      <c r="AB1450" s="6"/>
      <c r="AC1450" s="6"/>
      <c r="AD1450" s="6"/>
      <c r="AE1450" s="6"/>
    </row>
    <row r="1451" spans="1:31" ht="89.25" x14ac:dyDescent="0.2">
      <c r="A1451" s="6" t="s">
        <v>7126</v>
      </c>
      <c r="B1451" s="6" t="s">
        <v>7192</v>
      </c>
      <c r="C1451" s="20" t="s">
        <v>7193</v>
      </c>
      <c r="D1451" s="6" t="s">
        <v>7194</v>
      </c>
      <c r="E1451" s="6"/>
      <c r="F1451" s="6" t="s">
        <v>6209</v>
      </c>
      <c r="G1451" s="6" t="s">
        <v>6436</v>
      </c>
      <c r="H1451" s="6" t="str">
        <f t="shared" ref="H1451:H1452" si="130">CONCATENATE(F1451,"(",G1451,")")</f>
        <v>MOLIA
THE OVERSEER(P1
P43)</v>
      </c>
      <c r="I1451" s="6" t="s">
        <v>112</v>
      </c>
      <c r="J1451" s="6"/>
      <c r="K1451" s="6"/>
      <c r="L1451" s="6" t="s">
        <v>209</v>
      </c>
      <c r="M1451" s="6" t="str">
        <f>VLOOKUP(L1451, GLOSSARY!$A:$C, 2, FALSE)</f>
        <v>BREADNUT ISLAND PEN</v>
      </c>
      <c r="N1451" s="6" t="s">
        <v>68</v>
      </c>
      <c r="O1451" s="6"/>
      <c r="P1451" s="6"/>
      <c r="Q1451" s="6"/>
      <c r="R1451" s="6"/>
      <c r="S1451" s="6"/>
      <c r="T1451" s="6"/>
      <c r="U1451" s="6"/>
      <c r="V1451" s="6"/>
      <c r="W1451" s="6"/>
      <c r="X1451" s="6"/>
      <c r="Y1451" s="6"/>
      <c r="Z1451" s="6"/>
      <c r="AA1451" s="6"/>
      <c r="AB1451" s="6"/>
      <c r="AC1451" s="6"/>
      <c r="AD1451" s="6"/>
      <c r="AE1451" s="6"/>
    </row>
    <row r="1452" spans="1:31" ht="38.25" x14ac:dyDescent="0.2">
      <c r="A1452" s="6" t="s">
        <v>7195</v>
      </c>
      <c r="B1452" s="6" t="s">
        <v>3993</v>
      </c>
      <c r="C1452" s="20" t="s">
        <v>7196</v>
      </c>
      <c r="D1452" s="6" t="s">
        <v>7197</v>
      </c>
      <c r="E1452" s="6"/>
      <c r="F1452" s="6" t="s">
        <v>1149</v>
      </c>
      <c r="G1452" s="6" t="s">
        <v>1715</v>
      </c>
      <c r="H1452" s="6" t="str">
        <f t="shared" si="130"/>
        <v>SAM(P290)</v>
      </c>
      <c r="I1452" s="6" t="s">
        <v>3809</v>
      </c>
      <c r="J1452" s="6" t="s">
        <v>1716</v>
      </c>
      <c r="K1452" s="6"/>
      <c r="L1452" s="6" t="s">
        <v>3171</v>
      </c>
      <c r="M1452" s="6" t="str">
        <f>VLOOKUP(L1452, GLOSSARY!$A:$C, 2, FALSE)</f>
        <v>MR. HAYWARD'S</v>
      </c>
      <c r="N1452" s="6" t="s">
        <v>167</v>
      </c>
      <c r="O1452" s="6"/>
      <c r="P1452" s="6"/>
      <c r="Q1452" s="6"/>
      <c r="R1452" s="6"/>
      <c r="S1452" s="6"/>
      <c r="T1452" s="6"/>
      <c r="U1452" s="6"/>
      <c r="V1452" s="6"/>
      <c r="W1452" s="6"/>
      <c r="X1452" s="6"/>
      <c r="Y1452" s="6"/>
      <c r="Z1452" s="6"/>
      <c r="AA1452" s="6"/>
      <c r="AB1452" s="6"/>
      <c r="AC1452" s="6"/>
      <c r="AD1452" s="6"/>
      <c r="AE1452" s="6"/>
    </row>
    <row r="1453" spans="1:31" ht="63.75" x14ac:dyDescent="0.2">
      <c r="A1453" s="6" t="s">
        <v>7198</v>
      </c>
      <c r="B1453" s="6" t="s">
        <v>4444</v>
      </c>
      <c r="C1453" s="20" t="s">
        <v>7199</v>
      </c>
      <c r="D1453" s="6" t="s">
        <v>7200</v>
      </c>
      <c r="E1453" s="6"/>
      <c r="F1453" s="6" t="s">
        <v>7201</v>
      </c>
      <c r="G1453" s="6" t="s">
        <v>7202</v>
      </c>
      <c r="H1453" s="6" t="str">
        <f t="shared" ref="H1453:H1467" si="131">CONCATENATE(F1453," (",G1453,")")</f>
        <v>JOHN
THE OVERSEER (P9
P43)</v>
      </c>
      <c r="I1453" s="6" t="s">
        <v>957</v>
      </c>
      <c r="J1453" s="6" t="s">
        <v>754</v>
      </c>
      <c r="K1453" s="6"/>
      <c r="L1453" s="6" t="s">
        <v>209</v>
      </c>
      <c r="M1453" s="6" t="str">
        <f>VLOOKUP(L1453, GLOSSARY!$A:$C, 2, FALSE)</f>
        <v>BREADNUT ISLAND PEN</v>
      </c>
      <c r="N1453" s="6" t="s">
        <v>68</v>
      </c>
      <c r="O1453" s="6"/>
      <c r="P1453" s="6"/>
      <c r="Q1453" s="6"/>
      <c r="R1453" s="6"/>
      <c r="S1453" s="6"/>
      <c r="T1453" s="6"/>
      <c r="U1453" s="6"/>
      <c r="V1453" s="6"/>
      <c r="W1453" s="6"/>
      <c r="X1453" s="6"/>
      <c r="Y1453" s="6"/>
      <c r="Z1453" s="6"/>
      <c r="AA1453" s="6"/>
      <c r="AB1453" s="6"/>
      <c r="AC1453" s="6"/>
      <c r="AD1453" s="6"/>
      <c r="AE1453" s="6"/>
    </row>
    <row r="1454" spans="1:31" ht="63.75" x14ac:dyDescent="0.2">
      <c r="A1454" s="6" t="s">
        <v>7203</v>
      </c>
      <c r="B1454" s="6" t="s">
        <v>3999</v>
      </c>
      <c r="C1454" s="20" t="s">
        <v>7204</v>
      </c>
      <c r="D1454" s="6" t="s">
        <v>7205</v>
      </c>
      <c r="E1454" s="6"/>
      <c r="F1454" s="6" t="s">
        <v>48</v>
      </c>
      <c r="G1454" s="6" t="s">
        <v>50</v>
      </c>
      <c r="H1454" s="6" t="str">
        <f t="shared" si="131"/>
        <v>THE OVERSEER (P43)</v>
      </c>
      <c r="I1454" s="6" t="s">
        <v>533</v>
      </c>
      <c r="J1454" s="6"/>
      <c r="K1454" s="6"/>
      <c r="L1454" s="6" t="s">
        <v>209</v>
      </c>
      <c r="M1454" s="6" t="str">
        <f>VLOOKUP(L1454, GLOSSARY!$A:$C, 2, FALSE)</f>
        <v>BREADNUT ISLAND PEN</v>
      </c>
      <c r="N1454" s="6" t="s">
        <v>167</v>
      </c>
      <c r="O1454" s="6"/>
      <c r="P1454" s="6"/>
      <c r="Q1454" s="6"/>
      <c r="R1454" s="6"/>
      <c r="S1454" s="6"/>
      <c r="T1454" s="6"/>
      <c r="U1454" s="6"/>
      <c r="V1454" s="6"/>
      <c r="W1454" s="6"/>
      <c r="X1454" s="6"/>
      <c r="Y1454" s="6"/>
      <c r="Z1454" s="6"/>
      <c r="AA1454" s="6"/>
      <c r="AB1454" s="6"/>
      <c r="AC1454" s="6"/>
      <c r="AD1454" s="6"/>
      <c r="AE1454" s="6"/>
    </row>
    <row r="1455" spans="1:31" ht="63.75" x14ac:dyDescent="0.2">
      <c r="A1455" s="6" t="s">
        <v>7203</v>
      </c>
      <c r="B1455" s="6" t="s">
        <v>4023</v>
      </c>
      <c r="C1455" s="20" t="s">
        <v>7206</v>
      </c>
      <c r="D1455" s="6" t="s">
        <v>7207</v>
      </c>
      <c r="E1455" s="6"/>
      <c r="F1455" s="6" t="s">
        <v>1648</v>
      </c>
      <c r="G1455" s="6" t="s">
        <v>1649</v>
      </c>
      <c r="H1455" s="6" t="str">
        <f t="shared" si="131"/>
        <v>THE OVERSEER
PHIBBAH (P43
P7)</v>
      </c>
      <c r="I1455" s="6" t="s">
        <v>533</v>
      </c>
      <c r="J1455" s="6" t="s">
        <v>1652</v>
      </c>
      <c r="K1455" s="6"/>
      <c r="L1455" s="6" t="s">
        <v>209</v>
      </c>
      <c r="M1455" s="6" t="str">
        <f>VLOOKUP(L1455, GLOSSARY!$A:$C, 2, FALSE)</f>
        <v>BREADNUT ISLAND PEN</v>
      </c>
      <c r="N1455" s="6" t="s">
        <v>167</v>
      </c>
      <c r="O1455" s="6"/>
      <c r="P1455" s="6"/>
      <c r="Q1455" s="6"/>
      <c r="R1455" s="6"/>
      <c r="S1455" s="6"/>
      <c r="T1455" s="6"/>
      <c r="U1455" s="6"/>
      <c r="V1455" s="6"/>
      <c r="W1455" s="6"/>
      <c r="X1455" s="6"/>
      <c r="Y1455" s="6"/>
      <c r="Z1455" s="6"/>
      <c r="AA1455" s="6"/>
      <c r="AB1455" s="6"/>
      <c r="AC1455" s="6"/>
      <c r="AD1455" s="6"/>
      <c r="AE1455" s="6"/>
    </row>
    <row r="1456" spans="1:31" ht="76.5" x14ac:dyDescent="0.2">
      <c r="A1456" s="6" t="s">
        <v>7203</v>
      </c>
      <c r="B1456" s="6" t="s">
        <v>3821</v>
      </c>
      <c r="C1456" s="20" t="s">
        <v>7208</v>
      </c>
      <c r="D1456" s="6" t="s">
        <v>7209</v>
      </c>
      <c r="E1456" s="6"/>
      <c r="F1456" s="6" t="s">
        <v>1648</v>
      </c>
      <c r="G1456" s="6" t="s">
        <v>1649</v>
      </c>
      <c r="H1456" s="6" t="str">
        <f t="shared" si="131"/>
        <v>THE OVERSEER
PHIBBAH (P43
P7)</v>
      </c>
      <c r="I1456" s="6" t="s">
        <v>533</v>
      </c>
      <c r="J1456" s="6" t="s">
        <v>1652</v>
      </c>
      <c r="K1456" s="6"/>
      <c r="L1456" s="6" t="s">
        <v>209</v>
      </c>
      <c r="M1456" s="6" t="str">
        <f>VLOOKUP(L1456, GLOSSARY!$A:$C, 2, FALSE)</f>
        <v>BREADNUT ISLAND PEN</v>
      </c>
      <c r="N1456" s="6" t="s">
        <v>167</v>
      </c>
      <c r="O1456" s="6"/>
      <c r="P1456" s="6"/>
      <c r="Q1456" s="6"/>
      <c r="R1456" s="6"/>
      <c r="S1456" s="6"/>
      <c r="T1456" s="6"/>
      <c r="U1456" s="6"/>
      <c r="V1456" s="6"/>
      <c r="W1456" s="6"/>
      <c r="X1456" s="6"/>
      <c r="Y1456" s="6"/>
      <c r="Z1456" s="6"/>
      <c r="AA1456" s="6"/>
      <c r="AB1456" s="6"/>
      <c r="AC1456" s="6"/>
      <c r="AD1456" s="6"/>
      <c r="AE1456" s="6"/>
    </row>
    <row r="1457" spans="1:31" ht="63.75" x14ac:dyDescent="0.2">
      <c r="A1457" s="6" t="s">
        <v>7203</v>
      </c>
      <c r="B1457" s="6" t="s">
        <v>4036</v>
      </c>
      <c r="C1457" s="20" t="s">
        <v>7210</v>
      </c>
      <c r="D1457" s="6" t="s">
        <v>7211</v>
      </c>
      <c r="E1457" s="6"/>
      <c r="F1457" s="6" t="s">
        <v>1648</v>
      </c>
      <c r="G1457" s="6" t="s">
        <v>1649</v>
      </c>
      <c r="H1457" s="6" t="str">
        <f t="shared" si="131"/>
        <v>THE OVERSEER
PHIBBAH (P43
P7)</v>
      </c>
      <c r="I1457" s="6" t="s">
        <v>533</v>
      </c>
      <c r="J1457" s="6" t="s">
        <v>1652</v>
      </c>
      <c r="K1457" s="6"/>
      <c r="L1457" s="6" t="s">
        <v>209</v>
      </c>
      <c r="M1457" s="6" t="str">
        <f>VLOOKUP(L1457, GLOSSARY!$A:$C, 2, FALSE)</f>
        <v>BREADNUT ISLAND PEN</v>
      </c>
      <c r="N1457" s="6" t="s">
        <v>167</v>
      </c>
      <c r="O1457" s="6"/>
      <c r="P1457" s="6"/>
      <c r="Q1457" s="6"/>
      <c r="R1457" s="6"/>
      <c r="S1457" s="6"/>
      <c r="T1457" s="6"/>
      <c r="U1457" s="6"/>
      <c r="V1457" s="6"/>
      <c r="W1457" s="6"/>
      <c r="X1457" s="6"/>
      <c r="Y1457" s="6"/>
      <c r="Z1457" s="6"/>
      <c r="AA1457" s="6"/>
      <c r="AB1457" s="6"/>
      <c r="AC1457" s="6"/>
      <c r="AD1457" s="6"/>
      <c r="AE1457" s="6"/>
    </row>
    <row r="1458" spans="1:31" ht="63.75" x14ac:dyDescent="0.2">
      <c r="A1458" s="6" t="s">
        <v>7203</v>
      </c>
      <c r="B1458" s="6" t="s">
        <v>4036</v>
      </c>
      <c r="C1458" s="20" t="s">
        <v>7212</v>
      </c>
      <c r="D1458" s="6" t="s">
        <v>7213</v>
      </c>
      <c r="E1458" s="6"/>
      <c r="F1458" s="6" t="s">
        <v>1648</v>
      </c>
      <c r="G1458" s="6" t="s">
        <v>1649</v>
      </c>
      <c r="H1458" s="6" t="str">
        <f t="shared" si="131"/>
        <v>THE OVERSEER
PHIBBAH (P43
P7)</v>
      </c>
      <c r="I1458" s="6" t="s">
        <v>533</v>
      </c>
      <c r="J1458" s="6" t="s">
        <v>1652</v>
      </c>
      <c r="K1458" s="6"/>
      <c r="L1458" s="6" t="s">
        <v>209</v>
      </c>
      <c r="M1458" s="6" t="str">
        <f>VLOOKUP(L1458, GLOSSARY!$A:$C, 2, FALSE)</f>
        <v>BREADNUT ISLAND PEN</v>
      </c>
      <c r="N1458" s="6" t="s">
        <v>167</v>
      </c>
      <c r="O1458" s="6"/>
      <c r="P1458" s="6"/>
      <c r="Q1458" s="6"/>
      <c r="R1458" s="6"/>
      <c r="S1458" s="6"/>
      <c r="T1458" s="6"/>
      <c r="U1458" s="6"/>
      <c r="V1458" s="6"/>
      <c r="W1458" s="6"/>
      <c r="X1458" s="6"/>
      <c r="Y1458" s="6"/>
      <c r="Z1458" s="6"/>
      <c r="AA1458" s="6"/>
      <c r="AB1458" s="6"/>
      <c r="AC1458" s="6"/>
      <c r="AD1458" s="6"/>
      <c r="AE1458" s="6"/>
    </row>
    <row r="1459" spans="1:31" ht="63.75" x14ac:dyDescent="0.2">
      <c r="A1459" s="6" t="s">
        <v>7203</v>
      </c>
      <c r="B1459" s="6" t="s">
        <v>4043</v>
      </c>
      <c r="C1459" s="20" t="s">
        <v>7214</v>
      </c>
      <c r="D1459" s="6" t="s">
        <v>7215</v>
      </c>
      <c r="E1459" s="6"/>
      <c r="F1459" s="6" t="s">
        <v>1648</v>
      </c>
      <c r="G1459" s="6" t="s">
        <v>1649</v>
      </c>
      <c r="H1459" s="6" t="str">
        <f t="shared" si="131"/>
        <v>THE OVERSEER
PHIBBAH (P43
P7)</v>
      </c>
      <c r="I1459" s="6" t="s">
        <v>533</v>
      </c>
      <c r="J1459" s="6" t="s">
        <v>1652</v>
      </c>
      <c r="K1459" s="6"/>
      <c r="L1459" s="6" t="s">
        <v>209</v>
      </c>
      <c r="M1459" s="6" t="str">
        <f>VLOOKUP(L1459, GLOSSARY!$A:$C, 2, FALSE)</f>
        <v>BREADNUT ISLAND PEN</v>
      </c>
      <c r="N1459" s="6" t="s">
        <v>167</v>
      </c>
      <c r="O1459" s="6"/>
      <c r="P1459" s="6"/>
      <c r="Q1459" s="6"/>
      <c r="R1459" s="6"/>
      <c r="S1459" s="6"/>
      <c r="T1459" s="6"/>
      <c r="U1459" s="6"/>
      <c r="V1459" s="6"/>
      <c r="W1459" s="6"/>
      <c r="X1459" s="6"/>
      <c r="Y1459" s="6"/>
      <c r="Z1459" s="6"/>
      <c r="AA1459" s="6"/>
      <c r="AB1459" s="6"/>
      <c r="AC1459" s="6"/>
      <c r="AD1459" s="6"/>
      <c r="AE1459" s="6"/>
    </row>
    <row r="1460" spans="1:31" ht="63.75" x14ac:dyDescent="0.2">
      <c r="A1460" s="6" t="s">
        <v>7203</v>
      </c>
      <c r="B1460" s="6" t="s">
        <v>4043</v>
      </c>
      <c r="C1460" s="20" t="s">
        <v>7216</v>
      </c>
      <c r="D1460" s="6" t="s">
        <v>7217</v>
      </c>
      <c r="E1460" s="6"/>
      <c r="F1460" s="6" t="s">
        <v>1648</v>
      </c>
      <c r="G1460" s="6" t="s">
        <v>1649</v>
      </c>
      <c r="H1460" s="6" t="str">
        <f t="shared" si="131"/>
        <v>THE OVERSEER
PHIBBAH (P43
P7)</v>
      </c>
      <c r="I1460" s="6" t="s">
        <v>533</v>
      </c>
      <c r="J1460" s="6" t="s">
        <v>1652</v>
      </c>
      <c r="K1460" s="6"/>
      <c r="L1460" s="6" t="s">
        <v>209</v>
      </c>
      <c r="M1460" s="6" t="str">
        <f>VLOOKUP(L1460, GLOSSARY!$A:$C, 2, FALSE)</f>
        <v>BREADNUT ISLAND PEN</v>
      </c>
      <c r="N1460" s="6" t="s">
        <v>167</v>
      </c>
      <c r="O1460" s="6"/>
      <c r="P1460" s="6"/>
      <c r="Q1460" s="6"/>
      <c r="R1460" s="6"/>
      <c r="S1460" s="6"/>
      <c r="T1460" s="6"/>
      <c r="U1460" s="6"/>
      <c r="V1460" s="6"/>
      <c r="W1460" s="6"/>
      <c r="X1460" s="6"/>
      <c r="Y1460" s="6"/>
      <c r="Z1460" s="6"/>
      <c r="AA1460" s="6"/>
      <c r="AB1460" s="6"/>
      <c r="AC1460" s="6"/>
      <c r="AD1460" s="6"/>
      <c r="AE1460" s="6"/>
    </row>
    <row r="1461" spans="1:31" ht="89.25" x14ac:dyDescent="0.2">
      <c r="A1461" s="6" t="s">
        <v>7203</v>
      </c>
      <c r="B1461" s="6" t="s">
        <v>4049</v>
      </c>
      <c r="C1461" s="20" t="s">
        <v>7218</v>
      </c>
      <c r="D1461" s="6" t="s">
        <v>7219</v>
      </c>
      <c r="E1461" s="6"/>
      <c r="F1461" s="6" t="s">
        <v>1648</v>
      </c>
      <c r="G1461" s="6" t="s">
        <v>1649</v>
      </c>
      <c r="H1461" s="6" t="str">
        <f t="shared" si="131"/>
        <v>THE OVERSEER
PHIBBAH (P43
P7)</v>
      </c>
      <c r="I1461" s="6" t="s">
        <v>533</v>
      </c>
      <c r="J1461" s="6" t="s">
        <v>1652</v>
      </c>
      <c r="K1461" s="6"/>
      <c r="L1461" s="6" t="s">
        <v>209</v>
      </c>
      <c r="M1461" s="6" t="str">
        <f>VLOOKUP(L1461, GLOSSARY!$A:$C, 2, FALSE)</f>
        <v>BREADNUT ISLAND PEN</v>
      </c>
      <c r="N1461" s="6" t="s">
        <v>287</v>
      </c>
      <c r="O1461" s="6"/>
      <c r="P1461" s="6"/>
      <c r="Q1461" s="6"/>
      <c r="R1461" s="6"/>
      <c r="S1461" s="6"/>
      <c r="T1461" s="6"/>
      <c r="U1461" s="6"/>
      <c r="V1461" s="6"/>
      <c r="W1461" s="6"/>
      <c r="X1461" s="6"/>
      <c r="Y1461" s="6"/>
      <c r="Z1461" s="6"/>
      <c r="AA1461" s="6"/>
      <c r="AB1461" s="6"/>
      <c r="AC1461" s="6"/>
      <c r="AD1461" s="6"/>
      <c r="AE1461" s="6"/>
    </row>
    <row r="1462" spans="1:31" ht="127.5" x14ac:dyDescent="0.2">
      <c r="A1462" s="6" t="s">
        <v>7203</v>
      </c>
      <c r="B1462" s="6" t="s">
        <v>4055</v>
      </c>
      <c r="C1462" s="20" t="s">
        <v>7220</v>
      </c>
      <c r="D1462" s="6" t="s">
        <v>7221</v>
      </c>
      <c r="E1462" s="6"/>
      <c r="F1462" s="6" t="s">
        <v>1648</v>
      </c>
      <c r="G1462" s="6" t="s">
        <v>1649</v>
      </c>
      <c r="H1462" s="6" t="str">
        <f t="shared" si="131"/>
        <v>THE OVERSEER
PHIBBAH (P43
P7)</v>
      </c>
      <c r="I1462" s="6" t="s">
        <v>533</v>
      </c>
      <c r="J1462" s="6"/>
      <c r="K1462" s="6"/>
      <c r="L1462" s="6" t="s">
        <v>209</v>
      </c>
      <c r="M1462" s="6" t="str">
        <f>VLOOKUP(L1462, GLOSSARY!$A:$C, 2, FALSE)</f>
        <v>BREADNUT ISLAND PEN</v>
      </c>
      <c r="N1462" s="6" t="s">
        <v>287</v>
      </c>
      <c r="O1462" s="6"/>
      <c r="P1462" s="6"/>
      <c r="Q1462" s="6"/>
      <c r="R1462" s="6"/>
      <c r="S1462" s="6"/>
      <c r="T1462" s="6"/>
      <c r="U1462" s="6"/>
      <c r="V1462" s="6"/>
      <c r="W1462" s="6"/>
      <c r="X1462" s="6"/>
      <c r="Y1462" s="6"/>
      <c r="Z1462" s="6"/>
      <c r="AA1462" s="6"/>
      <c r="AB1462" s="6"/>
      <c r="AC1462" s="6"/>
      <c r="AD1462" s="6"/>
      <c r="AE1462" s="6"/>
    </row>
    <row r="1463" spans="1:31" ht="63.75" x14ac:dyDescent="0.2">
      <c r="A1463" s="6" t="s">
        <v>7222</v>
      </c>
      <c r="B1463" s="6" t="s">
        <v>4055</v>
      </c>
      <c r="C1463" s="20" t="s">
        <v>7220</v>
      </c>
      <c r="D1463" s="6" t="s">
        <v>7223</v>
      </c>
      <c r="E1463" s="6"/>
      <c r="F1463" s="6" t="s">
        <v>7224</v>
      </c>
      <c r="G1463" s="6" t="s">
        <v>7225</v>
      </c>
      <c r="H1463" s="6" t="str">
        <f t="shared" si="131"/>
        <v>HOUSE FRANKE
PARADISE JACK (P10
P35)</v>
      </c>
      <c r="I1463" s="6" t="s">
        <v>533</v>
      </c>
      <c r="J1463" s="6"/>
      <c r="K1463" s="6"/>
      <c r="L1463" s="6" t="s">
        <v>99</v>
      </c>
      <c r="M1463" s="6" t="str">
        <f>VLOOKUP(L1463, GLOSSARY!$A:$C, 2, FALSE)</f>
        <v>PARADISE ESTATE</v>
      </c>
      <c r="N1463" s="6" t="s">
        <v>68</v>
      </c>
      <c r="O1463" s="6"/>
      <c r="P1463" s="6"/>
      <c r="Q1463" s="6"/>
      <c r="R1463" s="6"/>
      <c r="S1463" s="6"/>
      <c r="T1463" s="6"/>
      <c r="U1463" s="6"/>
      <c r="V1463" s="6"/>
      <c r="W1463" s="6"/>
      <c r="X1463" s="6"/>
      <c r="Y1463" s="6"/>
      <c r="Z1463" s="6"/>
      <c r="AA1463" s="6"/>
      <c r="AB1463" s="6"/>
      <c r="AC1463" s="6"/>
      <c r="AD1463" s="6"/>
      <c r="AE1463" s="6"/>
    </row>
    <row r="1464" spans="1:31" ht="89.25" x14ac:dyDescent="0.2">
      <c r="A1464" s="6" t="s">
        <v>7226</v>
      </c>
      <c r="B1464" s="6" t="s">
        <v>4103</v>
      </c>
      <c r="C1464" s="20" t="s">
        <v>7227</v>
      </c>
      <c r="D1464" s="6" t="s">
        <v>7228</v>
      </c>
      <c r="E1464" s="6"/>
      <c r="F1464" s="6" t="s">
        <v>7229</v>
      </c>
      <c r="G1464" s="6" t="s">
        <v>7230</v>
      </c>
      <c r="H1464" s="6" t="str">
        <f t="shared" si="131"/>
        <v>VINE
THE OVERSEER
CUMBERLAND (P12
P43
P269)</v>
      </c>
      <c r="I1464" s="6" t="s">
        <v>784</v>
      </c>
      <c r="J1464" s="6"/>
      <c r="K1464" s="6"/>
      <c r="L1464" s="6" t="s">
        <v>2992</v>
      </c>
      <c r="M1464" s="6" t="str">
        <f>VLOOKUP(L1464, GLOSSARY!$A:$C, 2, FALSE)</f>
        <v>VINE'S HOUSE</v>
      </c>
      <c r="N1464" s="6" t="s">
        <v>68</v>
      </c>
      <c r="O1464" s="6"/>
      <c r="P1464" s="6"/>
      <c r="Q1464" s="6"/>
      <c r="R1464" s="6"/>
      <c r="S1464" s="6"/>
      <c r="T1464" s="6"/>
      <c r="U1464" s="6"/>
      <c r="V1464" s="6"/>
      <c r="W1464" s="6"/>
      <c r="X1464" s="6"/>
      <c r="Y1464" s="6"/>
      <c r="Z1464" s="6"/>
      <c r="AA1464" s="6"/>
      <c r="AB1464" s="6"/>
      <c r="AC1464" s="6"/>
      <c r="AD1464" s="6"/>
      <c r="AE1464" s="6"/>
    </row>
    <row r="1465" spans="1:31" ht="25.5" x14ac:dyDescent="0.2">
      <c r="A1465" s="6" t="s">
        <v>7231</v>
      </c>
      <c r="B1465" s="6" t="s">
        <v>4112</v>
      </c>
      <c r="C1465" s="20" t="s">
        <v>7232</v>
      </c>
      <c r="D1465" s="6" t="s">
        <v>7233</v>
      </c>
      <c r="E1465" s="6"/>
      <c r="F1465" s="6" t="s">
        <v>87</v>
      </c>
      <c r="G1465" s="6" t="s">
        <v>88</v>
      </c>
      <c r="H1465" s="6" t="str">
        <f t="shared" si="131"/>
        <v>OGO (P13)</v>
      </c>
      <c r="I1465" s="6" t="s">
        <v>96</v>
      </c>
      <c r="J1465" s="6" t="s">
        <v>162</v>
      </c>
      <c r="K1465" s="6"/>
      <c r="L1465" s="6" t="s">
        <v>209</v>
      </c>
      <c r="M1465" s="6" t="str">
        <f>VLOOKUP(L1465, GLOSSARY!$A:$C, 2, FALSE)</f>
        <v>BREADNUT ISLAND PEN</v>
      </c>
      <c r="N1465" s="6" t="s">
        <v>68</v>
      </c>
      <c r="O1465" s="6"/>
      <c r="P1465" s="6"/>
      <c r="Q1465" s="6"/>
      <c r="R1465" s="6"/>
      <c r="S1465" s="6"/>
      <c r="T1465" s="6"/>
      <c r="U1465" s="6"/>
      <c r="V1465" s="6"/>
      <c r="W1465" s="6"/>
      <c r="X1465" s="6"/>
      <c r="Y1465" s="6"/>
      <c r="Z1465" s="6"/>
      <c r="AA1465" s="6"/>
      <c r="AB1465" s="6"/>
      <c r="AC1465" s="6"/>
      <c r="AD1465" s="6"/>
      <c r="AE1465" s="6"/>
    </row>
    <row r="1466" spans="1:31" ht="63.75" x14ac:dyDescent="0.2">
      <c r="A1466" s="6" t="s">
        <v>7231</v>
      </c>
      <c r="B1466" s="6" t="s">
        <v>4520</v>
      </c>
      <c r="C1466" s="20" t="s">
        <v>7234</v>
      </c>
      <c r="D1466" s="6" t="s">
        <v>7235</v>
      </c>
      <c r="E1466" s="6"/>
      <c r="F1466" s="6" t="s">
        <v>7236</v>
      </c>
      <c r="G1466" s="6" t="s">
        <v>7237</v>
      </c>
      <c r="H1466" s="6" t="str">
        <f t="shared" si="131"/>
        <v>OGO
THE OVERSEER (P13
P43)</v>
      </c>
      <c r="I1466" s="6" t="s">
        <v>409</v>
      </c>
      <c r="J1466" s="6" t="s">
        <v>162</v>
      </c>
      <c r="K1466" s="6"/>
      <c r="L1466" s="6" t="s">
        <v>158</v>
      </c>
      <c r="M1466" s="6" t="str">
        <f>VLOOKUP(L1466, GLOSSARY!$A:$C, 2, FALSE)</f>
        <v>CABARITTA ESTATE</v>
      </c>
      <c r="N1466" s="6" t="s">
        <v>68</v>
      </c>
      <c r="O1466" s="6"/>
      <c r="P1466" s="6"/>
      <c r="Q1466" s="6"/>
      <c r="R1466" s="6"/>
      <c r="S1466" s="6"/>
      <c r="T1466" s="6"/>
      <c r="U1466" s="6"/>
      <c r="V1466" s="6"/>
      <c r="W1466" s="6"/>
      <c r="X1466" s="6"/>
      <c r="Y1466" s="6"/>
      <c r="Z1466" s="6"/>
      <c r="AA1466" s="6"/>
      <c r="AB1466" s="6"/>
      <c r="AC1466" s="6"/>
      <c r="AD1466" s="6"/>
      <c r="AE1466" s="6"/>
    </row>
    <row r="1467" spans="1:31" ht="63.75" x14ac:dyDescent="0.2">
      <c r="A1467" s="6" t="s">
        <v>7231</v>
      </c>
      <c r="B1467" s="6" t="s">
        <v>4618</v>
      </c>
      <c r="C1467" s="20" t="s">
        <v>7238</v>
      </c>
      <c r="D1467" s="6" t="s">
        <v>7239</v>
      </c>
      <c r="E1467" s="6"/>
      <c r="F1467" s="6" t="s">
        <v>7240</v>
      </c>
      <c r="G1467" s="6" t="s">
        <v>7241</v>
      </c>
      <c r="H1467" s="6" t="str">
        <f t="shared" si="131"/>
        <v>OGO
VINE (P13
P12)</v>
      </c>
      <c r="I1467" s="6" t="s">
        <v>96</v>
      </c>
      <c r="J1467" s="6" t="s">
        <v>162</v>
      </c>
      <c r="K1467" s="6"/>
      <c r="L1467" s="6" t="s">
        <v>209</v>
      </c>
      <c r="M1467" s="6" t="str">
        <f>VLOOKUP(L1467, GLOSSARY!$A:$C, 2, FALSE)</f>
        <v>BREADNUT ISLAND PEN</v>
      </c>
      <c r="N1467" s="6" t="s">
        <v>68</v>
      </c>
      <c r="O1467" s="6"/>
      <c r="P1467" s="6"/>
      <c r="Q1467" s="6"/>
      <c r="R1467" s="6"/>
      <c r="S1467" s="6"/>
      <c r="T1467" s="6"/>
      <c r="U1467" s="6"/>
      <c r="V1467" s="6"/>
      <c r="W1467" s="6"/>
      <c r="X1467" s="6"/>
      <c r="Y1467" s="6"/>
      <c r="Z1467" s="6"/>
      <c r="AA1467" s="6"/>
      <c r="AB1467" s="6"/>
      <c r="AC1467" s="6"/>
      <c r="AD1467" s="6"/>
      <c r="AE1467" s="6"/>
    </row>
    <row r="1468" spans="1:31" ht="38.25" x14ac:dyDescent="0.2">
      <c r="A1468" s="6" t="s">
        <v>7242</v>
      </c>
      <c r="B1468" s="6" t="s">
        <v>2093</v>
      </c>
      <c r="C1468" s="20" t="s">
        <v>7243</v>
      </c>
      <c r="D1468" s="6" t="s">
        <v>7244</v>
      </c>
      <c r="E1468" s="6"/>
      <c r="F1468" s="6" t="s">
        <v>425</v>
      </c>
      <c r="G1468" s="6" t="s">
        <v>423</v>
      </c>
      <c r="H1468" s="6" t="str">
        <f>CONCATENATE(F1468,"(",G1468,")")</f>
        <v>ARTHUR FOREST(P47)</v>
      </c>
      <c r="I1468" s="6" t="s">
        <v>1068</v>
      </c>
      <c r="J1468" s="6"/>
      <c r="K1468" s="6"/>
      <c r="L1468" s="6" t="s">
        <v>427</v>
      </c>
      <c r="M1468" s="6" t="str">
        <f>VLOOKUP(L1468, GLOSSARY!$A:$C, 2, FALSE)</f>
        <v>MASEMURE ESTATE</v>
      </c>
      <c r="N1468" s="6" t="s">
        <v>287</v>
      </c>
      <c r="O1468" s="6"/>
      <c r="P1468" s="6"/>
      <c r="Q1468" s="6"/>
      <c r="R1468" s="6"/>
      <c r="S1468" s="6"/>
      <c r="T1468" s="6"/>
      <c r="U1468" s="6"/>
      <c r="V1468" s="6"/>
      <c r="W1468" s="6"/>
      <c r="X1468" s="6"/>
      <c r="Y1468" s="6"/>
      <c r="Z1468" s="6"/>
      <c r="AA1468" s="6"/>
      <c r="AB1468" s="6"/>
      <c r="AC1468" s="6"/>
      <c r="AD1468" s="6"/>
      <c r="AE1468" s="6"/>
    </row>
    <row r="1469" spans="1:31" ht="25.5" x14ac:dyDescent="0.2">
      <c r="A1469" s="6" t="s">
        <v>7231</v>
      </c>
      <c r="B1469" s="6" t="s">
        <v>4370</v>
      </c>
      <c r="C1469" s="20" t="s">
        <v>7245</v>
      </c>
      <c r="D1469" s="6" t="s">
        <v>7246</v>
      </c>
      <c r="E1469" s="6"/>
      <c r="F1469" s="6" t="s">
        <v>87</v>
      </c>
      <c r="G1469" s="6" t="s">
        <v>88</v>
      </c>
      <c r="H1469" s="6" t="str">
        <f t="shared" ref="H1469:H1498" si="132">CONCATENATE(F1469," (",G1469,")")</f>
        <v>OGO (P13)</v>
      </c>
      <c r="I1469" s="6" t="s">
        <v>96</v>
      </c>
      <c r="J1469" s="6" t="s">
        <v>162</v>
      </c>
      <c r="K1469" s="6"/>
      <c r="L1469" s="6" t="s">
        <v>209</v>
      </c>
      <c r="M1469" s="6" t="str">
        <f>VLOOKUP(L1469, GLOSSARY!$A:$C, 2, FALSE)</f>
        <v>BREADNUT ISLAND PEN</v>
      </c>
      <c r="N1469" s="6" t="s">
        <v>68</v>
      </c>
      <c r="O1469" s="6"/>
      <c r="P1469" s="6"/>
      <c r="Q1469" s="6"/>
      <c r="R1469" s="6"/>
      <c r="S1469" s="6"/>
      <c r="T1469" s="6"/>
      <c r="U1469" s="6"/>
      <c r="V1469" s="6"/>
      <c r="W1469" s="6"/>
      <c r="X1469" s="6"/>
      <c r="Y1469" s="6"/>
      <c r="Z1469" s="6"/>
      <c r="AA1469" s="6"/>
      <c r="AB1469" s="6"/>
      <c r="AC1469" s="6"/>
      <c r="AD1469" s="6"/>
      <c r="AE1469" s="6"/>
    </row>
    <row r="1470" spans="1:31" ht="51" x14ac:dyDescent="0.2">
      <c r="A1470" s="6" t="s">
        <v>7231</v>
      </c>
      <c r="B1470" s="6" t="s">
        <v>4390</v>
      </c>
      <c r="C1470" s="20" t="s">
        <v>7247</v>
      </c>
      <c r="D1470" s="6" t="s">
        <v>7248</v>
      </c>
      <c r="E1470" s="6"/>
      <c r="F1470" s="6" t="s">
        <v>87</v>
      </c>
      <c r="G1470" s="6" t="s">
        <v>88</v>
      </c>
      <c r="H1470" s="6" t="str">
        <f t="shared" si="132"/>
        <v>OGO (P13)</v>
      </c>
      <c r="I1470" s="6" t="s">
        <v>139</v>
      </c>
      <c r="J1470" s="6" t="s">
        <v>162</v>
      </c>
      <c r="K1470" s="6"/>
      <c r="L1470" s="6" t="s">
        <v>209</v>
      </c>
      <c r="M1470" s="6" t="str">
        <f>VLOOKUP(L1470, GLOSSARY!$A:$C, 2, FALSE)</f>
        <v>BREADNUT ISLAND PEN</v>
      </c>
      <c r="N1470" s="6" t="s">
        <v>68</v>
      </c>
      <c r="O1470" s="6"/>
      <c r="P1470" s="6"/>
      <c r="Q1470" s="6"/>
      <c r="R1470" s="6"/>
      <c r="S1470" s="6"/>
      <c r="T1470" s="6"/>
      <c r="U1470" s="6"/>
      <c r="V1470" s="6"/>
      <c r="W1470" s="6"/>
      <c r="X1470" s="6"/>
      <c r="Y1470" s="6"/>
      <c r="Z1470" s="6"/>
      <c r="AA1470" s="6"/>
      <c r="AB1470" s="6"/>
      <c r="AC1470" s="6"/>
      <c r="AD1470" s="6"/>
      <c r="AE1470" s="6"/>
    </row>
    <row r="1471" spans="1:31" ht="63.75" x14ac:dyDescent="0.2">
      <c r="A1471" s="6" t="s">
        <v>7231</v>
      </c>
      <c r="B1471" s="6" t="s">
        <v>5158</v>
      </c>
      <c r="C1471" s="20" t="s">
        <v>7249</v>
      </c>
      <c r="D1471" s="6" t="s">
        <v>7250</v>
      </c>
      <c r="E1471" s="6"/>
      <c r="F1471" s="6" t="s">
        <v>7251</v>
      </c>
      <c r="G1471" s="6" t="s">
        <v>7252</v>
      </c>
      <c r="H1471" s="6" t="str">
        <f t="shared" si="132"/>
        <v>OGO
CHUB (P13
P57)</v>
      </c>
      <c r="I1471" s="6" t="s">
        <v>784</v>
      </c>
      <c r="J1471" s="6" t="s">
        <v>162</v>
      </c>
      <c r="K1471" s="6"/>
      <c r="L1471" s="6" t="s">
        <v>209</v>
      </c>
      <c r="M1471" s="6" t="str">
        <f>VLOOKUP(L1471, GLOSSARY!$A:$C, 2, FALSE)</f>
        <v>BREADNUT ISLAND PEN</v>
      </c>
      <c r="N1471" s="6" t="s">
        <v>68</v>
      </c>
      <c r="O1471" s="6"/>
      <c r="P1471" s="6"/>
      <c r="Q1471" s="6"/>
      <c r="R1471" s="6"/>
      <c r="S1471" s="6"/>
      <c r="T1471" s="6"/>
      <c r="U1471" s="6"/>
      <c r="V1471" s="6"/>
      <c r="W1471" s="6"/>
      <c r="X1471" s="6"/>
      <c r="Y1471" s="6"/>
      <c r="Z1471" s="6"/>
      <c r="AA1471" s="6"/>
      <c r="AB1471" s="6"/>
      <c r="AC1471" s="6"/>
      <c r="AD1471" s="6"/>
      <c r="AE1471" s="6"/>
    </row>
    <row r="1472" spans="1:31" ht="63.75" x14ac:dyDescent="0.2">
      <c r="A1472" s="6" t="s">
        <v>7231</v>
      </c>
      <c r="B1472" s="6" t="s">
        <v>4410</v>
      </c>
      <c r="C1472" s="20" t="s">
        <v>7253</v>
      </c>
      <c r="D1472" s="6" t="s">
        <v>7254</v>
      </c>
      <c r="E1472" s="6"/>
      <c r="F1472" s="6" t="s">
        <v>7236</v>
      </c>
      <c r="G1472" s="6" t="s">
        <v>7237</v>
      </c>
      <c r="H1472" s="6" t="str">
        <f t="shared" si="132"/>
        <v>OGO
THE OVERSEER (P13
P43)</v>
      </c>
      <c r="I1472" s="6" t="s">
        <v>409</v>
      </c>
      <c r="J1472" s="6" t="s">
        <v>162</v>
      </c>
      <c r="K1472" s="6"/>
      <c r="L1472" s="6" t="s">
        <v>2964</v>
      </c>
      <c r="M1472" s="6" t="str">
        <f>VLOOKUP(L1472, GLOSSARY!$A:$C, 2, FALSE)</f>
        <v>SOLON'S HOUSE</v>
      </c>
      <c r="N1472" s="6" t="s">
        <v>167</v>
      </c>
      <c r="O1472" s="6"/>
      <c r="P1472" s="6"/>
      <c r="Q1472" s="6"/>
      <c r="R1472" s="6"/>
      <c r="S1472" s="6"/>
      <c r="T1472" s="6"/>
      <c r="U1472" s="6"/>
      <c r="V1472" s="6"/>
      <c r="W1472" s="6"/>
      <c r="X1472" s="6"/>
      <c r="Y1472" s="6"/>
      <c r="Z1472" s="6"/>
      <c r="AA1472" s="6"/>
      <c r="AB1472" s="6"/>
      <c r="AC1472" s="6"/>
      <c r="AD1472" s="6"/>
      <c r="AE1472" s="6"/>
    </row>
    <row r="1473" spans="1:31" ht="12.75" x14ac:dyDescent="0.2">
      <c r="A1473" s="6" t="s">
        <v>7231</v>
      </c>
      <c r="B1473" s="6" t="s">
        <v>4410</v>
      </c>
      <c r="C1473" s="20" t="s">
        <v>7255</v>
      </c>
      <c r="D1473" s="6" t="s">
        <v>7256</v>
      </c>
      <c r="E1473" s="6"/>
      <c r="F1473" s="6" t="s">
        <v>87</v>
      </c>
      <c r="G1473" s="6" t="s">
        <v>88</v>
      </c>
      <c r="H1473" s="6" t="str">
        <f t="shared" si="132"/>
        <v>OGO (P13)</v>
      </c>
      <c r="I1473" s="6" t="s">
        <v>139</v>
      </c>
      <c r="J1473" s="6" t="s">
        <v>162</v>
      </c>
      <c r="K1473" s="6"/>
      <c r="L1473" s="6" t="s">
        <v>209</v>
      </c>
      <c r="M1473" s="6" t="str">
        <f>VLOOKUP(L1473, GLOSSARY!$A:$C, 2, FALSE)</f>
        <v>BREADNUT ISLAND PEN</v>
      </c>
      <c r="N1473" s="6" t="s">
        <v>68</v>
      </c>
      <c r="O1473" s="6"/>
      <c r="P1473" s="6"/>
      <c r="Q1473" s="6"/>
      <c r="R1473" s="6"/>
      <c r="S1473" s="6"/>
      <c r="T1473" s="6"/>
      <c r="U1473" s="6"/>
      <c r="V1473" s="6"/>
      <c r="W1473" s="6"/>
      <c r="X1473" s="6"/>
      <c r="Y1473" s="6"/>
      <c r="Z1473" s="6"/>
      <c r="AA1473" s="6"/>
      <c r="AB1473" s="6"/>
      <c r="AC1473" s="6"/>
      <c r="AD1473" s="6"/>
      <c r="AE1473" s="6"/>
    </row>
    <row r="1474" spans="1:31" ht="25.5" x14ac:dyDescent="0.2">
      <c r="A1474" s="6" t="s">
        <v>7231</v>
      </c>
      <c r="B1474" s="6" t="s">
        <v>4418</v>
      </c>
      <c r="C1474" s="20" t="s">
        <v>7257</v>
      </c>
      <c r="D1474" s="6" t="s">
        <v>7258</v>
      </c>
      <c r="E1474" s="6"/>
      <c r="F1474" s="6" t="s">
        <v>87</v>
      </c>
      <c r="G1474" s="6" t="s">
        <v>88</v>
      </c>
      <c r="H1474" s="6" t="str">
        <f t="shared" si="132"/>
        <v>OGO (P13)</v>
      </c>
      <c r="I1474" s="6" t="s">
        <v>533</v>
      </c>
      <c r="J1474" s="6" t="s">
        <v>162</v>
      </c>
      <c r="K1474" s="6"/>
      <c r="L1474" s="6" t="s">
        <v>209</v>
      </c>
      <c r="M1474" s="6" t="str">
        <f>VLOOKUP(L1474, GLOSSARY!$A:$C, 2, FALSE)</f>
        <v>BREADNUT ISLAND PEN</v>
      </c>
      <c r="N1474" s="6" t="s">
        <v>68</v>
      </c>
      <c r="O1474" s="6"/>
      <c r="P1474" s="6"/>
      <c r="Q1474" s="6"/>
      <c r="R1474" s="6"/>
      <c r="S1474" s="6"/>
      <c r="T1474" s="6"/>
      <c r="U1474" s="6"/>
      <c r="V1474" s="6"/>
      <c r="W1474" s="6"/>
      <c r="X1474" s="6"/>
      <c r="Y1474" s="6"/>
      <c r="Z1474" s="6"/>
      <c r="AA1474" s="6"/>
      <c r="AB1474" s="6"/>
      <c r="AC1474" s="6"/>
      <c r="AD1474" s="6"/>
      <c r="AE1474" s="6"/>
    </row>
    <row r="1475" spans="1:31" ht="12.75" x14ac:dyDescent="0.2">
      <c r="A1475" s="6" t="s">
        <v>7231</v>
      </c>
      <c r="B1475" s="6" t="s">
        <v>4418</v>
      </c>
      <c r="C1475" s="20" t="s">
        <v>7259</v>
      </c>
      <c r="D1475" s="6" t="s">
        <v>7260</v>
      </c>
      <c r="E1475" s="6"/>
      <c r="F1475" s="6" t="s">
        <v>87</v>
      </c>
      <c r="G1475" s="6" t="s">
        <v>88</v>
      </c>
      <c r="H1475" s="6" t="str">
        <f t="shared" si="132"/>
        <v>OGO (P13)</v>
      </c>
      <c r="I1475" s="6" t="s">
        <v>533</v>
      </c>
      <c r="J1475" s="6" t="s">
        <v>162</v>
      </c>
      <c r="K1475" s="6"/>
      <c r="L1475" s="6" t="s">
        <v>209</v>
      </c>
      <c r="M1475" s="6" t="str">
        <f>VLOOKUP(L1475, GLOSSARY!$A:$C, 2, FALSE)</f>
        <v>BREADNUT ISLAND PEN</v>
      </c>
      <c r="N1475" s="6" t="s">
        <v>68</v>
      </c>
      <c r="O1475" s="6"/>
      <c r="P1475" s="6"/>
      <c r="Q1475" s="6"/>
      <c r="R1475" s="6"/>
      <c r="S1475" s="6"/>
      <c r="T1475" s="6"/>
      <c r="U1475" s="6"/>
      <c r="V1475" s="6"/>
      <c r="W1475" s="6"/>
      <c r="X1475" s="6"/>
      <c r="Y1475" s="6"/>
      <c r="Z1475" s="6"/>
      <c r="AA1475" s="6"/>
      <c r="AB1475" s="6"/>
      <c r="AC1475" s="6"/>
      <c r="AD1475" s="6"/>
      <c r="AE1475" s="6"/>
    </row>
    <row r="1476" spans="1:31" ht="89.25" x14ac:dyDescent="0.2">
      <c r="A1476" s="6" t="s">
        <v>7261</v>
      </c>
      <c r="B1476" s="6" t="s">
        <v>4418</v>
      </c>
      <c r="C1476" s="20" t="s">
        <v>7259</v>
      </c>
      <c r="D1476" s="6" t="s">
        <v>7262</v>
      </c>
      <c r="E1476" s="6"/>
      <c r="F1476" s="6" t="s">
        <v>7263</v>
      </c>
      <c r="G1476" s="6" t="s">
        <v>7264</v>
      </c>
      <c r="H1476" s="6" t="str">
        <f t="shared" si="132"/>
        <v>LITTLE NANCY
PHIBBAH
LITTLE CATALINA (P7
P230
P231)</v>
      </c>
      <c r="I1476" s="6" t="s">
        <v>1047</v>
      </c>
      <c r="J1476" s="6" t="s">
        <v>1652</v>
      </c>
      <c r="K1476" s="6"/>
      <c r="L1476" s="6" t="s">
        <v>209</v>
      </c>
      <c r="M1476" s="6" t="str">
        <f>VLOOKUP(L1476, GLOSSARY!$A:$C, 2, FALSE)</f>
        <v>BREADNUT ISLAND PEN</v>
      </c>
      <c r="N1476" s="6" t="s">
        <v>167</v>
      </c>
      <c r="O1476" s="6"/>
      <c r="P1476" s="6"/>
      <c r="Q1476" s="6"/>
      <c r="R1476" s="6"/>
      <c r="S1476" s="6"/>
      <c r="T1476" s="6"/>
      <c r="U1476" s="6"/>
      <c r="V1476" s="6"/>
      <c r="W1476" s="6"/>
      <c r="X1476" s="6"/>
      <c r="Y1476" s="6"/>
      <c r="Z1476" s="6"/>
      <c r="AA1476" s="6"/>
      <c r="AB1476" s="6"/>
      <c r="AC1476" s="6"/>
      <c r="AD1476" s="6"/>
      <c r="AE1476" s="6"/>
    </row>
    <row r="1477" spans="1:31" ht="89.25" x14ac:dyDescent="0.2">
      <c r="A1477" s="6" t="s">
        <v>3902</v>
      </c>
      <c r="B1477" s="6" t="s">
        <v>3903</v>
      </c>
      <c r="C1477" s="20" t="s">
        <v>3904</v>
      </c>
      <c r="D1477" s="6" t="s">
        <v>3905</v>
      </c>
      <c r="E1477" s="6" t="s">
        <v>3906</v>
      </c>
      <c r="F1477" s="6" t="s">
        <v>7265</v>
      </c>
      <c r="G1477" s="6" t="s">
        <v>7266</v>
      </c>
      <c r="H1477" s="18" t="str">
        <f t="shared" si="132"/>
        <v>MOLIA
SOLON (P1
P26)</v>
      </c>
      <c r="I1477" s="6" t="s">
        <v>656</v>
      </c>
      <c r="J1477" s="6" t="s">
        <v>35</v>
      </c>
      <c r="K1477" s="6" t="s">
        <v>3907</v>
      </c>
      <c r="L1477" s="6" t="s">
        <v>3908</v>
      </c>
      <c r="M1477" s="18" t="e">
        <f>VLOOKUP(L1477, GLOSSARY!$A:$C, 2, FALSE)</f>
        <v>#N/A</v>
      </c>
      <c r="N1477" s="6" t="s">
        <v>68</v>
      </c>
      <c r="O1477" s="6" t="s">
        <v>3909</v>
      </c>
      <c r="P1477" s="6"/>
      <c r="Q1477" s="6"/>
      <c r="R1477" s="6"/>
      <c r="S1477" s="6"/>
      <c r="T1477" s="6"/>
      <c r="U1477" s="6"/>
      <c r="V1477" s="6"/>
      <c r="W1477" s="6"/>
      <c r="X1477" s="6"/>
      <c r="Y1477" s="6"/>
      <c r="Z1477" s="6"/>
      <c r="AA1477" s="6"/>
      <c r="AB1477" s="6"/>
      <c r="AC1477" s="6"/>
      <c r="AD1477" s="6"/>
      <c r="AE1477" s="6"/>
    </row>
    <row r="1478" spans="1:31" ht="114.75" x14ac:dyDescent="0.2">
      <c r="A1478" s="6" t="s">
        <v>7267</v>
      </c>
      <c r="B1478" s="6" t="s">
        <v>3903</v>
      </c>
      <c r="C1478" s="20" t="s">
        <v>3904</v>
      </c>
      <c r="D1478" s="6" t="s">
        <v>7268</v>
      </c>
      <c r="E1478" s="6"/>
      <c r="F1478" s="6" t="s">
        <v>312</v>
      </c>
      <c r="G1478" s="6" t="s">
        <v>311</v>
      </c>
      <c r="H1478" s="6" t="str">
        <f t="shared" si="132"/>
        <v>MIRTILLA (P32)</v>
      </c>
      <c r="I1478" s="6" t="s">
        <v>533</v>
      </c>
      <c r="J1478" s="6"/>
      <c r="K1478" s="6"/>
      <c r="L1478" s="6" t="s">
        <v>209</v>
      </c>
      <c r="M1478" s="6" t="str">
        <f>VLOOKUP(L1478, GLOSSARY!$A:$C, 2, FALSE)</f>
        <v>BREADNUT ISLAND PEN</v>
      </c>
      <c r="N1478" s="6" t="s">
        <v>68</v>
      </c>
      <c r="O1478" s="6"/>
      <c r="P1478" s="6"/>
      <c r="Q1478" s="6"/>
      <c r="R1478" s="6"/>
      <c r="S1478" s="6"/>
      <c r="T1478" s="6"/>
      <c r="U1478" s="6"/>
      <c r="V1478" s="6"/>
      <c r="W1478" s="6"/>
      <c r="X1478" s="6"/>
      <c r="Y1478" s="6"/>
      <c r="Z1478" s="6"/>
      <c r="AA1478" s="6"/>
      <c r="AB1478" s="6"/>
      <c r="AC1478" s="6"/>
      <c r="AD1478" s="6"/>
      <c r="AE1478" s="6"/>
    </row>
    <row r="1479" spans="1:31" ht="102" x14ac:dyDescent="0.2">
      <c r="A1479" s="6" t="s">
        <v>7269</v>
      </c>
      <c r="B1479" s="6" t="s">
        <v>7270</v>
      </c>
      <c r="C1479" s="20" t="s">
        <v>7271</v>
      </c>
      <c r="D1479" s="6" t="s">
        <v>7272</v>
      </c>
      <c r="E1479" s="6"/>
      <c r="F1479" s="6" t="s">
        <v>7273</v>
      </c>
      <c r="G1479" s="6" t="s">
        <v>7274</v>
      </c>
      <c r="H1479" s="6" t="str">
        <f t="shared" si="132"/>
        <v>MOLIA
MR. BOSSLEY'S ENSLAVED WOMAN (P1
P265)</v>
      </c>
      <c r="I1479" s="6" t="s">
        <v>656</v>
      </c>
      <c r="J1479" s="6" t="s">
        <v>35</v>
      </c>
      <c r="K1479" s="6"/>
      <c r="L1479" s="6" t="s">
        <v>440</v>
      </c>
      <c r="M1479" s="6" t="str">
        <f>VLOOKUP(L1479, GLOSSARY!$A:$C, 2, FALSE)</f>
        <v>THE ROAD(S)</v>
      </c>
      <c r="N1479" s="6" t="s">
        <v>68</v>
      </c>
      <c r="O1479" s="6"/>
      <c r="P1479" s="6"/>
      <c r="Q1479" s="6"/>
      <c r="R1479" s="6"/>
      <c r="S1479" s="6"/>
      <c r="T1479" s="6"/>
      <c r="U1479" s="6"/>
      <c r="V1479" s="6"/>
      <c r="W1479" s="6"/>
      <c r="X1479" s="6"/>
      <c r="Y1479" s="6"/>
      <c r="Z1479" s="6"/>
      <c r="AA1479" s="6"/>
      <c r="AB1479" s="6"/>
      <c r="AC1479" s="6"/>
      <c r="AD1479" s="6"/>
      <c r="AE1479" s="6"/>
    </row>
    <row r="1480" spans="1:31" ht="127.5" x14ac:dyDescent="0.2">
      <c r="A1480" s="6" t="s">
        <v>3902</v>
      </c>
      <c r="B1480" s="6" t="s">
        <v>3910</v>
      </c>
      <c r="C1480" s="20" t="s">
        <v>3911</v>
      </c>
      <c r="D1480" s="6" t="s">
        <v>3912</v>
      </c>
      <c r="E1480" s="6" t="s">
        <v>3885</v>
      </c>
      <c r="F1480" s="6" t="s">
        <v>6988</v>
      </c>
      <c r="G1480" s="6" t="s">
        <v>6989</v>
      </c>
      <c r="H1480" s="18" t="str">
        <f t="shared" si="132"/>
        <v>LINCOLN
MOLIA (P24
P1)</v>
      </c>
      <c r="I1480" s="6" t="s">
        <v>656</v>
      </c>
      <c r="J1480" s="6" t="s">
        <v>35</v>
      </c>
      <c r="K1480" s="6" t="s">
        <v>3907</v>
      </c>
      <c r="L1480" s="6" t="s">
        <v>3908</v>
      </c>
      <c r="M1480" s="18" t="e">
        <f>VLOOKUP(L1480, GLOSSARY!$A:$C, 2, FALSE)</f>
        <v>#N/A</v>
      </c>
      <c r="N1480" s="6" t="s">
        <v>68</v>
      </c>
      <c r="O1480" s="6" t="s">
        <v>3913</v>
      </c>
      <c r="P1480" s="6"/>
      <c r="Q1480" s="6"/>
      <c r="R1480" s="6"/>
      <c r="S1480" s="6"/>
      <c r="T1480" s="6"/>
      <c r="U1480" s="6"/>
      <c r="V1480" s="6"/>
      <c r="W1480" s="6"/>
      <c r="X1480" s="6"/>
      <c r="Y1480" s="6"/>
      <c r="Z1480" s="6"/>
      <c r="AA1480" s="6"/>
      <c r="AB1480" s="6"/>
      <c r="AC1480" s="6"/>
      <c r="AD1480" s="6"/>
      <c r="AE1480" s="6"/>
    </row>
    <row r="1481" spans="1:31" ht="89.25" x14ac:dyDescent="0.2">
      <c r="A1481" s="6" t="s">
        <v>3902</v>
      </c>
      <c r="B1481" s="6" t="s">
        <v>3914</v>
      </c>
      <c r="C1481" s="20" t="s">
        <v>3911</v>
      </c>
      <c r="D1481" s="6" t="s">
        <v>3915</v>
      </c>
      <c r="E1481" s="6" t="s">
        <v>3829</v>
      </c>
      <c r="F1481" s="6" t="s">
        <v>29</v>
      </c>
      <c r="G1481" s="6" t="s">
        <v>28</v>
      </c>
      <c r="H1481" s="18" t="str">
        <f t="shared" si="132"/>
        <v>MOLIA (P1)</v>
      </c>
      <c r="I1481" s="6" t="s">
        <v>656</v>
      </c>
      <c r="J1481" s="6" t="s">
        <v>35</v>
      </c>
      <c r="K1481" s="6" t="s">
        <v>207</v>
      </c>
      <c r="L1481" s="6" t="s">
        <v>209</v>
      </c>
      <c r="M1481" s="18" t="str">
        <f>VLOOKUP(L1481, GLOSSARY!$A:$C, 2, FALSE)</f>
        <v>BREADNUT ISLAND PEN</v>
      </c>
      <c r="N1481" s="6" t="s">
        <v>167</v>
      </c>
      <c r="O1481" s="6"/>
      <c r="P1481" s="6"/>
      <c r="Q1481" s="6"/>
      <c r="R1481" s="6"/>
      <c r="S1481" s="6"/>
      <c r="T1481" s="6"/>
      <c r="U1481" s="6"/>
      <c r="V1481" s="6"/>
      <c r="W1481" s="6"/>
      <c r="X1481" s="6"/>
      <c r="Y1481" s="6"/>
      <c r="Z1481" s="6"/>
      <c r="AA1481" s="6"/>
      <c r="AB1481" s="6"/>
      <c r="AC1481" s="6"/>
      <c r="AD1481" s="6"/>
      <c r="AE1481" s="6"/>
    </row>
    <row r="1482" spans="1:31" ht="76.5" x14ac:dyDescent="0.2">
      <c r="A1482" s="6" t="s">
        <v>3902</v>
      </c>
      <c r="B1482" s="6" t="s">
        <v>3914</v>
      </c>
      <c r="C1482" s="20" t="s">
        <v>3916</v>
      </c>
      <c r="D1482" s="6" t="s">
        <v>3917</v>
      </c>
      <c r="E1482" s="6" t="s">
        <v>3829</v>
      </c>
      <c r="F1482" s="6" t="s">
        <v>29</v>
      </c>
      <c r="G1482" s="6" t="s">
        <v>28</v>
      </c>
      <c r="H1482" s="18" t="str">
        <f t="shared" si="132"/>
        <v>MOLIA (P1)</v>
      </c>
      <c r="I1482" s="6" t="s">
        <v>112</v>
      </c>
      <c r="J1482" s="6" t="s">
        <v>35</v>
      </c>
      <c r="K1482" s="6" t="s">
        <v>3919</v>
      </c>
      <c r="L1482" s="6" t="s">
        <v>3920</v>
      </c>
      <c r="M1482" s="18" t="e">
        <f>VLOOKUP(L1482, GLOSSARY!$A:$C, 2, FALSE)</f>
        <v>#N/A</v>
      </c>
      <c r="N1482" s="6" t="s">
        <v>68</v>
      </c>
      <c r="O1482" s="6"/>
      <c r="P1482" s="6"/>
      <c r="Q1482" s="6"/>
      <c r="R1482" s="6"/>
      <c r="S1482" s="6"/>
      <c r="T1482" s="6"/>
      <c r="U1482" s="6"/>
      <c r="V1482" s="6"/>
      <c r="W1482" s="6"/>
      <c r="X1482" s="6"/>
      <c r="Y1482" s="6"/>
      <c r="Z1482" s="6"/>
      <c r="AA1482" s="6"/>
      <c r="AB1482" s="6"/>
      <c r="AC1482" s="6"/>
      <c r="AD1482" s="6"/>
      <c r="AE1482" s="6"/>
    </row>
    <row r="1483" spans="1:31" ht="25.5" x14ac:dyDescent="0.2">
      <c r="A1483" s="6" t="s">
        <v>7231</v>
      </c>
      <c r="B1483" s="6" t="s">
        <v>5165</v>
      </c>
      <c r="C1483" s="20" t="s">
        <v>3916</v>
      </c>
      <c r="D1483" s="6" t="s">
        <v>7275</v>
      </c>
      <c r="E1483" s="6"/>
      <c r="F1483" s="6" t="s">
        <v>87</v>
      </c>
      <c r="G1483" s="6" t="s">
        <v>88</v>
      </c>
      <c r="H1483" s="6" t="str">
        <f t="shared" si="132"/>
        <v>OGO (P13)</v>
      </c>
      <c r="I1483" s="6" t="s">
        <v>96</v>
      </c>
      <c r="J1483" s="6" t="s">
        <v>162</v>
      </c>
      <c r="K1483" s="6"/>
      <c r="L1483" s="6" t="s">
        <v>209</v>
      </c>
      <c r="M1483" s="6" t="str">
        <f>VLOOKUP(L1483, GLOSSARY!$A:$C, 2, FALSE)</f>
        <v>BREADNUT ISLAND PEN</v>
      </c>
      <c r="N1483" s="6" t="s">
        <v>68</v>
      </c>
      <c r="O1483" s="6"/>
      <c r="P1483" s="6"/>
      <c r="Q1483" s="6"/>
      <c r="R1483" s="6"/>
      <c r="S1483" s="6"/>
      <c r="T1483" s="6"/>
      <c r="U1483" s="6"/>
      <c r="V1483" s="6"/>
      <c r="W1483" s="6"/>
      <c r="X1483" s="6"/>
      <c r="Y1483" s="6"/>
      <c r="Z1483" s="6"/>
      <c r="AA1483" s="6"/>
      <c r="AB1483" s="6"/>
      <c r="AC1483" s="6"/>
      <c r="AD1483" s="6"/>
      <c r="AE1483" s="6"/>
    </row>
    <row r="1484" spans="1:31" ht="153" x14ac:dyDescent="0.2">
      <c r="A1484" s="18" t="s">
        <v>3921</v>
      </c>
      <c r="B1484" s="18" t="s">
        <v>3922</v>
      </c>
      <c r="C1484" s="19" t="s">
        <v>3923</v>
      </c>
      <c r="D1484" s="18" t="s">
        <v>3924</v>
      </c>
      <c r="E1484" s="18" t="s">
        <v>3925</v>
      </c>
      <c r="F1484" s="18" t="s">
        <v>7276</v>
      </c>
      <c r="G1484" s="18" t="s">
        <v>7277</v>
      </c>
      <c r="H1484" s="18" t="str">
        <f t="shared" si="132"/>
        <v>MOLIA
JIMMY
DAMSEL (P1
P54
P34)</v>
      </c>
      <c r="I1484" s="16" t="s">
        <v>656</v>
      </c>
      <c r="J1484" s="18" t="s">
        <v>35</v>
      </c>
      <c r="K1484" s="18" t="s">
        <v>3926</v>
      </c>
      <c r="L1484" s="18" t="s">
        <v>3927</v>
      </c>
      <c r="M1484" s="18" t="e">
        <f>VLOOKUP(L1484, GLOSSARY!$A:$C, 2, FALSE)</f>
        <v>#N/A</v>
      </c>
      <c r="N1484" s="18" t="s">
        <v>167</v>
      </c>
      <c r="O1484" s="18" t="s">
        <v>3928</v>
      </c>
      <c r="P1484" s="18"/>
      <c r="Q1484" s="18"/>
      <c r="R1484" s="18"/>
      <c r="S1484" s="18"/>
      <c r="T1484" s="18"/>
      <c r="U1484" s="18"/>
      <c r="V1484" s="18"/>
      <c r="W1484" s="18"/>
      <c r="X1484" s="18"/>
      <c r="Y1484" s="18"/>
      <c r="Z1484" s="18"/>
      <c r="AA1484" s="18"/>
      <c r="AB1484" s="18"/>
      <c r="AC1484" s="18"/>
      <c r="AD1484" s="18"/>
      <c r="AE1484" s="18"/>
    </row>
    <row r="1485" spans="1:31" ht="153" x14ac:dyDescent="0.2">
      <c r="A1485" s="18" t="s">
        <v>3921</v>
      </c>
      <c r="B1485" s="18" t="s">
        <v>3922</v>
      </c>
      <c r="C1485" s="19" t="s">
        <v>3923</v>
      </c>
      <c r="D1485" s="18" t="s">
        <v>3924</v>
      </c>
      <c r="E1485" s="18" t="s">
        <v>3925</v>
      </c>
      <c r="F1485" s="18" t="s">
        <v>7276</v>
      </c>
      <c r="G1485" s="18" t="s">
        <v>7277</v>
      </c>
      <c r="H1485" s="18" t="str">
        <f t="shared" si="132"/>
        <v>MOLIA
JIMMY
DAMSEL (P1
P54
P34)</v>
      </c>
      <c r="I1485" s="16" t="s">
        <v>112</v>
      </c>
      <c r="J1485" s="6" t="s">
        <v>35</v>
      </c>
      <c r="K1485" s="6" t="s">
        <v>3926</v>
      </c>
      <c r="L1485" s="6" t="s">
        <v>3927</v>
      </c>
      <c r="M1485" s="18" t="e">
        <f>VLOOKUP(L1485, GLOSSARY!$A:$C, 2, FALSE)</f>
        <v>#N/A</v>
      </c>
      <c r="N1485" s="6" t="s">
        <v>167</v>
      </c>
      <c r="O1485" s="6" t="s">
        <v>3928</v>
      </c>
      <c r="P1485" s="6"/>
      <c r="Q1485" s="6"/>
      <c r="R1485" s="6"/>
      <c r="S1485" s="6"/>
      <c r="T1485" s="6"/>
      <c r="U1485" s="6"/>
      <c r="V1485" s="6"/>
      <c r="W1485" s="6"/>
      <c r="X1485" s="6"/>
      <c r="Y1485" s="6"/>
      <c r="Z1485" s="6"/>
      <c r="AA1485" s="6"/>
      <c r="AB1485" s="6"/>
      <c r="AC1485" s="6"/>
      <c r="AD1485" s="6"/>
      <c r="AE1485" s="6"/>
    </row>
    <row r="1486" spans="1:31" ht="25.5" x14ac:dyDescent="0.2">
      <c r="A1486" s="6" t="s">
        <v>7231</v>
      </c>
      <c r="B1486" s="6" t="s">
        <v>4688</v>
      </c>
      <c r="C1486" s="20" t="s">
        <v>7278</v>
      </c>
      <c r="D1486" s="6" t="s">
        <v>7279</v>
      </c>
      <c r="E1486" s="6"/>
      <c r="F1486" s="6" t="s">
        <v>87</v>
      </c>
      <c r="G1486" s="6" t="s">
        <v>88</v>
      </c>
      <c r="H1486" s="6" t="str">
        <f t="shared" si="132"/>
        <v>OGO (P13)</v>
      </c>
      <c r="I1486" s="6" t="s">
        <v>96</v>
      </c>
      <c r="J1486" s="6" t="s">
        <v>162</v>
      </c>
      <c r="K1486" s="6"/>
      <c r="L1486" s="6" t="s">
        <v>2960</v>
      </c>
      <c r="M1486" s="6" t="str">
        <f>VLOOKUP(L1486, GLOSSARY!$A:$C, 2, FALSE)</f>
        <v>NEGRO HOUSE (BREADNUT)</v>
      </c>
      <c r="N1486" s="6" t="s">
        <v>68</v>
      </c>
      <c r="O1486" s="6"/>
      <c r="P1486" s="6"/>
      <c r="Q1486" s="6"/>
      <c r="R1486" s="6"/>
      <c r="S1486" s="6"/>
      <c r="T1486" s="6"/>
      <c r="U1486" s="6"/>
      <c r="V1486" s="6"/>
      <c r="W1486" s="6"/>
      <c r="X1486" s="6"/>
      <c r="Y1486" s="6"/>
      <c r="Z1486" s="6"/>
      <c r="AA1486" s="6"/>
      <c r="AB1486" s="6"/>
      <c r="AC1486" s="6"/>
      <c r="AD1486" s="6"/>
      <c r="AE1486" s="6"/>
    </row>
    <row r="1487" spans="1:31" ht="89.25" x14ac:dyDescent="0.2">
      <c r="A1487" s="6" t="s">
        <v>7280</v>
      </c>
      <c r="B1487" s="6" t="s">
        <v>7281</v>
      </c>
      <c r="C1487" s="20" t="s">
        <v>7282</v>
      </c>
      <c r="D1487" s="6" t="s">
        <v>7283</v>
      </c>
      <c r="E1487" s="6"/>
      <c r="F1487" s="6" t="s">
        <v>438</v>
      </c>
      <c r="G1487" s="6" t="s">
        <v>437</v>
      </c>
      <c r="H1487" s="6" t="str">
        <f t="shared" si="132"/>
        <v>GEORGE LESLEY (P49)</v>
      </c>
      <c r="I1487" s="6" t="s">
        <v>60</v>
      </c>
      <c r="J1487" s="6"/>
      <c r="K1487" s="6"/>
      <c r="L1487" s="6" t="s">
        <v>1121</v>
      </c>
      <c r="M1487" s="6" t="str">
        <f>VLOOKUP(L1487, GLOSSARY!$A:$C, 2, FALSE)</f>
        <v>SAVANNA LA MAR</v>
      </c>
      <c r="N1487" s="6" t="s">
        <v>68</v>
      </c>
      <c r="O1487" s="6"/>
      <c r="P1487" s="6"/>
      <c r="Q1487" s="6"/>
      <c r="R1487" s="6"/>
      <c r="S1487" s="6"/>
      <c r="T1487" s="6"/>
      <c r="U1487" s="6"/>
      <c r="V1487" s="6"/>
      <c r="W1487" s="6"/>
      <c r="X1487" s="6"/>
      <c r="Y1487" s="6"/>
      <c r="Z1487" s="6"/>
      <c r="AA1487" s="6"/>
      <c r="AB1487" s="6"/>
      <c r="AC1487" s="6"/>
      <c r="AD1487" s="6"/>
      <c r="AE1487" s="6"/>
    </row>
    <row r="1488" spans="1:31" ht="76.5" x14ac:dyDescent="0.2">
      <c r="A1488" s="18" t="s">
        <v>3929</v>
      </c>
      <c r="B1488" s="18" t="s">
        <v>3930</v>
      </c>
      <c r="C1488" s="19" t="s">
        <v>3931</v>
      </c>
      <c r="D1488" s="18" t="s">
        <v>3932</v>
      </c>
      <c r="E1488" s="18" t="s">
        <v>3933</v>
      </c>
      <c r="F1488" s="18" t="s">
        <v>7284</v>
      </c>
      <c r="G1488" s="18" t="s">
        <v>7285</v>
      </c>
      <c r="H1488" s="18" t="str">
        <f t="shared" si="132"/>
        <v>MOLIA
JIMMY (P1
P54
)</v>
      </c>
      <c r="I1488" s="16" t="s">
        <v>656</v>
      </c>
      <c r="J1488" s="6" t="s">
        <v>35</v>
      </c>
      <c r="K1488" s="6" t="s">
        <v>3934</v>
      </c>
      <c r="L1488" s="6" t="s">
        <v>3935</v>
      </c>
      <c r="M1488" s="18" t="e">
        <f>VLOOKUP(L1488, GLOSSARY!$A:$C, 2, FALSE)</f>
        <v>#N/A</v>
      </c>
      <c r="N1488" s="6" t="s">
        <v>287</v>
      </c>
      <c r="O1488" s="6"/>
      <c r="P1488" s="6"/>
      <c r="Q1488" s="6"/>
      <c r="R1488" s="6"/>
      <c r="S1488" s="6"/>
      <c r="T1488" s="6"/>
      <c r="U1488" s="6"/>
      <c r="V1488" s="6"/>
      <c r="W1488" s="6"/>
      <c r="X1488" s="6"/>
      <c r="Y1488" s="6"/>
      <c r="Z1488" s="6"/>
      <c r="AA1488" s="6"/>
      <c r="AB1488" s="6"/>
      <c r="AC1488" s="6"/>
      <c r="AD1488" s="6"/>
      <c r="AE1488" s="6"/>
    </row>
    <row r="1489" spans="1:31" ht="63.75" x14ac:dyDescent="0.2">
      <c r="A1489" s="6" t="s">
        <v>7231</v>
      </c>
      <c r="B1489" s="6" t="s">
        <v>5185</v>
      </c>
      <c r="C1489" s="20" t="s">
        <v>7286</v>
      </c>
      <c r="D1489" s="6" t="s">
        <v>7287</v>
      </c>
      <c r="E1489" s="6"/>
      <c r="F1489" s="6" t="s">
        <v>7236</v>
      </c>
      <c r="G1489" s="6" t="s">
        <v>7237</v>
      </c>
      <c r="H1489" s="6" t="str">
        <f t="shared" si="132"/>
        <v>OGO
THE OVERSEER (P13
P43)</v>
      </c>
      <c r="I1489" s="6" t="s">
        <v>409</v>
      </c>
      <c r="J1489" s="6" t="s">
        <v>162</v>
      </c>
      <c r="K1489" s="6"/>
      <c r="L1489" s="6" t="s">
        <v>209</v>
      </c>
      <c r="M1489" s="6" t="str">
        <f>VLOOKUP(L1489, GLOSSARY!$A:$C, 2, FALSE)</f>
        <v>BREADNUT ISLAND PEN</v>
      </c>
      <c r="N1489" s="6" t="s">
        <v>68</v>
      </c>
      <c r="O1489" s="6"/>
      <c r="P1489" s="6"/>
      <c r="Q1489" s="6"/>
      <c r="R1489" s="6"/>
      <c r="S1489" s="6"/>
      <c r="T1489" s="6"/>
      <c r="U1489" s="6"/>
      <c r="V1489" s="6"/>
      <c r="W1489" s="6"/>
      <c r="X1489" s="6"/>
      <c r="Y1489" s="6"/>
      <c r="Z1489" s="6"/>
      <c r="AA1489" s="6"/>
      <c r="AB1489" s="6"/>
      <c r="AC1489" s="6"/>
      <c r="AD1489" s="6"/>
      <c r="AE1489" s="6"/>
    </row>
    <row r="1490" spans="1:31" ht="25.5" x14ac:dyDescent="0.2">
      <c r="A1490" s="6" t="s">
        <v>7231</v>
      </c>
      <c r="B1490" s="6" t="s">
        <v>4424</v>
      </c>
      <c r="C1490" s="20" t="s">
        <v>7288</v>
      </c>
      <c r="D1490" s="6" t="s">
        <v>7289</v>
      </c>
      <c r="E1490" s="6"/>
      <c r="F1490" s="6" t="s">
        <v>87</v>
      </c>
      <c r="G1490" s="6" t="s">
        <v>88</v>
      </c>
      <c r="H1490" s="6" t="str">
        <f t="shared" si="132"/>
        <v>OGO (P13)</v>
      </c>
      <c r="I1490" s="6" t="s">
        <v>96</v>
      </c>
      <c r="J1490" s="6" t="s">
        <v>162</v>
      </c>
      <c r="K1490" s="6"/>
      <c r="L1490" s="6" t="s">
        <v>209</v>
      </c>
      <c r="M1490" s="6" t="str">
        <f>VLOOKUP(L1490, GLOSSARY!$A:$C, 2, FALSE)</f>
        <v>BREADNUT ISLAND PEN</v>
      </c>
      <c r="N1490" s="6" t="s">
        <v>68</v>
      </c>
      <c r="O1490" s="6"/>
      <c r="P1490" s="6"/>
      <c r="Q1490" s="6"/>
      <c r="R1490" s="6"/>
      <c r="S1490" s="6"/>
      <c r="T1490" s="6"/>
      <c r="U1490" s="6"/>
      <c r="V1490" s="6"/>
      <c r="W1490" s="6"/>
      <c r="X1490" s="6"/>
      <c r="Y1490" s="6"/>
      <c r="Z1490" s="6"/>
      <c r="AA1490" s="6"/>
      <c r="AB1490" s="6"/>
      <c r="AC1490" s="6"/>
      <c r="AD1490" s="6"/>
      <c r="AE1490" s="6"/>
    </row>
    <row r="1491" spans="1:31" ht="63.75" x14ac:dyDescent="0.2">
      <c r="A1491" s="6" t="s">
        <v>7231</v>
      </c>
      <c r="B1491" s="6" t="s">
        <v>4708</v>
      </c>
      <c r="C1491" s="20" t="s">
        <v>7290</v>
      </c>
      <c r="D1491" s="6" t="s">
        <v>7291</v>
      </c>
      <c r="E1491" s="6"/>
      <c r="F1491" s="6" t="s">
        <v>7292</v>
      </c>
      <c r="G1491" s="6" t="s">
        <v>7293</v>
      </c>
      <c r="H1491" s="6" t="str">
        <f t="shared" si="132"/>
        <v>SAWNO; DOWOTRONNY
OGO (P13
P38)</v>
      </c>
      <c r="I1491" s="6" t="s">
        <v>533</v>
      </c>
      <c r="J1491" s="6"/>
      <c r="K1491" s="6"/>
      <c r="L1491" s="6" t="s">
        <v>209</v>
      </c>
      <c r="M1491" s="6" t="str">
        <f>VLOOKUP(L1491, GLOSSARY!$A:$C, 2, FALSE)</f>
        <v>BREADNUT ISLAND PEN</v>
      </c>
      <c r="N1491" s="6"/>
      <c r="O1491" s="6"/>
      <c r="P1491" s="6"/>
      <c r="Q1491" s="6"/>
      <c r="R1491" s="6"/>
      <c r="S1491" s="6"/>
      <c r="T1491" s="6"/>
      <c r="U1491" s="6"/>
      <c r="V1491" s="6"/>
      <c r="W1491" s="6"/>
      <c r="X1491" s="6"/>
      <c r="Y1491" s="6"/>
      <c r="Z1491" s="6"/>
      <c r="AA1491" s="6"/>
      <c r="AB1491" s="6"/>
      <c r="AC1491" s="6"/>
      <c r="AD1491" s="6"/>
      <c r="AE1491" s="6"/>
    </row>
    <row r="1492" spans="1:31" ht="51" x14ac:dyDescent="0.2">
      <c r="A1492" s="18" t="s">
        <v>3936</v>
      </c>
      <c r="B1492" s="18" t="s">
        <v>3937</v>
      </c>
      <c r="C1492" s="19" t="s">
        <v>3938</v>
      </c>
      <c r="D1492" s="18" t="s">
        <v>3939</v>
      </c>
      <c r="E1492" s="18" t="s">
        <v>3829</v>
      </c>
      <c r="F1492" s="18" t="s">
        <v>29</v>
      </c>
      <c r="G1492" s="18" t="s">
        <v>28</v>
      </c>
      <c r="H1492" s="18" t="str">
        <f t="shared" si="132"/>
        <v>MOLIA (P1)</v>
      </c>
      <c r="I1492" s="16" t="s">
        <v>112</v>
      </c>
      <c r="J1492" s="6" t="s">
        <v>35</v>
      </c>
      <c r="K1492" s="6" t="s">
        <v>207</v>
      </c>
      <c r="L1492" s="6" t="s">
        <v>209</v>
      </c>
      <c r="M1492" s="18" t="str">
        <f>VLOOKUP(L1492, GLOSSARY!$A:$C, 2, FALSE)</f>
        <v>BREADNUT ISLAND PEN</v>
      </c>
      <c r="N1492" s="6" t="s">
        <v>68</v>
      </c>
      <c r="O1492" s="6"/>
      <c r="P1492" s="6"/>
      <c r="Q1492" s="6"/>
      <c r="R1492" s="6"/>
      <c r="S1492" s="6"/>
      <c r="T1492" s="6"/>
      <c r="U1492" s="6"/>
      <c r="V1492" s="6"/>
      <c r="W1492" s="6"/>
      <c r="X1492" s="6"/>
      <c r="Y1492" s="6"/>
      <c r="Z1492" s="6"/>
      <c r="AA1492" s="6"/>
      <c r="AB1492" s="6"/>
      <c r="AC1492" s="6"/>
      <c r="AD1492" s="6"/>
      <c r="AE1492" s="6"/>
    </row>
    <row r="1493" spans="1:31" ht="63.75" x14ac:dyDescent="0.2">
      <c r="A1493" s="6" t="s">
        <v>7231</v>
      </c>
      <c r="B1493" s="6" t="s">
        <v>3937</v>
      </c>
      <c r="C1493" s="20" t="s">
        <v>3938</v>
      </c>
      <c r="D1493" s="6" t="s">
        <v>7294</v>
      </c>
      <c r="E1493" s="6"/>
      <c r="F1493" s="6" t="s">
        <v>7236</v>
      </c>
      <c r="G1493" s="6" t="s">
        <v>7237</v>
      </c>
      <c r="H1493" s="6" t="str">
        <f t="shared" si="132"/>
        <v>OGO
THE OVERSEER (P13
P43)</v>
      </c>
      <c r="I1493" s="6" t="s">
        <v>409</v>
      </c>
      <c r="J1493" s="6" t="s">
        <v>162</v>
      </c>
      <c r="K1493" s="6"/>
      <c r="L1493" s="6" t="s">
        <v>209</v>
      </c>
      <c r="M1493" s="6" t="str">
        <f>VLOOKUP(L1493, GLOSSARY!$A:$C, 2, FALSE)</f>
        <v>BREADNUT ISLAND PEN</v>
      </c>
      <c r="N1493" s="6" t="s">
        <v>167</v>
      </c>
      <c r="O1493" s="6"/>
      <c r="P1493" s="6"/>
      <c r="Q1493" s="6"/>
      <c r="R1493" s="6"/>
      <c r="S1493" s="6"/>
      <c r="T1493" s="6"/>
      <c r="U1493" s="6"/>
      <c r="V1493" s="6"/>
      <c r="W1493" s="6"/>
      <c r="X1493" s="6"/>
      <c r="Y1493" s="6"/>
      <c r="Z1493" s="6"/>
      <c r="AA1493" s="6"/>
      <c r="AB1493" s="6"/>
      <c r="AC1493" s="6"/>
      <c r="AD1493" s="6"/>
      <c r="AE1493" s="6"/>
    </row>
    <row r="1494" spans="1:31" ht="63.75" x14ac:dyDescent="0.2">
      <c r="A1494" s="6" t="s">
        <v>7295</v>
      </c>
      <c r="B1494" s="6" t="s">
        <v>7296</v>
      </c>
      <c r="C1494" s="20" t="s">
        <v>7297</v>
      </c>
      <c r="D1494" s="6" t="s">
        <v>7298</v>
      </c>
      <c r="E1494" s="6" t="s">
        <v>7299</v>
      </c>
      <c r="F1494" s="6" t="s">
        <v>7300</v>
      </c>
      <c r="G1494" s="6" t="s">
        <v>28</v>
      </c>
      <c r="H1494" s="18" t="str">
        <f t="shared" si="132"/>
        <v>MOLIA
THE OVERSEER (P1)</v>
      </c>
      <c r="I1494" s="6" t="s">
        <v>656</v>
      </c>
      <c r="J1494" s="6" t="s">
        <v>35</v>
      </c>
      <c r="K1494" s="6" t="s">
        <v>207</v>
      </c>
      <c r="L1494" s="6" t="s">
        <v>209</v>
      </c>
      <c r="M1494" s="18" t="str">
        <f>VLOOKUP(L1494, GLOSSARY!$A:$C, 2, FALSE)</f>
        <v>BREADNUT ISLAND PEN</v>
      </c>
      <c r="N1494" s="6" t="s">
        <v>68</v>
      </c>
      <c r="O1494" s="6" t="s">
        <v>7301</v>
      </c>
      <c r="P1494" s="6"/>
      <c r="Q1494" s="6"/>
      <c r="R1494" s="6"/>
      <c r="S1494" s="6"/>
      <c r="T1494" s="6"/>
      <c r="U1494" s="6"/>
      <c r="V1494" s="6"/>
      <c r="W1494" s="6"/>
      <c r="X1494" s="6"/>
      <c r="Y1494" s="6"/>
      <c r="Z1494" s="6"/>
      <c r="AA1494" s="6"/>
      <c r="AB1494" s="6"/>
      <c r="AC1494" s="6"/>
      <c r="AD1494" s="6"/>
      <c r="AE1494" s="6"/>
    </row>
    <row r="1495" spans="1:31" ht="76.5" x14ac:dyDescent="0.2">
      <c r="A1495" s="6" t="s">
        <v>7302</v>
      </c>
      <c r="B1495" s="6" t="s">
        <v>5219</v>
      </c>
      <c r="C1495" s="20" t="s">
        <v>7303</v>
      </c>
      <c r="D1495" s="6" t="s">
        <v>7304</v>
      </c>
      <c r="E1495" s="6" t="s">
        <v>7305</v>
      </c>
      <c r="F1495" s="6" t="s">
        <v>7306</v>
      </c>
      <c r="G1495" s="6" t="s">
        <v>7307</v>
      </c>
      <c r="H1495" s="18" t="str">
        <f t="shared" si="132"/>
        <v>MOLIA
LINCOLN
THE OVERSEER (P1
P24
P43)</v>
      </c>
      <c r="I1495" s="6" t="s">
        <v>656</v>
      </c>
      <c r="J1495" s="6" t="s">
        <v>35</v>
      </c>
      <c r="K1495" s="6" t="s">
        <v>207</v>
      </c>
      <c r="L1495" s="6" t="s">
        <v>209</v>
      </c>
      <c r="M1495" s="18" t="str">
        <f>VLOOKUP(L1495, GLOSSARY!$A:$C, 2, FALSE)</f>
        <v>BREADNUT ISLAND PEN</v>
      </c>
      <c r="N1495" s="6" t="s">
        <v>287</v>
      </c>
      <c r="O1495" s="6" t="s">
        <v>7308</v>
      </c>
      <c r="P1495" s="6"/>
      <c r="Q1495" s="6"/>
      <c r="R1495" s="6"/>
      <c r="S1495" s="6"/>
      <c r="T1495" s="6"/>
      <c r="U1495" s="6"/>
      <c r="V1495" s="6"/>
      <c r="W1495" s="6"/>
      <c r="X1495" s="6"/>
      <c r="Y1495" s="6"/>
      <c r="Z1495" s="6"/>
      <c r="AA1495" s="6"/>
      <c r="AB1495" s="6"/>
      <c r="AC1495" s="6"/>
      <c r="AD1495" s="6"/>
      <c r="AE1495" s="6"/>
    </row>
    <row r="1496" spans="1:31" ht="127.5" x14ac:dyDescent="0.2">
      <c r="A1496" s="6" t="s">
        <v>7013</v>
      </c>
      <c r="B1496" s="6" t="s">
        <v>5219</v>
      </c>
      <c r="C1496" s="20" t="s">
        <v>7303</v>
      </c>
      <c r="D1496" s="6" t="s">
        <v>7309</v>
      </c>
      <c r="E1496" s="6"/>
      <c r="F1496" s="6" t="s">
        <v>7310</v>
      </c>
      <c r="G1496" s="6" t="s">
        <v>7311</v>
      </c>
      <c r="H1496" s="6" t="str">
        <f t="shared" si="132"/>
        <v>OGO
MR. [JOHN] HARTNOLE
CHRISHEA (P13
P81
P126)</v>
      </c>
      <c r="I1496" s="6" t="s">
        <v>96</v>
      </c>
      <c r="J1496" s="6" t="s">
        <v>162</v>
      </c>
      <c r="K1496" s="6"/>
      <c r="L1496" s="6" t="s">
        <v>209</v>
      </c>
      <c r="M1496" s="6" t="str">
        <f>VLOOKUP(L1496, GLOSSARY!$A:$C, 2, FALSE)</f>
        <v>BREADNUT ISLAND PEN</v>
      </c>
      <c r="N1496" s="6" t="s">
        <v>287</v>
      </c>
      <c r="O1496" s="6"/>
      <c r="P1496" s="6"/>
      <c r="Q1496" s="6"/>
      <c r="R1496" s="6"/>
      <c r="S1496" s="6"/>
      <c r="T1496" s="6"/>
      <c r="U1496" s="6"/>
      <c r="V1496" s="6"/>
      <c r="W1496" s="6"/>
      <c r="X1496" s="6"/>
      <c r="Y1496" s="6"/>
      <c r="Z1496" s="6"/>
      <c r="AA1496" s="6"/>
      <c r="AB1496" s="6"/>
      <c r="AC1496" s="6"/>
      <c r="AD1496" s="6"/>
      <c r="AE1496" s="6"/>
    </row>
    <row r="1497" spans="1:31" ht="38.25" x14ac:dyDescent="0.2">
      <c r="A1497" s="6" t="s">
        <v>7302</v>
      </c>
      <c r="B1497" s="6" t="s">
        <v>7312</v>
      </c>
      <c r="C1497" s="20" t="s">
        <v>7313</v>
      </c>
      <c r="D1497" s="6" t="s">
        <v>7314</v>
      </c>
      <c r="E1497" s="6"/>
      <c r="F1497" s="6"/>
      <c r="G1497" s="6"/>
      <c r="H1497" s="18" t="str">
        <f t="shared" si="132"/>
        <v xml:space="preserve"> ()</v>
      </c>
      <c r="I1497" s="6" t="s">
        <v>26</v>
      </c>
      <c r="J1497" s="6"/>
      <c r="K1497" s="6" t="s">
        <v>207</v>
      </c>
      <c r="L1497" s="6" t="s">
        <v>209</v>
      </c>
      <c r="M1497" s="18" t="str">
        <f>VLOOKUP(L1497, GLOSSARY!$A:$C, 2, FALSE)</f>
        <v>BREADNUT ISLAND PEN</v>
      </c>
      <c r="N1497" s="6" t="s">
        <v>287</v>
      </c>
      <c r="O1497" s="6" t="s">
        <v>7314</v>
      </c>
      <c r="P1497" s="6"/>
      <c r="Q1497" s="6"/>
      <c r="R1497" s="6"/>
      <c r="S1497" s="6"/>
      <c r="T1497" s="6"/>
      <c r="U1497" s="6"/>
      <c r="V1497" s="6"/>
      <c r="W1497" s="6"/>
      <c r="X1497" s="6"/>
      <c r="Y1497" s="6"/>
      <c r="Z1497" s="6"/>
      <c r="AA1497" s="6"/>
      <c r="AB1497" s="6"/>
      <c r="AC1497" s="6"/>
      <c r="AD1497" s="6"/>
      <c r="AE1497" s="6"/>
    </row>
    <row r="1498" spans="1:31" ht="63.75" x14ac:dyDescent="0.2">
      <c r="A1498" s="6" t="s">
        <v>7302</v>
      </c>
      <c r="B1498" s="6" t="s">
        <v>7315</v>
      </c>
      <c r="C1498" s="20" t="s">
        <v>7316</v>
      </c>
      <c r="D1498" s="6" t="s">
        <v>7317</v>
      </c>
      <c r="E1498" s="6"/>
      <c r="F1498" s="6"/>
      <c r="G1498" s="6"/>
      <c r="H1498" s="18" t="str">
        <f t="shared" si="132"/>
        <v xml:space="preserve"> ()</v>
      </c>
      <c r="I1498" s="6" t="s">
        <v>26</v>
      </c>
      <c r="J1498" s="6"/>
      <c r="K1498" s="6" t="s">
        <v>207</v>
      </c>
      <c r="L1498" s="6" t="s">
        <v>209</v>
      </c>
      <c r="M1498" s="18" t="str">
        <f>VLOOKUP(L1498, GLOSSARY!$A:$C, 2, FALSE)</f>
        <v>BREADNUT ISLAND PEN</v>
      </c>
      <c r="N1498" s="6" t="s">
        <v>287</v>
      </c>
      <c r="O1498" s="6" t="s">
        <v>7317</v>
      </c>
      <c r="P1498" s="6"/>
      <c r="Q1498" s="6"/>
      <c r="R1498" s="6"/>
      <c r="S1498" s="6"/>
      <c r="T1498" s="6"/>
      <c r="U1498" s="6"/>
      <c r="V1498" s="6"/>
      <c r="W1498" s="6"/>
      <c r="X1498" s="6"/>
      <c r="Y1498" s="6"/>
      <c r="Z1498" s="6"/>
      <c r="AA1498" s="6"/>
      <c r="AB1498" s="6"/>
      <c r="AC1498" s="6"/>
      <c r="AD1498" s="6"/>
      <c r="AE1498" s="6"/>
    </row>
    <row r="1499" spans="1:31" ht="114.75" x14ac:dyDescent="0.2">
      <c r="A1499" s="6" t="s">
        <v>7318</v>
      </c>
      <c r="B1499" s="6" t="s">
        <v>3520</v>
      </c>
      <c r="C1499" s="20" t="s">
        <v>7316</v>
      </c>
      <c r="D1499" s="6" t="s">
        <v>7319</v>
      </c>
      <c r="E1499" s="6"/>
      <c r="F1499" s="6"/>
      <c r="G1499" s="6"/>
      <c r="H1499" s="6"/>
      <c r="I1499" s="6" t="s">
        <v>26</v>
      </c>
      <c r="J1499" s="6"/>
      <c r="K1499" s="6"/>
      <c r="L1499" s="6" t="s">
        <v>209</v>
      </c>
      <c r="M1499" s="6" t="str">
        <f>VLOOKUP(L1499, GLOSSARY!$A:$C, 2, FALSE)</f>
        <v>BREADNUT ISLAND PEN</v>
      </c>
      <c r="N1499" s="6" t="s">
        <v>167</v>
      </c>
      <c r="O1499" s="6"/>
      <c r="P1499" s="6"/>
      <c r="Q1499" s="6"/>
      <c r="R1499" s="6"/>
      <c r="S1499" s="6"/>
      <c r="T1499" s="6"/>
      <c r="U1499" s="6"/>
      <c r="V1499" s="6"/>
      <c r="W1499" s="6"/>
      <c r="X1499" s="6"/>
      <c r="Y1499" s="6"/>
      <c r="Z1499" s="6"/>
      <c r="AA1499" s="6"/>
      <c r="AB1499" s="6"/>
      <c r="AC1499" s="6"/>
      <c r="AD1499" s="6"/>
      <c r="AE1499" s="6"/>
    </row>
    <row r="1500" spans="1:31" ht="63.75" x14ac:dyDescent="0.2">
      <c r="A1500" s="6" t="s">
        <v>7302</v>
      </c>
      <c r="B1500" s="6" t="s">
        <v>7320</v>
      </c>
      <c r="C1500" s="20" t="s">
        <v>7321</v>
      </c>
      <c r="D1500" s="6" t="s">
        <v>7322</v>
      </c>
      <c r="E1500" s="6"/>
      <c r="F1500" s="6"/>
      <c r="G1500" s="6"/>
      <c r="H1500" s="18" t="str">
        <f t="shared" ref="H1500:H1512" si="133">CONCATENATE(F1500," (",G1500,")")</f>
        <v xml:space="preserve"> ()</v>
      </c>
      <c r="I1500" s="6" t="s">
        <v>26</v>
      </c>
      <c r="J1500" s="6"/>
      <c r="K1500" s="6" t="s">
        <v>207</v>
      </c>
      <c r="L1500" s="6" t="s">
        <v>209</v>
      </c>
      <c r="M1500" s="18" t="str">
        <f>VLOOKUP(L1500, GLOSSARY!$A:$C, 2, FALSE)</f>
        <v>BREADNUT ISLAND PEN</v>
      </c>
      <c r="N1500" s="6" t="s">
        <v>287</v>
      </c>
      <c r="O1500" s="6" t="s">
        <v>7322</v>
      </c>
      <c r="P1500" s="6"/>
      <c r="Q1500" s="6"/>
      <c r="R1500" s="6"/>
      <c r="S1500" s="6"/>
      <c r="T1500" s="6"/>
      <c r="U1500" s="6"/>
      <c r="V1500" s="6"/>
      <c r="W1500" s="6"/>
      <c r="X1500" s="6"/>
      <c r="Y1500" s="6"/>
      <c r="Z1500" s="6"/>
      <c r="AA1500" s="6"/>
      <c r="AB1500" s="6"/>
      <c r="AC1500" s="6"/>
      <c r="AD1500" s="6"/>
      <c r="AE1500" s="6"/>
    </row>
    <row r="1501" spans="1:31" ht="63.75" x14ac:dyDescent="0.2">
      <c r="A1501" s="6" t="s">
        <v>7231</v>
      </c>
      <c r="B1501" s="6" t="s">
        <v>7323</v>
      </c>
      <c r="C1501" s="20" t="s">
        <v>7324</v>
      </c>
      <c r="D1501" s="6" t="s">
        <v>7325</v>
      </c>
      <c r="E1501" s="6"/>
      <c r="F1501" s="6" t="s">
        <v>7326</v>
      </c>
      <c r="G1501" s="6" t="s">
        <v>7327</v>
      </c>
      <c r="H1501" s="6" t="str">
        <f t="shared" si="133"/>
        <v>OGO
MARIA'S CHILD (P13
P186)</v>
      </c>
      <c r="I1501" s="6" t="s">
        <v>1068</v>
      </c>
      <c r="J1501" s="6" t="s">
        <v>162</v>
      </c>
      <c r="K1501" s="6"/>
      <c r="L1501" s="6" t="s">
        <v>209</v>
      </c>
      <c r="M1501" s="6" t="str">
        <f>VLOOKUP(L1501, GLOSSARY!$A:$C, 2, FALSE)</f>
        <v>BREADNUT ISLAND PEN</v>
      </c>
      <c r="N1501" s="6" t="s">
        <v>167</v>
      </c>
      <c r="O1501" s="6"/>
      <c r="P1501" s="6"/>
      <c r="Q1501" s="6"/>
      <c r="R1501" s="6"/>
      <c r="S1501" s="6"/>
      <c r="T1501" s="6"/>
      <c r="U1501" s="6"/>
      <c r="V1501" s="6"/>
      <c r="W1501" s="6"/>
      <c r="X1501" s="6"/>
      <c r="Y1501" s="6"/>
      <c r="Z1501" s="6"/>
      <c r="AA1501" s="6"/>
      <c r="AB1501" s="6"/>
      <c r="AC1501" s="6"/>
      <c r="AD1501" s="6"/>
      <c r="AE1501" s="6"/>
    </row>
    <row r="1502" spans="1:31" ht="165.75" x14ac:dyDescent="0.2">
      <c r="A1502" s="6" t="s">
        <v>7231</v>
      </c>
      <c r="B1502" s="6" t="s">
        <v>7323</v>
      </c>
      <c r="C1502" s="20" t="s">
        <v>7324</v>
      </c>
      <c r="D1502" s="6" t="s">
        <v>7328</v>
      </c>
      <c r="E1502" s="6"/>
      <c r="F1502" s="6" t="s">
        <v>7329</v>
      </c>
      <c r="G1502" s="6" t="s">
        <v>7330</v>
      </c>
      <c r="H1502" s="6" t="str">
        <f t="shared" si="133"/>
        <v>OGO
SOLON
PHOEBE
CHRISHEA (P13
P26
P58
P126)</v>
      </c>
      <c r="I1502" s="6" t="s">
        <v>533</v>
      </c>
      <c r="J1502" s="6" t="s">
        <v>162</v>
      </c>
      <c r="K1502" s="6"/>
      <c r="L1502" s="6" t="s">
        <v>209</v>
      </c>
      <c r="M1502" s="6" t="str">
        <f>VLOOKUP(L1502, GLOSSARY!$A:$C, 2, FALSE)</f>
        <v>BREADNUT ISLAND PEN</v>
      </c>
      <c r="N1502" s="6" t="s">
        <v>68</v>
      </c>
      <c r="O1502" s="6"/>
      <c r="P1502" s="6"/>
      <c r="Q1502" s="6"/>
      <c r="R1502" s="6"/>
      <c r="S1502" s="6"/>
      <c r="T1502" s="6"/>
      <c r="U1502" s="6"/>
      <c r="V1502" s="6"/>
      <c r="W1502" s="6"/>
      <c r="X1502" s="6"/>
      <c r="Y1502" s="6"/>
      <c r="Z1502" s="6"/>
      <c r="AA1502" s="6"/>
      <c r="AB1502" s="6"/>
      <c r="AC1502" s="6"/>
      <c r="AD1502" s="6"/>
      <c r="AE1502" s="6"/>
    </row>
    <row r="1503" spans="1:31" ht="114.75" x14ac:dyDescent="0.2">
      <c r="A1503" s="6" t="s">
        <v>6399</v>
      </c>
      <c r="B1503" s="6" t="s">
        <v>4753</v>
      </c>
      <c r="C1503" s="20" t="s">
        <v>7331</v>
      </c>
      <c r="D1503" s="6" t="s">
        <v>7332</v>
      </c>
      <c r="E1503" s="6"/>
      <c r="F1503" s="6" t="s">
        <v>7333</v>
      </c>
      <c r="G1503" s="6" t="s">
        <v>7334</v>
      </c>
      <c r="H1503" s="6" t="str">
        <f t="shared" si="133"/>
        <v>OLD POMPEY
JEREMIAH MEYLER
PHIBBAH (P36
P159
P7)</v>
      </c>
      <c r="I1503" s="6" t="s">
        <v>859</v>
      </c>
      <c r="J1503" s="6" t="s">
        <v>1652</v>
      </c>
      <c r="K1503" s="6"/>
      <c r="L1503" s="6" t="s">
        <v>209</v>
      </c>
      <c r="M1503" s="6" t="str">
        <f>VLOOKUP(L1503, GLOSSARY!$A:$C, 2, FALSE)</f>
        <v>BREADNUT ISLAND PEN</v>
      </c>
      <c r="N1503" s="6" t="s">
        <v>167</v>
      </c>
      <c r="O1503" s="6"/>
      <c r="P1503" s="6"/>
      <c r="Q1503" s="6"/>
      <c r="R1503" s="6"/>
      <c r="S1503" s="6"/>
      <c r="T1503" s="6"/>
      <c r="U1503" s="6"/>
      <c r="V1503" s="6"/>
      <c r="W1503" s="6"/>
      <c r="X1503" s="6"/>
      <c r="Y1503" s="6"/>
      <c r="Z1503" s="6"/>
      <c r="AA1503" s="6"/>
      <c r="AB1503" s="6"/>
      <c r="AC1503" s="6"/>
      <c r="AD1503" s="6"/>
      <c r="AE1503" s="6"/>
    </row>
    <row r="1504" spans="1:31" ht="306" x14ac:dyDescent="0.2">
      <c r="A1504" s="6" t="s">
        <v>7335</v>
      </c>
      <c r="B1504" s="6" t="s">
        <v>7336</v>
      </c>
      <c r="C1504" s="20" t="s">
        <v>7337</v>
      </c>
      <c r="D1504" s="6" t="s">
        <v>7338</v>
      </c>
      <c r="E1504" s="6"/>
      <c r="F1504" s="6" t="s">
        <v>7339</v>
      </c>
      <c r="G1504" s="6" t="s">
        <v>7340</v>
      </c>
      <c r="H1504" s="6" t="str">
        <f t="shared" si="133"/>
        <v>THE OVERSEER
QUASHE [MR. LESLEY]
GEORGE LESLEY
SAM LEA
MR. JEFF
JOHN COLLON
RICHARD DOBSON
ANTHONY WATKINS TOMLINSON
JOHN FRY
MR. ROBINSON
MR. NEIL (P43
P49
P148
P140
P151
P152
P153
P154
P155
P156
P157
)</v>
      </c>
      <c r="I1504" s="6" t="s">
        <v>112</v>
      </c>
      <c r="J1504" s="6"/>
      <c r="K1504" s="6"/>
      <c r="L1504" s="6" t="s">
        <v>3000</v>
      </c>
      <c r="M1504" s="6" t="str">
        <f>VLOOKUP(L1504, GLOSSARY!$A:$C, 2, FALSE)</f>
        <v>KIRKPATRICK PEN</v>
      </c>
      <c r="N1504" s="6" t="s">
        <v>167</v>
      </c>
      <c r="O1504" s="6"/>
      <c r="P1504" s="6"/>
      <c r="Q1504" s="6"/>
      <c r="R1504" s="6"/>
      <c r="S1504" s="6"/>
      <c r="T1504" s="6"/>
      <c r="U1504" s="6"/>
      <c r="V1504" s="6"/>
      <c r="W1504" s="6"/>
      <c r="X1504" s="6"/>
      <c r="Y1504" s="6"/>
      <c r="Z1504" s="6"/>
      <c r="AA1504" s="6"/>
      <c r="AB1504" s="6"/>
      <c r="AC1504" s="6"/>
      <c r="AD1504" s="6"/>
      <c r="AE1504" s="6"/>
    </row>
    <row r="1505" spans="1:31" ht="63.75" x14ac:dyDescent="0.2">
      <c r="A1505" s="6" t="s">
        <v>7341</v>
      </c>
      <c r="B1505" s="6" t="s">
        <v>7342</v>
      </c>
      <c r="C1505" s="20" t="s">
        <v>7343</v>
      </c>
      <c r="D1505" s="6" t="s">
        <v>7344</v>
      </c>
      <c r="E1505" s="6" t="s">
        <v>7299</v>
      </c>
      <c r="F1505" s="6" t="s">
        <v>7300</v>
      </c>
      <c r="G1505" s="6" t="s">
        <v>7345</v>
      </c>
      <c r="H1505" s="18" t="str">
        <f t="shared" si="133"/>
        <v>MOLIA
THE OVERSEER (P1
P43)</v>
      </c>
      <c r="I1505" s="6" t="s">
        <v>112</v>
      </c>
      <c r="J1505" s="6" t="s">
        <v>35</v>
      </c>
      <c r="K1505" s="6" t="s">
        <v>207</v>
      </c>
      <c r="L1505" s="6" t="s">
        <v>209</v>
      </c>
      <c r="M1505" s="18" t="str">
        <f>VLOOKUP(L1505, GLOSSARY!$A:$C, 2, FALSE)</f>
        <v>BREADNUT ISLAND PEN</v>
      </c>
      <c r="N1505" s="6" t="s">
        <v>287</v>
      </c>
      <c r="O1505" s="6"/>
      <c r="P1505" s="6"/>
      <c r="Q1505" s="6"/>
      <c r="R1505" s="6"/>
      <c r="S1505" s="6"/>
      <c r="T1505" s="6"/>
      <c r="U1505" s="6"/>
      <c r="V1505" s="6"/>
      <c r="W1505" s="6"/>
      <c r="X1505" s="6"/>
      <c r="Y1505" s="6"/>
      <c r="Z1505" s="6"/>
      <c r="AA1505" s="6"/>
      <c r="AB1505" s="6"/>
      <c r="AC1505" s="6"/>
      <c r="AD1505" s="6"/>
      <c r="AE1505" s="6"/>
    </row>
    <row r="1506" spans="1:31" ht="76.5" x14ac:dyDescent="0.2">
      <c r="A1506" s="6" t="s">
        <v>7346</v>
      </c>
      <c r="B1506" s="6" t="s">
        <v>5365</v>
      </c>
      <c r="C1506" s="20" t="s">
        <v>7347</v>
      </c>
      <c r="D1506" s="6" t="s">
        <v>7348</v>
      </c>
      <c r="E1506" s="6"/>
      <c r="F1506" s="6" t="s">
        <v>90</v>
      </c>
      <c r="G1506" s="6" t="s">
        <v>7349</v>
      </c>
      <c r="H1506" s="6" t="str">
        <f t="shared" si="133"/>
        <v>ABBA (P6
)</v>
      </c>
      <c r="I1506" s="6" t="s">
        <v>439</v>
      </c>
      <c r="J1506" s="6"/>
      <c r="K1506" s="6"/>
      <c r="L1506" s="6" t="s">
        <v>440</v>
      </c>
      <c r="M1506" s="6" t="str">
        <f>VLOOKUP(L1506, GLOSSARY!$A:$C, 2, FALSE)</f>
        <v>THE ROAD(S)</v>
      </c>
      <c r="N1506" s="6" t="s">
        <v>68</v>
      </c>
      <c r="O1506" s="6"/>
      <c r="P1506" s="6"/>
      <c r="Q1506" s="6"/>
      <c r="R1506" s="6"/>
      <c r="S1506" s="6"/>
      <c r="T1506" s="6"/>
      <c r="U1506" s="6"/>
      <c r="V1506" s="6"/>
      <c r="W1506" s="6"/>
      <c r="X1506" s="6"/>
      <c r="Y1506" s="6"/>
      <c r="Z1506" s="6"/>
      <c r="AA1506" s="6"/>
      <c r="AB1506" s="6"/>
      <c r="AC1506" s="6"/>
      <c r="AD1506" s="6"/>
      <c r="AE1506" s="6"/>
    </row>
    <row r="1507" spans="1:31" ht="63.75" x14ac:dyDescent="0.2">
      <c r="A1507" s="6" t="s">
        <v>7350</v>
      </c>
      <c r="B1507" s="6" t="s">
        <v>5532</v>
      </c>
      <c r="C1507" s="20" t="s">
        <v>7351</v>
      </c>
      <c r="D1507" s="6" t="s">
        <v>7352</v>
      </c>
      <c r="E1507" s="6"/>
      <c r="F1507" s="6" t="s">
        <v>6209</v>
      </c>
      <c r="G1507" s="6" t="s">
        <v>6436</v>
      </c>
      <c r="H1507" s="6" t="str">
        <f t="shared" si="133"/>
        <v>MOLIA
THE OVERSEER (P1
P43)</v>
      </c>
      <c r="I1507" s="6" t="s">
        <v>533</v>
      </c>
      <c r="J1507" s="6"/>
      <c r="K1507" s="6"/>
      <c r="L1507" s="6" t="s">
        <v>209</v>
      </c>
      <c r="M1507" s="6" t="str">
        <f>VLOOKUP(L1507, GLOSSARY!$A:$C, 2, FALSE)</f>
        <v>BREADNUT ISLAND PEN</v>
      </c>
      <c r="N1507" s="6" t="s">
        <v>68</v>
      </c>
      <c r="O1507" s="6"/>
      <c r="P1507" s="6"/>
      <c r="Q1507" s="6"/>
      <c r="R1507" s="6"/>
      <c r="S1507" s="6"/>
      <c r="T1507" s="6"/>
      <c r="U1507" s="6"/>
      <c r="V1507" s="6"/>
      <c r="W1507" s="6"/>
      <c r="X1507" s="6"/>
      <c r="Y1507" s="6"/>
      <c r="Z1507" s="6"/>
      <c r="AA1507" s="6"/>
      <c r="AB1507" s="6"/>
      <c r="AC1507" s="6"/>
      <c r="AD1507" s="6"/>
      <c r="AE1507" s="6"/>
    </row>
    <row r="1508" spans="1:31" ht="63.75" x14ac:dyDescent="0.2">
      <c r="A1508" s="6" t="s">
        <v>7353</v>
      </c>
      <c r="B1508" s="6" t="s">
        <v>7354</v>
      </c>
      <c r="C1508" s="20" t="s">
        <v>7355</v>
      </c>
      <c r="D1508" s="6" t="s">
        <v>7356</v>
      </c>
      <c r="E1508" s="6" t="s">
        <v>7357</v>
      </c>
      <c r="F1508" s="6" t="s">
        <v>7358</v>
      </c>
      <c r="G1508" s="6" t="s">
        <v>7359</v>
      </c>
      <c r="H1508" s="18" t="str">
        <f t="shared" si="133"/>
        <v>MOLIA
THE OVERSEER
SOLON (P1
P43
P26)</v>
      </c>
      <c r="I1508" s="6" t="s">
        <v>656</v>
      </c>
      <c r="J1508" s="6" t="s">
        <v>35</v>
      </c>
      <c r="K1508" s="6" t="s">
        <v>207</v>
      </c>
      <c r="L1508" s="6" t="s">
        <v>209</v>
      </c>
      <c r="M1508" s="18" t="str">
        <f>VLOOKUP(L1508, GLOSSARY!$A:$C, 2, FALSE)</f>
        <v>BREADNUT ISLAND PEN</v>
      </c>
      <c r="N1508" s="6" t="s">
        <v>167</v>
      </c>
      <c r="O1508" s="6" t="s">
        <v>7360</v>
      </c>
      <c r="P1508" s="6"/>
      <c r="Q1508" s="6"/>
      <c r="R1508" s="6"/>
      <c r="S1508" s="6"/>
      <c r="T1508" s="6"/>
      <c r="U1508" s="6"/>
      <c r="V1508" s="6"/>
      <c r="W1508" s="6"/>
      <c r="X1508" s="6"/>
      <c r="Y1508" s="6"/>
      <c r="Z1508" s="6"/>
      <c r="AA1508" s="6"/>
      <c r="AB1508" s="6"/>
      <c r="AC1508" s="6"/>
      <c r="AD1508" s="6"/>
      <c r="AE1508" s="6"/>
    </row>
    <row r="1509" spans="1:31" ht="89.25" x14ac:dyDescent="0.2">
      <c r="A1509" s="6" t="s">
        <v>7353</v>
      </c>
      <c r="B1509" s="6" t="s">
        <v>7158</v>
      </c>
      <c r="C1509" s="20" t="s">
        <v>7361</v>
      </c>
      <c r="D1509" s="6" t="s">
        <v>7362</v>
      </c>
      <c r="E1509" s="6" t="s">
        <v>7363</v>
      </c>
      <c r="F1509" s="6" t="s">
        <v>7364</v>
      </c>
      <c r="G1509" s="6" t="s">
        <v>7365</v>
      </c>
      <c r="H1509" s="18" t="str">
        <f t="shared" si="133"/>
        <v>MOLIA
JIMMY
SOLON
THE OVERSEER (P1
P54
P26
P43)</v>
      </c>
      <c r="I1509" s="6" t="s">
        <v>656</v>
      </c>
      <c r="J1509" s="6" t="s">
        <v>35</v>
      </c>
      <c r="K1509" s="6" t="s">
        <v>7366</v>
      </c>
      <c r="L1509" s="6" t="s">
        <v>7367</v>
      </c>
      <c r="M1509" s="18" t="e">
        <f>VLOOKUP(L1509, GLOSSARY!$A:$C, 2, FALSE)</f>
        <v>#N/A</v>
      </c>
      <c r="N1509" s="6" t="s">
        <v>68</v>
      </c>
      <c r="O1509" s="6" t="s">
        <v>7368</v>
      </c>
      <c r="P1509" s="6"/>
      <c r="Q1509" s="6"/>
      <c r="R1509" s="6"/>
      <c r="S1509" s="6"/>
      <c r="T1509" s="6"/>
      <c r="U1509" s="6"/>
      <c r="V1509" s="6"/>
      <c r="W1509" s="6"/>
      <c r="X1509" s="6"/>
      <c r="Y1509" s="6"/>
      <c r="Z1509" s="6"/>
      <c r="AA1509" s="6"/>
      <c r="AB1509" s="6"/>
      <c r="AC1509" s="6"/>
      <c r="AD1509" s="6"/>
      <c r="AE1509" s="6"/>
    </row>
    <row r="1510" spans="1:31" ht="63.75" x14ac:dyDescent="0.2">
      <c r="A1510" s="6" t="s">
        <v>7353</v>
      </c>
      <c r="B1510" s="6" t="s">
        <v>7369</v>
      </c>
      <c r="C1510" s="20" t="s">
        <v>7370</v>
      </c>
      <c r="D1510" s="6" t="s">
        <v>7371</v>
      </c>
      <c r="E1510" s="6" t="s">
        <v>7372</v>
      </c>
      <c r="F1510" s="6" t="s">
        <v>7373</v>
      </c>
      <c r="G1510" s="6" t="s">
        <v>7374</v>
      </c>
      <c r="H1510" s="18" t="str">
        <f t="shared" si="133"/>
        <v>MOLIA
SOLON
THE OVERSEER (P1
P26
P43)</v>
      </c>
      <c r="I1510" s="6" t="s">
        <v>656</v>
      </c>
      <c r="J1510" s="6" t="s">
        <v>35</v>
      </c>
      <c r="K1510" s="6" t="s">
        <v>7375</v>
      </c>
      <c r="L1510" s="6" t="s">
        <v>7367</v>
      </c>
      <c r="M1510" s="18" t="e">
        <f>VLOOKUP(L1510, GLOSSARY!$A:$C, 2, FALSE)</f>
        <v>#N/A</v>
      </c>
      <c r="N1510" s="6" t="s">
        <v>68</v>
      </c>
      <c r="O1510" s="6" t="s">
        <v>7376</v>
      </c>
      <c r="P1510" s="6"/>
      <c r="Q1510" s="6"/>
      <c r="R1510" s="6"/>
      <c r="S1510" s="6"/>
      <c r="T1510" s="6"/>
      <c r="U1510" s="6"/>
      <c r="V1510" s="6"/>
      <c r="W1510" s="6"/>
      <c r="X1510" s="6"/>
      <c r="Y1510" s="6"/>
      <c r="Z1510" s="6"/>
      <c r="AA1510" s="6"/>
      <c r="AB1510" s="6"/>
      <c r="AC1510" s="6"/>
      <c r="AD1510" s="6"/>
      <c r="AE1510" s="6"/>
    </row>
    <row r="1511" spans="1:31" ht="38.25" x14ac:dyDescent="0.2">
      <c r="A1511" s="6" t="s">
        <v>7353</v>
      </c>
      <c r="B1511" s="6" t="s">
        <v>7377</v>
      </c>
      <c r="C1511" s="20" t="s">
        <v>7378</v>
      </c>
      <c r="D1511" s="6" t="s">
        <v>7379</v>
      </c>
      <c r="E1511" s="6"/>
      <c r="F1511" s="6"/>
      <c r="G1511" s="6"/>
      <c r="H1511" s="18" t="str">
        <f t="shared" si="133"/>
        <v xml:space="preserve"> ()</v>
      </c>
      <c r="I1511" s="6" t="s">
        <v>26</v>
      </c>
      <c r="J1511" s="6"/>
      <c r="K1511" s="6"/>
      <c r="L1511" s="6"/>
      <c r="M1511" s="18" t="e">
        <f>VLOOKUP(L1511, GLOSSARY!$A:$C, 2, FALSE)</f>
        <v>#N/A</v>
      </c>
      <c r="N1511" s="6"/>
      <c r="O1511" s="6" t="s">
        <v>7379</v>
      </c>
      <c r="P1511" s="6"/>
      <c r="Q1511" s="6"/>
      <c r="R1511" s="6"/>
      <c r="S1511" s="6"/>
      <c r="T1511" s="6"/>
      <c r="U1511" s="6"/>
      <c r="V1511" s="6"/>
      <c r="W1511" s="6"/>
      <c r="X1511" s="6"/>
      <c r="Y1511" s="6"/>
      <c r="Z1511" s="6"/>
      <c r="AA1511" s="6"/>
      <c r="AB1511" s="6"/>
      <c r="AC1511" s="6"/>
      <c r="AD1511" s="6"/>
      <c r="AE1511" s="6"/>
    </row>
    <row r="1512" spans="1:31" ht="89.25" x14ac:dyDescent="0.2">
      <c r="A1512" s="6" t="s">
        <v>7353</v>
      </c>
      <c r="B1512" s="6" t="s">
        <v>5663</v>
      </c>
      <c r="C1512" s="20" t="s">
        <v>7380</v>
      </c>
      <c r="D1512" s="6" t="s">
        <v>7381</v>
      </c>
      <c r="E1512" s="6" t="s">
        <v>7372</v>
      </c>
      <c r="F1512" s="6" t="s">
        <v>7373</v>
      </c>
      <c r="G1512" s="6" t="s">
        <v>7374</v>
      </c>
      <c r="H1512" s="18" t="str">
        <f t="shared" si="133"/>
        <v>MOLIA
SOLON
THE OVERSEER (P1
P26
P43)</v>
      </c>
      <c r="I1512" s="6" t="s">
        <v>656</v>
      </c>
      <c r="J1512" s="6" t="s">
        <v>35</v>
      </c>
      <c r="K1512" s="6" t="s">
        <v>207</v>
      </c>
      <c r="L1512" s="6" t="s">
        <v>209</v>
      </c>
      <c r="M1512" s="18" t="str">
        <f>VLOOKUP(L1512, GLOSSARY!$A:$C, 2, FALSE)</f>
        <v>BREADNUT ISLAND PEN</v>
      </c>
      <c r="N1512" s="6" t="s">
        <v>167</v>
      </c>
      <c r="O1512" s="6" t="s">
        <v>7382</v>
      </c>
      <c r="P1512" s="6"/>
      <c r="Q1512" s="6"/>
      <c r="R1512" s="6"/>
      <c r="S1512" s="6"/>
      <c r="T1512" s="6"/>
      <c r="U1512" s="6"/>
      <c r="V1512" s="6"/>
      <c r="W1512" s="6"/>
      <c r="X1512" s="6"/>
      <c r="Y1512" s="6"/>
      <c r="Z1512" s="6"/>
      <c r="AA1512" s="6"/>
      <c r="AB1512" s="6"/>
      <c r="AC1512" s="6"/>
      <c r="AD1512" s="6"/>
      <c r="AE1512" s="6"/>
    </row>
    <row r="1513" spans="1:31" ht="114.75" x14ac:dyDescent="0.2">
      <c r="A1513" s="6" t="s">
        <v>7383</v>
      </c>
      <c r="B1513" s="6" t="s">
        <v>5673</v>
      </c>
      <c r="C1513" s="61" t="s">
        <v>7384</v>
      </c>
      <c r="D1513" s="6" t="s">
        <v>7385</v>
      </c>
      <c r="E1513" s="6"/>
      <c r="F1513" s="6" t="s">
        <v>5016</v>
      </c>
      <c r="G1513" s="6" t="s">
        <v>5017</v>
      </c>
      <c r="H1513" s="6" t="str">
        <f>CONCATENATE(F1513,"(",G1513,")")</f>
        <v>THE OVERSEER
PHIBBAH
HOUSE FRANKE(P43
P7
P10)</v>
      </c>
      <c r="I1513" s="6" t="s">
        <v>957</v>
      </c>
      <c r="J1513" s="6"/>
      <c r="K1513" s="6"/>
      <c r="L1513" s="6" t="s">
        <v>209</v>
      </c>
      <c r="M1513" s="6" t="str">
        <f>VLOOKUP(L1513, GLOSSARY!$A:$C, 2, FALSE)</f>
        <v>BREADNUT ISLAND PEN</v>
      </c>
      <c r="N1513" s="6" t="s">
        <v>68</v>
      </c>
      <c r="O1513" s="6"/>
      <c r="P1513" s="6"/>
      <c r="Q1513" s="6"/>
      <c r="R1513" s="6"/>
      <c r="S1513" s="6"/>
      <c r="T1513" s="6"/>
      <c r="U1513" s="6"/>
      <c r="V1513" s="6"/>
      <c r="W1513" s="6"/>
      <c r="X1513" s="6"/>
      <c r="Y1513" s="6"/>
      <c r="Z1513" s="6"/>
      <c r="AA1513" s="6"/>
      <c r="AB1513" s="6"/>
      <c r="AC1513" s="6"/>
      <c r="AD1513" s="6"/>
      <c r="AE1513" s="6"/>
    </row>
    <row r="1514" spans="1:31" ht="102" x14ac:dyDescent="0.2">
      <c r="A1514" s="6" t="s">
        <v>7353</v>
      </c>
      <c r="B1514" s="6" t="s">
        <v>7183</v>
      </c>
      <c r="C1514" s="20" t="s">
        <v>7386</v>
      </c>
      <c r="D1514" s="6" t="s">
        <v>7387</v>
      </c>
      <c r="E1514" s="6" t="s">
        <v>7388</v>
      </c>
      <c r="F1514" s="6" t="s">
        <v>7389</v>
      </c>
      <c r="G1514" s="6" t="s">
        <v>7390</v>
      </c>
      <c r="H1514" s="18" t="str">
        <f t="shared" ref="H1514:H1517" si="134">CONCATENATE(F1514," (",G1514,")")</f>
        <v>MOLIA
SOLON
THE OVERSEER
SHIPMATE (P1
P26
P23
P43)</v>
      </c>
      <c r="I1514" s="6" t="s">
        <v>656</v>
      </c>
      <c r="J1514" s="6" t="s">
        <v>35</v>
      </c>
      <c r="K1514" s="6" t="s">
        <v>7391</v>
      </c>
      <c r="L1514" s="6" t="s">
        <v>7392</v>
      </c>
      <c r="M1514" s="18" t="e">
        <f>VLOOKUP(L1514, GLOSSARY!$A:$C, 2, FALSE)</f>
        <v>#N/A</v>
      </c>
      <c r="N1514" s="6" t="s">
        <v>167</v>
      </c>
      <c r="O1514" s="6" t="s">
        <v>7393</v>
      </c>
      <c r="P1514" s="6"/>
      <c r="Q1514" s="6"/>
      <c r="R1514" s="6"/>
      <c r="S1514" s="6"/>
      <c r="T1514" s="6"/>
      <c r="U1514" s="6"/>
      <c r="V1514" s="6"/>
      <c r="W1514" s="6"/>
      <c r="X1514" s="6"/>
      <c r="Y1514" s="6"/>
      <c r="Z1514" s="6"/>
      <c r="AA1514" s="6"/>
      <c r="AB1514" s="6"/>
      <c r="AC1514" s="6"/>
      <c r="AD1514" s="6"/>
      <c r="AE1514" s="6"/>
    </row>
    <row r="1515" spans="1:31" ht="76.5" x14ac:dyDescent="0.2">
      <c r="A1515" s="6" t="s">
        <v>7353</v>
      </c>
      <c r="B1515" s="6" t="s">
        <v>5675</v>
      </c>
      <c r="C1515" s="20" t="s">
        <v>7394</v>
      </c>
      <c r="D1515" s="6" t="s">
        <v>7395</v>
      </c>
      <c r="E1515" s="6" t="s">
        <v>7372</v>
      </c>
      <c r="F1515" s="6" t="s">
        <v>7373</v>
      </c>
      <c r="G1515" s="6" t="s">
        <v>7374</v>
      </c>
      <c r="H1515" s="18" t="str">
        <f t="shared" si="134"/>
        <v>MOLIA
SOLON
THE OVERSEER (P1
P26
P43)</v>
      </c>
      <c r="I1515" s="6" t="s">
        <v>112</v>
      </c>
      <c r="J1515" s="6" t="s">
        <v>35</v>
      </c>
      <c r="K1515" s="6" t="s">
        <v>7366</v>
      </c>
      <c r="L1515" s="6" t="s">
        <v>7367</v>
      </c>
      <c r="M1515" s="18" t="e">
        <f>VLOOKUP(L1515, GLOSSARY!$A:$C, 2, FALSE)</f>
        <v>#N/A</v>
      </c>
      <c r="N1515" s="6" t="s">
        <v>68</v>
      </c>
      <c r="O1515" s="6"/>
      <c r="P1515" s="6"/>
      <c r="Q1515" s="6"/>
      <c r="R1515" s="6"/>
      <c r="S1515" s="6"/>
      <c r="T1515" s="6"/>
      <c r="U1515" s="6"/>
      <c r="V1515" s="6"/>
      <c r="W1515" s="6"/>
      <c r="X1515" s="6"/>
      <c r="Y1515" s="6"/>
      <c r="Z1515" s="6"/>
      <c r="AA1515" s="6"/>
      <c r="AB1515" s="6"/>
      <c r="AC1515" s="6"/>
      <c r="AD1515" s="6"/>
      <c r="AE1515" s="6"/>
    </row>
    <row r="1516" spans="1:31" ht="63.75" x14ac:dyDescent="0.2">
      <c r="A1516" s="6" t="s">
        <v>7396</v>
      </c>
      <c r="B1516" s="6" t="s">
        <v>5714</v>
      </c>
      <c r="C1516" s="20" t="s">
        <v>7397</v>
      </c>
      <c r="D1516" s="6" t="s">
        <v>7398</v>
      </c>
      <c r="E1516" s="6"/>
      <c r="F1516" s="6" t="s">
        <v>7399</v>
      </c>
      <c r="G1516" s="6" t="s">
        <v>7400</v>
      </c>
      <c r="H1516" s="6" t="str">
        <f t="shared" si="134"/>
        <v>MR. PARKER
JULINA (P69
P4)</v>
      </c>
      <c r="I1516" s="6" t="s">
        <v>1678</v>
      </c>
      <c r="J1516" s="6"/>
      <c r="K1516" s="6"/>
      <c r="L1516" s="6" t="s">
        <v>55</v>
      </c>
      <c r="M1516" s="6" t="str">
        <f>VLOOKUP(L1516, GLOSSARY!$A:$C, 2, FALSE)</f>
        <v>EGYPT ESTATE</v>
      </c>
      <c r="N1516" s="6" t="s">
        <v>68</v>
      </c>
      <c r="O1516" s="6"/>
      <c r="P1516" s="6"/>
      <c r="Q1516" s="6"/>
      <c r="R1516" s="6"/>
      <c r="S1516" s="6"/>
      <c r="T1516" s="6"/>
      <c r="U1516" s="6"/>
      <c r="V1516" s="6"/>
      <c r="W1516" s="6"/>
      <c r="X1516" s="6"/>
      <c r="Y1516" s="6"/>
      <c r="Z1516" s="6"/>
      <c r="AA1516" s="6"/>
      <c r="AB1516" s="6"/>
      <c r="AC1516" s="6"/>
      <c r="AD1516" s="6"/>
      <c r="AE1516" s="6"/>
    </row>
    <row r="1517" spans="1:31" ht="114.75" x14ac:dyDescent="0.2">
      <c r="A1517" s="6" t="s">
        <v>7401</v>
      </c>
      <c r="B1517" s="6" t="s">
        <v>7402</v>
      </c>
      <c r="C1517" s="20" t="s">
        <v>7403</v>
      </c>
      <c r="D1517" s="6" t="s">
        <v>7404</v>
      </c>
      <c r="E1517" s="6" t="s">
        <v>7405</v>
      </c>
      <c r="F1517" s="6" t="s">
        <v>6810</v>
      </c>
      <c r="G1517" s="6" t="s">
        <v>6811</v>
      </c>
      <c r="H1517" s="18" t="str">
        <f t="shared" si="134"/>
        <v>MOLIA
THE OVERSEER
MR. HAYWARD (P1
P43
P161)</v>
      </c>
      <c r="I1517" s="6" t="s">
        <v>656</v>
      </c>
      <c r="J1517" s="6" t="s">
        <v>35</v>
      </c>
      <c r="K1517" s="6" t="s">
        <v>7406</v>
      </c>
      <c r="L1517" s="6" t="s">
        <v>7407</v>
      </c>
      <c r="M1517" s="18" t="e">
        <f>VLOOKUP(L1517, GLOSSARY!$A:$C, 2, FALSE)</f>
        <v>#N/A</v>
      </c>
      <c r="N1517" s="6" t="s">
        <v>68</v>
      </c>
      <c r="O1517" s="6" t="s">
        <v>7408</v>
      </c>
      <c r="P1517" s="6"/>
      <c r="Q1517" s="6"/>
      <c r="R1517" s="6"/>
      <c r="S1517" s="6"/>
      <c r="T1517" s="6"/>
      <c r="U1517" s="6"/>
      <c r="V1517" s="6"/>
      <c r="W1517" s="6"/>
      <c r="X1517" s="6"/>
      <c r="Y1517" s="6"/>
      <c r="Z1517" s="6"/>
      <c r="AA1517" s="6"/>
      <c r="AB1517" s="6"/>
      <c r="AC1517" s="6"/>
      <c r="AD1517" s="6"/>
      <c r="AE1517" s="6"/>
    </row>
    <row r="1518" spans="1:31" ht="114.75" x14ac:dyDescent="0.2">
      <c r="A1518" s="6" t="s">
        <v>7409</v>
      </c>
      <c r="B1518" s="6" t="s">
        <v>5766</v>
      </c>
      <c r="C1518" s="20" t="s">
        <v>7410</v>
      </c>
      <c r="D1518" s="6" t="s">
        <v>7411</v>
      </c>
      <c r="E1518" s="6"/>
      <c r="F1518" s="6" t="s">
        <v>7412</v>
      </c>
      <c r="G1518" s="6" t="s">
        <v>7413</v>
      </c>
      <c r="H1518" s="6" t="str">
        <f t="shared" ref="H1518:H1520" si="135">CONCATENATE(F1518,"(",G1518,")")</f>
        <v>ABBA
CUDJOE
THE OVERSEER(P6
P43
P52)</v>
      </c>
      <c r="I1518" s="6" t="s">
        <v>1678</v>
      </c>
      <c r="J1518" s="6"/>
      <c r="K1518" s="6"/>
      <c r="L1518" s="6" t="s">
        <v>209</v>
      </c>
      <c r="M1518" s="6" t="str">
        <f>VLOOKUP(L1518, GLOSSARY!$A:$C, 2, FALSE)</f>
        <v>BREADNUT ISLAND PEN</v>
      </c>
      <c r="N1518" s="6" t="s">
        <v>68</v>
      </c>
      <c r="O1518" s="6"/>
      <c r="P1518" s="6"/>
      <c r="Q1518" s="6"/>
      <c r="R1518" s="6"/>
      <c r="S1518" s="6"/>
      <c r="T1518" s="6"/>
      <c r="U1518" s="6"/>
      <c r="V1518" s="6"/>
      <c r="W1518" s="6"/>
      <c r="X1518" s="6"/>
      <c r="Y1518" s="6"/>
      <c r="Z1518" s="6"/>
      <c r="AA1518" s="6"/>
      <c r="AB1518" s="6"/>
      <c r="AC1518" s="6"/>
      <c r="AD1518" s="6"/>
      <c r="AE1518" s="6"/>
    </row>
    <row r="1519" spans="1:31" ht="63.75" x14ac:dyDescent="0.2">
      <c r="A1519" s="6" t="s">
        <v>7409</v>
      </c>
      <c r="B1519" s="6" t="s">
        <v>5766</v>
      </c>
      <c r="C1519" s="20" t="s">
        <v>7414</v>
      </c>
      <c r="D1519" s="6" t="s">
        <v>7415</v>
      </c>
      <c r="E1519" s="6"/>
      <c r="F1519" s="6" t="s">
        <v>6109</v>
      </c>
      <c r="G1519" s="6" t="s">
        <v>6110</v>
      </c>
      <c r="H1519" s="6" t="str">
        <f t="shared" si="135"/>
        <v>ABBA
THE OVERSEER(P6
P43)</v>
      </c>
      <c r="I1519" s="6" t="s">
        <v>409</v>
      </c>
      <c r="J1519" s="6"/>
      <c r="K1519" s="6"/>
      <c r="L1519" s="6" t="s">
        <v>209</v>
      </c>
      <c r="M1519" s="6" t="str">
        <f>VLOOKUP(L1519, GLOSSARY!$A:$C, 2, FALSE)</f>
        <v>BREADNUT ISLAND PEN</v>
      </c>
      <c r="N1519" s="6" t="s">
        <v>68</v>
      </c>
      <c r="O1519" s="6"/>
      <c r="P1519" s="6"/>
      <c r="Q1519" s="6"/>
      <c r="R1519" s="6"/>
      <c r="S1519" s="6"/>
      <c r="T1519" s="6"/>
      <c r="U1519" s="6"/>
      <c r="V1519" s="6"/>
      <c r="W1519" s="6"/>
      <c r="X1519" s="6"/>
      <c r="Y1519" s="6"/>
      <c r="Z1519" s="6"/>
      <c r="AA1519" s="6"/>
      <c r="AB1519" s="6"/>
      <c r="AC1519" s="6"/>
      <c r="AD1519" s="6"/>
      <c r="AE1519" s="6"/>
    </row>
    <row r="1520" spans="1:31" ht="63.75" x14ac:dyDescent="0.2">
      <c r="A1520" s="6" t="s">
        <v>7383</v>
      </c>
      <c r="B1520" s="6" t="s">
        <v>5766</v>
      </c>
      <c r="C1520" s="20" t="s">
        <v>7414</v>
      </c>
      <c r="D1520" s="6" t="s">
        <v>7416</v>
      </c>
      <c r="E1520" s="6"/>
      <c r="F1520" s="6" t="s">
        <v>7417</v>
      </c>
      <c r="G1520" s="6" t="s">
        <v>7418</v>
      </c>
      <c r="H1520" s="6" t="str">
        <f t="shared" si="135"/>
        <v>THE OVERSEER
HOUSE FRANKE(P43
P10)</v>
      </c>
      <c r="I1520" s="6" t="s">
        <v>957</v>
      </c>
      <c r="J1520" s="6"/>
      <c r="K1520" s="6"/>
      <c r="L1520" s="6" t="s">
        <v>209</v>
      </c>
      <c r="M1520" s="6" t="str">
        <f>VLOOKUP(L1520, GLOSSARY!$A:$C, 2, FALSE)</f>
        <v>BREADNUT ISLAND PEN</v>
      </c>
      <c r="N1520" s="6" t="s">
        <v>68</v>
      </c>
      <c r="O1520" s="6"/>
      <c r="P1520" s="6"/>
      <c r="Q1520" s="6"/>
      <c r="R1520" s="6"/>
      <c r="S1520" s="6"/>
      <c r="T1520" s="6"/>
      <c r="U1520" s="6"/>
      <c r="V1520" s="6"/>
      <c r="W1520" s="6"/>
      <c r="X1520" s="6"/>
      <c r="Y1520" s="6"/>
      <c r="Z1520" s="6"/>
      <c r="AA1520" s="6"/>
      <c r="AB1520" s="6"/>
      <c r="AC1520" s="6"/>
      <c r="AD1520" s="6"/>
      <c r="AE1520" s="6"/>
    </row>
    <row r="1521" spans="1:31" ht="293.25" x14ac:dyDescent="0.2">
      <c r="A1521" s="6" t="s">
        <v>7419</v>
      </c>
      <c r="B1521" s="6" t="s">
        <v>7420</v>
      </c>
      <c r="C1521" s="20" t="s">
        <v>7421</v>
      </c>
      <c r="D1521" s="6" t="s">
        <v>7422</v>
      </c>
      <c r="E1521" s="6"/>
      <c r="F1521" s="6" t="s">
        <v>7423</v>
      </c>
      <c r="G1521" s="6" t="s">
        <v>7424</v>
      </c>
      <c r="H1521" s="6" t="str">
        <f t="shared" ref="H1521:H1529" si="136">CONCATENATE(F1521," (",G1521,")")</f>
        <v>PHIBBAH
JOHN
DAMSEL
JIMMY
VINE
MIMBER
 (P7
P9
P34
P54
P12
P80)</v>
      </c>
      <c r="I1521" s="6" t="s">
        <v>342</v>
      </c>
      <c r="J1521" s="6"/>
      <c r="K1521" s="6"/>
      <c r="L1521" s="6" t="s">
        <v>7425</v>
      </c>
      <c r="M1521" s="6" t="s">
        <v>7426</v>
      </c>
      <c r="N1521" s="6" t="s">
        <v>287</v>
      </c>
      <c r="O1521" s="6"/>
      <c r="P1521" s="6"/>
      <c r="Q1521" s="6"/>
      <c r="R1521" s="6"/>
      <c r="S1521" s="6"/>
      <c r="T1521" s="6"/>
      <c r="U1521" s="6"/>
      <c r="V1521" s="6"/>
      <c r="W1521" s="6"/>
      <c r="X1521" s="6"/>
      <c r="Y1521" s="6"/>
      <c r="Z1521" s="6"/>
      <c r="AA1521" s="6"/>
      <c r="AB1521" s="6"/>
      <c r="AC1521" s="6"/>
      <c r="AD1521" s="6"/>
      <c r="AE1521" s="6"/>
    </row>
    <row r="1522" spans="1:31" ht="51" x14ac:dyDescent="0.2">
      <c r="A1522" s="6" t="s">
        <v>7419</v>
      </c>
      <c r="B1522" s="6" t="s">
        <v>7427</v>
      </c>
      <c r="C1522" s="20" t="s">
        <v>7428</v>
      </c>
      <c r="D1522" s="6" t="s">
        <v>7429</v>
      </c>
      <c r="E1522" s="6"/>
      <c r="F1522" s="6" t="s">
        <v>7430</v>
      </c>
      <c r="G1522" s="6" t="s">
        <v>7431</v>
      </c>
      <c r="H1522" s="6" t="str">
        <f t="shared" si="136"/>
        <v>PHIBBAH
VINE (P7
P12)</v>
      </c>
      <c r="I1522" s="6" t="s">
        <v>342</v>
      </c>
      <c r="J1522" s="6"/>
      <c r="K1522" s="6"/>
      <c r="L1522" s="6" t="s">
        <v>209</v>
      </c>
      <c r="M1522" s="6" t="str">
        <f>VLOOKUP(L1522, GLOSSARY!$A:$C, 2, FALSE)</f>
        <v>BREADNUT ISLAND PEN</v>
      </c>
      <c r="N1522" s="6" t="s">
        <v>68</v>
      </c>
      <c r="O1522" s="6"/>
      <c r="P1522" s="6"/>
      <c r="Q1522" s="6"/>
      <c r="R1522" s="6"/>
      <c r="S1522" s="6"/>
      <c r="T1522" s="6"/>
      <c r="U1522" s="6"/>
      <c r="V1522" s="6"/>
      <c r="W1522" s="6"/>
      <c r="X1522" s="6"/>
      <c r="Y1522" s="6"/>
      <c r="Z1522" s="6"/>
      <c r="AA1522" s="6"/>
      <c r="AB1522" s="6"/>
      <c r="AC1522" s="6"/>
      <c r="AD1522" s="6"/>
      <c r="AE1522" s="6"/>
    </row>
    <row r="1523" spans="1:31" ht="63.75" x14ac:dyDescent="0.2">
      <c r="A1523" s="6" t="s">
        <v>7432</v>
      </c>
      <c r="B1523" s="6" t="s">
        <v>7433</v>
      </c>
      <c r="C1523" s="20" t="s">
        <v>7434</v>
      </c>
      <c r="D1523" s="6" t="s">
        <v>7435</v>
      </c>
      <c r="E1523" s="6" t="s">
        <v>7305</v>
      </c>
      <c r="F1523" s="6" t="s">
        <v>7306</v>
      </c>
      <c r="G1523" s="6" t="s">
        <v>7307</v>
      </c>
      <c r="H1523" s="18" t="str">
        <f t="shared" si="136"/>
        <v>MOLIA
LINCOLN
THE OVERSEER (P1
P24
P43)</v>
      </c>
      <c r="I1523" s="6" t="s">
        <v>112</v>
      </c>
      <c r="J1523" s="6" t="s">
        <v>35</v>
      </c>
      <c r="K1523" s="6" t="s">
        <v>207</v>
      </c>
      <c r="L1523" s="6" t="s">
        <v>209</v>
      </c>
      <c r="M1523" s="18" t="str">
        <f>VLOOKUP(L1523, GLOSSARY!$A:$C, 2, FALSE)</f>
        <v>BREADNUT ISLAND PEN</v>
      </c>
      <c r="N1523" s="6" t="s">
        <v>68</v>
      </c>
      <c r="O1523" s="6"/>
      <c r="P1523" s="6"/>
      <c r="Q1523" s="6"/>
      <c r="R1523" s="6"/>
      <c r="S1523" s="6"/>
      <c r="T1523" s="6"/>
      <c r="U1523" s="6"/>
      <c r="V1523" s="6"/>
      <c r="W1523" s="6"/>
      <c r="X1523" s="6"/>
      <c r="Y1523" s="6"/>
      <c r="Z1523" s="6"/>
      <c r="AA1523" s="6"/>
      <c r="AB1523" s="6"/>
      <c r="AC1523" s="6"/>
      <c r="AD1523" s="6"/>
      <c r="AE1523" s="6"/>
    </row>
    <row r="1524" spans="1:31" ht="63.75" x14ac:dyDescent="0.2">
      <c r="A1524" s="6" t="s">
        <v>7436</v>
      </c>
      <c r="B1524" s="6" t="s">
        <v>7437</v>
      </c>
      <c r="C1524" s="20" t="s">
        <v>7438</v>
      </c>
      <c r="D1524" s="6" t="s">
        <v>7439</v>
      </c>
      <c r="E1524" s="6"/>
      <c r="F1524" s="6" t="s">
        <v>6209</v>
      </c>
      <c r="G1524" s="6" t="s">
        <v>6436</v>
      </c>
      <c r="H1524" s="6" t="str">
        <f t="shared" si="136"/>
        <v>MOLIA
THE OVERSEER (P1
P43)</v>
      </c>
      <c r="I1524" s="6" t="s">
        <v>533</v>
      </c>
      <c r="J1524" s="6"/>
      <c r="K1524" s="6"/>
      <c r="L1524" s="6" t="s">
        <v>209</v>
      </c>
      <c r="M1524" s="6" t="str">
        <f>VLOOKUP(L1524, GLOSSARY!$A:$C, 2, FALSE)</f>
        <v>BREADNUT ISLAND PEN</v>
      </c>
      <c r="N1524" s="6" t="s">
        <v>68</v>
      </c>
      <c r="O1524" s="6"/>
      <c r="P1524" s="6"/>
      <c r="Q1524" s="6"/>
      <c r="R1524" s="6"/>
      <c r="S1524" s="6"/>
      <c r="T1524" s="6"/>
      <c r="U1524" s="6"/>
      <c r="V1524" s="6"/>
      <c r="W1524" s="6"/>
      <c r="X1524" s="6"/>
      <c r="Y1524" s="6"/>
      <c r="Z1524" s="6"/>
      <c r="AA1524" s="6"/>
      <c r="AB1524" s="6"/>
      <c r="AC1524" s="6"/>
      <c r="AD1524" s="6"/>
      <c r="AE1524" s="6"/>
    </row>
    <row r="1525" spans="1:31" ht="25.5" x14ac:dyDescent="0.2">
      <c r="A1525" s="6" t="s">
        <v>7440</v>
      </c>
      <c r="B1525" s="6" t="s">
        <v>7441</v>
      </c>
      <c r="C1525" s="20" t="s">
        <v>7442</v>
      </c>
      <c r="D1525" s="6" t="s">
        <v>7443</v>
      </c>
      <c r="E1525" s="6" t="s">
        <v>3829</v>
      </c>
      <c r="F1525" s="6" t="s">
        <v>29</v>
      </c>
      <c r="G1525" s="6" t="s">
        <v>28</v>
      </c>
      <c r="H1525" s="18" t="str">
        <f t="shared" si="136"/>
        <v>MOLIA (P1)</v>
      </c>
      <c r="I1525" s="6" t="s">
        <v>784</v>
      </c>
      <c r="J1525" s="6" t="s">
        <v>35</v>
      </c>
      <c r="K1525" s="6" t="s">
        <v>2982</v>
      </c>
      <c r="L1525" s="6" t="s">
        <v>2981</v>
      </c>
      <c r="M1525" s="18" t="str">
        <f>VLOOKUP(L1525, GLOSSARY!$A:$C, 2, FALSE)</f>
        <v>FRIENDSHIP ESTATE</v>
      </c>
      <c r="N1525" s="6" t="s">
        <v>68</v>
      </c>
      <c r="O1525" s="6"/>
      <c r="P1525" s="6"/>
      <c r="Q1525" s="6"/>
      <c r="R1525" s="6"/>
      <c r="S1525" s="6"/>
      <c r="T1525" s="6"/>
      <c r="U1525" s="6"/>
      <c r="V1525" s="6"/>
      <c r="W1525" s="6"/>
      <c r="X1525" s="6"/>
      <c r="Y1525" s="6"/>
      <c r="Z1525" s="6"/>
      <c r="AA1525" s="6"/>
      <c r="AB1525" s="6"/>
      <c r="AC1525" s="6"/>
      <c r="AD1525" s="6"/>
      <c r="AE1525" s="6"/>
    </row>
    <row r="1526" spans="1:31" ht="63.75" x14ac:dyDescent="0.2">
      <c r="A1526" s="6" t="s">
        <v>7440</v>
      </c>
      <c r="B1526" s="6" t="s">
        <v>7444</v>
      </c>
      <c r="C1526" s="20" t="s">
        <v>7445</v>
      </c>
      <c r="D1526" s="6" t="s">
        <v>7446</v>
      </c>
      <c r="E1526" s="6"/>
      <c r="F1526" s="6"/>
      <c r="G1526" s="6"/>
      <c r="H1526" s="18" t="str">
        <f t="shared" si="136"/>
        <v xml:space="preserve"> ()</v>
      </c>
      <c r="I1526" s="6" t="s">
        <v>26</v>
      </c>
      <c r="J1526" s="6"/>
      <c r="K1526" s="6"/>
      <c r="L1526" s="6"/>
      <c r="M1526" s="18" t="e">
        <f>VLOOKUP(L1526, GLOSSARY!$A:$C, 2, FALSE)</f>
        <v>#N/A</v>
      </c>
      <c r="N1526" s="6"/>
      <c r="O1526" s="6" t="s">
        <v>7446</v>
      </c>
      <c r="P1526" s="6"/>
      <c r="Q1526" s="6"/>
      <c r="R1526" s="6"/>
      <c r="S1526" s="6"/>
      <c r="T1526" s="6"/>
      <c r="U1526" s="6"/>
      <c r="V1526" s="6"/>
      <c r="W1526" s="6"/>
      <c r="X1526" s="6"/>
      <c r="Y1526" s="6"/>
      <c r="Z1526" s="6"/>
      <c r="AA1526" s="6"/>
      <c r="AB1526" s="6"/>
      <c r="AC1526" s="6"/>
      <c r="AD1526" s="6"/>
      <c r="AE1526" s="6"/>
    </row>
    <row r="1527" spans="1:31" ht="63.75" x14ac:dyDescent="0.2">
      <c r="A1527" s="6" t="s">
        <v>7440</v>
      </c>
      <c r="B1527" s="6" t="s">
        <v>6151</v>
      </c>
      <c r="C1527" s="20" t="s">
        <v>7447</v>
      </c>
      <c r="D1527" s="6" t="s">
        <v>7448</v>
      </c>
      <c r="E1527" s="6" t="s">
        <v>7299</v>
      </c>
      <c r="F1527" s="6" t="s">
        <v>7300</v>
      </c>
      <c r="G1527" s="6" t="s">
        <v>7345</v>
      </c>
      <c r="H1527" s="18" t="str">
        <f t="shared" si="136"/>
        <v>MOLIA
THE OVERSEER (P1
P43)</v>
      </c>
      <c r="I1527" s="6" t="s">
        <v>656</v>
      </c>
      <c r="J1527" s="6" t="s">
        <v>35</v>
      </c>
      <c r="K1527" s="6" t="s">
        <v>207</v>
      </c>
      <c r="L1527" s="6" t="s">
        <v>209</v>
      </c>
      <c r="M1527" s="18" t="str">
        <f>VLOOKUP(L1527, GLOSSARY!$A:$C, 2, FALSE)</f>
        <v>BREADNUT ISLAND PEN</v>
      </c>
      <c r="N1527" s="6" t="s">
        <v>68</v>
      </c>
      <c r="O1527" s="6" t="s">
        <v>7449</v>
      </c>
      <c r="P1527" s="6"/>
      <c r="Q1527" s="6"/>
      <c r="R1527" s="6"/>
      <c r="S1527" s="6"/>
      <c r="T1527" s="6"/>
      <c r="U1527" s="6"/>
      <c r="V1527" s="6"/>
      <c r="W1527" s="6"/>
      <c r="X1527" s="6"/>
      <c r="Y1527" s="6"/>
      <c r="Z1527" s="6"/>
      <c r="AA1527" s="6"/>
      <c r="AB1527" s="6"/>
      <c r="AC1527" s="6"/>
      <c r="AD1527" s="6"/>
      <c r="AE1527" s="6"/>
    </row>
    <row r="1528" spans="1:31" ht="38.25" x14ac:dyDescent="0.2">
      <c r="A1528" s="6" t="s">
        <v>7450</v>
      </c>
      <c r="B1528" s="6" t="s">
        <v>7451</v>
      </c>
      <c r="C1528" s="25" t="s">
        <v>7452</v>
      </c>
      <c r="D1528" s="6" t="s">
        <v>7453</v>
      </c>
      <c r="E1528" s="6" t="s">
        <v>7454</v>
      </c>
      <c r="F1528" s="6" t="s">
        <v>6006</v>
      </c>
      <c r="G1528" s="6" t="s">
        <v>5833</v>
      </c>
      <c r="H1528" s="18" t="str">
        <f t="shared" si="136"/>
        <v>EGYPT LUCY
THE OVERSEER (P3
P43)</v>
      </c>
      <c r="I1528" s="6" t="s">
        <v>957</v>
      </c>
      <c r="J1528" s="6"/>
      <c r="K1528" s="6" t="s">
        <v>207</v>
      </c>
      <c r="L1528" s="6" t="s">
        <v>209</v>
      </c>
      <c r="M1528" s="18" t="str">
        <f>VLOOKUP(L1528, GLOSSARY!$A:$C, 2, FALSE)</f>
        <v>BREADNUT ISLAND PEN</v>
      </c>
      <c r="N1528" s="6" t="s">
        <v>68</v>
      </c>
      <c r="O1528" s="6"/>
      <c r="P1528" s="6"/>
      <c r="Q1528" s="6"/>
      <c r="R1528" s="6"/>
      <c r="S1528" s="6"/>
      <c r="T1528" s="6"/>
      <c r="U1528" s="6"/>
      <c r="V1528" s="6"/>
      <c r="W1528" s="6"/>
      <c r="X1528" s="6"/>
      <c r="Y1528" s="6"/>
      <c r="Z1528" s="6"/>
      <c r="AA1528" s="6"/>
      <c r="AB1528" s="6"/>
      <c r="AC1528" s="6"/>
      <c r="AD1528" s="6"/>
      <c r="AE1528" s="6"/>
    </row>
    <row r="1529" spans="1:31" ht="63.75" x14ac:dyDescent="0.2">
      <c r="A1529" s="6" t="s">
        <v>7455</v>
      </c>
      <c r="B1529" s="6" t="s">
        <v>6200</v>
      </c>
      <c r="C1529" s="20" t="s">
        <v>7456</v>
      </c>
      <c r="D1529" s="6" t="s">
        <v>7457</v>
      </c>
      <c r="E1529" s="6"/>
      <c r="F1529" s="6" t="s">
        <v>7458</v>
      </c>
      <c r="G1529" s="6" t="s">
        <v>4805</v>
      </c>
      <c r="H1529" s="6" t="str">
        <f t="shared" si="136"/>
        <v>THE OVERSEER
COOBAH (P43
P16)</v>
      </c>
      <c r="I1529" s="6" t="s">
        <v>3794</v>
      </c>
      <c r="J1529" s="6" t="s">
        <v>6130</v>
      </c>
      <c r="K1529" s="6"/>
      <c r="L1529" s="6" t="s">
        <v>209</v>
      </c>
      <c r="M1529" s="6" t="str">
        <f>VLOOKUP(L1529, GLOSSARY!$A:$C, 2, FALSE)</f>
        <v>BREADNUT ISLAND PEN</v>
      </c>
      <c r="N1529" s="6" t="s">
        <v>68</v>
      </c>
      <c r="O1529" s="6"/>
      <c r="P1529" s="6"/>
      <c r="Q1529" s="6"/>
      <c r="R1529" s="6"/>
      <c r="S1529" s="6"/>
      <c r="T1529" s="6"/>
      <c r="U1529" s="6"/>
      <c r="V1529" s="6"/>
      <c r="W1529" s="6"/>
      <c r="X1529" s="6"/>
      <c r="Y1529" s="6"/>
      <c r="Z1529" s="6"/>
      <c r="AA1529" s="6"/>
      <c r="AB1529" s="6"/>
      <c r="AC1529" s="6"/>
      <c r="AD1529" s="6"/>
      <c r="AE1529" s="6"/>
    </row>
    <row r="1530" spans="1:31" ht="63.75" x14ac:dyDescent="0.2">
      <c r="A1530" s="6" t="s">
        <v>7459</v>
      </c>
      <c r="B1530" s="6" t="s">
        <v>6207</v>
      </c>
      <c r="C1530" s="20" t="s">
        <v>7460</v>
      </c>
      <c r="D1530" s="6" t="s">
        <v>7461</v>
      </c>
      <c r="E1530" s="6"/>
      <c r="F1530" s="6" t="s">
        <v>7201</v>
      </c>
      <c r="G1530" s="6" t="s">
        <v>7202</v>
      </c>
      <c r="H1530" s="6" t="str">
        <f>CONCATENATE(F1530,"(",G1530,")")</f>
        <v>JOHN
THE OVERSEER(P9
P43)</v>
      </c>
      <c r="I1530" s="6" t="s">
        <v>3803</v>
      </c>
      <c r="J1530" s="6"/>
      <c r="K1530" s="6"/>
      <c r="L1530" s="6" t="s">
        <v>445</v>
      </c>
      <c r="M1530" s="6" t="str">
        <f>VLOOKUP(L1530, GLOSSARY!$A:$C, 2, FALSE)</f>
        <v>MRS. SARAH BENNETT'S</v>
      </c>
      <c r="N1530" s="6" t="s">
        <v>68</v>
      </c>
      <c r="O1530" s="6"/>
      <c r="P1530" s="6"/>
      <c r="Q1530" s="6"/>
      <c r="R1530" s="6"/>
      <c r="S1530" s="6"/>
      <c r="T1530" s="6"/>
      <c r="U1530" s="6"/>
      <c r="V1530" s="6"/>
      <c r="W1530" s="6"/>
      <c r="X1530" s="6"/>
      <c r="Y1530" s="6"/>
      <c r="Z1530" s="6"/>
      <c r="AA1530" s="6"/>
      <c r="AB1530" s="6"/>
      <c r="AC1530" s="6"/>
      <c r="AD1530" s="6"/>
      <c r="AE1530" s="6"/>
    </row>
    <row r="1531" spans="1:31" ht="102" x14ac:dyDescent="0.2">
      <c r="A1531" s="6" t="s">
        <v>7462</v>
      </c>
      <c r="B1531" s="6" t="s">
        <v>6210</v>
      </c>
      <c r="C1531" s="20" t="s">
        <v>7463</v>
      </c>
      <c r="D1531" s="6" t="s">
        <v>7464</v>
      </c>
      <c r="E1531" s="6" t="s">
        <v>7465</v>
      </c>
      <c r="F1531" s="6" t="s">
        <v>7466</v>
      </c>
      <c r="G1531" s="6" t="s">
        <v>7467</v>
      </c>
      <c r="H1531" s="18" t="str">
        <f>CONCATENATE(F1531," (",G1531,")")</f>
        <v>MOLIA
SOLON
MYRTILLA
THE OVERSEER (P1
P26
P32
P43)</v>
      </c>
      <c r="I1531" s="6" t="s">
        <v>656</v>
      </c>
      <c r="J1531" s="6" t="s">
        <v>7468</v>
      </c>
      <c r="K1531" s="6" t="s">
        <v>7366</v>
      </c>
      <c r="L1531" s="6" t="s">
        <v>7367</v>
      </c>
      <c r="M1531" s="18" t="e">
        <f>VLOOKUP(L1531, GLOSSARY!$A:$C, 2, FALSE)</f>
        <v>#N/A</v>
      </c>
      <c r="N1531" s="6" t="s">
        <v>167</v>
      </c>
      <c r="O1531" s="6" t="s">
        <v>7469</v>
      </c>
      <c r="P1531" s="6"/>
      <c r="Q1531" s="6"/>
      <c r="R1531" s="6"/>
      <c r="S1531" s="6"/>
      <c r="T1531" s="6"/>
      <c r="U1531" s="6"/>
      <c r="V1531" s="6"/>
      <c r="W1531" s="6"/>
      <c r="X1531" s="6"/>
      <c r="Y1531" s="6"/>
      <c r="Z1531" s="6"/>
      <c r="AA1531" s="6"/>
      <c r="AB1531" s="6"/>
      <c r="AC1531" s="6"/>
      <c r="AD1531" s="6"/>
      <c r="AE1531" s="6"/>
    </row>
    <row r="1532" spans="1:31" ht="114.75" x14ac:dyDescent="0.2">
      <c r="A1532" s="6" t="s">
        <v>7459</v>
      </c>
      <c r="B1532" s="6" t="s">
        <v>6210</v>
      </c>
      <c r="C1532" s="20" t="s">
        <v>7463</v>
      </c>
      <c r="D1532" s="6" t="s">
        <v>7470</v>
      </c>
      <c r="E1532" s="6"/>
      <c r="F1532" s="6" t="s">
        <v>7471</v>
      </c>
      <c r="G1532" s="6" t="s">
        <v>7472</v>
      </c>
      <c r="H1532" s="6" t="str">
        <f>CONCATENATE(F1532,"(",G1532,")")</f>
        <v>JOHN
PHIBBAH
THE OVERSEER(P9
P7
P43)</v>
      </c>
      <c r="I1532" s="6" t="s">
        <v>3803</v>
      </c>
      <c r="J1532" s="6"/>
      <c r="K1532" s="6"/>
      <c r="L1532" s="6" t="s">
        <v>445</v>
      </c>
      <c r="M1532" s="6" t="str">
        <f>VLOOKUP(L1532, GLOSSARY!$A:$C, 2, FALSE)</f>
        <v>MRS. SARAH BENNETT'S</v>
      </c>
      <c r="N1532" s="6" t="s">
        <v>68</v>
      </c>
      <c r="O1532" s="6"/>
      <c r="P1532" s="6"/>
      <c r="Q1532" s="6"/>
      <c r="R1532" s="6"/>
      <c r="S1532" s="6"/>
      <c r="T1532" s="6"/>
      <c r="U1532" s="6"/>
      <c r="V1532" s="6"/>
      <c r="W1532" s="6"/>
      <c r="X1532" s="6"/>
      <c r="Y1532" s="6"/>
      <c r="Z1532" s="6"/>
      <c r="AA1532" s="6"/>
      <c r="AB1532" s="6"/>
      <c r="AC1532" s="6"/>
      <c r="AD1532" s="6"/>
      <c r="AE1532" s="6"/>
    </row>
    <row r="1533" spans="1:31" ht="51" x14ac:dyDescent="0.2">
      <c r="A1533" s="6" t="s">
        <v>7462</v>
      </c>
      <c r="B1533" s="6" t="s">
        <v>7473</v>
      </c>
      <c r="C1533" s="20" t="s">
        <v>7474</v>
      </c>
      <c r="D1533" s="59" t="s">
        <v>7475</v>
      </c>
      <c r="E1533" s="6"/>
      <c r="F1533" s="6"/>
      <c r="G1533" s="6"/>
      <c r="H1533" s="18" t="str">
        <f t="shared" ref="H1533:H1552" si="137">CONCATENATE(F1533," (",G1533,")")</f>
        <v xml:space="preserve"> ()</v>
      </c>
      <c r="I1533" s="6" t="s">
        <v>26</v>
      </c>
      <c r="J1533" s="6"/>
      <c r="K1533" s="6"/>
      <c r="L1533" s="6"/>
      <c r="M1533" s="18" t="e">
        <f>VLOOKUP(L1533, GLOSSARY!$A:$C, 2, FALSE)</f>
        <v>#N/A</v>
      </c>
      <c r="N1533" s="6" t="s">
        <v>287</v>
      </c>
      <c r="O1533" s="59" t="s">
        <v>7475</v>
      </c>
      <c r="P1533" s="6"/>
      <c r="Q1533" s="6"/>
      <c r="R1533" s="6"/>
      <c r="S1533" s="6"/>
      <c r="T1533" s="6"/>
      <c r="U1533" s="6"/>
      <c r="V1533" s="6"/>
      <c r="W1533" s="6"/>
      <c r="X1533" s="6"/>
      <c r="Y1533" s="6"/>
      <c r="Z1533" s="6"/>
      <c r="AA1533" s="6"/>
      <c r="AB1533" s="6"/>
      <c r="AC1533" s="6"/>
      <c r="AD1533" s="6"/>
      <c r="AE1533" s="6"/>
    </row>
    <row r="1534" spans="1:31" ht="63.75" x14ac:dyDescent="0.2">
      <c r="A1534" s="6" t="s">
        <v>7462</v>
      </c>
      <c r="B1534" s="6" t="s">
        <v>7473</v>
      </c>
      <c r="C1534" s="20" t="s">
        <v>7476</v>
      </c>
      <c r="D1534" s="6" t="s">
        <v>7477</v>
      </c>
      <c r="E1534" s="6"/>
      <c r="F1534" s="6"/>
      <c r="G1534" s="6"/>
      <c r="H1534" s="18" t="str">
        <f t="shared" si="137"/>
        <v xml:space="preserve"> ()</v>
      </c>
      <c r="I1534" s="6" t="s">
        <v>26</v>
      </c>
      <c r="J1534" s="6"/>
      <c r="K1534" s="6"/>
      <c r="L1534" s="6"/>
      <c r="M1534" s="18" t="e">
        <f>VLOOKUP(L1534, GLOSSARY!$A:$C, 2, FALSE)</f>
        <v>#N/A</v>
      </c>
      <c r="N1534" s="6" t="s">
        <v>3146</v>
      </c>
      <c r="O1534" s="6" t="s">
        <v>7477</v>
      </c>
      <c r="P1534" s="6"/>
      <c r="Q1534" s="6"/>
      <c r="R1534" s="6"/>
      <c r="S1534" s="6"/>
      <c r="T1534" s="6"/>
      <c r="U1534" s="6"/>
      <c r="V1534" s="6"/>
      <c r="W1534" s="6"/>
      <c r="X1534" s="6"/>
      <c r="Y1534" s="6"/>
      <c r="Z1534" s="6"/>
      <c r="AA1534" s="6"/>
      <c r="AB1534" s="6"/>
      <c r="AC1534" s="6"/>
      <c r="AD1534" s="6"/>
      <c r="AE1534" s="6"/>
    </row>
    <row r="1535" spans="1:31" ht="76.5" x14ac:dyDescent="0.2">
      <c r="A1535" s="6" t="s">
        <v>7462</v>
      </c>
      <c r="B1535" s="6" t="s">
        <v>7473</v>
      </c>
      <c r="C1535" s="20" t="s">
        <v>7478</v>
      </c>
      <c r="D1535" s="6" t="s">
        <v>7479</v>
      </c>
      <c r="E1535" s="6"/>
      <c r="F1535" s="6"/>
      <c r="G1535" s="6"/>
      <c r="H1535" s="18" t="str">
        <f t="shared" si="137"/>
        <v xml:space="preserve"> ()</v>
      </c>
      <c r="I1535" s="6" t="s">
        <v>26</v>
      </c>
      <c r="J1535" s="6"/>
      <c r="K1535" s="6"/>
      <c r="L1535" s="6"/>
      <c r="M1535" s="18" t="e">
        <f>VLOOKUP(L1535, GLOSSARY!$A:$C, 2, FALSE)</f>
        <v>#N/A</v>
      </c>
      <c r="N1535" s="6" t="s">
        <v>287</v>
      </c>
      <c r="O1535" s="6" t="s">
        <v>7479</v>
      </c>
      <c r="P1535" s="6"/>
      <c r="Q1535" s="6"/>
      <c r="R1535" s="6"/>
      <c r="S1535" s="6"/>
      <c r="T1535" s="6"/>
      <c r="U1535" s="6"/>
      <c r="V1535" s="6"/>
      <c r="W1535" s="6"/>
      <c r="X1535" s="6"/>
      <c r="Y1535" s="6"/>
      <c r="Z1535" s="6"/>
      <c r="AA1535" s="6"/>
      <c r="AB1535" s="6"/>
      <c r="AC1535" s="6"/>
      <c r="AD1535" s="6"/>
      <c r="AE1535" s="6"/>
    </row>
    <row r="1536" spans="1:31" ht="63.75" x14ac:dyDescent="0.2">
      <c r="A1536" s="6" t="s">
        <v>7462</v>
      </c>
      <c r="B1536" s="6" t="s">
        <v>7480</v>
      </c>
      <c r="C1536" s="20" t="s">
        <v>7481</v>
      </c>
      <c r="D1536" s="6" t="s">
        <v>7482</v>
      </c>
      <c r="E1536" s="6"/>
      <c r="F1536" s="6"/>
      <c r="G1536" s="6"/>
      <c r="H1536" s="18" t="str">
        <f t="shared" si="137"/>
        <v xml:space="preserve"> ()</v>
      </c>
      <c r="I1536" s="6" t="s">
        <v>26</v>
      </c>
      <c r="J1536" s="6"/>
      <c r="K1536" s="6"/>
      <c r="L1536" s="6"/>
      <c r="M1536" s="18" t="e">
        <f>VLOOKUP(L1536, GLOSSARY!$A:$C, 2, FALSE)</f>
        <v>#N/A</v>
      </c>
      <c r="N1536" s="6" t="s">
        <v>287</v>
      </c>
      <c r="O1536" s="6" t="s">
        <v>7482</v>
      </c>
      <c r="P1536" s="6"/>
      <c r="Q1536" s="6"/>
      <c r="R1536" s="6"/>
      <c r="S1536" s="6"/>
      <c r="T1536" s="6"/>
      <c r="U1536" s="6"/>
      <c r="V1536" s="6"/>
      <c r="W1536" s="6"/>
      <c r="X1536" s="6"/>
      <c r="Y1536" s="6"/>
      <c r="Z1536" s="6"/>
      <c r="AA1536" s="6"/>
      <c r="AB1536" s="6"/>
      <c r="AC1536" s="6"/>
      <c r="AD1536" s="6"/>
      <c r="AE1536" s="6"/>
    </row>
    <row r="1537" spans="1:31" ht="63.75" x14ac:dyDescent="0.2">
      <c r="A1537" s="6" t="s">
        <v>7462</v>
      </c>
      <c r="B1537" s="6" t="s">
        <v>7480</v>
      </c>
      <c r="C1537" s="20" t="s">
        <v>7483</v>
      </c>
      <c r="D1537" s="6" t="s">
        <v>7484</v>
      </c>
      <c r="E1537" s="6"/>
      <c r="F1537" s="6"/>
      <c r="G1537" s="6"/>
      <c r="H1537" s="18" t="str">
        <f t="shared" si="137"/>
        <v xml:space="preserve"> ()</v>
      </c>
      <c r="I1537" s="6" t="s">
        <v>26</v>
      </c>
      <c r="J1537" s="6"/>
      <c r="K1537" s="6"/>
      <c r="L1537" s="6"/>
      <c r="M1537" s="18" t="e">
        <f>VLOOKUP(L1537, GLOSSARY!$A:$C, 2, FALSE)</f>
        <v>#N/A</v>
      </c>
      <c r="N1537" s="6" t="s">
        <v>287</v>
      </c>
      <c r="O1537" s="6" t="s">
        <v>7484</v>
      </c>
      <c r="P1537" s="6"/>
      <c r="Q1537" s="6"/>
      <c r="R1537" s="6"/>
      <c r="S1537" s="6"/>
      <c r="T1537" s="6"/>
      <c r="U1537" s="6"/>
      <c r="V1537" s="6"/>
      <c r="W1537" s="6"/>
      <c r="X1537" s="6"/>
      <c r="Y1537" s="6"/>
      <c r="Z1537" s="6"/>
      <c r="AA1537" s="6"/>
      <c r="AB1537" s="6"/>
      <c r="AC1537" s="6"/>
      <c r="AD1537" s="6"/>
      <c r="AE1537" s="6"/>
    </row>
    <row r="1538" spans="1:31" ht="114.75" x14ac:dyDescent="0.2">
      <c r="A1538" s="6" t="s">
        <v>7462</v>
      </c>
      <c r="B1538" s="6" t="s">
        <v>7485</v>
      </c>
      <c r="C1538" s="20" t="s">
        <v>7483</v>
      </c>
      <c r="D1538" s="6" t="s">
        <v>7486</v>
      </c>
      <c r="E1538" s="6" t="s">
        <v>7487</v>
      </c>
      <c r="F1538" s="6" t="s">
        <v>7488</v>
      </c>
      <c r="G1538" s="6" t="s">
        <v>7489</v>
      </c>
      <c r="H1538" s="18" t="str">
        <f t="shared" si="137"/>
        <v>MOLIA
JOHN STONE
SOLON
THE OVERSEER (P1
P64
P26
P43)</v>
      </c>
      <c r="I1538" s="6" t="s">
        <v>656</v>
      </c>
      <c r="J1538" s="6" t="s">
        <v>35</v>
      </c>
      <c r="K1538" s="6" t="s">
        <v>7490</v>
      </c>
      <c r="L1538" s="6" t="s">
        <v>7491</v>
      </c>
      <c r="M1538" s="18" t="e">
        <f>VLOOKUP(L1538, GLOSSARY!$A:$C, 2, FALSE)</f>
        <v>#N/A</v>
      </c>
      <c r="N1538" s="6" t="s">
        <v>68</v>
      </c>
      <c r="O1538" s="6" t="s">
        <v>7484</v>
      </c>
      <c r="P1538" s="6"/>
      <c r="Q1538" s="6"/>
      <c r="R1538" s="6"/>
      <c r="S1538" s="6"/>
      <c r="T1538" s="6"/>
      <c r="U1538" s="6"/>
      <c r="V1538" s="6"/>
      <c r="W1538" s="6"/>
      <c r="X1538" s="6"/>
      <c r="Y1538" s="6"/>
      <c r="Z1538" s="6"/>
      <c r="AA1538" s="6"/>
      <c r="AB1538" s="6"/>
      <c r="AC1538" s="6"/>
      <c r="AD1538" s="6"/>
      <c r="AE1538" s="6"/>
    </row>
    <row r="1539" spans="1:31" ht="102" x14ac:dyDescent="0.2">
      <c r="A1539" s="6" t="s">
        <v>7462</v>
      </c>
      <c r="B1539" s="6" t="s">
        <v>7492</v>
      </c>
      <c r="C1539" s="20" t="s">
        <v>7493</v>
      </c>
      <c r="D1539" s="6" t="s">
        <v>7494</v>
      </c>
      <c r="E1539" s="6" t="s">
        <v>7495</v>
      </c>
      <c r="F1539" s="6" t="s">
        <v>7496</v>
      </c>
      <c r="G1539" s="6" t="s">
        <v>7497</v>
      </c>
      <c r="H1539" s="18" t="str">
        <f t="shared" si="137"/>
        <v>MOLIA
THE NEIGHBOR
JIMMY
THE OVERSEER (P1
P46
P54
P43)</v>
      </c>
      <c r="I1539" s="6" t="s">
        <v>112</v>
      </c>
      <c r="J1539" s="6" t="s">
        <v>35</v>
      </c>
      <c r="K1539" s="6" t="s">
        <v>7498</v>
      </c>
      <c r="L1539" s="6" t="s">
        <v>7499</v>
      </c>
      <c r="M1539" s="18" t="e">
        <f>VLOOKUP(L1539, GLOSSARY!$A:$C, 2, FALSE)</f>
        <v>#N/A</v>
      </c>
      <c r="N1539" s="6" t="s">
        <v>287</v>
      </c>
      <c r="O1539" s="6" t="s">
        <v>7500</v>
      </c>
      <c r="P1539" s="6"/>
      <c r="Q1539" s="6"/>
      <c r="R1539" s="6"/>
      <c r="S1539" s="6"/>
      <c r="T1539" s="6"/>
      <c r="U1539" s="6"/>
      <c r="V1539" s="6"/>
      <c r="W1539" s="6"/>
      <c r="X1539" s="6"/>
      <c r="Y1539" s="6"/>
      <c r="Z1539" s="6"/>
      <c r="AA1539" s="6"/>
      <c r="AB1539" s="6"/>
      <c r="AC1539" s="6"/>
      <c r="AD1539" s="6"/>
      <c r="AE1539" s="6"/>
    </row>
    <row r="1540" spans="1:31" ht="63.75" x14ac:dyDescent="0.2">
      <c r="A1540" s="6" t="s">
        <v>7501</v>
      </c>
      <c r="B1540" s="6" t="s">
        <v>7502</v>
      </c>
      <c r="C1540" s="20" t="s">
        <v>7503</v>
      </c>
      <c r="D1540" s="6" t="s">
        <v>7504</v>
      </c>
      <c r="E1540" s="6" t="s">
        <v>7372</v>
      </c>
      <c r="F1540" s="6" t="s">
        <v>7373</v>
      </c>
      <c r="G1540" s="6" t="s">
        <v>7374</v>
      </c>
      <c r="H1540" s="18" t="str">
        <f t="shared" si="137"/>
        <v>MOLIA
SOLON
THE OVERSEER (P1
P26
P43)</v>
      </c>
      <c r="I1540" s="6" t="s">
        <v>656</v>
      </c>
      <c r="J1540" s="6" t="s">
        <v>35</v>
      </c>
      <c r="K1540" s="6" t="s">
        <v>207</v>
      </c>
      <c r="L1540" s="6" t="s">
        <v>209</v>
      </c>
      <c r="M1540" s="18" t="str">
        <f>VLOOKUP(L1540, GLOSSARY!$A:$C, 2, FALSE)</f>
        <v>BREADNUT ISLAND PEN</v>
      </c>
      <c r="N1540" s="6" t="s">
        <v>167</v>
      </c>
      <c r="O1540" s="6" t="s">
        <v>7505</v>
      </c>
      <c r="P1540" s="6" t="s">
        <v>7506</v>
      </c>
      <c r="Q1540" s="6"/>
      <c r="R1540" s="6"/>
      <c r="S1540" s="6"/>
      <c r="T1540" s="6"/>
      <c r="U1540" s="6"/>
      <c r="V1540" s="6"/>
      <c r="W1540" s="6"/>
      <c r="X1540" s="6"/>
      <c r="Y1540" s="6"/>
      <c r="Z1540" s="6"/>
      <c r="AA1540" s="6"/>
      <c r="AB1540" s="6"/>
      <c r="AC1540" s="6"/>
      <c r="AD1540" s="6"/>
      <c r="AE1540" s="6"/>
    </row>
    <row r="1541" spans="1:31" ht="63.75" x14ac:dyDescent="0.2">
      <c r="A1541" s="6" t="s">
        <v>7501</v>
      </c>
      <c r="B1541" s="6" t="s">
        <v>7507</v>
      </c>
      <c r="C1541" s="20" t="s">
        <v>7508</v>
      </c>
      <c r="D1541" s="6" t="s">
        <v>7509</v>
      </c>
      <c r="E1541" s="6"/>
      <c r="F1541" s="6"/>
      <c r="G1541" s="6"/>
      <c r="H1541" s="18" t="str">
        <f t="shared" si="137"/>
        <v xml:space="preserve"> ()</v>
      </c>
      <c r="I1541" s="6" t="s">
        <v>26</v>
      </c>
      <c r="J1541" s="6"/>
      <c r="K1541" s="6" t="s">
        <v>207</v>
      </c>
      <c r="L1541" s="6" t="s">
        <v>209</v>
      </c>
      <c r="M1541" s="18" t="str">
        <f>VLOOKUP(L1541, GLOSSARY!$A:$C, 2, FALSE)</f>
        <v>BREADNUT ISLAND PEN</v>
      </c>
      <c r="N1541" s="6" t="s">
        <v>287</v>
      </c>
      <c r="O1541" s="6" t="s">
        <v>7509</v>
      </c>
      <c r="P1541" s="6"/>
      <c r="Q1541" s="6"/>
      <c r="R1541" s="6"/>
      <c r="S1541" s="6"/>
      <c r="T1541" s="6"/>
      <c r="U1541" s="6"/>
      <c r="V1541" s="6"/>
      <c r="W1541" s="6"/>
      <c r="X1541" s="6"/>
      <c r="Y1541" s="6"/>
      <c r="Z1541" s="6"/>
      <c r="AA1541" s="6"/>
      <c r="AB1541" s="6"/>
      <c r="AC1541" s="6"/>
      <c r="AD1541" s="6"/>
      <c r="AE1541" s="6"/>
    </row>
    <row r="1542" spans="1:31" ht="51" x14ac:dyDescent="0.2">
      <c r="A1542" s="6" t="s">
        <v>7501</v>
      </c>
      <c r="B1542" s="6" t="s">
        <v>7510</v>
      </c>
      <c r="C1542" s="20" t="s">
        <v>7511</v>
      </c>
      <c r="D1542" s="6" t="s">
        <v>7512</v>
      </c>
      <c r="E1542" s="6"/>
      <c r="F1542" s="6"/>
      <c r="G1542" s="6"/>
      <c r="H1542" s="18" t="str">
        <f t="shared" si="137"/>
        <v xml:space="preserve"> ()</v>
      </c>
      <c r="I1542" s="6" t="s">
        <v>26</v>
      </c>
      <c r="J1542" s="6"/>
      <c r="K1542" s="6" t="s">
        <v>207</v>
      </c>
      <c r="L1542" s="6" t="s">
        <v>209</v>
      </c>
      <c r="M1542" s="18" t="str">
        <f>VLOOKUP(L1542, GLOSSARY!$A:$C, 2, FALSE)</f>
        <v>BREADNUT ISLAND PEN</v>
      </c>
      <c r="N1542" s="6" t="s">
        <v>287</v>
      </c>
      <c r="O1542" s="6" t="s">
        <v>7512</v>
      </c>
      <c r="P1542" s="6"/>
      <c r="Q1542" s="6"/>
      <c r="R1542" s="6"/>
      <c r="S1542" s="6"/>
      <c r="T1542" s="6"/>
      <c r="U1542" s="6"/>
      <c r="V1542" s="6"/>
      <c r="W1542" s="6"/>
      <c r="X1542" s="6"/>
      <c r="Y1542" s="6"/>
      <c r="Z1542" s="6"/>
      <c r="AA1542" s="6"/>
      <c r="AB1542" s="6"/>
      <c r="AC1542" s="6"/>
      <c r="AD1542" s="6"/>
      <c r="AE1542" s="6"/>
    </row>
    <row r="1543" spans="1:31" ht="38.25" x14ac:dyDescent="0.2">
      <c r="A1543" s="6" t="s">
        <v>7501</v>
      </c>
      <c r="B1543" s="6" t="s">
        <v>7510</v>
      </c>
      <c r="C1543" s="20" t="s">
        <v>7513</v>
      </c>
      <c r="D1543" s="6" t="s">
        <v>7514</v>
      </c>
      <c r="E1543" s="6"/>
      <c r="F1543" s="6"/>
      <c r="G1543" s="6"/>
      <c r="H1543" s="18" t="str">
        <f t="shared" si="137"/>
        <v xml:space="preserve"> ()</v>
      </c>
      <c r="I1543" s="6" t="s">
        <v>26</v>
      </c>
      <c r="J1543" s="6"/>
      <c r="K1543" s="6" t="s">
        <v>207</v>
      </c>
      <c r="L1543" s="6" t="s">
        <v>209</v>
      </c>
      <c r="M1543" s="18" t="str">
        <f>VLOOKUP(L1543, GLOSSARY!$A:$C, 2, FALSE)</f>
        <v>BREADNUT ISLAND PEN</v>
      </c>
      <c r="N1543" s="6" t="s">
        <v>287</v>
      </c>
      <c r="O1543" s="6" t="s">
        <v>7514</v>
      </c>
      <c r="P1543" s="6"/>
      <c r="Q1543" s="6"/>
      <c r="R1543" s="6"/>
      <c r="S1543" s="6"/>
      <c r="T1543" s="6"/>
      <c r="U1543" s="6"/>
      <c r="V1543" s="6"/>
      <c r="W1543" s="6"/>
      <c r="X1543" s="6"/>
      <c r="Y1543" s="6"/>
      <c r="Z1543" s="6"/>
      <c r="AA1543" s="6"/>
      <c r="AB1543" s="6"/>
      <c r="AC1543" s="6"/>
      <c r="AD1543" s="6"/>
      <c r="AE1543" s="6"/>
    </row>
    <row r="1544" spans="1:31" ht="63.75" x14ac:dyDescent="0.2">
      <c r="A1544" s="6" t="s">
        <v>7501</v>
      </c>
      <c r="B1544" s="6" t="s">
        <v>7510</v>
      </c>
      <c r="C1544" s="20" t="s">
        <v>7515</v>
      </c>
      <c r="D1544" s="6" t="s">
        <v>7516</v>
      </c>
      <c r="E1544" s="6"/>
      <c r="F1544" s="6"/>
      <c r="G1544" s="6"/>
      <c r="H1544" s="18" t="str">
        <f t="shared" si="137"/>
        <v xml:space="preserve"> ()</v>
      </c>
      <c r="I1544" s="6" t="s">
        <v>26</v>
      </c>
      <c r="J1544" s="6"/>
      <c r="K1544" s="6" t="s">
        <v>207</v>
      </c>
      <c r="L1544" s="6" t="s">
        <v>209</v>
      </c>
      <c r="M1544" s="18" t="str">
        <f>VLOOKUP(L1544, GLOSSARY!$A:$C, 2, FALSE)</f>
        <v>BREADNUT ISLAND PEN</v>
      </c>
      <c r="N1544" s="6" t="s">
        <v>287</v>
      </c>
      <c r="O1544" s="6" t="s">
        <v>7516</v>
      </c>
      <c r="P1544" s="6"/>
      <c r="Q1544" s="6"/>
      <c r="R1544" s="6"/>
      <c r="S1544" s="6"/>
      <c r="T1544" s="6"/>
      <c r="U1544" s="6"/>
      <c r="V1544" s="6"/>
      <c r="W1544" s="6"/>
      <c r="X1544" s="6"/>
      <c r="Y1544" s="6"/>
      <c r="Z1544" s="6"/>
      <c r="AA1544" s="6"/>
      <c r="AB1544" s="6"/>
      <c r="AC1544" s="6"/>
      <c r="AD1544" s="6"/>
      <c r="AE1544" s="6"/>
    </row>
    <row r="1545" spans="1:31" ht="89.25" x14ac:dyDescent="0.2">
      <c r="A1545" s="6" t="s">
        <v>7501</v>
      </c>
      <c r="B1545" s="6" t="s">
        <v>7517</v>
      </c>
      <c r="C1545" s="20" t="s">
        <v>7518</v>
      </c>
      <c r="D1545" s="6" t="s">
        <v>7519</v>
      </c>
      <c r="E1545" s="6" t="s">
        <v>7372</v>
      </c>
      <c r="F1545" s="6" t="s">
        <v>7373</v>
      </c>
      <c r="G1545" s="6" t="s">
        <v>7374</v>
      </c>
      <c r="H1545" s="18" t="str">
        <f t="shared" si="137"/>
        <v>MOLIA
SOLON
THE OVERSEER (P1
P26
P43)</v>
      </c>
      <c r="I1545" s="6" t="s">
        <v>656</v>
      </c>
      <c r="J1545" s="6" t="s">
        <v>35</v>
      </c>
      <c r="K1545" s="6" t="s">
        <v>7520</v>
      </c>
      <c r="L1545" s="6" t="s">
        <v>7521</v>
      </c>
      <c r="M1545" s="18" t="e">
        <f>VLOOKUP(L1545, GLOSSARY!$A:$C, 2, FALSE)</f>
        <v>#N/A</v>
      </c>
      <c r="N1545" s="6" t="s">
        <v>167</v>
      </c>
      <c r="O1545" s="6" t="s">
        <v>7522</v>
      </c>
      <c r="P1545" s="6"/>
      <c r="Q1545" s="6"/>
      <c r="R1545" s="6"/>
      <c r="S1545" s="6"/>
      <c r="T1545" s="6"/>
      <c r="U1545" s="6"/>
      <c r="V1545" s="6"/>
      <c r="W1545" s="6"/>
      <c r="X1545" s="6"/>
      <c r="Y1545" s="6"/>
      <c r="Z1545" s="6"/>
      <c r="AA1545" s="6"/>
      <c r="AB1545" s="6"/>
      <c r="AC1545" s="6"/>
      <c r="AD1545" s="6"/>
      <c r="AE1545" s="6"/>
    </row>
    <row r="1546" spans="1:31" ht="38.25" x14ac:dyDescent="0.2">
      <c r="A1546" s="6" t="s">
        <v>7501</v>
      </c>
      <c r="B1546" s="6" t="s">
        <v>7523</v>
      </c>
      <c r="C1546" s="20" t="s">
        <v>7524</v>
      </c>
      <c r="D1546" s="6" t="s">
        <v>7525</v>
      </c>
      <c r="E1546" s="6" t="s">
        <v>7299</v>
      </c>
      <c r="F1546" s="6" t="s">
        <v>7300</v>
      </c>
      <c r="G1546" s="6" t="s">
        <v>7345</v>
      </c>
      <c r="H1546" s="18" t="str">
        <f t="shared" si="137"/>
        <v>MOLIA
THE OVERSEER (P1
P43)</v>
      </c>
      <c r="I1546" s="6" t="s">
        <v>112</v>
      </c>
      <c r="J1546" s="6" t="s">
        <v>35</v>
      </c>
      <c r="K1546" s="6" t="s">
        <v>207</v>
      </c>
      <c r="L1546" s="6" t="s">
        <v>209</v>
      </c>
      <c r="M1546" s="18" t="str">
        <f>VLOOKUP(L1546, GLOSSARY!$A:$C, 2, FALSE)</f>
        <v>BREADNUT ISLAND PEN</v>
      </c>
      <c r="N1546" s="6" t="s">
        <v>68</v>
      </c>
      <c r="O1546" s="6"/>
      <c r="P1546" s="6"/>
      <c r="Q1546" s="6"/>
      <c r="R1546" s="6"/>
      <c r="S1546" s="6"/>
      <c r="T1546" s="6"/>
      <c r="U1546" s="6"/>
      <c r="V1546" s="6"/>
      <c r="W1546" s="6"/>
      <c r="X1546" s="6"/>
      <c r="Y1546" s="6"/>
      <c r="Z1546" s="6"/>
      <c r="AA1546" s="6"/>
      <c r="AB1546" s="6"/>
      <c r="AC1546" s="6"/>
      <c r="AD1546" s="6"/>
      <c r="AE1546" s="6"/>
    </row>
    <row r="1547" spans="1:31" ht="63.75" x14ac:dyDescent="0.2">
      <c r="A1547" s="6" t="s">
        <v>7526</v>
      </c>
      <c r="B1547" s="57" t="s">
        <v>7527</v>
      </c>
      <c r="C1547" s="20" t="s">
        <v>7528</v>
      </c>
      <c r="D1547" s="6" t="s">
        <v>7529</v>
      </c>
      <c r="E1547" s="6"/>
      <c r="F1547" s="6" t="s">
        <v>7530</v>
      </c>
      <c r="G1547" s="6" t="s">
        <v>7531</v>
      </c>
      <c r="H1547" s="6" t="str">
        <f t="shared" si="137"/>
        <v>PHIBBAH
EGYPT LUCY (P7
P3)</v>
      </c>
      <c r="I1547" s="6" t="s">
        <v>533</v>
      </c>
      <c r="J1547" s="6"/>
      <c r="K1547" s="6"/>
      <c r="L1547" s="6" t="s">
        <v>55</v>
      </c>
      <c r="M1547" s="6" t="str">
        <f>VLOOKUP(L1547, GLOSSARY!$A:$C, 2, FALSE)</f>
        <v>EGYPT ESTATE</v>
      </c>
      <c r="N1547" s="6" t="s">
        <v>167</v>
      </c>
      <c r="O1547" s="6"/>
      <c r="P1547" s="6"/>
      <c r="Q1547" s="6"/>
      <c r="R1547" s="6"/>
      <c r="S1547" s="6"/>
      <c r="T1547" s="6"/>
      <c r="U1547" s="6"/>
      <c r="V1547" s="6"/>
      <c r="W1547" s="6"/>
      <c r="X1547" s="6"/>
      <c r="Y1547" s="6"/>
      <c r="Z1547" s="6"/>
      <c r="AA1547" s="6"/>
      <c r="AB1547" s="6"/>
      <c r="AC1547" s="6"/>
      <c r="AD1547" s="6"/>
      <c r="AE1547" s="6"/>
    </row>
    <row r="1548" spans="1:31" ht="63.75" x14ac:dyDescent="0.2">
      <c r="A1548" s="6" t="s">
        <v>7532</v>
      </c>
      <c r="B1548" s="6" t="s">
        <v>7533</v>
      </c>
      <c r="C1548" s="20" t="s">
        <v>7534</v>
      </c>
      <c r="D1548" s="6" t="s">
        <v>7535</v>
      </c>
      <c r="E1548" s="6"/>
      <c r="F1548" s="6" t="s">
        <v>7536</v>
      </c>
      <c r="G1548" s="6" t="s">
        <v>7537</v>
      </c>
      <c r="H1548" s="6" t="str">
        <f t="shared" si="137"/>
        <v>LITTLE PHIBBAH
THE OVERSEER (P22
P43)</v>
      </c>
      <c r="I1548" s="6" t="s">
        <v>533</v>
      </c>
      <c r="J1548" s="6"/>
      <c r="K1548" s="6"/>
      <c r="L1548" s="6" t="s">
        <v>209</v>
      </c>
      <c r="M1548" s="6" t="str">
        <f>VLOOKUP(L1548, GLOSSARY!$A:$C, 2, FALSE)</f>
        <v>BREADNUT ISLAND PEN</v>
      </c>
      <c r="N1548" s="6" t="s">
        <v>68</v>
      </c>
      <c r="O1548" s="6"/>
      <c r="P1548" s="6"/>
      <c r="Q1548" s="6"/>
      <c r="R1548" s="6"/>
      <c r="S1548" s="6"/>
      <c r="T1548" s="6"/>
      <c r="U1548" s="6"/>
      <c r="V1548" s="6"/>
      <c r="W1548" s="6"/>
      <c r="X1548" s="6"/>
      <c r="Y1548" s="6"/>
      <c r="Z1548" s="6"/>
      <c r="AA1548" s="6"/>
      <c r="AB1548" s="6"/>
      <c r="AC1548" s="6"/>
      <c r="AD1548" s="6"/>
      <c r="AE1548" s="6"/>
    </row>
    <row r="1549" spans="1:31" ht="165.75" x14ac:dyDescent="0.2">
      <c r="A1549" s="6" t="s">
        <v>7532</v>
      </c>
      <c r="B1549" s="6" t="s">
        <v>7538</v>
      </c>
      <c r="C1549" s="25" t="s">
        <v>7539</v>
      </c>
      <c r="D1549" s="6" t="s">
        <v>7540</v>
      </c>
      <c r="E1549" s="6"/>
      <c r="F1549" s="6" t="s">
        <v>7541</v>
      </c>
      <c r="G1549" s="6" t="s">
        <v>7542</v>
      </c>
      <c r="H1549" s="6" t="str">
        <f t="shared" si="137"/>
        <v>NANNY
LITTLE PHIBBAH
THE OVERSEER
DR. PANTON (P15
P22
P43
P260)</v>
      </c>
      <c r="I1549" s="6" t="s">
        <v>533</v>
      </c>
      <c r="J1549" s="6"/>
      <c r="K1549" s="6"/>
      <c r="L1549" s="6" t="s">
        <v>7543</v>
      </c>
      <c r="M1549" s="6" t="s">
        <v>7544</v>
      </c>
      <c r="N1549" s="6" t="s">
        <v>287</v>
      </c>
      <c r="O1549" s="6" t="s">
        <v>7545</v>
      </c>
      <c r="P1549" s="6"/>
      <c r="Q1549" s="6"/>
      <c r="R1549" s="6"/>
      <c r="S1549" s="6"/>
      <c r="T1549" s="6"/>
      <c r="U1549" s="6"/>
      <c r="V1549" s="6"/>
      <c r="W1549" s="6"/>
      <c r="X1549" s="6"/>
      <c r="Y1549" s="6"/>
      <c r="Z1549" s="6"/>
      <c r="AA1549" s="6"/>
      <c r="AB1549" s="6"/>
      <c r="AC1549" s="6"/>
      <c r="AD1549" s="6"/>
      <c r="AE1549" s="6"/>
    </row>
    <row r="1550" spans="1:31" ht="89.25" x14ac:dyDescent="0.2">
      <c r="A1550" s="6" t="s">
        <v>7532</v>
      </c>
      <c r="B1550" s="6" t="s">
        <v>7546</v>
      </c>
      <c r="C1550" s="20" t="s">
        <v>7547</v>
      </c>
      <c r="D1550" s="6" t="s">
        <v>7548</v>
      </c>
      <c r="E1550" s="6"/>
      <c r="F1550" s="6" t="s">
        <v>6563</v>
      </c>
      <c r="G1550" s="6" t="s">
        <v>6564</v>
      </c>
      <c r="H1550" s="6" t="str">
        <f t="shared" si="137"/>
        <v>NANNY
LITTLE PHIBBAH (P15
P22)</v>
      </c>
      <c r="I1550" s="6" t="s">
        <v>533</v>
      </c>
      <c r="J1550" s="6"/>
      <c r="K1550" s="6"/>
      <c r="L1550" s="6" t="s">
        <v>209</v>
      </c>
      <c r="M1550" s="6" t="str">
        <f>VLOOKUP(L1550, GLOSSARY!$A:$C, 2, FALSE)</f>
        <v>BREADNUT ISLAND PEN</v>
      </c>
      <c r="N1550" s="6" t="s">
        <v>68</v>
      </c>
      <c r="O1550" s="6" t="s">
        <v>7549</v>
      </c>
      <c r="P1550" s="6"/>
      <c r="Q1550" s="6"/>
      <c r="R1550" s="6"/>
      <c r="S1550" s="6"/>
      <c r="T1550" s="6"/>
      <c r="U1550" s="6"/>
      <c r="V1550" s="6"/>
      <c r="W1550" s="6"/>
      <c r="X1550" s="6"/>
      <c r="Y1550" s="6"/>
      <c r="Z1550" s="6"/>
      <c r="AA1550" s="6"/>
      <c r="AB1550" s="6"/>
      <c r="AC1550" s="6"/>
      <c r="AD1550" s="6"/>
      <c r="AE1550" s="6"/>
    </row>
    <row r="1551" spans="1:31" ht="165.75" x14ac:dyDescent="0.2">
      <c r="A1551" s="6" t="s">
        <v>7532</v>
      </c>
      <c r="B1551" s="6" t="s">
        <v>7550</v>
      </c>
      <c r="C1551" s="20" t="s">
        <v>7551</v>
      </c>
      <c r="D1551" s="6" t="s">
        <v>7552</v>
      </c>
      <c r="E1551" s="6"/>
      <c r="F1551" s="6" t="s">
        <v>7553</v>
      </c>
      <c r="G1551" s="6" t="s">
        <v>7554</v>
      </c>
      <c r="H1551" s="6" t="str">
        <f t="shared" si="137"/>
        <v>NANNY
LITTLE PHIBBAH
DR. PANTON
THE OVERSEER (P15
P22
P260
P43)</v>
      </c>
      <c r="I1551" s="6" t="s">
        <v>533</v>
      </c>
      <c r="J1551" s="6"/>
      <c r="K1551" s="6"/>
      <c r="L1551" s="6" t="s">
        <v>3009</v>
      </c>
      <c r="M1551" s="6" t="str">
        <f>VLOOKUP(L1551, GLOSSARY!$A:$C, 2, FALSE)</f>
        <v>DR. PANTON'S</v>
      </c>
      <c r="N1551" s="6" t="s">
        <v>68</v>
      </c>
      <c r="O1551" s="6" t="s">
        <v>7555</v>
      </c>
      <c r="P1551" s="6"/>
      <c r="Q1551" s="6"/>
      <c r="R1551" s="6"/>
      <c r="S1551" s="6"/>
      <c r="T1551" s="6"/>
      <c r="U1551" s="6"/>
      <c r="V1551" s="6"/>
      <c r="W1551" s="6"/>
      <c r="X1551" s="6"/>
      <c r="Y1551" s="6"/>
      <c r="Z1551" s="6"/>
      <c r="AA1551" s="6"/>
      <c r="AB1551" s="6"/>
      <c r="AC1551" s="6"/>
      <c r="AD1551" s="6"/>
      <c r="AE1551" s="6"/>
    </row>
    <row r="1552" spans="1:31" ht="63.75" x14ac:dyDescent="0.2">
      <c r="A1552" s="6" t="s">
        <v>7532</v>
      </c>
      <c r="B1552" s="6" t="s">
        <v>7556</v>
      </c>
      <c r="C1552" s="20" t="s">
        <v>7557</v>
      </c>
      <c r="D1552" s="6" t="s">
        <v>7558</v>
      </c>
      <c r="E1552" s="6"/>
      <c r="F1552" s="6" t="s">
        <v>6563</v>
      </c>
      <c r="G1552" s="6" t="s">
        <v>6564</v>
      </c>
      <c r="H1552" s="6" t="str">
        <f t="shared" si="137"/>
        <v>NANNY
LITTLE PHIBBAH (P15
P22)</v>
      </c>
      <c r="I1552" s="6" t="s">
        <v>533</v>
      </c>
      <c r="J1552" s="6"/>
      <c r="K1552" s="6"/>
      <c r="L1552" s="6" t="s">
        <v>209</v>
      </c>
      <c r="M1552" s="6" t="str">
        <f>VLOOKUP(L1552, GLOSSARY!$A:$C, 2, FALSE)</f>
        <v>BREADNUT ISLAND PEN</v>
      </c>
      <c r="N1552" s="6" t="s">
        <v>68</v>
      </c>
      <c r="O1552" s="6"/>
      <c r="P1552" s="6"/>
      <c r="Q1552" s="6"/>
      <c r="R1552" s="6"/>
      <c r="S1552" s="6"/>
      <c r="T1552" s="6"/>
      <c r="U1552" s="6"/>
      <c r="V1552" s="6"/>
      <c r="W1552" s="6"/>
      <c r="X1552" s="6"/>
      <c r="Y1552" s="6"/>
      <c r="Z1552" s="6"/>
      <c r="AA1552" s="6"/>
      <c r="AB1552" s="6"/>
      <c r="AC1552" s="6"/>
      <c r="AD1552" s="6"/>
      <c r="AE1552" s="6"/>
    </row>
    <row r="1553" spans="1:31" ht="114.75" x14ac:dyDescent="0.2">
      <c r="A1553" s="6" t="s">
        <v>7383</v>
      </c>
      <c r="B1553" s="6" t="s">
        <v>7559</v>
      </c>
      <c r="C1553" s="20" t="s">
        <v>7560</v>
      </c>
      <c r="D1553" s="6" t="s">
        <v>7561</v>
      </c>
      <c r="E1553" s="6"/>
      <c r="F1553" s="6" t="s">
        <v>5016</v>
      </c>
      <c r="G1553" s="6" t="s">
        <v>5017</v>
      </c>
      <c r="H1553" s="6" t="str">
        <f>CONCATENATE(F1553,"(",G1553,")")</f>
        <v>THE OVERSEER
PHIBBAH
HOUSE FRANKE(P43
P7
P10)</v>
      </c>
      <c r="I1553" s="6" t="s">
        <v>957</v>
      </c>
      <c r="J1553" s="6"/>
      <c r="K1553" s="6"/>
      <c r="L1553" s="6" t="s">
        <v>209</v>
      </c>
      <c r="M1553" s="6" t="str">
        <f>VLOOKUP(L1553, GLOSSARY!$A:$C, 2, FALSE)</f>
        <v>BREADNUT ISLAND PEN</v>
      </c>
      <c r="N1553" s="6" t="s">
        <v>68</v>
      </c>
      <c r="O1553" s="6"/>
      <c r="P1553" s="6"/>
      <c r="Q1553" s="6"/>
      <c r="R1553" s="6"/>
      <c r="S1553" s="6"/>
      <c r="T1553" s="6"/>
      <c r="U1553" s="6"/>
      <c r="V1553" s="6"/>
      <c r="W1553" s="6"/>
      <c r="X1553" s="6"/>
      <c r="Y1553" s="6"/>
      <c r="Z1553" s="6"/>
      <c r="AA1553" s="6"/>
      <c r="AB1553" s="6"/>
      <c r="AC1553" s="6"/>
      <c r="AD1553" s="6"/>
      <c r="AE1553" s="6"/>
    </row>
    <row r="1554" spans="1:31" ht="63.75" x14ac:dyDescent="0.2">
      <c r="A1554" s="6" t="s">
        <v>7532</v>
      </c>
      <c r="B1554" s="6" t="s">
        <v>7559</v>
      </c>
      <c r="C1554" s="20" t="s">
        <v>7562</v>
      </c>
      <c r="D1554" s="6" t="s">
        <v>7563</v>
      </c>
      <c r="E1554" s="6"/>
      <c r="F1554" s="6" t="s">
        <v>6563</v>
      </c>
      <c r="G1554" s="6" t="s">
        <v>6564</v>
      </c>
      <c r="H1554" s="6" t="str">
        <f t="shared" ref="H1554:H1555" si="138">CONCATENATE(F1554," (",G1554,")")</f>
        <v>NANNY
LITTLE PHIBBAH (P15
P22)</v>
      </c>
      <c r="I1554" s="6" t="s">
        <v>533</v>
      </c>
      <c r="J1554" s="6"/>
      <c r="K1554" s="6"/>
      <c r="L1554" s="6" t="s">
        <v>209</v>
      </c>
      <c r="M1554" s="6" t="str">
        <f>VLOOKUP(L1554, GLOSSARY!$A:$C, 2, FALSE)</f>
        <v>BREADNUT ISLAND PEN</v>
      </c>
      <c r="N1554" s="6" t="s">
        <v>68</v>
      </c>
      <c r="O1554" s="6"/>
      <c r="P1554" s="6"/>
      <c r="Q1554" s="6"/>
      <c r="R1554" s="6"/>
      <c r="S1554" s="6"/>
      <c r="T1554" s="6"/>
      <c r="U1554" s="6"/>
      <c r="V1554" s="6"/>
      <c r="W1554" s="6"/>
      <c r="X1554" s="6"/>
      <c r="Y1554" s="6"/>
      <c r="Z1554" s="6"/>
      <c r="AA1554" s="6"/>
      <c r="AB1554" s="6"/>
      <c r="AC1554" s="6"/>
      <c r="AD1554" s="6"/>
      <c r="AE1554" s="6"/>
    </row>
    <row r="1555" spans="1:31" ht="165.75" x14ac:dyDescent="0.2">
      <c r="A1555" s="6" t="s">
        <v>7532</v>
      </c>
      <c r="B1555" s="6" t="s">
        <v>7564</v>
      </c>
      <c r="C1555" s="20" t="s">
        <v>7565</v>
      </c>
      <c r="D1555" s="6" t="s">
        <v>7566</v>
      </c>
      <c r="E1555" s="6"/>
      <c r="F1555" s="6" t="s">
        <v>7567</v>
      </c>
      <c r="G1555" s="6" t="s">
        <v>7554</v>
      </c>
      <c r="H1555" s="6" t="str">
        <f t="shared" si="138"/>
        <v>THE OVERSEER
DR. PANTON
NANNY
LITTLE PHIBBAH (P15
P22
P260
P43)</v>
      </c>
      <c r="I1555" s="6" t="s">
        <v>533</v>
      </c>
      <c r="J1555" s="6"/>
      <c r="K1555" s="6"/>
      <c r="L1555" s="6" t="s">
        <v>209</v>
      </c>
      <c r="M1555" s="6" t="str">
        <f>VLOOKUP(L1555, GLOSSARY!$A:$C, 2, FALSE)</f>
        <v>BREADNUT ISLAND PEN</v>
      </c>
      <c r="N1555" s="6" t="s">
        <v>68</v>
      </c>
      <c r="O1555" s="6"/>
      <c r="P1555" s="6"/>
      <c r="Q1555" s="6"/>
      <c r="R1555" s="6"/>
      <c r="S1555" s="6"/>
      <c r="T1555" s="6"/>
      <c r="U1555" s="6"/>
      <c r="V1555" s="6"/>
      <c r="W1555" s="6"/>
      <c r="X1555" s="6"/>
      <c r="Y1555" s="6"/>
      <c r="Z1555" s="6"/>
      <c r="AA1555" s="6"/>
      <c r="AB1555" s="6"/>
      <c r="AC1555" s="6"/>
      <c r="AD1555" s="6"/>
      <c r="AE1555" s="6"/>
    </row>
    <row r="1556" spans="1:31" ht="63.75" x14ac:dyDescent="0.2">
      <c r="A1556" s="6" t="s">
        <v>7568</v>
      </c>
      <c r="B1556" s="6" t="s">
        <v>7564</v>
      </c>
      <c r="C1556" s="20" t="s">
        <v>7565</v>
      </c>
      <c r="D1556" s="6" t="s">
        <v>7569</v>
      </c>
      <c r="E1556" s="6"/>
      <c r="F1556" s="6" t="s">
        <v>647</v>
      </c>
      <c r="G1556" s="6" t="s">
        <v>1713</v>
      </c>
      <c r="H1556" s="6" t="str">
        <f>CONCATENATE(F1556,"(",G1556,")")</f>
        <v>TOM(P289)</v>
      </c>
      <c r="I1556" s="6" t="s">
        <v>859</v>
      </c>
      <c r="J1556" s="6"/>
      <c r="K1556" s="6"/>
      <c r="L1556" s="6" t="s">
        <v>209</v>
      </c>
      <c r="M1556" s="6" t="str">
        <f>VLOOKUP(L1556, GLOSSARY!$A:$C, 2, FALSE)</f>
        <v>BREADNUT ISLAND PEN</v>
      </c>
      <c r="N1556" s="6" t="s">
        <v>68</v>
      </c>
      <c r="O1556" s="6"/>
      <c r="P1556" s="6"/>
      <c r="Q1556" s="6"/>
      <c r="R1556" s="6"/>
      <c r="S1556" s="6"/>
      <c r="T1556" s="6"/>
      <c r="U1556" s="6"/>
      <c r="V1556" s="6"/>
      <c r="W1556" s="6"/>
      <c r="X1556" s="6"/>
      <c r="Y1556" s="6"/>
      <c r="Z1556" s="6"/>
      <c r="AA1556" s="6"/>
      <c r="AB1556" s="6"/>
      <c r="AC1556" s="6"/>
      <c r="AD1556" s="6"/>
      <c r="AE1556" s="6"/>
    </row>
    <row r="1557" spans="1:31" ht="63.75" x14ac:dyDescent="0.2">
      <c r="A1557" s="6" t="s">
        <v>7532</v>
      </c>
      <c r="B1557" s="6" t="s">
        <v>7570</v>
      </c>
      <c r="C1557" s="20" t="s">
        <v>7571</v>
      </c>
      <c r="D1557" s="6" t="s">
        <v>7572</v>
      </c>
      <c r="E1557" s="6"/>
      <c r="F1557" s="6" t="s">
        <v>6563</v>
      </c>
      <c r="G1557" s="6" t="s">
        <v>6564</v>
      </c>
      <c r="H1557" s="6" t="str">
        <f t="shared" ref="H1557:H1564" si="139">CONCATENATE(F1557," (",G1557,")")</f>
        <v>NANNY
LITTLE PHIBBAH (P15
P22)</v>
      </c>
      <c r="I1557" s="6" t="s">
        <v>1068</v>
      </c>
      <c r="J1557" s="6"/>
      <c r="K1557" s="6"/>
      <c r="L1557" s="6" t="s">
        <v>209</v>
      </c>
      <c r="M1557" s="6" t="str">
        <f>VLOOKUP(L1557, GLOSSARY!$A:$C, 2, FALSE)</f>
        <v>BREADNUT ISLAND PEN</v>
      </c>
      <c r="N1557" s="6" t="s">
        <v>167</v>
      </c>
      <c r="O1557" s="6"/>
      <c r="P1557" s="6"/>
      <c r="Q1557" s="6"/>
      <c r="R1557" s="6"/>
      <c r="S1557" s="6"/>
      <c r="T1557" s="6"/>
      <c r="U1557" s="6"/>
      <c r="V1557" s="6"/>
      <c r="W1557" s="6"/>
      <c r="X1557" s="6"/>
      <c r="Y1557" s="6"/>
      <c r="Z1557" s="6"/>
      <c r="AA1557" s="6"/>
      <c r="AB1557" s="6"/>
      <c r="AC1557" s="6"/>
      <c r="AD1557" s="6"/>
      <c r="AE1557" s="6"/>
    </row>
    <row r="1558" spans="1:31" ht="140.25" x14ac:dyDescent="0.2">
      <c r="A1558" s="6" t="s">
        <v>7532</v>
      </c>
      <c r="B1558" s="6" t="s">
        <v>7573</v>
      </c>
      <c r="C1558" s="20" t="s">
        <v>7574</v>
      </c>
      <c r="D1558" s="6" t="s">
        <v>7575</v>
      </c>
      <c r="E1558" s="6"/>
      <c r="F1558" s="6" t="s">
        <v>7576</v>
      </c>
      <c r="G1558" s="6" t="s">
        <v>7577</v>
      </c>
      <c r="H1558" s="6" t="str">
        <f t="shared" si="139"/>
        <v>LINCOLN
ABASSE
LITTLE PHIBBAH (P39
P24
P43
P22)</v>
      </c>
      <c r="I1558" s="6" t="s">
        <v>1068</v>
      </c>
      <c r="J1558" s="6"/>
      <c r="K1558" s="6"/>
      <c r="L1558" s="6" t="s">
        <v>209</v>
      </c>
      <c r="M1558" s="6" t="str">
        <f>VLOOKUP(L1558, GLOSSARY!$A:$C, 2, FALSE)</f>
        <v>BREADNUT ISLAND PEN</v>
      </c>
      <c r="N1558" s="6" t="s">
        <v>167</v>
      </c>
      <c r="O1558" s="6"/>
      <c r="P1558" s="6"/>
      <c r="Q1558" s="6"/>
      <c r="R1558" s="6"/>
      <c r="S1558" s="6"/>
      <c r="T1558" s="6"/>
      <c r="U1558" s="6"/>
      <c r="V1558" s="6"/>
      <c r="W1558" s="6"/>
      <c r="X1558" s="6"/>
      <c r="Y1558" s="6"/>
      <c r="Z1558" s="6"/>
      <c r="AA1558" s="6"/>
      <c r="AB1558" s="6"/>
      <c r="AC1558" s="6"/>
      <c r="AD1558" s="6"/>
      <c r="AE1558" s="6"/>
    </row>
    <row r="1559" spans="1:31" ht="12.75" x14ac:dyDescent="0.2">
      <c r="A1559" s="6" t="s">
        <v>7532</v>
      </c>
      <c r="B1559" s="6" t="s">
        <v>7578</v>
      </c>
      <c r="C1559" s="20" t="s">
        <v>7579</v>
      </c>
      <c r="D1559" s="6" t="s">
        <v>7580</v>
      </c>
      <c r="E1559" s="6"/>
      <c r="F1559" s="6" t="s">
        <v>183</v>
      </c>
      <c r="G1559" s="6" t="s">
        <v>181</v>
      </c>
      <c r="H1559" s="6" t="str">
        <f t="shared" si="139"/>
        <v>NANNY (P15)</v>
      </c>
      <c r="I1559" s="6" t="s">
        <v>784</v>
      </c>
      <c r="J1559" s="6"/>
      <c r="K1559" s="6"/>
      <c r="L1559" s="6" t="s">
        <v>209</v>
      </c>
      <c r="M1559" s="6" t="str">
        <f>VLOOKUP(L1559, GLOSSARY!$A:$C, 2, FALSE)</f>
        <v>BREADNUT ISLAND PEN</v>
      </c>
      <c r="N1559" s="6" t="s">
        <v>68</v>
      </c>
      <c r="O1559" s="6"/>
      <c r="P1559" s="6"/>
      <c r="Q1559" s="6"/>
      <c r="R1559" s="6"/>
      <c r="S1559" s="6"/>
      <c r="T1559" s="6"/>
      <c r="U1559" s="6"/>
      <c r="V1559" s="6"/>
      <c r="W1559" s="6"/>
      <c r="X1559" s="6"/>
      <c r="Y1559" s="6"/>
      <c r="Z1559" s="6"/>
      <c r="AA1559" s="6"/>
      <c r="AB1559" s="6"/>
      <c r="AC1559" s="6"/>
      <c r="AD1559" s="6"/>
      <c r="AE1559" s="6"/>
    </row>
    <row r="1560" spans="1:31" ht="63.75" x14ac:dyDescent="0.2">
      <c r="A1560" s="6" t="s">
        <v>7526</v>
      </c>
      <c r="B1560" s="6" t="s">
        <v>7581</v>
      </c>
      <c r="C1560" s="20" t="s">
        <v>7582</v>
      </c>
      <c r="D1560" s="6" t="s">
        <v>7583</v>
      </c>
      <c r="E1560" s="6"/>
      <c r="F1560" s="6" t="s">
        <v>52</v>
      </c>
      <c r="G1560" s="6" t="s">
        <v>51</v>
      </c>
      <c r="H1560" s="6" t="str">
        <f t="shared" si="139"/>
        <v>EGYPT LUCY (P3)</v>
      </c>
      <c r="I1560" s="6" t="s">
        <v>533</v>
      </c>
      <c r="J1560" s="6"/>
      <c r="K1560" s="6"/>
      <c r="L1560" s="6" t="s">
        <v>209</v>
      </c>
      <c r="M1560" s="6" t="str">
        <f>VLOOKUP(L1560, GLOSSARY!$A:$C, 2, FALSE)</f>
        <v>BREADNUT ISLAND PEN</v>
      </c>
      <c r="N1560" s="6" t="s">
        <v>167</v>
      </c>
      <c r="O1560" s="6"/>
      <c r="P1560" s="6"/>
      <c r="Q1560" s="6"/>
      <c r="R1560" s="6"/>
      <c r="S1560" s="6"/>
      <c r="T1560" s="6"/>
      <c r="U1560" s="6"/>
      <c r="V1560" s="6"/>
      <c r="W1560" s="6"/>
      <c r="X1560" s="6"/>
      <c r="Y1560" s="6"/>
      <c r="Z1560" s="6"/>
      <c r="AA1560" s="6"/>
      <c r="AB1560" s="6"/>
      <c r="AC1560" s="6"/>
      <c r="AD1560" s="6"/>
      <c r="AE1560" s="6"/>
    </row>
    <row r="1561" spans="1:31" ht="63.75" x14ac:dyDescent="0.2">
      <c r="A1561" s="6" t="s">
        <v>7584</v>
      </c>
      <c r="B1561" s="6" t="s">
        <v>7585</v>
      </c>
      <c r="C1561" s="20" t="s">
        <v>7586</v>
      </c>
      <c r="D1561" s="6" t="s">
        <v>7587</v>
      </c>
      <c r="E1561" s="6" t="s">
        <v>7588</v>
      </c>
      <c r="F1561" s="6" t="s">
        <v>7589</v>
      </c>
      <c r="G1561" s="6" t="s">
        <v>7590</v>
      </c>
      <c r="H1561" s="18" t="str">
        <f t="shared" si="139"/>
        <v>MOLIA
BESS (P1
P41)</v>
      </c>
      <c r="I1561" s="6" t="s">
        <v>656</v>
      </c>
      <c r="J1561" s="6" t="s">
        <v>35</v>
      </c>
      <c r="K1561" s="6" t="s">
        <v>207</v>
      </c>
      <c r="L1561" s="6" t="s">
        <v>209</v>
      </c>
      <c r="M1561" s="18" t="str">
        <f>VLOOKUP(L1561, GLOSSARY!$A:$C, 2, FALSE)</f>
        <v>BREADNUT ISLAND PEN</v>
      </c>
      <c r="N1561" s="6" t="s">
        <v>287</v>
      </c>
      <c r="O1561" s="6" t="s">
        <v>7591</v>
      </c>
      <c r="P1561" s="6"/>
      <c r="Q1561" s="6"/>
      <c r="R1561" s="6"/>
      <c r="S1561" s="6"/>
      <c r="T1561" s="6"/>
      <c r="U1561" s="6"/>
      <c r="V1561" s="6"/>
      <c r="W1561" s="6"/>
      <c r="X1561" s="6"/>
      <c r="Y1561" s="6"/>
      <c r="Z1561" s="6"/>
      <c r="AA1561" s="6"/>
      <c r="AB1561" s="6"/>
      <c r="AC1561" s="6"/>
      <c r="AD1561" s="6"/>
      <c r="AE1561" s="6"/>
    </row>
    <row r="1562" spans="1:31" ht="89.25" x14ac:dyDescent="0.2">
      <c r="A1562" s="6" t="s">
        <v>7592</v>
      </c>
      <c r="B1562" s="6" t="s">
        <v>7585</v>
      </c>
      <c r="C1562" s="20" t="s">
        <v>7586</v>
      </c>
      <c r="D1562" s="6" t="s">
        <v>7593</v>
      </c>
      <c r="E1562" s="6"/>
      <c r="F1562" s="6" t="s">
        <v>7594</v>
      </c>
      <c r="G1562" s="6" t="s">
        <v>7595</v>
      </c>
      <c r="H1562" s="6" t="str">
        <f t="shared" si="139"/>
        <v>JIMMY
THE OVERSEER (P54
P43)</v>
      </c>
      <c r="I1562" s="6" t="s">
        <v>3809</v>
      </c>
      <c r="J1562" s="6"/>
      <c r="K1562" s="6"/>
      <c r="L1562" s="6" t="s">
        <v>209</v>
      </c>
      <c r="M1562" s="6" t="str">
        <f>VLOOKUP(L1562, GLOSSARY!$A:$C, 2, FALSE)</f>
        <v>BREADNUT ISLAND PEN</v>
      </c>
      <c r="N1562" s="6" t="s">
        <v>68</v>
      </c>
      <c r="O1562" s="6"/>
      <c r="P1562" s="6"/>
      <c r="Q1562" s="6"/>
      <c r="R1562" s="6"/>
      <c r="S1562" s="6"/>
      <c r="T1562" s="6"/>
      <c r="U1562" s="6"/>
      <c r="V1562" s="6"/>
      <c r="W1562" s="6"/>
      <c r="X1562" s="6"/>
      <c r="Y1562" s="6"/>
      <c r="Z1562" s="6"/>
      <c r="AA1562" s="6"/>
      <c r="AB1562" s="6"/>
      <c r="AC1562" s="6"/>
      <c r="AD1562" s="6"/>
      <c r="AE1562" s="6"/>
    </row>
    <row r="1563" spans="1:31" ht="25.5" x14ac:dyDescent="0.2">
      <c r="A1563" s="6" t="s">
        <v>7584</v>
      </c>
      <c r="B1563" s="6" t="s">
        <v>7596</v>
      </c>
      <c r="C1563" s="20" t="s">
        <v>7597</v>
      </c>
      <c r="D1563" s="6" t="s">
        <v>7598</v>
      </c>
      <c r="E1563" s="6"/>
      <c r="F1563" s="6"/>
      <c r="G1563" s="6"/>
      <c r="H1563" s="18" t="str">
        <f t="shared" si="139"/>
        <v xml:space="preserve"> ()</v>
      </c>
      <c r="I1563" s="6" t="s">
        <v>26</v>
      </c>
      <c r="J1563" s="6"/>
      <c r="K1563" s="6" t="s">
        <v>207</v>
      </c>
      <c r="L1563" s="6" t="s">
        <v>209</v>
      </c>
      <c r="M1563" s="18" t="str">
        <f>VLOOKUP(L1563, GLOSSARY!$A:$C, 2, FALSE)</f>
        <v>BREADNUT ISLAND PEN</v>
      </c>
      <c r="N1563" s="6" t="s">
        <v>287</v>
      </c>
      <c r="O1563" s="6" t="s">
        <v>7598</v>
      </c>
      <c r="P1563" s="6"/>
      <c r="Q1563" s="6"/>
      <c r="R1563" s="6"/>
      <c r="S1563" s="6"/>
      <c r="T1563" s="6"/>
      <c r="U1563" s="6"/>
      <c r="V1563" s="6"/>
      <c r="W1563" s="6"/>
      <c r="X1563" s="6"/>
      <c r="Y1563" s="6"/>
      <c r="Z1563" s="6"/>
      <c r="AA1563" s="6"/>
      <c r="AB1563" s="6"/>
      <c r="AC1563" s="6"/>
      <c r="AD1563" s="6"/>
      <c r="AE1563" s="6"/>
    </row>
    <row r="1564" spans="1:31" ht="89.25" x14ac:dyDescent="0.2">
      <c r="A1564" s="6" t="s">
        <v>7584</v>
      </c>
      <c r="B1564" s="6" t="s">
        <v>7599</v>
      </c>
      <c r="C1564" s="20" t="s">
        <v>7600</v>
      </c>
      <c r="D1564" s="6" t="s">
        <v>7601</v>
      </c>
      <c r="E1564" s="6" t="s">
        <v>7588</v>
      </c>
      <c r="F1564" s="6" t="s">
        <v>7589</v>
      </c>
      <c r="G1564" s="6" t="s">
        <v>7590</v>
      </c>
      <c r="H1564" s="18" t="str">
        <f t="shared" si="139"/>
        <v>MOLIA
BESS (P1
P41)</v>
      </c>
      <c r="I1564" s="6" t="s">
        <v>656</v>
      </c>
      <c r="J1564" s="6" t="s">
        <v>35</v>
      </c>
      <c r="K1564" s="6" t="s">
        <v>7602</v>
      </c>
      <c r="L1564" s="6" t="s">
        <v>7603</v>
      </c>
      <c r="M1564" s="18" t="e">
        <f>VLOOKUP(L1564, GLOSSARY!$A:$C, 2, FALSE)</f>
        <v>#N/A</v>
      </c>
      <c r="N1564" s="6" t="s">
        <v>68</v>
      </c>
      <c r="O1564" s="6" t="s">
        <v>7604</v>
      </c>
      <c r="P1564" s="6"/>
      <c r="Q1564" s="6"/>
      <c r="R1564" s="6"/>
      <c r="S1564" s="6"/>
      <c r="T1564" s="6"/>
      <c r="U1564" s="6"/>
      <c r="V1564" s="6"/>
      <c r="W1564" s="6"/>
      <c r="X1564" s="6"/>
      <c r="Y1564" s="6"/>
      <c r="Z1564" s="6"/>
      <c r="AA1564" s="6"/>
      <c r="AB1564" s="6"/>
      <c r="AC1564" s="6"/>
      <c r="AD1564" s="6"/>
      <c r="AE1564" s="6"/>
    </row>
    <row r="1565" spans="1:31" ht="38.25" x14ac:dyDescent="0.2">
      <c r="A1565" s="6" t="s">
        <v>7455</v>
      </c>
      <c r="B1565" s="6" t="s">
        <v>7605</v>
      </c>
      <c r="C1565" s="20" t="s">
        <v>7606</v>
      </c>
      <c r="D1565" s="6" t="s">
        <v>7607</v>
      </c>
      <c r="E1565" s="6"/>
      <c r="F1565" s="6" t="s">
        <v>35</v>
      </c>
      <c r="G1565" s="6" t="s">
        <v>191</v>
      </c>
      <c r="H1565" s="6" t="str">
        <f>CONCATENATE(F1566,"(",G1565,")")</f>
        <v>MOLIA(P16)</v>
      </c>
      <c r="I1565" s="6" t="s">
        <v>3794</v>
      </c>
      <c r="J1565" s="6" t="s">
        <v>7608</v>
      </c>
      <c r="K1565" s="6"/>
      <c r="L1565" s="6" t="s">
        <v>3121</v>
      </c>
      <c r="M1565" s="6" t="str">
        <f>VLOOKUP(L1565, GLOSSARY!$A:$C, 2, FALSE)</f>
        <v>ENGLAND</v>
      </c>
      <c r="N1565" s="6" t="s">
        <v>68</v>
      </c>
      <c r="O1565" s="6"/>
      <c r="P1565" s="6"/>
      <c r="Q1565" s="6"/>
      <c r="R1565" s="6"/>
      <c r="S1565" s="6"/>
      <c r="T1565" s="6"/>
      <c r="U1565" s="6"/>
      <c r="V1565" s="6"/>
      <c r="W1565" s="6"/>
      <c r="X1565" s="6"/>
      <c r="Y1565" s="6"/>
      <c r="Z1565" s="6"/>
      <c r="AA1565" s="6"/>
      <c r="AB1565" s="6"/>
      <c r="AC1565" s="6"/>
      <c r="AD1565" s="6"/>
      <c r="AE1565" s="6"/>
    </row>
    <row r="1566" spans="1:31" ht="76.5" x14ac:dyDescent="0.2">
      <c r="A1566" s="6" t="s">
        <v>7609</v>
      </c>
      <c r="B1566" s="6" t="s">
        <v>6003</v>
      </c>
      <c r="C1566" s="20" t="s">
        <v>7610</v>
      </c>
      <c r="D1566" s="6" t="s">
        <v>7611</v>
      </c>
      <c r="E1566" s="6" t="s">
        <v>3829</v>
      </c>
      <c r="F1566" s="6" t="s">
        <v>29</v>
      </c>
      <c r="G1566" s="6" t="s">
        <v>28</v>
      </c>
      <c r="H1566" s="18" t="str">
        <f t="shared" ref="H1566:H1574" si="140">CONCATENATE(F1566," (",G1566,")")</f>
        <v>MOLIA (P1)</v>
      </c>
      <c r="I1566" s="6" t="s">
        <v>656</v>
      </c>
      <c r="J1566" s="6" t="s">
        <v>35</v>
      </c>
      <c r="K1566" s="6" t="s">
        <v>426</v>
      </c>
      <c r="L1566" s="6" t="s">
        <v>427</v>
      </c>
      <c r="M1566" s="18" t="str">
        <f>VLOOKUP(L1566, GLOSSARY!$A:$C, 2, FALSE)</f>
        <v>MASEMURE ESTATE</v>
      </c>
      <c r="N1566" s="6" t="s">
        <v>68</v>
      </c>
      <c r="O1566" s="6" t="s">
        <v>7612</v>
      </c>
      <c r="P1566" s="6"/>
      <c r="Q1566" s="6"/>
      <c r="R1566" s="6"/>
      <c r="S1566" s="6"/>
      <c r="T1566" s="6"/>
      <c r="U1566" s="6"/>
      <c r="V1566" s="6"/>
      <c r="W1566" s="6"/>
      <c r="X1566" s="6"/>
      <c r="Y1566" s="6"/>
      <c r="Z1566" s="6"/>
      <c r="AA1566" s="6"/>
      <c r="AB1566" s="6"/>
      <c r="AC1566" s="6"/>
      <c r="AD1566" s="6"/>
      <c r="AE1566" s="6"/>
    </row>
    <row r="1567" spans="1:31" ht="38.25" x14ac:dyDescent="0.2">
      <c r="A1567" s="6" t="s">
        <v>7609</v>
      </c>
      <c r="B1567" s="6" t="s">
        <v>7613</v>
      </c>
      <c r="C1567" s="20" t="s">
        <v>7614</v>
      </c>
      <c r="D1567" s="6" t="s">
        <v>7615</v>
      </c>
      <c r="E1567" s="6"/>
      <c r="F1567" s="6"/>
      <c r="G1567" s="6"/>
      <c r="H1567" s="18" t="str">
        <f t="shared" si="140"/>
        <v xml:space="preserve"> ()</v>
      </c>
      <c r="I1567" s="6" t="s">
        <v>26</v>
      </c>
      <c r="J1567" s="6"/>
      <c r="K1567" s="6" t="s">
        <v>207</v>
      </c>
      <c r="L1567" s="6" t="s">
        <v>209</v>
      </c>
      <c r="M1567" s="18" t="str">
        <f>VLOOKUP(L1567, GLOSSARY!$A:$C, 2, FALSE)</f>
        <v>BREADNUT ISLAND PEN</v>
      </c>
      <c r="N1567" s="6" t="s">
        <v>287</v>
      </c>
      <c r="O1567" s="6" t="s">
        <v>7615</v>
      </c>
      <c r="P1567" s="6"/>
      <c r="Q1567" s="6"/>
      <c r="R1567" s="6"/>
      <c r="S1567" s="6"/>
      <c r="T1567" s="6"/>
      <c r="U1567" s="6"/>
      <c r="V1567" s="6"/>
      <c r="W1567" s="6"/>
      <c r="X1567" s="6"/>
      <c r="Y1567" s="6"/>
      <c r="Z1567" s="6"/>
      <c r="AA1567" s="6"/>
      <c r="AB1567" s="6"/>
      <c r="AC1567" s="6"/>
      <c r="AD1567" s="6"/>
      <c r="AE1567" s="6"/>
    </row>
    <row r="1568" spans="1:31" ht="38.25" x14ac:dyDescent="0.2">
      <c r="A1568" s="6" t="s">
        <v>7609</v>
      </c>
      <c r="B1568" s="6" t="s">
        <v>7613</v>
      </c>
      <c r="C1568" s="20" t="s">
        <v>7616</v>
      </c>
      <c r="D1568" s="6" t="s">
        <v>7617</v>
      </c>
      <c r="E1568" s="6"/>
      <c r="F1568" s="6"/>
      <c r="G1568" s="6"/>
      <c r="H1568" s="18" t="str">
        <f t="shared" si="140"/>
        <v xml:space="preserve"> ()</v>
      </c>
      <c r="I1568" s="6" t="s">
        <v>26</v>
      </c>
      <c r="J1568" s="6"/>
      <c r="K1568" s="6" t="s">
        <v>207</v>
      </c>
      <c r="L1568" s="6" t="s">
        <v>209</v>
      </c>
      <c r="M1568" s="18" t="str">
        <f>VLOOKUP(L1568, GLOSSARY!$A:$C, 2, FALSE)</f>
        <v>BREADNUT ISLAND PEN</v>
      </c>
      <c r="N1568" s="6" t="s">
        <v>287</v>
      </c>
      <c r="O1568" s="6" t="s">
        <v>7617</v>
      </c>
      <c r="P1568" s="6"/>
      <c r="Q1568" s="6"/>
      <c r="R1568" s="6"/>
      <c r="S1568" s="6"/>
      <c r="T1568" s="6"/>
      <c r="U1568" s="6"/>
      <c r="V1568" s="6"/>
      <c r="W1568" s="6"/>
      <c r="X1568" s="6"/>
      <c r="Y1568" s="6"/>
      <c r="Z1568" s="6"/>
      <c r="AA1568" s="6"/>
      <c r="AB1568" s="6"/>
      <c r="AC1568" s="6"/>
      <c r="AD1568" s="6"/>
      <c r="AE1568" s="6"/>
    </row>
    <row r="1569" spans="1:31" ht="63.75" x14ac:dyDescent="0.2">
      <c r="A1569" s="6" t="s">
        <v>7609</v>
      </c>
      <c r="B1569" s="6" t="s">
        <v>6343</v>
      </c>
      <c r="C1569" s="20" t="s">
        <v>7618</v>
      </c>
      <c r="D1569" s="6" t="s">
        <v>7619</v>
      </c>
      <c r="E1569" s="6" t="s">
        <v>7305</v>
      </c>
      <c r="F1569" s="6" t="s">
        <v>7306</v>
      </c>
      <c r="G1569" s="6" t="s">
        <v>7307</v>
      </c>
      <c r="H1569" s="18" t="str">
        <f t="shared" si="140"/>
        <v>MOLIA
LINCOLN
THE OVERSEER (P1
P24
P43)</v>
      </c>
      <c r="I1569" s="6" t="s">
        <v>656</v>
      </c>
      <c r="J1569" s="6" t="s">
        <v>35</v>
      </c>
      <c r="K1569" s="6" t="s">
        <v>207</v>
      </c>
      <c r="L1569" s="6" t="s">
        <v>209</v>
      </c>
      <c r="M1569" s="18" t="str">
        <f>VLOOKUP(L1569, GLOSSARY!$A:$C, 2, FALSE)</f>
        <v>BREADNUT ISLAND PEN</v>
      </c>
      <c r="N1569" s="6" t="s">
        <v>287</v>
      </c>
      <c r="O1569" s="6" t="s">
        <v>7620</v>
      </c>
      <c r="P1569" s="6"/>
      <c r="Q1569" s="6"/>
      <c r="R1569" s="6"/>
      <c r="S1569" s="6"/>
      <c r="T1569" s="6"/>
      <c r="U1569" s="6"/>
      <c r="V1569" s="6"/>
      <c r="W1569" s="6"/>
      <c r="X1569" s="6"/>
      <c r="Y1569" s="6"/>
      <c r="Z1569" s="6"/>
      <c r="AA1569" s="6"/>
      <c r="AB1569" s="6"/>
      <c r="AC1569" s="6"/>
      <c r="AD1569" s="6"/>
      <c r="AE1569" s="6"/>
    </row>
    <row r="1570" spans="1:31" ht="38.25" x14ac:dyDescent="0.2">
      <c r="A1570" s="6" t="s">
        <v>7609</v>
      </c>
      <c r="B1570" s="6" t="s">
        <v>7621</v>
      </c>
      <c r="C1570" s="20" t="s">
        <v>7622</v>
      </c>
      <c r="D1570" s="6" t="s">
        <v>7623</v>
      </c>
      <c r="E1570" s="6"/>
      <c r="F1570" s="6"/>
      <c r="G1570" s="6"/>
      <c r="H1570" s="18" t="str">
        <f t="shared" si="140"/>
        <v xml:space="preserve"> ()</v>
      </c>
      <c r="I1570" s="6" t="s">
        <v>26</v>
      </c>
      <c r="J1570" s="6"/>
      <c r="K1570" s="6" t="s">
        <v>207</v>
      </c>
      <c r="L1570" s="6" t="s">
        <v>209</v>
      </c>
      <c r="M1570" s="18" t="str">
        <f>VLOOKUP(L1570, GLOSSARY!$A:$C, 2, FALSE)</f>
        <v>BREADNUT ISLAND PEN</v>
      </c>
      <c r="N1570" s="6" t="s">
        <v>287</v>
      </c>
      <c r="O1570" s="6" t="s">
        <v>7623</v>
      </c>
      <c r="P1570" s="6"/>
      <c r="Q1570" s="6"/>
      <c r="R1570" s="6"/>
      <c r="S1570" s="6"/>
      <c r="T1570" s="6"/>
      <c r="U1570" s="6"/>
      <c r="V1570" s="6"/>
      <c r="W1570" s="6"/>
      <c r="X1570" s="6"/>
      <c r="Y1570" s="6"/>
      <c r="Z1570" s="6"/>
      <c r="AA1570" s="6"/>
      <c r="AB1570" s="6"/>
      <c r="AC1570" s="6"/>
      <c r="AD1570" s="6"/>
      <c r="AE1570" s="6"/>
    </row>
    <row r="1571" spans="1:31" ht="51" x14ac:dyDescent="0.2">
      <c r="A1571" s="6" t="s">
        <v>7609</v>
      </c>
      <c r="B1571" s="6" t="s">
        <v>7621</v>
      </c>
      <c r="C1571" s="20" t="s">
        <v>7624</v>
      </c>
      <c r="D1571" s="6" t="s">
        <v>7625</v>
      </c>
      <c r="E1571" s="6"/>
      <c r="F1571" s="6"/>
      <c r="G1571" s="6"/>
      <c r="H1571" s="18" t="str">
        <f t="shared" si="140"/>
        <v xml:space="preserve"> ()</v>
      </c>
      <c r="I1571" s="6" t="s">
        <v>26</v>
      </c>
      <c r="J1571" s="6"/>
      <c r="K1571" s="6" t="s">
        <v>207</v>
      </c>
      <c r="L1571" s="6" t="s">
        <v>209</v>
      </c>
      <c r="M1571" s="18" t="str">
        <f>VLOOKUP(L1571, GLOSSARY!$A:$C, 2, FALSE)</f>
        <v>BREADNUT ISLAND PEN</v>
      </c>
      <c r="N1571" s="6" t="s">
        <v>287</v>
      </c>
      <c r="O1571" s="6" t="s">
        <v>7625</v>
      </c>
      <c r="P1571" s="6"/>
      <c r="Q1571" s="6"/>
      <c r="R1571" s="6"/>
      <c r="S1571" s="6"/>
      <c r="T1571" s="6"/>
      <c r="U1571" s="6"/>
      <c r="V1571" s="6"/>
      <c r="W1571" s="6"/>
      <c r="X1571" s="6"/>
      <c r="Y1571" s="6"/>
      <c r="Z1571" s="6"/>
      <c r="AA1571" s="6"/>
      <c r="AB1571" s="6"/>
      <c r="AC1571" s="6"/>
      <c r="AD1571" s="6"/>
      <c r="AE1571" s="6"/>
    </row>
    <row r="1572" spans="1:31" ht="51" x14ac:dyDescent="0.2">
      <c r="A1572" s="6" t="s">
        <v>7609</v>
      </c>
      <c r="B1572" s="6" t="s">
        <v>7621</v>
      </c>
      <c r="C1572" s="20" t="s">
        <v>7626</v>
      </c>
      <c r="D1572" s="6" t="s">
        <v>7627</v>
      </c>
      <c r="E1572" s="6"/>
      <c r="F1572" s="6"/>
      <c r="G1572" s="6"/>
      <c r="H1572" s="18" t="str">
        <f t="shared" si="140"/>
        <v xml:space="preserve"> ()</v>
      </c>
      <c r="I1572" s="6" t="s">
        <v>26</v>
      </c>
      <c r="J1572" s="6"/>
      <c r="K1572" s="6" t="s">
        <v>207</v>
      </c>
      <c r="L1572" s="6" t="s">
        <v>209</v>
      </c>
      <c r="M1572" s="18" t="str">
        <f>VLOOKUP(L1572, GLOSSARY!$A:$C, 2, FALSE)</f>
        <v>BREADNUT ISLAND PEN</v>
      </c>
      <c r="N1572" s="6" t="s">
        <v>287</v>
      </c>
      <c r="O1572" s="6" t="s">
        <v>7627</v>
      </c>
      <c r="P1572" s="6"/>
      <c r="Q1572" s="6"/>
      <c r="R1572" s="6"/>
      <c r="S1572" s="6"/>
      <c r="T1572" s="6"/>
      <c r="U1572" s="6"/>
      <c r="V1572" s="6"/>
      <c r="W1572" s="6"/>
      <c r="X1572" s="6"/>
      <c r="Y1572" s="6"/>
      <c r="Z1572" s="6"/>
      <c r="AA1572" s="6"/>
      <c r="AB1572" s="6"/>
      <c r="AC1572" s="6"/>
      <c r="AD1572" s="6"/>
      <c r="AE1572" s="6"/>
    </row>
    <row r="1573" spans="1:31" ht="306" x14ac:dyDescent="0.2">
      <c r="A1573" s="6" t="s">
        <v>7609</v>
      </c>
      <c r="B1573" s="6" t="s">
        <v>7628</v>
      </c>
      <c r="C1573" s="20" t="s">
        <v>7629</v>
      </c>
      <c r="D1573" s="6" t="s">
        <v>7630</v>
      </c>
      <c r="E1573" s="6" t="s">
        <v>7631</v>
      </c>
      <c r="F1573" s="6" t="s">
        <v>7632</v>
      </c>
      <c r="G1573" s="6" t="s">
        <v>7633</v>
      </c>
      <c r="H1573" s="18" t="str">
        <f t="shared" si="140"/>
        <v>MOLIA
LINCOLN
MR. PARKER
MR. HARTNOLE
CHARLES GRAHAM
THE OVERSEER (P1
P24
P69
P68
P43
P81
)</v>
      </c>
      <c r="I1573" s="6" t="s">
        <v>656</v>
      </c>
      <c r="J1573" s="6" t="s">
        <v>35</v>
      </c>
      <c r="K1573" s="6" t="s">
        <v>7634</v>
      </c>
      <c r="L1573" s="6" t="s">
        <v>7635</v>
      </c>
      <c r="M1573" s="18" t="e">
        <f>VLOOKUP(L1573, GLOSSARY!$A:$C, 2, FALSE)</f>
        <v>#N/A</v>
      </c>
      <c r="N1573" s="6" t="s">
        <v>287</v>
      </c>
      <c r="O1573" s="6" t="s">
        <v>7636</v>
      </c>
      <c r="P1573" s="6"/>
      <c r="Q1573" s="6"/>
      <c r="R1573" s="6"/>
      <c r="S1573" s="6"/>
      <c r="T1573" s="6"/>
      <c r="U1573" s="6"/>
      <c r="V1573" s="6"/>
      <c r="W1573" s="6"/>
      <c r="X1573" s="6"/>
      <c r="Y1573" s="6"/>
      <c r="Z1573" s="6"/>
      <c r="AA1573" s="6"/>
      <c r="AB1573" s="6"/>
      <c r="AC1573" s="6"/>
      <c r="AD1573" s="6"/>
      <c r="AE1573" s="6"/>
    </row>
    <row r="1574" spans="1:31" ht="102" x14ac:dyDescent="0.2">
      <c r="A1574" s="6" t="s">
        <v>7609</v>
      </c>
      <c r="B1574" s="6" t="s">
        <v>7637</v>
      </c>
      <c r="C1574" s="20" t="s">
        <v>7638</v>
      </c>
      <c r="D1574" s="6" t="s">
        <v>7639</v>
      </c>
      <c r="E1574" s="6" t="s">
        <v>7640</v>
      </c>
      <c r="F1574" s="6" t="s">
        <v>7641</v>
      </c>
      <c r="G1574" s="6" t="s">
        <v>7642</v>
      </c>
      <c r="H1574" s="18" t="str">
        <f t="shared" si="140"/>
        <v>MOLIA
LINCOLN
THE NEIGHBOR
THE OVERSEER (P1
P24
P46
P43)</v>
      </c>
      <c r="I1574" s="6" t="s">
        <v>656</v>
      </c>
      <c r="J1574" s="6" t="s">
        <v>35</v>
      </c>
      <c r="K1574" s="6" t="s">
        <v>7643</v>
      </c>
      <c r="L1574" s="6" t="s">
        <v>7644</v>
      </c>
      <c r="M1574" s="18" t="s">
        <v>7643</v>
      </c>
      <c r="N1574" s="6" t="s">
        <v>167</v>
      </c>
      <c r="O1574" s="6" t="s">
        <v>7645</v>
      </c>
      <c r="P1574" s="6"/>
      <c r="Q1574" s="6"/>
      <c r="R1574" s="6"/>
      <c r="S1574" s="6"/>
      <c r="T1574" s="6"/>
      <c r="U1574" s="6"/>
      <c r="V1574" s="6"/>
      <c r="W1574" s="6"/>
      <c r="X1574" s="6"/>
      <c r="Y1574" s="6"/>
      <c r="Z1574" s="6"/>
      <c r="AA1574" s="6"/>
      <c r="AB1574" s="6"/>
      <c r="AC1574" s="6"/>
      <c r="AD1574" s="6"/>
      <c r="AE1574" s="6"/>
    </row>
    <row r="1575" spans="1:31" ht="89.25" x14ac:dyDescent="0.2">
      <c r="A1575" s="6" t="s">
        <v>7455</v>
      </c>
      <c r="B1575" s="6" t="s">
        <v>4444</v>
      </c>
      <c r="C1575" s="20" t="s">
        <v>7646</v>
      </c>
      <c r="D1575" s="6" t="s">
        <v>7647</v>
      </c>
      <c r="E1575" s="6"/>
      <c r="F1575" s="6" t="s">
        <v>7648</v>
      </c>
      <c r="G1575" s="6" t="s">
        <v>7649</v>
      </c>
      <c r="H1575" s="6" t="str">
        <f>CONCATENATE(F1576,"(",G1575,")")</f>
        <v>OLD POMPEY
VINE(P16
P274
P275)</v>
      </c>
      <c r="I1575" s="6" t="s">
        <v>248</v>
      </c>
      <c r="J1575" s="6" t="s">
        <v>7608</v>
      </c>
      <c r="K1575" s="6"/>
      <c r="L1575" s="6" t="s">
        <v>1121</v>
      </c>
      <c r="M1575" s="6" t="str">
        <f>VLOOKUP(L1575, GLOSSARY!$A:$C, 2, FALSE)</f>
        <v>SAVANNA LA MAR</v>
      </c>
      <c r="N1575" s="6" t="s">
        <v>167</v>
      </c>
      <c r="O1575" s="6"/>
      <c r="P1575" s="6"/>
      <c r="Q1575" s="6"/>
      <c r="R1575" s="6"/>
      <c r="S1575" s="6"/>
      <c r="T1575" s="6"/>
      <c r="U1575" s="6"/>
      <c r="V1575" s="6"/>
      <c r="W1575" s="6"/>
      <c r="X1575" s="6"/>
      <c r="Y1575" s="6"/>
      <c r="Z1575" s="6"/>
      <c r="AA1575" s="6"/>
      <c r="AB1575" s="6"/>
      <c r="AC1575" s="6"/>
      <c r="AD1575" s="6"/>
      <c r="AE1575" s="6"/>
    </row>
    <row r="1576" spans="1:31" ht="89.25" x14ac:dyDescent="0.2">
      <c r="A1576" s="6" t="s">
        <v>7650</v>
      </c>
      <c r="B1576" s="6" t="s">
        <v>4015</v>
      </c>
      <c r="C1576" s="20" t="s">
        <v>7651</v>
      </c>
      <c r="D1576" s="6" t="s">
        <v>7652</v>
      </c>
      <c r="E1576" s="6"/>
      <c r="F1576" s="6" t="s">
        <v>7653</v>
      </c>
      <c r="G1576" s="6" t="s">
        <v>7654</v>
      </c>
      <c r="H1576" s="6" t="str">
        <f>CONCATENATE(F1576,"(",G1576,")")</f>
        <v>OLD POMPEY
VINE(P36
P12)</v>
      </c>
      <c r="I1576" s="6" t="s">
        <v>1068</v>
      </c>
      <c r="J1576" s="6"/>
      <c r="K1576" s="6"/>
      <c r="L1576" s="6" t="s">
        <v>158</v>
      </c>
      <c r="M1576" s="6" t="str">
        <f>VLOOKUP(L1576, GLOSSARY!$A:$C, 2, FALSE)</f>
        <v>CABARITTA ESTATE</v>
      </c>
      <c r="N1576" s="6" t="s">
        <v>68</v>
      </c>
      <c r="O1576" s="6"/>
      <c r="P1576" s="6"/>
      <c r="Q1576" s="6"/>
      <c r="R1576" s="6"/>
      <c r="S1576" s="6"/>
      <c r="T1576" s="6"/>
      <c r="U1576" s="6"/>
      <c r="V1576" s="6"/>
      <c r="W1576" s="6"/>
      <c r="X1576" s="6"/>
      <c r="Y1576" s="6"/>
      <c r="Z1576" s="6"/>
      <c r="AA1576" s="6"/>
      <c r="AB1576" s="6"/>
      <c r="AC1576" s="6"/>
      <c r="AD1576" s="6"/>
      <c r="AE1576" s="6"/>
    </row>
    <row r="1577" spans="1:31" ht="76.5" x14ac:dyDescent="0.2">
      <c r="A1577" s="6" t="s">
        <v>7655</v>
      </c>
      <c r="B1577" s="6" t="s">
        <v>3872</v>
      </c>
      <c r="C1577" s="20" t="s">
        <v>7656</v>
      </c>
      <c r="D1577" s="6" t="s">
        <v>7657</v>
      </c>
      <c r="E1577" s="6"/>
      <c r="F1577" s="6" t="s">
        <v>6209</v>
      </c>
      <c r="G1577" s="6" t="s">
        <v>6436</v>
      </c>
      <c r="H1577" s="6" t="str">
        <f>CONCATENATE(F1577," (",G1577,")")</f>
        <v>MOLIA
THE OVERSEER (P1
P43)</v>
      </c>
      <c r="I1577" s="6" t="s">
        <v>533</v>
      </c>
      <c r="J1577" s="6"/>
      <c r="K1577" s="6"/>
      <c r="L1577" s="6" t="s">
        <v>209</v>
      </c>
      <c r="M1577" s="6" t="str">
        <f>VLOOKUP(L1577, GLOSSARY!$A:$C, 2, FALSE)</f>
        <v>BREADNUT ISLAND PEN</v>
      </c>
      <c r="N1577" s="6" t="s">
        <v>68</v>
      </c>
      <c r="O1577" s="6"/>
      <c r="P1577" s="6"/>
      <c r="Q1577" s="6"/>
      <c r="R1577" s="6"/>
      <c r="S1577" s="6"/>
      <c r="T1577" s="6"/>
      <c r="U1577" s="6"/>
      <c r="V1577" s="6"/>
      <c r="W1577" s="6"/>
      <c r="X1577" s="6"/>
      <c r="Y1577" s="6"/>
      <c r="Z1577" s="6"/>
      <c r="AA1577" s="6"/>
      <c r="AB1577" s="6"/>
      <c r="AC1577" s="6"/>
      <c r="AD1577" s="6"/>
      <c r="AE1577" s="6"/>
    </row>
    <row r="1578" spans="1:31" ht="63.75" x14ac:dyDescent="0.2">
      <c r="A1578" s="6" t="s">
        <v>7455</v>
      </c>
      <c r="B1578" s="6" t="s">
        <v>3872</v>
      </c>
      <c r="C1578" s="20" t="s">
        <v>7658</v>
      </c>
      <c r="D1578" s="6" t="s">
        <v>7659</v>
      </c>
      <c r="E1578" s="6"/>
      <c r="F1578" s="6" t="s">
        <v>7660</v>
      </c>
      <c r="G1578" s="6" t="s">
        <v>7661</v>
      </c>
      <c r="H1578" s="6" t="str">
        <f t="shared" ref="H1578:H1579" si="141">CONCATENATE(F1579,"(",G1578,")")</f>
        <v>JENNY YOUNG
PHIBBAH(P16
P7)</v>
      </c>
      <c r="I1578" s="6" t="s">
        <v>859</v>
      </c>
      <c r="J1578" s="6" t="s">
        <v>7608</v>
      </c>
      <c r="K1578" s="6"/>
      <c r="L1578" s="6" t="s">
        <v>209</v>
      </c>
      <c r="M1578" s="6" t="str">
        <f>VLOOKUP(L1578, GLOSSARY!$A:$C, 2, FALSE)</f>
        <v>BREADNUT ISLAND PEN</v>
      </c>
      <c r="N1578" s="6" t="s">
        <v>167</v>
      </c>
      <c r="O1578" s="6"/>
      <c r="P1578" s="6"/>
      <c r="Q1578" s="6"/>
      <c r="R1578" s="6"/>
      <c r="S1578" s="6"/>
      <c r="T1578" s="6"/>
      <c r="U1578" s="6"/>
      <c r="V1578" s="6"/>
      <c r="W1578" s="6"/>
      <c r="X1578" s="6"/>
      <c r="Y1578" s="6"/>
      <c r="Z1578" s="6"/>
      <c r="AA1578" s="6"/>
      <c r="AB1578" s="6"/>
      <c r="AC1578" s="6"/>
      <c r="AD1578" s="6"/>
      <c r="AE1578" s="6"/>
    </row>
    <row r="1579" spans="1:31" ht="114.75" x14ac:dyDescent="0.2">
      <c r="A1579" s="6" t="s">
        <v>7455</v>
      </c>
      <c r="B1579" s="6" t="s">
        <v>4023</v>
      </c>
      <c r="C1579" s="20" t="s">
        <v>7662</v>
      </c>
      <c r="D1579" s="6" t="s">
        <v>7663</v>
      </c>
      <c r="E1579" s="6"/>
      <c r="F1579" s="6" t="s">
        <v>7664</v>
      </c>
      <c r="G1579" s="6" t="s">
        <v>7661</v>
      </c>
      <c r="H1579" s="6" t="str">
        <f t="shared" si="141"/>
        <v>JOHN
KIRKPATRICK QUACOO
VINE
JENNY YOUNG(P16
P7)</v>
      </c>
      <c r="I1579" s="6" t="s">
        <v>859</v>
      </c>
      <c r="J1579" s="6" t="s">
        <v>7665</v>
      </c>
      <c r="K1579" s="6"/>
      <c r="L1579" s="6" t="s">
        <v>209</v>
      </c>
      <c r="M1579" s="6" t="str">
        <f>VLOOKUP(L1579, GLOSSARY!$A:$C, 2, FALSE)</f>
        <v>BREADNUT ISLAND PEN</v>
      </c>
      <c r="N1579" s="6" t="s">
        <v>68</v>
      </c>
      <c r="O1579" s="6"/>
      <c r="P1579" s="6"/>
      <c r="Q1579" s="6"/>
      <c r="R1579" s="6"/>
      <c r="S1579" s="6"/>
      <c r="T1579" s="6"/>
      <c r="U1579" s="6"/>
      <c r="V1579" s="6"/>
      <c r="W1579" s="6"/>
      <c r="X1579" s="6"/>
      <c r="Y1579" s="6"/>
      <c r="Z1579" s="6"/>
      <c r="AA1579" s="6"/>
      <c r="AB1579" s="6"/>
      <c r="AC1579" s="6"/>
      <c r="AD1579" s="6"/>
      <c r="AE1579" s="6"/>
    </row>
    <row r="1580" spans="1:31" ht="165.75" x14ac:dyDescent="0.2">
      <c r="A1580" s="6" t="s">
        <v>7666</v>
      </c>
      <c r="B1580" s="6" t="s">
        <v>4092</v>
      </c>
      <c r="C1580" s="62" t="s">
        <v>7667</v>
      </c>
      <c r="D1580" s="6" t="s">
        <v>7668</v>
      </c>
      <c r="E1580" s="6"/>
      <c r="F1580" s="6" t="s">
        <v>7669</v>
      </c>
      <c r="G1580" s="6" t="s">
        <v>7670</v>
      </c>
      <c r="H1580" s="6" t="str">
        <f t="shared" ref="H1580:H1588" si="142">CONCATENATE(F1580,"(",G1580,")")</f>
        <v>JOHN
KIRKPATRICK QUACOO
VINE
JENNY YOUNG(P9
P298
P12
P16)</v>
      </c>
      <c r="I1580" s="6" t="s">
        <v>342</v>
      </c>
      <c r="J1580" s="6" t="s">
        <v>7671</v>
      </c>
      <c r="K1580" s="6"/>
      <c r="L1580" s="6" t="s">
        <v>657</v>
      </c>
      <c r="M1580" s="6" t="str">
        <f>VLOOKUP(L1580, GLOSSARY!$A:$C, 2, FALSE)</f>
        <v>UNKNOWN</v>
      </c>
      <c r="N1580" s="6" t="s">
        <v>287</v>
      </c>
      <c r="O1580" s="6"/>
      <c r="P1580" s="6"/>
      <c r="Q1580" s="6"/>
      <c r="R1580" s="6"/>
      <c r="S1580" s="6"/>
      <c r="T1580" s="6"/>
      <c r="U1580" s="6"/>
      <c r="V1580" s="6"/>
      <c r="W1580" s="6"/>
      <c r="X1580" s="6"/>
      <c r="Y1580" s="6"/>
      <c r="Z1580" s="6"/>
      <c r="AA1580" s="6"/>
      <c r="AB1580" s="6"/>
      <c r="AC1580" s="6"/>
      <c r="AD1580" s="6"/>
      <c r="AE1580" s="6"/>
    </row>
    <row r="1581" spans="1:31" ht="165.75" x14ac:dyDescent="0.2">
      <c r="A1581" s="6" t="s">
        <v>7672</v>
      </c>
      <c r="B1581" s="6" t="s">
        <v>4099</v>
      </c>
      <c r="C1581" s="20" t="s">
        <v>7673</v>
      </c>
      <c r="D1581" s="6" t="s">
        <v>7674</v>
      </c>
      <c r="E1581" s="6"/>
      <c r="F1581" s="6" t="s">
        <v>7675</v>
      </c>
      <c r="G1581" s="6" t="s">
        <v>7676</v>
      </c>
      <c r="H1581" s="6" t="str">
        <f t="shared" si="142"/>
        <v>THE OVERSEER
MR. PARKER
VINE
SALLY(P43
P69
P12
P17)</v>
      </c>
      <c r="I1581" s="6" t="s">
        <v>859</v>
      </c>
      <c r="J1581" s="6"/>
      <c r="K1581" s="6"/>
      <c r="L1581" s="6" t="s">
        <v>209</v>
      </c>
      <c r="M1581" s="6" t="str">
        <f>VLOOKUP(L1581, GLOSSARY!$A:$C, 2, FALSE)</f>
        <v>BREADNUT ISLAND PEN</v>
      </c>
      <c r="N1581" s="6" t="s">
        <v>167</v>
      </c>
      <c r="O1581" s="6"/>
      <c r="P1581" s="6"/>
      <c r="Q1581" s="6"/>
      <c r="R1581" s="6"/>
      <c r="S1581" s="6"/>
      <c r="T1581" s="6"/>
      <c r="U1581" s="6"/>
      <c r="V1581" s="6"/>
      <c r="W1581" s="6"/>
      <c r="X1581" s="6"/>
      <c r="Y1581" s="6"/>
      <c r="Z1581" s="6"/>
      <c r="AA1581" s="6"/>
      <c r="AB1581" s="6"/>
      <c r="AC1581" s="6"/>
      <c r="AD1581" s="6"/>
      <c r="AE1581" s="6"/>
    </row>
    <row r="1582" spans="1:31" ht="38.25" x14ac:dyDescent="0.2">
      <c r="A1582" s="6" t="s">
        <v>7677</v>
      </c>
      <c r="B1582" s="6" t="s">
        <v>4112</v>
      </c>
      <c r="C1582" s="20" t="s">
        <v>7678</v>
      </c>
      <c r="D1582" s="6" t="s">
        <v>7679</v>
      </c>
      <c r="E1582" s="6"/>
      <c r="F1582" s="6" t="s">
        <v>7680</v>
      </c>
      <c r="G1582" s="6" t="s">
        <v>100</v>
      </c>
      <c r="H1582" s="6" t="str">
        <f t="shared" si="142"/>
        <v>PHIBBAH
(P7)</v>
      </c>
      <c r="I1582" s="6" t="s">
        <v>533</v>
      </c>
      <c r="J1582" s="6"/>
      <c r="K1582" s="6"/>
      <c r="L1582" s="6" t="s">
        <v>209</v>
      </c>
      <c r="M1582" s="6" t="str">
        <f>VLOOKUP(L1582, GLOSSARY!$A:$C, 2, FALSE)</f>
        <v>BREADNUT ISLAND PEN</v>
      </c>
      <c r="N1582" s="6" t="s">
        <v>167</v>
      </c>
      <c r="O1582" s="6"/>
      <c r="P1582" s="6"/>
      <c r="Q1582" s="6"/>
      <c r="R1582" s="6"/>
      <c r="S1582" s="6"/>
      <c r="T1582" s="6"/>
      <c r="U1582" s="6"/>
      <c r="V1582" s="6"/>
      <c r="W1582" s="6"/>
      <c r="X1582" s="6"/>
      <c r="Y1582" s="6"/>
      <c r="Z1582" s="6"/>
      <c r="AA1582" s="6"/>
      <c r="AB1582" s="6"/>
      <c r="AC1582" s="6"/>
      <c r="AD1582" s="6"/>
      <c r="AE1582" s="6"/>
    </row>
    <row r="1583" spans="1:31" ht="76.5" x14ac:dyDescent="0.2">
      <c r="A1583" s="6" t="s">
        <v>7677</v>
      </c>
      <c r="B1583" s="6" t="s">
        <v>7681</v>
      </c>
      <c r="C1583" s="20" t="s">
        <v>7682</v>
      </c>
      <c r="D1583" s="6" t="s">
        <v>7683</v>
      </c>
      <c r="E1583" s="6"/>
      <c r="F1583" s="6" t="s">
        <v>7684</v>
      </c>
      <c r="G1583" s="6" t="s">
        <v>2136</v>
      </c>
      <c r="H1583" s="6" t="str">
        <f t="shared" si="142"/>
        <v>PHIBBAH
THE OVERSEER
(P7
P43)</v>
      </c>
      <c r="I1583" s="6" t="s">
        <v>533</v>
      </c>
      <c r="J1583" s="6"/>
      <c r="K1583" s="6"/>
      <c r="L1583" s="6" t="s">
        <v>209</v>
      </c>
      <c r="M1583" s="6" t="str">
        <f>VLOOKUP(L1583, GLOSSARY!$A:$C, 2, FALSE)</f>
        <v>BREADNUT ISLAND PEN</v>
      </c>
      <c r="N1583" s="6" t="s">
        <v>167</v>
      </c>
      <c r="O1583" s="6"/>
      <c r="P1583" s="6"/>
      <c r="Q1583" s="6"/>
      <c r="R1583" s="6"/>
      <c r="S1583" s="6"/>
      <c r="T1583" s="6"/>
      <c r="U1583" s="6"/>
      <c r="V1583" s="6"/>
      <c r="W1583" s="6"/>
      <c r="X1583" s="6"/>
      <c r="Y1583" s="6"/>
      <c r="Z1583" s="6"/>
      <c r="AA1583" s="6"/>
      <c r="AB1583" s="6"/>
      <c r="AC1583" s="6"/>
      <c r="AD1583" s="6"/>
      <c r="AE1583" s="6"/>
    </row>
    <row r="1584" spans="1:31" ht="25.5" x14ac:dyDescent="0.2">
      <c r="A1584" s="6" t="s">
        <v>7677</v>
      </c>
      <c r="B1584" s="6" t="s">
        <v>4504</v>
      </c>
      <c r="C1584" s="20" t="s">
        <v>7685</v>
      </c>
      <c r="D1584" s="6" t="s">
        <v>7686</v>
      </c>
      <c r="E1584" s="6"/>
      <c r="F1584" s="6" t="s">
        <v>101</v>
      </c>
      <c r="G1584" s="6" t="s">
        <v>100</v>
      </c>
      <c r="H1584" s="6" t="str">
        <f t="shared" si="142"/>
        <v>PHIBBAH(P7)</v>
      </c>
      <c r="I1584" s="6" t="s">
        <v>533</v>
      </c>
      <c r="J1584" s="6"/>
      <c r="K1584" s="6"/>
      <c r="L1584" s="6" t="s">
        <v>209</v>
      </c>
      <c r="M1584" s="6" t="str">
        <f>VLOOKUP(L1584, GLOSSARY!$A:$C, 2, FALSE)</f>
        <v>BREADNUT ISLAND PEN</v>
      </c>
      <c r="N1584" s="6" t="s">
        <v>167</v>
      </c>
      <c r="O1584" s="6"/>
      <c r="P1584" s="6"/>
      <c r="Q1584" s="6"/>
      <c r="R1584" s="6"/>
      <c r="S1584" s="6"/>
      <c r="T1584" s="6"/>
      <c r="U1584" s="6"/>
      <c r="V1584" s="6"/>
      <c r="W1584" s="6"/>
      <c r="X1584" s="6"/>
      <c r="Y1584" s="6"/>
      <c r="Z1584" s="6"/>
      <c r="AA1584" s="6"/>
      <c r="AB1584" s="6"/>
      <c r="AC1584" s="6"/>
      <c r="AD1584" s="6"/>
      <c r="AE1584" s="6"/>
    </row>
    <row r="1585" spans="1:31" ht="63.75" x14ac:dyDescent="0.2">
      <c r="A1585" s="6" t="s">
        <v>7677</v>
      </c>
      <c r="B1585" s="6" t="s">
        <v>4133</v>
      </c>
      <c r="C1585" s="20" t="s">
        <v>7687</v>
      </c>
      <c r="D1585" s="6" t="s">
        <v>7688</v>
      </c>
      <c r="E1585" s="6"/>
      <c r="F1585" s="6" t="s">
        <v>5938</v>
      </c>
      <c r="G1585" s="6" t="s">
        <v>5939</v>
      </c>
      <c r="H1585" s="6" t="str">
        <f t="shared" si="142"/>
        <v>JOHN
PHIBBAH(P9
P7)</v>
      </c>
      <c r="I1585" s="6" t="s">
        <v>533</v>
      </c>
      <c r="J1585" s="6"/>
      <c r="K1585" s="6"/>
      <c r="L1585" s="6" t="s">
        <v>209</v>
      </c>
      <c r="M1585" s="6" t="str">
        <f>VLOOKUP(L1585, GLOSSARY!$A:$C, 2, FALSE)</f>
        <v>BREADNUT ISLAND PEN</v>
      </c>
      <c r="N1585" s="6" t="s">
        <v>68</v>
      </c>
      <c r="O1585" s="6"/>
      <c r="P1585" s="6"/>
      <c r="Q1585" s="6"/>
      <c r="R1585" s="6"/>
      <c r="S1585" s="6"/>
      <c r="T1585" s="6"/>
      <c r="U1585" s="6"/>
      <c r="V1585" s="6"/>
      <c r="W1585" s="6"/>
      <c r="X1585" s="6"/>
      <c r="Y1585" s="6"/>
      <c r="Z1585" s="6"/>
      <c r="AA1585" s="6"/>
      <c r="AB1585" s="6"/>
      <c r="AC1585" s="6"/>
      <c r="AD1585" s="6"/>
      <c r="AE1585" s="6"/>
    </row>
    <row r="1586" spans="1:31" ht="63.75" x14ac:dyDescent="0.2">
      <c r="A1586" s="6" t="s">
        <v>7677</v>
      </c>
      <c r="B1586" s="6" t="s">
        <v>4142</v>
      </c>
      <c r="C1586" s="20" t="s">
        <v>7689</v>
      </c>
      <c r="D1586" s="6" t="s">
        <v>7690</v>
      </c>
      <c r="E1586" s="6"/>
      <c r="F1586" s="6" t="s">
        <v>5938</v>
      </c>
      <c r="G1586" s="6" t="s">
        <v>5939</v>
      </c>
      <c r="H1586" s="6" t="str">
        <f t="shared" si="142"/>
        <v>JOHN
PHIBBAH(P9
P7)</v>
      </c>
      <c r="I1586" s="6" t="s">
        <v>533</v>
      </c>
      <c r="J1586" s="6"/>
      <c r="K1586" s="6"/>
      <c r="L1586" s="6" t="s">
        <v>209</v>
      </c>
      <c r="M1586" s="6" t="str">
        <f>VLOOKUP(L1586, GLOSSARY!$A:$C, 2, FALSE)</f>
        <v>BREADNUT ISLAND PEN</v>
      </c>
      <c r="N1586" s="6" t="s">
        <v>68</v>
      </c>
      <c r="O1586" s="6"/>
      <c r="P1586" s="6"/>
      <c r="Q1586" s="6"/>
      <c r="R1586" s="6"/>
      <c r="S1586" s="6"/>
      <c r="T1586" s="6"/>
      <c r="U1586" s="6"/>
      <c r="V1586" s="6"/>
      <c r="W1586" s="6"/>
      <c r="X1586" s="6"/>
      <c r="Y1586" s="6"/>
      <c r="Z1586" s="6"/>
      <c r="AA1586" s="6"/>
      <c r="AB1586" s="6"/>
      <c r="AC1586" s="6"/>
      <c r="AD1586" s="6"/>
      <c r="AE1586" s="6"/>
    </row>
    <row r="1587" spans="1:31" ht="216.75" x14ac:dyDescent="0.2">
      <c r="A1587" s="6" t="s">
        <v>7691</v>
      </c>
      <c r="B1587" s="6" t="s">
        <v>6368</v>
      </c>
      <c r="C1587" s="20" t="s">
        <v>7692</v>
      </c>
      <c r="D1587" s="6" t="s">
        <v>7693</v>
      </c>
      <c r="E1587" s="6"/>
      <c r="F1587" s="6" t="s">
        <v>7694</v>
      </c>
      <c r="G1587" s="6" t="s">
        <v>7695</v>
      </c>
      <c r="H1587" s="6" t="str">
        <f t="shared" si="142"/>
        <v>PHIBBAH
VINE
EGYPT LUCY
LINCOLN
CHUB(P7
P12
P3
P24
P57)</v>
      </c>
      <c r="I1587" s="6" t="s">
        <v>859</v>
      </c>
      <c r="J1587" s="6"/>
      <c r="K1587" s="6"/>
      <c r="L1587" s="6" t="s">
        <v>55</v>
      </c>
      <c r="M1587" s="6" t="str">
        <f>VLOOKUP(L1587, GLOSSARY!$A:$C, 2, FALSE)</f>
        <v>EGYPT ESTATE</v>
      </c>
      <c r="N1587" s="6" t="s">
        <v>287</v>
      </c>
      <c r="O1587" s="6"/>
      <c r="P1587" s="6"/>
      <c r="Q1587" s="6"/>
      <c r="R1587" s="6"/>
      <c r="S1587" s="6"/>
      <c r="T1587" s="6"/>
      <c r="U1587" s="6"/>
      <c r="V1587" s="6"/>
      <c r="W1587" s="6"/>
      <c r="X1587" s="6"/>
      <c r="Y1587" s="6"/>
      <c r="Z1587" s="6"/>
      <c r="AA1587" s="6"/>
      <c r="AB1587" s="6"/>
      <c r="AC1587" s="6"/>
      <c r="AD1587" s="6"/>
      <c r="AE1587" s="6"/>
    </row>
    <row r="1588" spans="1:31" ht="38.25" x14ac:dyDescent="0.2">
      <c r="A1588" s="6" t="s">
        <v>7655</v>
      </c>
      <c r="B1588" s="6" t="s">
        <v>4173</v>
      </c>
      <c r="C1588" s="20" t="s">
        <v>7696</v>
      </c>
      <c r="D1588" s="6" t="s">
        <v>7697</v>
      </c>
      <c r="E1588" s="6"/>
      <c r="F1588" s="6" t="s">
        <v>29</v>
      </c>
      <c r="G1588" s="6" t="s">
        <v>28</v>
      </c>
      <c r="H1588" s="6" t="str">
        <f t="shared" si="142"/>
        <v>MOLIA(P1)</v>
      </c>
      <c r="I1588" s="6" t="s">
        <v>533</v>
      </c>
      <c r="J1588" s="6" t="s">
        <v>35</v>
      </c>
      <c r="K1588" s="6"/>
      <c r="L1588" s="6" t="s">
        <v>209</v>
      </c>
      <c r="M1588" s="6" t="str">
        <f>VLOOKUP(L1588, GLOSSARY!$A:$C, 2, FALSE)</f>
        <v>BREADNUT ISLAND PEN</v>
      </c>
      <c r="N1588" s="6" t="s">
        <v>68</v>
      </c>
      <c r="O1588" s="6"/>
      <c r="P1588" s="6"/>
      <c r="Q1588" s="6"/>
      <c r="R1588" s="6"/>
      <c r="S1588" s="6"/>
      <c r="T1588" s="6"/>
      <c r="U1588" s="6"/>
      <c r="V1588" s="6"/>
      <c r="W1588" s="6"/>
      <c r="X1588" s="6"/>
      <c r="Y1588" s="6"/>
      <c r="Z1588" s="6"/>
      <c r="AA1588" s="6"/>
      <c r="AB1588" s="6"/>
      <c r="AC1588" s="6"/>
      <c r="AD1588" s="6"/>
      <c r="AE1588" s="6"/>
    </row>
    <row r="1589" spans="1:31" ht="409.5" x14ac:dyDescent="0.2">
      <c r="A1589" s="6" t="s">
        <v>7698</v>
      </c>
      <c r="B1589" s="6" t="s">
        <v>7699</v>
      </c>
      <c r="C1589" s="20" t="s">
        <v>7700</v>
      </c>
      <c r="D1589" s="6" t="s">
        <v>7701</v>
      </c>
      <c r="E1589" s="6"/>
      <c r="F1589" s="6" t="s">
        <v>7702</v>
      </c>
      <c r="G1589" s="6" t="s">
        <v>7703</v>
      </c>
      <c r="H1589" s="6" t="str">
        <f t="shared" ref="H1589:H1644" si="143">CONCATENATE(F1589," (",G1589,")")</f>
        <v>THE OVERSEER
LINCOLN
SAWNO/DOWOTRONNY
CHUB
CUKOR
CUDJOE
SOLON
SUKEY
SALLY
PEGGY
NANNY
MIRTILLA
OGO
PHOEBE
FRANKE
JAMES WEDDERBURN
MOLIA (P43
P24
P13
P15
P17
P19
P26
P38
P52
P57
P58
P59
P60
P32
P95
P1)</v>
      </c>
      <c r="I1589" s="6" t="s">
        <v>784</v>
      </c>
      <c r="J1589" s="6" t="s">
        <v>7704</v>
      </c>
      <c r="K1589" s="6"/>
      <c r="L1589" s="6" t="s">
        <v>3037</v>
      </c>
      <c r="M1589" s="6" t="str">
        <f>VLOOKUP(L1589, GLOSSARY!$A:$C, 2, FALSE)</f>
        <v>BLUECASTLE ESTATE</v>
      </c>
      <c r="N1589" s="6" t="s">
        <v>68</v>
      </c>
      <c r="O1589" s="6"/>
      <c r="P1589" s="6"/>
      <c r="Q1589" s="6"/>
      <c r="R1589" s="6"/>
      <c r="S1589" s="6"/>
      <c r="T1589" s="6"/>
      <c r="U1589" s="6"/>
      <c r="V1589" s="6"/>
      <c r="W1589" s="6"/>
      <c r="X1589" s="6"/>
      <c r="Y1589" s="6"/>
      <c r="Z1589" s="6"/>
      <c r="AA1589" s="6"/>
      <c r="AB1589" s="6"/>
      <c r="AC1589" s="6"/>
      <c r="AD1589" s="6"/>
      <c r="AE1589" s="6"/>
    </row>
    <row r="1590" spans="1:31" ht="25.5" x14ac:dyDescent="0.2">
      <c r="A1590" s="6" t="s">
        <v>7698</v>
      </c>
      <c r="B1590" s="6" t="s">
        <v>3859</v>
      </c>
      <c r="C1590" s="20" t="s">
        <v>7705</v>
      </c>
      <c r="D1590" s="6" t="s">
        <v>7706</v>
      </c>
      <c r="E1590" s="6"/>
      <c r="F1590" s="6" t="s">
        <v>29</v>
      </c>
      <c r="G1590" s="6" t="s">
        <v>28</v>
      </c>
      <c r="H1590" s="6" t="str">
        <f t="shared" si="143"/>
        <v>MOLIA (P1)</v>
      </c>
      <c r="I1590" s="6" t="s">
        <v>759</v>
      </c>
      <c r="J1590" s="6" t="s">
        <v>35</v>
      </c>
      <c r="K1590" s="6"/>
      <c r="L1590" s="6" t="s">
        <v>209</v>
      </c>
      <c r="M1590" s="6" t="str">
        <f>VLOOKUP(L1590, GLOSSARY!$A:$C, 2, FALSE)</f>
        <v>BREADNUT ISLAND PEN</v>
      </c>
      <c r="N1590" s="6" t="s">
        <v>68</v>
      </c>
      <c r="O1590" s="6"/>
      <c r="P1590" s="6"/>
      <c r="Q1590" s="6"/>
      <c r="R1590" s="6"/>
      <c r="S1590" s="6"/>
      <c r="T1590" s="6"/>
      <c r="U1590" s="6"/>
      <c r="V1590" s="6"/>
      <c r="W1590" s="6"/>
      <c r="X1590" s="6"/>
      <c r="Y1590" s="6"/>
      <c r="Z1590" s="6"/>
      <c r="AA1590" s="6"/>
      <c r="AB1590" s="6"/>
      <c r="AC1590" s="6"/>
      <c r="AD1590" s="6"/>
      <c r="AE1590" s="6"/>
    </row>
    <row r="1591" spans="1:31" ht="229.5" x14ac:dyDescent="0.2">
      <c r="A1591" s="6" t="s">
        <v>7698</v>
      </c>
      <c r="B1591" s="6" t="s">
        <v>4551</v>
      </c>
      <c r="C1591" s="20" t="s">
        <v>7707</v>
      </c>
      <c r="D1591" s="6" t="s">
        <v>7708</v>
      </c>
      <c r="E1591" s="6"/>
      <c r="F1591" s="26" t="s">
        <v>7709</v>
      </c>
      <c r="G1591" s="26" t="s">
        <v>7710</v>
      </c>
      <c r="H1591" s="6" t="str">
        <f t="shared" si="143"/>
        <v>THE OVERSEER 
LINCOLN 
SAWNO/DOWOTRONNY 
CHUB 
CUKOR
 CUDJOE 
SOLON 
SUKEY 
SALLY 
PEGGY 
NANNY 
MIRTILLA 
OGO 
PHOEBE 
FRANKE 
 MOLIA (P43 P24 P13 P15 P17 P19 P26 P38 P52 P57 P58 P59 P60 P32 P1)</v>
      </c>
      <c r="I1591" s="6" t="s">
        <v>784</v>
      </c>
      <c r="J1591" s="6" t="s">
        <v>7711</v>
      </c>
      <c r="K1591" s="6"/>
      <c r="L1591" s="6" t="s">
        <v>7712</v>
      </c>
      <c r="M1591" s="6" t="s">
        <v>7713</v>
      </c>
      <c r="N1591" s="6" t="s">
        <v>287</v>
      </c>
      <c r="O1591" s="6"/>
      <c r="P1591" s="6"/>
      <c r="Q1591" s="6"/>
      <c r="R1591" s="6"/>
      <c r="S1591" s="6"/>
      <c r="T1591" s="6"/>
      <c r="U1591" s="6"/>
      <c r="V1591" s="6"/>
      <c r="W1591" s="6"/>
      <c r="X1591" s="6"/>
      <c r="Y1591" s="6"/>
      <c r="Z1591" s="6"/>
      <c r="AA1591" s="6"/>
      <c r="AB1591" s="6"/>
      <c r="AC1591" s="6"/>
      <c r="AD1591" s="6"/>
      <c r="AE1591" s="6"/>
    </row>
    <row r="1592" spans="1:31" ht="114.75" x14ac:dyDescent="0.2">
      <c r="A1592" s="6" t="s">
        <v>7714</v>
      </c>
      <c r="B1592" s="6" t="s">
        <v>3864</v>
      </c>
      <c r="C1592" s="20" t="s">
        <v>7715</v>
      </c>
      <c r="D1592" s="6" t="s">
        <v>7716</v>
      </c>
      <c r="E1592" s="6"/>
      <c r="F1592" s="6" t="s">
        <v>7717</v>
      </c>
      <c r="G1592" s="6" t="s">
        <v>7718</v>
      </c>
      <c r="H1592" s="6" t="str">
        <f t="shared" si="143"/>
        <v>MOLIA
MR. HAYWARD
JIMMY (P1
P161
P54)</v>
      </c>
      <c r="I1592" s="6" t="s">
        <v>2607</v>
      </c>
      <c r="J1592" s="6" t="s">
        <v>35</v>
      </c>
      <c r="K1592" s="6"/>
      <c r="L1592" s="6" t="s">
        <v>3112</v>
      </c>
      <c r="M1592" s="6" t="str">
        <f>VLOOKUP(L1592, GLOSSARY!$A:$C, 2, FALSE)</f>
        <v>MR. HAYWARD'S</v>
      </c>
      <c r="N1592" s="6" t="s">
        <v>167</v>
      </c>
      <c r="O1592" s="6"/>
      <c r="P1592" s="6"/>
      <c r="Q1592" s="6"/>
      <c r="R1592" s="6"/>
      <c r="S1592" s="6"/>
      <c r="T1592" s="6"/>
      <c r="U1592" s="6"/>
      <c r="V1592" s="6"/>
      <c r="W1592" s="6"/>
      <c r="X1592" s="6"/>
      <c r="Y1592" s="6"/>
      <c r="Z1592" s="6"/>
      <c r="AA1592" s="6"/>
      <c r="AB1592" s="6"/>
      <c r="AC1592" s="6"/>
      <c r="AD1592" s="6"/>
      <c r="AE1592" s="6"/>
    </row>
    <row r="1593" spans="1:31" ht="63.75" x14ac:dyDescent="0.2">
      <c r="A1593" s="6" t="s">
        <v>7698</v>
      </c>
      <c r="B1593" s="6" t="s">
        <v>3864</v>
      </c>
      <c r="C1593" s="20" t="s">
        <v>7719</v>
      </c>
      <c r="D1593" s="6" t="s">
        <v>7720</v>
      </c>
      <c r="E1593" s="6"/>
      <c r="F1593" s="6" t="s">
        <v>6209</v>
      </c>
      <c r="G1593" s="6" t="s">
        <v>7721</v>
      </c>
      <c r="H1593" s="6" t="str">
        <f t="shared" si="143"/>
        <v>MOLIA
THE OVERSEER (P1
P4354)</v>
      </c>
      <c r="I1593" s="6" t="s">
        <v>759</v>
      </c>
      <c r="J1593" s="6" t="s">
        <v>35</v>
      </c>
      <c r="K1593" s="6"/>
      <c r="L1593" s="6" t="s">
        <v>209</v>
      </c>
      <c r="M1593" s="6" t="str">
        <f>VLOOKUP(L1593, GLOSSARY!$A:$C, 2, FALSE)</f>
        <v>BREADNUT ISLAND PEN</v>
      </c>
      <c r="N1593" s="6" t="s">
        <v>68</v>
      </c>
      <c r="O1593" s="6"/>
      <c r="P1593" s="6"/>
      <c r="Q1593" s="6"/>
      <c r="R1593" s="6"/>
      <c r="S1593" s="6"/>
      <c r="T1593" s="6"/>
      <c r="U1593" s="6"/>
      <c r="V1593" s="6"/>
      <c r="W1593" s="6"/>
      <c r="X1593" s="6"/>
      <c r="Y1593" s="6"/>
      <c r="Z1593" s="6"/>
      <c r="AA1593" s="6"/>
      <c r="AB1593" s="6"/>
      <c r="AC1593" s="6"/>
      <c r="AD1593" s="6"/>
      <c r="AE1593" s="6"/>
    </row>
    <row r="1594" spans="1:31" ht="127.5" x14ac:dyDescent="0.2">
      <c r="A1594" s="6" t="s">
        <v>7722</v>
      </c>
      <c r="B1594" s="6" t="s">
        <v>3864</v>
      </c>
      <c r="C1594" s="20" t="s">
        <v>7719</v>
      </c>
      <c r="D1594" s="6" t="s">
        <v>7723</v>
      </c>
      <c r="E1594" s="6"/>
      <c r="F1594" s="6" t="s">
        <v>7724</v>
      </c>
      <c r="G1594" s="6" t="s">
        <v>7725</v>
      </c>
      <c r="H1594" s="6" t="str">
        <f t="shared" si="143"/>
        <v>THE PLANTER
THE GOVERNOR (P44
P198)</v>
      </c>
      <c r="I1594" s="6" t="s">
        <v>3794</v>
      </c>
      <c r="J1594" s="6"/>
      <c r="K1594" s="6"/>
      <c r="L1594" s="6" t="s">
        <v>99</v>
      </c>
      <c r="M1594" s="6" t="str">
        <f>VLOOKUP(L1594, GLOSSARY!$A:$C, 2, FALSE)</f>
        <v>PARADISE ESTATE</v>
      </c>
      <c r="N1594" s="6" t="s">
        <v>167</v>
      </c>
      <c r="O1594" s="6"/>
      <c r="P1594" s="6"/>
      <c r="Q1594" s="6"/>
      <c r="R1594" s="6"/>
      <c r="S1594" s="6"/>
      <c r="T1594" s="6"/>
      <c r="U1594" s="6"/>
      <c r="V1594" s="6"/>
      <c r="W1594" s="6"/>
      <c r="X1594" s="6"/>
      <c r="Y1594" s="6"/>
      <c r="Z1594" s="6"/>
      <c r="AA1594" s="6"/>
      <c r="AB1594" s="6"/>
      <c r="AC1594" s="6"/>
      <c r="AD1594" s="6"/>
      <c r="AE1594" s="6"/>
    </row>
    <row r="1595" spans="1:31" ht="12.75" x14ac:dyDescent="0.2">
      <c r="A1595" s="6" t="s">
        <v>7698</v>
      </c>
      <c r="B1595" s="6" t="s">
        <v>4563</v>
      </c>
      <c r="C1595" s="20" t="s">
        <v>7726</v>
      </c>
      <c r="D1595" s="6" t="s">
        <v>7727</v>
      </c>
      <c r="E1595" s="6"/>
      <c r="F1595" s="6" t="s">
        <v>29</v>
      </c>
      <c r="G1595" s="6" t="s">
        <v>28</v>
      </c>
      <c r="H1595" s="6" t="str">
        <f t="shared" si="143"/>
        <v>MOLIA (P1)</v>
      </c>
      <c r="I1595" s="6" t="s">
        <v>139</v>
      </c>
      <c r="J1595" s="6" t="s">
        <v>35</v>
      </c>
      <c r="K1595" s="6"/>
      <c r="L1595" s="6" t="s">
        <v>209</v>
      </c>
      <c r="M1595" s="6" t="str">
        <f>VLOOKUP(L1595, GLOSSARY!$A:$C, 2, FALSE)</f>
        <v>BREADNUT ISLAND PEN</v>
      </c>
      <c r="N1595" s="6" t="s">
        <v>68</v>
      </c>
      <c r="O1595" s="6"/>
      <c r="P1595" s="6"/>
      <c r="Q1595" s="6"/>
      <c r="R1595" s="6"/>
      <c r="S1595" s="6"/>
      <c r="T1595" s="6"/>
      <c r="U1595" s="6"/>
      <c r="V1595" s="6"/>
      <c r="W1595" s="6"/>
      <c r="X1595" s="6"/>
      <c r="Y1595" s="6"/>
      <c r="Z1595" s="6"/>
      <c r="AA1595" s="6"/>
      <c r="AB1595" s="6"/>
      <c r="AC1595" s="6"/>
      <c r="AD1595" s="6"/>
      <c r="AE1595" s="6"/>
    </row>
    <row r="1596" spans="1:31" ht="63.75" x14ac:dyDescent="0.2">
      <c r="A1596" s="6" t="s">
        <v>7728</v>
      </c>
      <c r="B1596" s="6" t="s">
        <v>7729</v>
      </c>
      <c r="C1596" s="20" t="s">
        <v>7726</v>
      </c>
      <c r="D1596" s="6" t="s">
        <v>7730</v>
      </c>
      <c r="E1596" s="6"/>
      <c r="F1596" s="6" t="s">
        <v>7201</v>
      </c>
      <c r="G1596" s="6" t="s">
        <v>7202</v>
      </c>
      <c r="H1596" s="6" t="str">
        <f t="shared" si="143"/>
        <v>JOHN
THE OVERSEER (P9
P43)</v>
      </c>
      <c r="I1596" s="6" t="s">
        <v>1047</v>
      </c>
      <c r="J1596" s="6"/>
      <c r="K1596" s="6"/>
      <c r="L1596" s="6" t="s">
        <v>209</v>
      </c>
      <c r="M1596" s="6" t="str">
        <f>VLOOKUP(L1596, GLOSSARY!$A:$C, 2, FALSE)</f>
        <v>BREADNUT ISLAND PEN</v>
      </c>
      <c r="N1596" s="6" t="s">
        <v>68</v>
      </c>
      <c r="O1596" s="6"/>
      <c r="P1596" s="6"/>
      <c r="Q1596" s="6"/>
      <c r="R1596" s="6"/>
      <c r="S1596" s="6"/>
      <c r="T1596" s="6"/>
      <c r="U1596" s="6"/>
      <c r="V1596" s="6"/>
      <c r="W1596" s="6"/>
      <c r="X1596" s="6"/>
      <c r="Y1596" s="6"/>
      <c r="Z1596" s="6"/>
      <c r="AA1596" s="6"/>
      <c r="AB1596" s="6"/>
      <c r="AC1596" s="6"/>
      <c r="AD1596" s="6"/>
      <c r="AE1596" s="6"/>
    </row>
    <row r="1597" spans="1:31" ht="331.5" x14ac:dyDescent="0.2">
      <c r="A1597" s="6" t="s">
        <v>7722</v>
      </c>
      <c r="B1597" s="6" t="s">
        <v>7729</v>
      </c>
      <c r="C1597" s="20" t="s">
        <v>7726</v>
      </c>
      <c r="D1597" s="6" t="s">
        <v>7731</v>
      </c>
      <c r="E1597" s="6"/>
      <c r="F1597" s="6" t="s">
        <v>7732</v>
      </c>
      <c r="G1597" s="6" t="s">
        <v>7733</v>
      </c>
      <c r="H1597" s="6" t="str">
        <f t="shared" si="143"/>
        <v>THE GOVERNOR
THE GOVERNOR'S WIFE
TEH GOVERNOR'S SISTER
MR. HAUGHTON (P198
P199
P200
P201
)</v>
      </c>
      <c r="I1597" s="6" t="s">
        <v>3794</v>
      </c>
      <c r="J1597" s="6"/>
      <c r="K1597" s="6"/>
      <c r="L1597" s="6"/>
      <c r="M1597" s="6" t="e">
        <f>VLOOKUP(L1597, GLOSSARY!$A:$C, 2, FALSE)</f>
        <v>#N/A</v>
      </c>
      <c r="N1597" s="6"/>
      <c r="O1597" s="6"/>
      <c r="P1597" s="6"/>
      <c r="Q1597" s="6"/>
      <c r="R1597" s="6"/>
      <c r="S1597" s="6"/>
      <c r="T1597" s="6"/>
      <c r="U1597" s="6"/>
      <c r="V1597" s="6"/>
      <c r="W1597" s="6"/>
      <c r="X1597" s="6"/>
      <c r="Y1597" s="6"/>
      <c r="Z1597" s="6"/>
      <c r="AA1597" s="6"/>
      <c r="AB1597" s="6"/>
      <c r="AC1597" s="6"/>
      <c r="AD1597" s="6"/>
      <c r="AE1597" s="6"/>
    </row>
    <row r="1598" spans="1:31" ht="140.25" x14ac:dyDescent="0.2">
      <c r="A1598" s="6" t="s">
        <v>7722</v>
      </c>
      <c r="B1598" s="6" t="s">
        <v>4563</v>
      </c>
      <c r="C1598" s="20" t="s">
        <v>7726</v>
      </c>
      <c r="D1598" s="6" t="s">
        <v>7734</v>
      </c>
      <c r="E1598" s="6"/>
      <c r="F1598" s="6" t="s">
        <v>7735</v>
      </c>
      <c r="G1598" s="6" t="s">
        <v>7736</v>
      </c>
      <c r="H1598" s="6" t="str">
        <f t="shared" si="143"/>
        <v>PHIBBAH
VINE
JOHN
MR. HAYWARD
JIMMY
THE GOVERNOR (P7
P12
P9
P161
P54
P198)</v>
      </c>
      <c r="I1598" s="6" t="s">
        <v>3794</v>
      </c>
      <c r="J1598" s="6"/>
      <c r="K1598" s="6"/>
      <c r="L1598" s="6" t="s">
        <v>3112</v>
      </c>
      <c r="M1598" s="6" t="str">
        <f>VLOOKUP(L1598, GLOSSARY!$A:$C, 2, FALSE)</f>
        <v>MR. HAYWARD'S</v>
      </c>
      <c r="N1598" s="6" t="s">
        <v>167</v>
      </c>
      <c r="O1598" s="6"/>
      <c r="P1598" s="6"/>
      <c r="Q1598" s="6"/>
      <c r="R1598" s="6"/>
      <c r="S1598" s="6"/>
      <c r="T1598" s="6"/>
      <c r="U1598" s="6"/>
      <c r="V1598" s="6"/>
      <c r="W1598" s="6"/>
      <c r="X1598" s="6"/>
      <c r="Y1598" s="6"/>
      <c r="Z1598" s="6"/>
      <c r="AA1598" s="6"/>
      <c r="AB1598" s="6"/>
      <c r="AC1598" s="6"/>
      <c r="AD1598" s="6"/>
      <c r="AE1598" s="6"/>
    </row>
    <row r="1599" spans="1:31" ht="114.75" x14ac:dyDescent="0.2">
      <c r="A1599" s="6" t="s">
        <v>7722</v>
      </c>
      <c r="B1599" s="6" t="s">
        <v>4205</v>
      </c>
      <c r="C1599" s="20" t="s">
        <v>7737</v>
      </c>
      <c r="D1599" s="6" t="s">
        <v>7738</v>
      </c>
      <c r="E1599" s="6"/>
      <c r="F1599" s="6" t="s">
        <v>7739</v>
      </c>
      <c r="G1599" s="6" t="s">
        <v>7740</v>
      </c>
      <c r="H1599" s="6" t="str">
        <f t="shared" si="143"/>
        <v>MR. WEECH
THE GOVERNOR
THE GOVERNOR'S WIFE
THE GOVERNOR'S SISTER
MRS. BLAKE (P198
P199
P200
P202
P203)</v>
      </c>
      <c r="I1599" s="6" t="s">
        <v>3794</v>
      </c>
      <c r="J1599" s="6"/>
      <c r="K1599" s="6"/>
      <c r="L1599" s="6" t="s">
        <v>3039</v>
      </c>
      <c r="M1599" s="6" t="str">
        <f>VLOOKUP(L1599, GLOSSARY!$A:$C, 2, FALSE)</f>
        <v>MRS. BLAKE'S</v>
      </c>
      <c r="N1599" s="6" t="s">
        <v>167</v>
      </c>
      <c r="O1599" s="6"/>
      <c r="P1599" s="6"/>
      <c r="Q1599" s="6"/>
      <c r="R1599" s="6"/>
      <c r="S1599" s="6"/>
      <c r="T1599" s="6"/>
      <c r="U1599" s="6"/>
      <c r="V1599" s="6"/>
      <c r="W1599" s="6"/>
      <c r="X1599" s="6"/>
      <c r="Y1599" s="6"/>
      <c r="Z1599" s="6"/>
      <c r="AA1599" s="6"/>
      <c r="AB1599" s="6"/>
      <c r="AC1599" s="6"/>
      <c r="AD1599" s="6"/>
      <c r="AE1599" s="6"/>
    </row>
    <row r="1600" spans="1:31" ht="89.25" x14ac:dyDescent="0.2">
      <c r="A1600" s="6" t="s">
        <v>7722</v>
      </c>
      <c r="B1600" s="6" t="s">
        <v>4213</v>
      </c>
      <c r="C1600" s="20" t="s">
        <v>7741</v>
      </c>
      <c r="D1600" s="6" t="s">
        <v>7742</v>
      </c>
      <c r="E1600" s="6"/>
      <c r="F1600" s="6" t="s">
        <v>7743</v>
      </c>
      <c r="G1600" s="6" t="s">
        <v>7744</v>
      </c>
      <c r="H1600" s="6" t="str">
        <f t="shared" si="143"/>
        <v>THE GOVERNOR
THE GOVERNOR'S WIFE
THE GOVERNOR'S SISTER
MR. JOHN STONE (P198
P199
P200
P64)</v>
      </c>
      <c r="I1600" s="6" t="s">
        <v>3794</v>
      </c>
      <c r="J1600" s="6"/>
      <c r="K1600" s="6"/>
      <c r="L1600" s="6" t="s">
        <v>3133</v>
      </c>
      <c r="M1600" s="6" t="str">
        <f>VLOOKUP(L1600, GLOSSARY!$A:$C, 2, FALSE)</f>
        <v>MR. JOHN STONE'S</v>
      </c>
      <c r="N1600" s="6" t="s">
        <v>287</v>
      </c>
      <c r="O1600" s="6"/>
      <c r="P1600" s="6"/>
      <c r="Q1600" s="6"/>
      <c r="R1600" s="6"/>
      <c r="S1600" s="6"/>
      <c r="T1600" s="6"/>
      <c r="U1600" s="6"/>
      <c r="V1600" s="6"/>
      <c r="W1600" s="6"/>
      <c r="X1600" s="6"/>
      <c r="Y1600" s="6"/>
      <c r="Z1600" s="6"/>
      <c r="AA1600" s="6"/>
      <c r="AB1600" s="6"/>
      <c r="AC1600" s="6"/>
      <c r="AD1600" s="6"/>
      <c r="AE1600" s="6"/>
    </row>
    <row r="1601" spans="1:31" ht="89.25" x14ac:dyDescent="0.2">
      <c r="A1601" s="6" t="s">
        <v>7722</v>
      </c>
      <c r="B1601" s="6" t="s">
        <v>4213</v>
      </c>
      <c r="C1601" s="20" t="s">
        <v>7745</v>
      </c>
      <c r="D1601" s="6" t="s">
        <v>7746</v>
      </c>
      <c r="E1601" s="6"/>
      <c r="F1601" s="6" t="s">
        <v>7747</v>
      </c>
      <c r="G1601" s="6" t="s">
        <v>7748</v>
      </c>
      <c r="H1601" s="6" t="str">
        <f t="shared" si="143"/>
        <v>THE GOVERNOR
THE GOVERNOR'S WIFE
THE GOVERNOR'S SISTER
MR. SENIOR (P198
P199
P200
P204)</v>
      </c>
      <c r="I1601" s="6" t="s">
        <v>3794</v>
      </c>
      <c r="J1601" s="6"/>
      <c r="K1601" s="6"/>
      <c r="L1601" s="6" t="s">
        <v>93</v>
      </c>
      <c r="M1601" s="6" t="str">
        <f>VLOOKUP(L1601, GLOSSARY!$A:$C, 2, FALSE)</f>
        <v>SALT RIVER ESTATE</v>
      </c>
      <c r="N1601" s="6" t="s">
        <v>68</v>
      </c>
      <c r="O1601" s="6"/>
      <c r="P1601" s="6"/>
      <c r="Q1601" s="6"/>
      <c r="R1601" s="6"/>
      <c r="S1601" s="6"/>
      <c r="T1601" s="6"/>
      <c r="U1601" s="6"/>
      <c r="V1601" s="6"/>
      <c r="W1601" s="6"/>
      <c r="X1601" s="6"/>
      <c r="Y1601" s="6"/>
      <c r="Z1601" s="6"/>
      <c r="AA1601" s="6"/>
      <c r="AB1601" s="6"/>
      <c r="AC1601" s="6"/>
      <c r="AD1601" s="6"/>
      <c r="AE1601" s="6"/>
    </row>
    <row r="1602" spans="1:31" ht="76.5" x14ac:dyDescent="0.2">
      <c r="A1602" s="6" t="s">
        <v>7722</v>
      </c>
      <c r="B1602" s="6" t="s">
        <v>4213</v>
      </c>
      <c r="C1602" s="20" t="s">
        <v>7749</v>
      </c>
      <c r="D1602" s="6" t="s">
        <v>7750</v>
      </c>
      <c r="E1602" s="6"/>
      <c r="F1602" s="59" t="s">
        <v>7751</v>
      </c>
      <c r="G1602" s="41" t="s">
        <v>7752</v>
      </c>
      <c r="H1602" s="6" t="str">
        <f t="shared" si="143"/>
        <v>THE GOVERNOR 
THE GOVERNOR'S WIFE
 THE GOVERNOR'S SISTER (P198 
P199 
P200)</v>
      </c>
      <c r="I1602" s="6" t="s">
        <v>3794</v>
      </c>
      <c r="J1602" s="6"/>
      <c r="K1602" s="6"/>
      <c r="L1602" s="6" t="s">
        <v>3139</v>
      </c>
      <c r="M1602" s="6" t="str">
        <f>VLOOKUP(L1602, GLOSSARY!$A:$C, 2, FALSE)</f>
        <v>SWEET RIVER ESTATE</v>
      </c>
      <c r="N1602" s="6" t="s">
        <v>287</v>
      </c>
      <c r="O1602" s="6"/>
      <c r="P1602" s="6"/>
      <c r="Q1602" s="6"/>
      <c r="R1602" s="6"/>
      <c r="S1602" s="6"/>
      <c r="T1602" s="6"/>
      <c r="U1602" s="6"/>
      <c r="V1602" s="6"/>
      <c r="W1602" s="6"/>
      <c r="X1602" s="6"/>
      <c r="Y1602" s="6"/>
      <c r="Z1602" s="6"/>
      <c r="AA1602" s="6"/>
      <c r="AB1602" s="6"/>
      <c r="AC1602" s="6"/>
      <c r="AD1602" s="6"/>
      <c r="AE1602" s="6"/>
    </row>
    <row r="1603" spans="1:31" ht="89.25" x14ac:dyDescent="0.2">
      <c r="A1603" s="6" t="s">
        <v>7722</v>
      </c>
      <c r="B1603" s="6" t="s">
        <v>4217</v>
      </c>
      <c r="C1603" s="20" t="s">
        <v>7753</v>
      </c>
      <c r="D1603" s="6" t="s">
        <v>7754</v>
      </c>
      <c r="E1603" s="6"/>
      <c r="F1603" s="59" t="s">
        <v>7755</v>
      </c>
      <c r="G1603" s="41" t="s">
        <v>7756</v>
      </c>
      <c r="H1603" s="6" t="str">
        <f t="shared" si="143"/>
        <v>THE GOVERNOR 
THE GOVERNOR'S WIFE
 THE GOVERNOR'S SISTER
MR. HAUGHTON (P198 
P199 
P200
P201)</v>
      </c>
      <c r="I1603" s="6" t="s">
        <v>3794</v>
      </c>
      <c r="J1603" s="6"/>
      <c r="K1603" s="6"/>
      <c r="L1603" s="6" t="s">
        <v>3142</v>
      </c>
      <c r="M1603" s="6" t="str">
        <f>VLOOKUP(L1603, GLOSSARY!$A:$C, 2, FALSE)</f>
        <v>MR. HAUGHTON'S</v>
      </c>
      <c r="N1603" s="6" t="s">
        <v>287</v>
      </c>
      <c r="O1603" s="6"/>
      <c r="P1603" s="6"/>
      <c r="Q1603" s="6"/>
      <c r="R1603" s="6"/>
      <c r="S1603" s="6"/>
      <c r="T1603" s="6"/>
      <c r="U1603" s="6"/>
      <c r="V1603" s="6"/>
      <c r="W1603" s="6"/>
      <c r="X1603" s="6"/>
      <c r="Y1603" s="6"/>
      <c r="Z1603" s="6"/>
      <c r="AA1603" s="6"/>
      <c r="AB1603" s="6"/>
      <c r="AC1603" s="6"/>
      <c r="AD1603" s="6"/>
      <c r="AE1603" s="6"/>
    </row>
    <row r="1604" spans="1:31" ht="127.5" x14ac:dyDescent="0.2">
      <c r="A1604" s="6" t="s">
        <v>7722</v>
      </c>
      <c r="B1604" s="6" t="s">
        <v>4217</v>
      </c>
      <c r="C1604" s="20" t="s">
        <v>7757</v>
      </c>
      <c r="D1604" s="6" t="s">
        <v>7758</v>
      </c>
      <c r="E1604" s="6"/>
      <c r="F1604" s="6" t="s">
        <v>7759</v>
      </c>
      <c r="G1604" s="6" t="s">
        <v>7760</v>
      </c>
      <c r="H1604" s="6" t="str">
        <f t="shared" si="143"/>
        <v>MR. JOHN HARTNOLE
MR. HARING
THE GOVERNOR 
THE GOVERNOR'S WIFE
 THE GOVERNOR'S SISTER (P81
P205
P198
P199
P200)</v>
      </c>
      <c r="I1604" s="6" t="s">
        <v>3794</v>
      </c>
      <c r="J1604" s="6"/>
      <c r="K1604" s="6"/>
      <c r="L1604" s="6" t="s">
        <v>3147</v>
      </c>
      <c r="M1604" s="6" t="str">
        <f>VLOOKUP(L1604, GLOSSARY!$A:$C, 2, FALSE)</f>
        <v>MR. HARING'S</v>
      </c>
      <c r="N1604" s="6" t="s">
        <v>287</v>
      </c>
      <c r="O1604" s="6"/>
      <c r="P1604" s="6"/>
      <c r="Q1604" s="6"/>
      <c r="R1604" s="6"/>
      <c r="S1604" s="6"/>
      <c r="T1604" s="6"/>
      <c r="U1604" s="6"/>
      <c r="V1604" s="6"/>
      <c r="W1604" s="6"/>
      <c r="X1604" s="6"/>
      <c r="Y1604" s="6"/>
      <c r="Z1604" s="6"/>
      <c r="AA1604" s="6"/>
      <c r="AB1604" s="6"/>
      <c r="AC1604" s="6"/>
      <c r="AD1604" s="6"/>
      <c r="AE1604" s="6"/>
    </row>
    <row r="1605" spans="1:31" ht="178.5" x14ac:dyDescent="0.2">
      <c r="A1605" s="6" t="s">
        <v>7761</v>
      </c>
      <c r="B1605" s="6" t="s">
        <v>4229</v>
      </c>
      <c r="C1605" s="20" t="s">
        <v>7762</v>
      </c>
      <c r="D1605" s="6" t="s">
        <v>7763</v>
      </c>
      <c r="E1605" s="6"/>
      <c r="F1605" s="6" t="s">
        <v>7764</v>
      </c>
      <c r="G1605" s="6" t="s">
        <v>7765</v>
      </c>
      <c r="H1605" s="6" t="str">
        <f t="shared" si="143"/>
        <v>LITTLE MIMBER
JOHN HARTNOLE (P80
P81)</v>
      </c>
      <c r="I1605" s="6" t="s">
        <v>1678</v>
      </c>
      <c r="J1605" s="6"/>
      <c r="K1605" s="6"/>
      <c r="L1605" s="6" t="s">
        <v>3069</v>
      </c>
      <c r="M1605" s="6" t="str">
        <f>VLOOKUP(L1605, GLOSSARY!$A:$C, 2, FALSE)</f>
        <v>THE RETRIEVE</v>
      </c>
      <c r="N1605" s="6" t="s">
        <v>476</v>
      </c>
      <c r="O1605" s="6"/>
      <c r="P1605" s="6"/>
      <c r="Q1605" s="6"/>
      <c r="R1605" s="6"/>
      <c r="S1605" s="6"/>
      <c r="T1605" s="6"/>
      <c r="U1605" s="6"/>
      <c r="V1605" s="6"/>
      <c r="W1605" s="6"/>
      <c r="X1605" s="6"/>
      <c r="Y1605" s="6"/>
      <c r="Z1605" s="6"/>
      <c r="AA1605" s="6"/>
      <c r="AB1605" s="6"/>
      <c r="AC1605" s="6"/>
      <c r="AD1605" s="6"/>
      <c r="AE1605" s="6"/>
    </row>
    <row r="1606" spans="1:31" ht="216.75" x14ac:dyDescent="0.2">
      <c r="A1606" s="6" t="s">
        <v>7698</v>
      </c>
      <c r="B1606" s="6" t="s">
        <v>4229</v>
      </c>
      <c r="C1606" s="20" t="s">
        <v>7762</v>
      </c>
      <c r="D1606" s="6" t="s">
        <v>7766</v>
      </c>
      <c r="E1606" s="6"/>
      <c r="F1606" s="26" t="s">
        <v>7767</v>
      </c>
      <c r="G1606" s="26" t="s">
        <v>7768</v>
      </c>
      <c r="H1606" s="6" t="str">
        <f t="shared" si="143"/>
        <v>THE OVERSEER 
LINCOLN 
SAWNO/DOWOTRONNY 
CHUB 
CUKOR
 CUDJOE 
SOLON 
SUKEY 
SALLY 
PEGGY 
NANNY 
MIRTILLA 
OGO 
PHOEBE 
FRANKE  (P43 P24 P13 P15 P17 P19 P26 P38 P52 P57 P58 P59 P60 P32)</v>
      </c>
      <c r="I1606" s="6" t="s">
        <v>784</v>
      </c>
      <c r="J1606" s="6"/>
      <c r="K1606" s="6"/>
      <c r="L1606" s="6" t="s">
        <v>7769</v>
      </c>
      <c r="M1606" s="6" t="str">
        <f>VLOOKUP(L1606, GLOSSARY!$A:$C, 2, FALSE)</f>
        <v>MOUNT PLEASANT ESTATE</v>
      </c>
      <c r="N1606" s="6" t="s">
        <v>68</v>
      </c>
      <c r="O1606" s="6"/>
      <c r="P1606" s="6"/>
      <c r="Q1606" s="6"/>
      <c r="R1606" s="6"/>
      <c r="S1606" s="6"/>
      <c r="T1606" s="6"/>
      <c r="U1606" s="6"/>
      <c r="V1606" s="6"/>
      <c r="W1606" s="6"/>
      <c r="X1606" s="6"/>
      <c r="Y1606" s="6"/>
      <c r="Z1606" s="6"/>
      <c r="AA1606" s="6"/>
      <c r="AB1606" s="6"/>
      <c r="AC1606" s="6"/>
      <c r="AD1606" s="6"/>
      <c r="AE1606" s="6"/>
    </row>
    <row r="1607" spans="1:31" ht="76.5" x14ac:dyDescent="0.2">
      <c r="A1607" s="6" t="s">
        <v>7722</v>
      </c>
      <c r="B1607" s="6" t="s">
        <v>4226</v>
      </c>
      <c r="C1607" s="20" t="s">
        <v>7770</v>
      </c>
      <c r="D1607" s="6" t="s">
        <v>7771</v>
      </c>
      <c r="E1607" s="6"/>
      <c r="F1607" s="59" t="s">
        <v>7751</v>
      </c>
      <c r="G1607" s="41" t="s">
        <v>7752</v>
      </c>
      <c r="H1607" s="6" t="str">
        <f t="shared" si="143"/>
        <v>THE GOVERNOR 
THE GOVERNOR'S WIFE
 THE GOVERNOR'S SISTER (P198 
P199 
P200)</v>
      </c>
      <c r="I1607" s="6" t="s">
        <v>3794</v>
      </c>
      <c r="J1607" s="6"/>
      <c r="K1607" s="6"/>
      <c r="L1607" s="6" t="s">
        <v>3152</v>
      </c>
      <c r="M1607" s="6" t="str">
        <f>VLOOKUP(L1607, GLOSSARY!$A:$C, 2, FALSE)</f>
        <v>CANAAN ESTATE</v>
      </c>
      <c r="N1607" s="6" t="s">
        <v>68</v>
      </c>
      <c r="O1607" s="6"/>
      <c r="P1607" s="6"/>
      <c r="Q1607" s="6"/>
      <c r="R1607" s="6"/>
      <c r="S1607" s="6"/>
      <c r="T1607" s="6"/>
      <c r="U1607" s="6"/>
      <c r="V1607" s="6"/>
      <c r="W1607" s="6"/>
      <c r="X1607" s="6"/>
      <c r="Y1607" s="6"/>
      <c r="Z1607" s="6"/>
      <c r="AA1607" s="6"/>
      <c r="AB1607" s="6"/>
      <c r="AC1607" s="6"/>
      <c r="AD1607" s="6"/>
      <c r="AE1607" s="6"/>
    </row>
    <row r="1608" spans="1:31" ht="63.75" x14ac:dyDescent="0.2">
      <c r="A1608" s="6" t="s">
        <v>7698</v>
      </c>
      <c r="B1608" s="6" t="s">
        <v>4234</v>
      </c>
      <c r="C1608" s="20" t="s">
        <v>7772</v>
      </c>
      <c r="D1608" s="6" t="s">
        <v>7773</v>
      </c>
      <c r="E1608" s="6"/>
      <c r="F1608" s="6" t="s">
        <v>6209</v>
      </c>
      <c r="G1608" s="6" t="s">
        <v>6436</v>
      </c>
      <c r="H1608" s="6" t="str">
        <f t="shared" si="143"/>
        <v>MOLIA
THE OVERSEER (P1
P43)</v>
      </c>
      <c r="I1608" s="6" t="s">
        <v>112</v>
      </c>
      <c r="J1608" s="6" t="s">
        <v>35</v>
      </c>
      <c r="K1608" s="6"/>
      <c r="L1608" s="6" t="s">
        <v>209</v>
      </c>
      <c r="M1608" s="6" t="str">
        <f>VLOOKUP(L1608, GLOSSARY!$A:$C, 2, FALSE)</f>
        <v>BREADNUT ISLAND PEN</v>
      </c>
      <c r="N1608" s="6" t="s">
        <v>68</v>
      </c>
      <c r="O1608" s="6"/>
      <c r="P1608" s="6"/>
      <c r="Q1608" s="6"/>
      <c r="R1608" s="6"/>
      <c r="S1608" s="6"/>
      <c r="T1608" s="6"/>
      <c r="U1608" s="6"/>
      <c r="V1608" s="6"/>
      <c r="W1608" s="6"/>
      <c r="X1608" s="6"/>
      <c r="Y1608" s="6"/>
      <c r="Z1608" s="6"/>
      <c r="AA1608" s="6"/>
      <c r="AB1608" s="6"/>
      <c r="AC1608" s="6"/>
      <c r="AD1608" s="6"/>
      <c r="AE1608" s="6"/>
    </row>
    <row r="1609" spans="1:31" ht="25.5" x14ac:dyDescent="0.2">
      <c r="A1609" s="6" t="s">
        <v>7698</v>
      </c>
      <c r="B1609" s="6" t="s">
        <v>4238</v>
      </c>
      <c r="C1609" s="20" t="s">
        <v>7774</v>
      </c>
      <c r="D1609" s="6" t="s">
        <v>7775</v>
      </c>
      <c r="E1609" s="6"/>
      <c r="F1609" s="6" t="s">
        <v>29</v>
      </c>
      <c r="G1609" s="6" t="s">
        <v>28</v>
      </c>
      <c r="H1609" s="6" t="str">
        <f t="shared" si="143"/>
        <v>MOLIA (P1)</v>
      </c>
      <c r="I1609" s="6" t="s">
        <v>139</v>
      </c>
      <c r="J1609" s="6" t="s">
        <v>35</v>
      </c>
      <c r="K1609" s="6"/>
      <c r="L1609" s="6" t="s">
        <v>209</v>
      </c>
      <c r="M1609" s="6" t="str">
        <f>VLOOKUP(L1609, GLOSSARY!$A:$C, 2, FALSE)</f>
        <v>BREADNUT ISLAND PEN</v>
      </c>
      <c r="N1609" s="6" t="s">
        <v>68</v>
      </c>
      <c r="O1609" s="6"/>
      <c r="P1609" s="6"/>
      <c r="Q1609" s="6"/>
      <c r="R1609" s="6"/>
      <c r="S1609" s="6"/>
      <c r="T1609" s="6"/>
      <c r="U1609" s="6"/>
      <c r="V1609" s="6"/>
      <c r="W1609" s="6"/>
      <c r="X1609" s="6"/>
      <c r="Y1609" s="6"/>
      <c r="Z1609" s="6"/>
      <c r="AA1609" s="6"/>
      <c r="AB1609" s="6"/>
      <c r="AC1609" s="6"/>
      <c r="AD1609" s="6"/>
      <c r="AE1609" s="6"/>
    </row>
    <row r="1610" spans="1:31" ht="409.5" x14ac:dyDescent="0.2">
      <c r="A1610" s="6" t="s">
        <v>7776</v>
      </c>
      <c r="B1610" s="6" t="s">
        <v>4238</v>
      </c>
      <c r="C1610" s="20" t="s">
        <v>7777</v>
      </c>
      <c r="D1610" s="6" t="s">
        <v>7778</v>
      </c>
      <c r="E1610" s="6"/>
      <c r="F1610" s="6" t="s">
        <v>7779</v>
      </c>
      <c r="G1610" s="6" t="s">
        <v>7780</v>
      </c>
      <c r="H1610" s="6" t="str">
        <f t="shared" si="143"/>
        <v>COOBAH
VINE
SALLY
SANCHO
JUBA
LUVIE
NEPTUNE
JIMMY
MOLIA
ABBA
OGO (P16
P12
P17
P195
P196
P197
P107
P54
P1
P6
P13)</v>
      </c>
      <c r="I1610" s="6" t="s">
        <v>198</v>
      </c>
      <c r="J1610" s="6" t="s">
        <v>7781</v>
      </c>
      <c r="K1610" s="6"/>
      <c r="L1610" s="6" t="s">
        <v>209</v>
      </c>
      <c r="M1610" s="6" t="str">
        <f>VLOOKUP(L1610, GLOSSARY!$A:$C, 2, FALSE)</f>
        <v>BREADNUT ISLAND PEN</v>
      </c>
      <c r="N1610" s="6" t="s">
        <v>68</v>
      </c>
      <c r="O1610" s="6"/>
      <c r="P1610" s="6"/>
      <c r="Q1610" s="6"/>
      <c r="R1610" s="6"/>
      <c r="S1610" s="6"/>
      <c r="T1610" s="6"/>
      <c r="U1610" s="6"/>
      <c r="V1610" s="6"/>
      <c r="W1610" s="6"/>
      <c r="X1610" s="6"/>
      <c r="Y1610" s="6"/>
      <c r="Z1610" s="6"/>
      <c r="AA1610" s="6"/>
      <c r="AB1610" s="6"/>
      <c r="AC1610" s="6"/>
      <c r="AD1610" s="6"/>
      <c r="AE1610" s="6"/>
    </row>
    <row r="1611" spans="1:31" ht="140.25" x14ac:dyDescent="0.2">
      <c r="A1611" s="6" t="s">
        <v>7722</v>
      </c>
      <c r="B1611" s="6" t="s">
        <v>5025</v>
      </c>
      <c r="C1611" s="20" t="s">
        <v>7777</v>
      </c>
      <c r="D1611" s="6" t="s">
        <v>7782</v>
      </c>
      <c r="E1611" s="6"/>
      <c r="F1611" s="6" t="s">
        <v>7783</v>
      </c>
      <c r="G1611" s="6" t="s">
        <v>7784</v>
      </c>
      <c r="H1611" s="6" t="str">
        <f t="shared" si="143"/>
        <v>MR. WEECH
THE GOVERNOR
THE GOVERNOR'S WIFE
THE GOVERNOR'S SISTER
MR. HAUGHTON
THE OVERSEER (P202
P198
P199
P200
P201
P43)</v>
      </c>
      <c r="I1611" s="6" t="s">
        <v>3794</v>
      </c>
      <c r="J1611" s="6"/>
      <c r="K1611" s="6"/>
      <c r="L1611" s="6"/>
      <c r="M1611" s="6" t="e">
        <f>VLOOKUP(L1611, GLOSSARY!$A:$C, 2, FALSE)</f>
        <v>#N/A</v>
      </c>
      <c r="N1611" s="6"/>
      <c r="O1611" s="6"/>
      <c r="P1611" s="6"/>
      <c r="Q1611" s="6"/>
      <c r="R1611" s="6"/>
      <c r="S1611" s="6"/>
      <c r="T1611" s="6"/>
      <c r="U1611" s="6"/>
      <c r="V1611" s="6"/>
      <c r="W1611" s="6"/>
      <c r="X1611" s="6"/>
      <c r="Y1611" s="6"/>
      <c r="Z1611" s="6"/>
      <c r="AA1611" s="6"/>
      <c r="AB1611" s="6"/>
      <c r="AC1611" s="6"/>
      <c r="AD1611" s="6"/>
      <c r="AE1611" s="6"/>
    </row>
    <row r="1612" spans="1:31" ht="216.75" x14ac:dyDescent="0.2">
      <c r="A1612" s="6" t="s">
        <v>7698</v>
      </c>
      <c r="B1612" s="6" t="s">
        <v>4244</v>
      </c>
      <c r="C1612" s="20" t="s">
        <v>7777</v>
      </c>
      <c r="D1612" s="6" t="s">
        <v>7785</v>
      </c>
      <c r="E1612" s="6"/>
      <c r="F1612" s="26" t="s">
        <v>7767</v>
      </c>
      <c r="G1612" s="26" t="s">
        <v>7768</v>
      </c>
      <c r="H1612" s="6" t="str">
        <f t="shared" si="143"/>
        <v>THE OVERSEER 
LINCOLN 
SAWNO/DOWOTRONNY 
CHUB 
CUKOR
 CUDJOE 
SOLON 
SUKEY 
SALLY 
PEGGY 
NANNY 
MIRTILLA 
OGO 
PHOEBE 
FRANKE  (P43 P24 P13 P15 P17 P19 P26 P38 P52 P57 P58 P59 P60 P32)</v>
      </c>
      <c r="I1612" s="6" t="s">
        <v>784</v>
      </c>
      <c r="J1612" s="6"/>
      <c r="K1612" s="6"/>
      <c r="L1612" s="6" t="s">
        <v>7769</v>
      </c>
      <c r="M1612" s="6" t="str">
        <f>VLOOKUP(L1612, GLOSSARY!$A:$C, 2, FALSE)</f>
        <v>MOUNT PLEASANT ESTATE</v>
      </c>
      <c r="N1612" s="6" t="s">
        <v>68</v>
      </c>
      <c r="O1612" s="6"/>
      <c r="P1612" s="6"/>
      <c r="Q1612" s="6"/>
      <c r="R1612" s="6"/>
      <c r="S1612" s="6"/>
      <c r="T1612" s="6"/>
      <c r="U1612" s="6"/>
      <c r="V1612" s="6"/>
      <c r="W1612" s="6"/>
      <c r="X1612" s="6"/>
      <c r="Y1612" s="6"/>
      <c r="Z1612" s="6"/>
      <c r="AA1612" s="6"/>
      <c r="AB1612" s="6"/>
      <c r="AC1612" s="6"/>
      <c r="AD1612" s="6"/>
      <c r="AE1612" s="6"/>
    </row>
    <row r="1613" spans="1:31" ht="12.75" x14ac:dyDescent="0.2">
      <c r="A1613" s="6" t="s">
        <v>7698</v>
      </c>
      <c r="B1613" s="6" t="s">
        <v>4244</v>
      </c>
      <c r="C1613" s="20" t="s">
        <v>7786</v>
      </c>
      <c r="D1613" s="6" t="s">
        <v>7787</v>
      </c>
      <c r="E1613" s="6"/>
      <c r="F1613" s="6" t="s">
        <v>29</v>
      </c>
      <c r="G1613" s="6" t="s">
        <v>28</v>
      </c>
      <c r="H1613" s="6" t="str">
        <f t="shared" si="143"/>
        <v>MOLIA (P1)</v>
      </c>
      <c r="I1613" s="6" t="s">
        <v>139</v>
      </c>
      <c r="J1613" s="6" t="s">
        <v>35</v>
      </c>
      <c r="K1613" s="6"/>
      <c r="L1613" s="6" t="s">
        <v>209</v>
      </c>
      <c r="M1613" s="6" t="str">
        <f>VLOOKUP(L1613, GLOSSARY!$A:$C, 2, FALSE)</f>
        <v>BREADNUT ISLAND PEN</v>
      </c>
      <c r="N1613" s="6" t="s">
        <v>68</v>
      </c>
      <c r="O1613" s="6"/>
      <c r="P1613" s="6"/>
      <c r="Q1613" s="6"/>
      <c r="R1613" s="6"/>
      <c r="S1613" s="6"/>
      <c r="T1613" s="6"/>
      <c r="U1613" s="6"/>
      <c r="V1613" s="6"/>
      <c r="W1613" s="6"/>
      <c r="X1613" s="6"/>
      <c r="Y1613" s="6"/>
      <c r="Z1613" s="6"/>
      <c r="AA1613" s="6"/>
      <c r="AB1613" s="6"/>
      <c r="AC1613" s="6"/>
      <c r="AD1613" s="6"/>
      <c r="AE1613" s="6"/>
    </row>
    <row r="1614" spans="1:31" ht="216.75" x14ac:dyDescent="0.2">
      <c r="A1614" s="6" t="s">
        <v>7788</v>
      </c>
      <c r="B1614" s="6" t="s">
        <v>4244</v>
      </c>
      <c r="C1614" s="20" t="s">
        <v>7789</v>
      </c>
      <c r="D1614" s="6" t="s">
        <v>7790</v>
      </c>
      <c r="E1614" s="6"/>
      <c r="F1614" s="6" t="s">
        <v>7791</v>
      </c>
      <c r="G1614" s="6" t="s">
        <v>7792</v>
      </c>
      <c r="H1614" s="6" t="str">
        <f t="shared" si="143"/>
        <v>THE OVERSEER
MR. HAYWARD
WILLIAM POMMELLS
MR. EMOTSON
JIMMY
MOLIA (P43
P161
P206
P92
P54
P1
)</v>
      </c>
      <c r="I1614" s="6" t="s">
        <v>859</v>
      </c>
      <c r="J1614" s="6"/>
      <c r="K1614" s="6"/>
      <c r="L1614" s="6" t="s">
        <v>1121</v>
      </c>
      <c r="M1614" s="6" t="str">
        <f>VLOOKUP(L1614, GLOSSARY!$A:$C, 2, FALSE)</f>
        <v>SAVANNA LA MAR</v>
      </c>
      <c r="N1614" s="6" t="s">
        <v>68</v>
      </c>
      <c r="O1614" s="6"/>
      <c r="P1614" s="6"/>
      <c r="Q1614" s="6"/>
      <c r="R1614" s="6"/>
      <c r="S1614" s="6"/>
      <c r="T1614" s="6"/>
      <c r="U1614" s="6"/>
      <c r="V1614" s="6"/>
      <c r="W1614" s="6"/>
      <c r="X1614" s="6"/>
      <c r="Y1614" s="6"/>
      <c r="Z1614" s="6"/>
      <c r="AA1614" s="6"/>
      <c r="AB1614" s="6"/>
      <c r="AC1614" s="6"/>
      <c r="AD1614" s="6"/>
      <c r="AE1614" s="6"/>
    </row>
    <row r="1615" spans="1:31" ht="38.25" x14ac:dyDescent="0.2">
      <c r="A1615" s="6" t="s">
        <v>7793</v>
      </c>
      <c r="B1615" s="6" t="s">
        <v>4247</v>
      </c>
      <c r="C1615" s="20" t="s">
        <v>7794</v>
      </c>
      <c r="D1615" s="6" t="s">
        <v>7795</v>
      </c>
      <c r="E1615" s="6"/>
      <c r="F1615" s="6" t="s">
        <v>7796</v>
      </c>
      <c r="G1615" s="6" t="s">
        <v>7797</v>
      </c>
      <c r="H1615" s="6" t="str">
        <f t="shared" si="143"/>
        <v>LITTLE LUCY
THE OVERSEER (P14
P43)</v>
      </c>
      <c r="I1615" s="6" t="s">
        <v>533</v>
      </c>
      <c r="J1615" s="6"/>
      <c r="K1615" s="6"/>
      <c r="L1615" s="6" t="s">
        <v>209</v>
      </c>
      <c r="M1615" s="6" t="str">
        <f>VLOOKUP(L1615, GLOSSARY!$A:$C, 2, FALSE)</f>
        <v>BREADNUT ISLAND PEN</v>
      </c>
      <c r="N1615" s="6" t="s">
        <v>476</v>
      </c>
      <c r="O1615" s="6"/>
      <c r="P1615" s="6"/>
      <c r="Q1615" s="6"/>
      <c r="R1615" s="6"/>
      <c r="S1615" s="6"/>
      <c r="T1615" s="6"/>
      <c r="U1615" s="6"/>
      <c r="V1615" s="6"/>
      <c r="W1615" s="6"/>
      <c r="X1615" s="6"/>
      <c r="Y1615" s="6"/>
      <c r="Z1615" s="6"/>
      <c r="AA1615" s="6"/>
      <c r="AB1615" s="6"/>
      <c r="AC1615" s="6"/>
      <c r="AD1615" s="6"/>
      <c r="AE1615" s="6"/>
    </row>
    <row r="1616" spans="1:31" ht="25.5" x14ac:dyDescent="0.2">
      <c r="A1616" s="6" t="s">
        <v>7698</v>
      </c>
      <c r="B1616" s="6" t="s">
        <v>4313</v>
      </c>
      <c r="C1616" s="20" t="s">
        <v>7798</v>
      </c>
      <c r="D1616" s="6" t="s">
        <v>7799</v>
      </c>
      <c r="E1616" s="6"/>
      <c r="F1616" s="6" t="s">
        <v>7800</v>
      </c>
      <c r="G1616" s="6" t="s">
        <v>28</v>
      </c>
      <c r="H1616" s="6" t="str">
        <f t="shared" si="143"/>
        <v xml:space="preserve"> MOLIA (P1)</v>
      </c>
      <c r="I1616" s="6" t="s">
        <v>139</v>
      </c>
      <c r="J1616" s="6" t="s">
        <v>35</v>
      </c>
      <c r="K1616" s="6"/>
      <c r="L1616" s="6" t="s">
        <v>209</v>
      </c>
      <c r="M1616" s="6" t="str">
        <f>VLOOKUP(L1616, GLOSSARY!$A:$C, 2, FALSE)</f>
        <v>BREADNUT ISLAND PEN</v>
      </c>
      <c r="N1616" s="6" t="s">
        <v>68</v>
      </c>
      <c r="O1616" s="6"/>
      <c r="P1616" s="6"/>
      <c r="Q1616" s="6"/>
      <c r="R1616" s="6"/>
      <c r="S1616" s="6"/>
      <c r="T1616" s="6"/>
      <c r="U1616" s="6"/>
      <c r="V1616" s="6"/>
      <c r="W1616" s="6"/>
      <c r="X1616" s="6"/>
      <c r="Y1616" s="6"/>
      <c r="Z1616" s="6"/>
      <c r="AA1616" s="6"/>
      <c r="AB1616" s="6"/>
      <c r="AC1616" s="6"/>
      <c r="AD1616" s="6"/>
      <c r="AE1616" s="6"/>
    </row>
    <row r="1617" spans="1:31" ht="25.5" x14ac:dyDescent="0.2">
      <c r="A1617" s="6" t="s">
        <v>7801</v>
      </c>
      <c r="B1617" s="6" t="s">
        <v>4318</v>
      </c>
      <c r="C1617" s="20" t="s">
        <v>7802</v>
      </c>
      <c r="D1617" s="6" t="s">
        <v>7803</v>
      </c>
      <c r="E1617" s="6"/>
      <c r="F1617" s="6" t="s">
        <v>29</v>
      </c>
      <c r="G1617" s="6" t="s">
        <v>28</v>
      </c>
      <c r="H1617" s="6" t="str">
        <f t="shared" si="143"/>
        <v>MOLIA (P1)</v>
      </c>
      <c r="I1617" s="6" t="s">
        <v>784</v>
      </c>
      <c r="J1617" s="6" t="s">
        <v>35</v>
      </c>
      <c r="K1617" s="6"/>
      <c r="L1617" s="6" t="s">
        <v>209</v>
      </c>
      <c r="M1617" s="6" t="str">
        <f>VLOOKUP(L1617, GLOSSARY!$A:$C, 2, FALSE)</f>
        <v>BREADNUT ISLAND PEN</v>
      </c>
      <c r="N1617" s="6" t="s">
        <v>167</v>
      </c>
      <c r="O1617" s="6"/>
      <c r="P1617" s="6"/>
      <c r="Q1617" s="6"/>
      <c r="R1617" s="6"/>
      <c r="S1617" s="6"/>
      <c r="T1617" s="6"/>
      <c r="U1617" s="6"/>
      <c r="V1617" s="6"/>
      <c r="W1617" s="6"/>
      <c r="X1617" s="6"/>
      <c r="Y1617" s="6"/>
      <c r="Z1617" s="6"/>
      <c r="AA1617" s="6"/>
      <c r="AB1617" s="6"/>
      <c r="AC1617" s="6"/>
      <c r="AD1617" s="6"/>
      <c r="AE1617" s="6"/>
    </row>
    <row r="1618" spans="1:31" ht="25.5" x14ac:dyDescent="0.2">
      <c r="A1618" s="6" t="s">
        <v>7698</v>
      </c>
      <c r="B1618" s="6" t="s">
        <v>7804</v>
      </c>
      <c r="C1618" s="20" t="s">
        <v>7805</v>
      </c>
      <c r="D1618" s="6" t="s">
        <v>7806</v>
      </c>
      <c r="E1618" s="6"/>
      <c r="F1618" s="6" t="s">
        <v>29</v>
      </c>
      <c r="G1618" s="6" t="s">
        <v>28</v>
      </c>
      <c r="H1618" s="6" t="str">
        <f t="shared" si="143"/>
        <v>MOLIA (P1)</v>
      </c>
      <c r="I1618" s="6" t="s">
        <v>139</v>
      </c>
      <c r="J1618" s="6" t="s">
        <v>6424</v>
      </c>
      <c r="K1618" s="6"/>
      <c r="L1618" s="6" t="s">
        <v>209</v>
      </c>
      <c r="M1618" s="6" t="str">
        <f>VLOOKUP(L1618, GLOSSARY!$A:$C, 2, FALSE)</f>
        <v>BREADNUT ISLAND PEN</v>
      </c>
      <c r="N1618" s="6" t="s">
        <v>68</v>
      </c>
      <c r="O1618" s="6"/>
      <c r="P1618" s="6"/>
      <c r="Q1618" s="6"/>
      <c r="R1618" s="6"/>
      <c r="S1618" s="6"/>
      <c r="T1618" s="6"/>
      <c r="U1618" s="6"/>
      <c r="V1618" s="6"/>
      <c r="W1618" s="6"/>
      <c r="X1618" s="6"/>
      <c r="Y1618" s="6"/>
      <c r="Z1618" s="6"/>
      <c r="AA1618" s="6"/>
      <c r="AB1618" s="6"/>
      <c r="AC1618" s="6"/>
      <c r="AD1618" s="6"/>
      <c r="AE1618" s="6"/>
    </row>
    <row r="1619" spans="1:31" ht="12.75" x14ac:dyDescent="0.2">
      <c r="A1619" s="6" t="s">
        <v>7698</v>
      </c>
      <c r="B1619" s="6" t="s">
        <v>5065</v>
      </c>
      <c r="C1619" s="20" t="s">
        <v>7807</v>
      </c>
      <c r="D1619" s="6" t="s">
        <v>7808</v>
      </c>
      <c r="E1619" s="6"/>
      <c r="F1619" s="6" t="s">
        <v>29</v>
      </c>
      <c r="G1619" s="6" t="s">
        <v>28</v>
      </c>
      <c r="H1619" s="6" t="str">
        <f t="shared" si="143"/>
        <v>MOLIA (P1)</v>
      </c>
      <c r="I1619" s="6" t="s">
        <v>784</v>
      </c>
      <c r="J1619" s="6" t="s">
        <v>35</v>
      </c>
      <c r="K1619" s="6"/>
      <c r="L1619" s="6" t="s">
        <v>209</v>
      </c>
      <c r="M1619" s="6" t="str">
        <f>VLOOKUP(L1619, GLOSSARY!$A:$C, 2, FALSE)</f>
        <v>BREADNUT ISLAND PEN</v>
      </c>
      <c r="N1619" s="6" t="s">
        <v>68</v>
      </c>
      <c r="O1619" s="6"/>
      <c r="P1619" s="6"/>
      <c r="Q1619" s="6"/>
      <c r="R1619" s="6"/>
      <c r="S1619" s="6"/>
      <c r="T1619" s="6"/>
      <c r="U1619" s="6"/>
      <c r="V1619" s="6"/>
      <c r="W1619" s="6"/>
      <c r="X1619" s="6"/>
      <c r="Y1619" s="6"/>
      <c r="Z1619" s="6"/>
      <c r="AA1619" s="6"/>
      <c r="AB1619" s="6"/>
      <c r="AC1619" s="6"/>
      <c r="AD1619" s="6"/>
      <c r="AE1619" s="6"/>
    </row>
    <row r="1620" spans="1:31" ht="102" x14ac:dyDescent="0.2">
      <c r="A1620" s="6" t="s">
        <v>7809</v>
      </c>
      <c r="B1620" s="6" t="s">
        <v>5879</v>
      </c>
      <c r="C1620" s="20" t="s">
        <v>7810</v>
      </c>
      <c r="D1620" s="6" t="s">
        <v>7811</v>
      </c>
      <c r="E1620" s="6"/>
      <c r="F1620" s="6" t="s">
        <v>29</v>
      </c>
      <c r="G1620" s="6" t="s">
        <v>28</v>
      </c>
      <c r="H1620" s="6" t="str">
        <f t="shared" si="143"/>
        <v>MOLIA (P1)</v>
      </c>
      <c r="I1620" s="6" t="s">
        <v>139</v>
      </c>
      <c r="J1620" s="6" t="s">
        <v>35</v>
      </c>
      <c r="K1620" s="6"/>
      <c r="L1620" s="6" t="s">
        <v>209</v>
      </c>
      <c r="M1620" s="6" t="str">
        <f>VLOOKUP(L1620, GLOSSARY!$A:$C, 2, FALSE)</f>
        <v>BREADNUT ISLAND PEN</v>
      </c>
      <c r="N1620" s="6" t="s">
        <v>68</v>
      </c>
      <c r="O1620" s="6"/>
      <c r="P1620" s="6"/>
      <c r="Q1620" s="6"/>
      <c r="R1620" s="6"/>
      <c r="S1620" s="6"/>
      <c r="T1620" s="6"/>
      <c r="U1620" s="6"/>
      <c r="V1620" s="6"/>
      <c r="W1620" s="6"/>
      <c r="X1620" s="6"/>
      <c r="Y1620" s="6"/>
      <c r="Z1620" s="6"/>
      <c r="AA1620" s="6"/>
      <c r="AB1620" s="6"/>
      <c r="AC1620" s="6"/>
      <c r="AD1620" s="6"/>
      <c r="AE1620" s="6"/>
    </row>
    <row r="1621" spans="1:31" ht="38.25" x14ac:dyDescent="0.2">
      <c r="A1621" s="6" t="s">
        <v>7812</v>
      </c>
      <c r="B1621" s="6" t="s">
        <v>4665</v>
      </c>
      <c r="C1621" s="20" t="s">
        <v>7813</v>
      </c>
      <c r="D1621" s="6" t="s">
        <v>7814</v>
      </c>
      <c r="E1621" s="6"/>
      <c r="F1621" s="6" t="s">
        <v>29</v>
      </c>
      <c r="G1621" s="6" t="s">
        <v>28</v>
      </c>
      <c r="H1621" s="6" t="str">
        <f t="shared" si="143"/>
        <v>MOLIA (P1)</v>
      </c>
      <c r="I1621" s="6" t="s">
        <v>784</v>
      </c>
      <c r="J1621" s="6" t="s">
        <v>35</v>
      </c>
      <c r="K1621" s="6"/>
      <c r="L1621" s="6" t="s">
        <v>7392</v>
      </c>
      <c r="M1621" s="6" t="s">
        <v>7391</v>
      </c>
      <c r="N1621" s="6" t="s">
        <v>68</v>
      </c>
      <c r="O1621" s="6"/>
      <c r="P1621" s="6"/>
      <c r="Q1621" s="6"/>
      <c r="R1621" s="6"/>
      <c r="S1621" s="6"/>
      <c r="T1621" s="6"/>
      <c r="U1621" s="6"/>
      <c r="V1621" s="6"/>
      <c r="W1621" s="6"/>
      <c r="X1621" s="6"/>
      <c r="Y1621" s="6"/>
      <c r="Z1621" s="6"/>
      <c r="AA1621" s="6"/>
      <c r="AB1621" s="6"/>
      <c r="AC1621" s="6"/>
      <c r="AD1621" s="6"/>
      <c r="AE1621" s="6"/>
    </row>
    <row r="1622" spans="1:31" ht="63.75" x14ac:dyDescent="0.2">
      <c r="A1622" s="6" t="s">
        <v>7815</v>
      </c>
      <c r="B1622" s="6" t="s">
        <v>4665</v>
      </c>
      <c r="C1622" s="20" t="s">
        <v>7813</v>
      </c>
      <c r="D1622" s="6" t="s">
        <v>7816</v>
      </c>
      <c r="E1622" s="6"/>
      <c r="F1622" s="6" t="s">
        <v>6805</v>
      </c>
      <c r="G1622" s="6" t="s">
        <v>6806</v>
      </c>
      <c r="H1622" s="6" t="str">
        <f t="shared" si="143"/>
        <v>VINE
THE OVERSEER (P12
P43)</v>
      </c>
      <c r="I1622" s="6" t="s">
        <v>533</v>
      </c>
      <c r="J1622" s="6"/>
      <c r="K1622" s="6"/>
      <c r="L1622" s="6" t="s">
        <v>209</v>
      </c>
      <c r="M1622" s="6" t="str">
        <f>VLOOKUP(L1622, GLOSSARY!$A:$C, 2, FALSE)</f>
        <v>BREADNUT ISLAND PEN</v>
      </c>
      <c r="N1622" s="6" t="s">
        <v>68</v>
      </c>
      <c r="O1622" s="6"/>
      <c r="P1622" s="6"/>
      <c r="Q1622" s="6"/>
      <c r="R1622" s="6"/>
      <c r="S1622" s="6"/>
      <c r="T1622" s="6"/>
      <c r="U1622" s="6"/>
      <c r="V1622" s="6"/>
      <c r="W1622" s="6"/>
      <c r="X1622" s="6"/>
      <c r="Y1622" s="6"/>
      <c r="Z1622" s="6"/>
      <c r="AA1622" s="6"/>
      <c r="AB1622" s="6"/>
      <c r="AC1622" s="6"/>
      <c r="AD1622" s="6"/>
      <c r="AE1622" s="6"/>
    </row>
    <row r="1623" spans="1:31" ht="25.5" x14ac:dyDescent="0.2">
      <c r="A1623" s="6" t="s">
        <v>7815</v>
      </c>
      <c r="B1623" s="6" t="s">
        <v>4672</v>
      </c>
      <c r="C1623" s="20" t="s">
        <v>7817</v>
      </c>
      <c r="D1623" s="6" t="s">
        <v>7818</v>
      </c>
      <c r="E1623" s="6"/>
      <c r="F1623" s="6" t="s">
        <v>151</v>
      </c>
      <c r="G1623" s="6" t="s">
        <v>150</v>
      </c>
      <c r="H1623" s="6" t="str">
        <f t="shared" si="143"/>
        <v>VINE (P12)</v>
      </c>
      <c r="I1623" s="6" t="s">
        <v>533</v>
      </c>
      <c r="J1623" s="6"/>
      <c r="K1623" s="6"/>
      <c r="L1623" s="6" t="s">
        <v>209</v>
      </c>
      <c r="M1623" s="6" t="str">
        <f>VLOOKUP(L1623, GLOSSARY!$A:$C, 2, FALSE)</f>
        <v>BREADNUT ISLAND PEN</v>
      </c>
      <c r="N1623" s="6" t="s">
        <v>68</v>
      </c>
      <c r="O1623" s="6"/>
      <c r="P1623" s="6"/>
      <c r="Q1623" s="6"/>
      <c r="R1623" s="6"/>
      <c r="S1623" s="6"/>
      <c r="T1623" s="6"/>
      <c r="U1623" s="6"/>
      <c r="V1623" s="6"/>
      <c r="W1623" s="6"/>
      <c r="X1623" s="6"/>
      <c r="Y1623" s="6"/>
      <c r="Z1623" s="6"/>
      <c r="AA1623" s="6"/>
      <c r="AB1623" s="6"/>
      <c r="AC1623" s="6"/>
      <c r="AD1623" s="6"/>
      <c r="AE1623" s="6"/>
    </row>
    <row r="1624" spans="1:31" ht="63.75" x14ac:dyDescent="0.2">
      <c r="A1624" s="6" t="s">
        <v>7815</v>
      </c>
      <c r="B1624" s="6" t="s">
        <v>4357</v>
      </c>
      <c r="C1624" s="20" t="s">
        <v>7819</v>
      </c>
      <c r="D1624" s="6" t="s">
        <v>7820</v>
      </c>
      <c r="E1624" s="6"/>
      <c r="F1624" s="6" t="s">
        <v>7821</v>
      </c>
      <c r="G1624" s="6" t="s">
        <v>7822</v>
      </c>
      <c r="H1624" s="6" t="str">
        <f t="shared" si="143"/>
        <v>VINE
THE NEIGHBOR (P12
P46)</v>
      </c>
      <c r="I1624" s="6" t="s">
        <v>533</v>
      </c>
      <c r="J1624" s="6"/>
      <c r="K1624" s="6"/>
      <c r="L1624" s="6" t="s">
        <v>209</v>
      </c>
      <c r="M1624" s="6" t="str">
        <f>VLOOKUP(L1624, GLOSSARY!$A:$C, 2, FALSE)</f>
        <v>BREADNUT ISLAND PEN</v>
      </c>
      <c r="N1624" s="6" t="s">
        <v>68</v>
      </c>
      <c r="O1624" s="6"/>
      <c r="P1624" s="6"/>
      <c r="Q1624" s="6"/>
      <c r="R1624" s="6"/>
      <c r="S1624" s="6"/>
      <c r="T1624" s="6"/>
      <c r="U1624" s="6"/>
      <c r="V1624" s="6"/>
      <c r="W1624" s="6"/>
      <c r="X1624" s="6"/>
      <c r="Y1624" s="6"/>
      <c r="Z1624" s="6"/>
      <c r="AA1624" s="6"/>
      <c r="AB1624" s="6"/>
      <c r="AC1624" s="6"/>
      <c r="AD1624" s="6"/>
      <c r="AE1624" s="6"/>
    </row>
    <row r="1625" spans="1:31" ht="63.75" x14ac:dyDescent="0.2">
      <c r="A1625" s="6" t="s">
        <v>7815</v>
      </c>
      <c r="B1625" s="6" t="s">
        <v>5113</v>
      </c>
      <c r="C1625" s="20" t="s">
        <v>7823</v>
      </c>
      <c r="D1625" s="6" t="s">
        <v>7824</v>
      </c>
      <c r="E1625" s="6"/>
      <c r="F1625" s="6" t="s">
        <v>7825</v>
      </c>
      <c r="G1625" s="6" t="s">
        <v>7826</v>
      </c>
      <c r="H1625" s="6" t="str">
        <f t="shared" si="143"/>
        <v>HOUSE FRANKE
COOBAH (P10
P16)</v>
      </c>
      <c r="I1625" s="6" t="s">
        <v>859</v>
      </c>
      <c r="J1625" s="6"/>
      <c r="K1625" s="6"/>
      <c r="L1625" s="6" t="s">
        <v>209</v>
      </c>
      <c r="M1625" s="6" t="str">
        <f>VLOOKUP(L1625, GLOSSARY!$A:$C, 2, FALSE)</f>
        <v>BREADNUT ISLAND PEN</v>
      </c>
      <c r="N1625" s="6" t="s">
        <v>68</v>
      </c>
      <c r="O1625" s="6"/>
      <c r="P1625" s="6"/>
      <c r="Q1625" s="6"/>
      <c r="R1625" s="6"/>
      <c r="S1625" s="6"/>
      <c r="T1625" s="6"/>
      <c r="U1625" s="6"/>
      <c r="V1625" s="6"/>
      <c r="W1625" s="6"/>
      <c r="X1625" s="6"/>
      <c r="Y1625" s="6"/>
      <c r="Z1625" s="6"/>
      <c r="AA1625" s="6"/>
      <c r="AB1625" s="6"/>
      <c r="AC1625" s="6"/>
      <c r="AD1625" s="6"/>
      <c r="AE1625" s="6"/>
    </row>
    <row r="1626" spans="1:31" ht="76.5" x14ac:dyDescent="0.2">
      <c r="A1626" s="6" t="s">
        <v>7827</v>
      </c>
      <c r="B1626" s="6" t="s">
        <v>5152</v>
      </c>
      <c r="C1626" s="20" t="s">
        <v>7828</v>
      </c>
      <c r="D1626" s="6" t="s">
        <v>7829</v>
      </c>
      <c r="E1626" s="6"/>
      <c r="F1626" s="6" t="s">
        <v>6805</v>
      </c>
      <c r="G1626" s="6" t="s">
        <v>6806</v>
      </c>
      <c r="H1626" s="6" t="str">
        <f t="shared" si="143"/>
        <v>VINE
THE OVERSEER (P12
P43)</v>
      </c>
      <c r="I1626" s="6" t="s">
        <v>198</v>
      </c>
      <c r="J1626" s="6"/>
      <c r="K1626" s="6"/>
      <c r="L1626" s="6" t="s">
        <v>3154</v>
      </c>
      <c r="M1626" s="6" t="str">
        <f>VLOOKUP(L1626, GLOSSARY!$A:$C, 2, FALSE)</f>
        <v>ROCKHOLE PROVISION GROUND</v>
      </c>
      <c r="N1626" s="6" t="s">
        <v>68</v>
      </c>
      <c r="O1626" s="6"/>
      <c r="P1626" s="6"/>
      <c r="Q1626" s="6"/>
      <c r="R1626" s="6"/>
      <c r="S1626" s="6"/>
      <c r="T1626" s="6"/>
      <c r="U1626" s="6"/>
      <c r="V1626" s="6"/>
      <c r="W1626" s="6"/>
      <c r="X1626" s="6"/>
      <c r="Y1626" s="6"/>
      <c r="Z1626" s="6"/>
      <c r="AA1626" s="6"/>
      <c r="AB1626" s="6"/>
      <c r="AC1626" s="6"/>
      <c r="AD1626" s="6"/>
      <c r="AE1626" s="6"/>
    </row>
    <row r="1627" spans="1:31" ht="38.25" x14ac:dyDescent="0.2">
      <c r="A1627" s="6" t="s">
        <v>7526</v>
      </c>
      <c r="B1627" s="6" t="s">
        <v>3930</v>
      </c>
      <c r="C1627" s="20" t="s">
        <v>7830</v>
      </c>
      <c r="D1627" s="6" t="s">
        <v>7831</v>
      </c>
      <c r="E1627" s="6"/>
      <c r="F1627" s="6" t="s">
        <v>52</v>
      </c>
      <c r="G1627" s="6" t="s">
        <v>51</v>
      </c>
      <c r="H1627" s="6" t="str">
        <f t="shared" si="143"/>
        <v>EGYPT LUCY (P3)</v>
      </c>
      <c r="I1627" s="6" t="s">
        <v>1068</v>
      </c>
      <c r="J1627" s="6"/>
      <c r="K1627" s="6"/>
      <c r="L1627" s="6" t="s">
        <v>55</v>
      </c>
      <c r="M1627" s="6" t="str">
        <f>VLOOKUP(L1627, GLOSSARY!$A:$C, 2, FALSE)</f>
        <v>EGYPT ESTATE</v>
      </c>
      <c r="N1627" s="6" t="s">
        <v>167</v>
      </c>
      <c r="O1627" s="6"/>
      <c r="P1627" s="6"/>
      <c r="Q1627" s="6"/>
      <c r="R1627" s="6"/>
      <c r="S1627" s="6"/>
      <c r="T1627" s="6"/>
      <c r="U1627" s="6"/>
      <c r="V1627" s="6"/>
      <c r="W1627" s="6"/>
      <c r="X1627" s="6"/>
      <c r="Y1627" s="6"/>
      <c r="Z1627" s="6"/>
      <c r="AA1627" s="6"/>
      <c r="AB1627" s="6"/>
      <c r="AC1627" s="6"/>
      <c r="AD1627" s="6"/>
      <c r="AE1627" s="6"/>
    </row>
    <row r="1628" spans="1:31" ht="114.75" x14ac:dyDescent="0.2">
      <c r="A1628" s="6" t="s">
        <v>7526</v>
      </c>
      <c r="B1628" s="6" t="s">
        <v>5185</v>
      </c>
      <c r="C1628" s="20" t="s">
        <v>7832</v>
      </c>
      <c r="D1628" s="6" t="s">
        <v>7833</v>
      </c>
      <c r="E1628" s="6"/>
      <c r="F1628" s="6" t="s">
        <v>7834</v>
      </c>
      <c r="G1628" s="6" t="s">
        <v>7835</v>
      </c>
      <c r="H1628" s="6" t="str">
        <f t="shared" si="143"/>
        <v>EGYPT LUCY
PHIBBAH
JOHN (P7
P9
P3)</v>
      </c>
      <c r="I1628" s="6" t="s">
        <v>1068</v>
      </c>
      <c r="J1628" s="6"/>
      <c r="K1628" s="6"/>
      <c r="L1628" s="6" t="s">
        <v>55</v>
      </c>
      <c r="M1628" s="6" t="str">
        <f>VLOOKUP(L1628, GLOSSARY!$A:$C, 2, FALSE)</f>
        <v>EGYPT ESTATE</v>
      </c>
      <c r="N1628" s="6" t="s">
        <v>167</v>
      </c>
      <c r="O1628" s="6"/>
      <c r="P1628" s="6"/>
      <c r="Q1628" s="6"/>
      <c r="R1628" s="6"/>
      <c r="S1628" s="6"/>
      <c r="T1628" s="6"/>
      <c r="U1628" s="6"/>
      <c r="V1628" s="6"/>
      <c r="W1628" s="6"/>
      <c r="X1628" s="6"/>
      <c r="Y1628" s="6"/>
      <c r="Z1628" s="6"/>
      <c r="AA1628" s="6"/>
      <c r="AB1628" s="6"/>
      <c r="AC1628" s="6"/>
      <c r="AD1628" s="6"/>
      <c r="AE1628" s="6"/>
    </row>
    <row r="1629" spans="1:31" ht="63.75" x14ac:dyDescent="0.2">
      <c r="A1629" s="6" t="s">
        <v>7836</v>
      </c>
      <c r="B1629" s="6" t="s">
        <v>4692</v>
      </c>
      <c r="C1629" s="20" t="s">
        <v>7837</v>
      </c>
      <c r="D1629" s="6" t="s">
        <v>7838</v>
      </c>
      <c r="E1629" s="6"/>
      <c r="F1629" s="6" t="s">
        <v>6209</v>
      </c>
      <c r="G1629" s="6" t="s">
        <v>6436</v>
      </c>
      <c r="H1629" s="6" t="str">
        <f t="shared" si="143"/>
        <v>MOLIA
THE OVERSEER (P1
P43)</v>
      </c>
      <c r="I1629" s="6" t="s">
        <v>533</v>
      </c>
      <c r="J1629" s="6"/>
      <c r="K1629" s="6"/>
      <c r="L1629" s="6" t="s">
        <v>209</v>
      </c>
      <c r="M1629" s="6" t="str">
        <f>VLOOKUP(L1629, GLOSSARY!$A:$C, 2, FALSE)</f>
        <v>BREADNUT ISLAND PEN</v>
      </c>
      <c r="N1629" s="6" t="s">
        <v>68</v>
      </c>
      <c r="O1629" s="6"/>
      <c r="P1629" s="6"/>
      <c r="Q1629" s="6"/>
      <c r="R1629" s="6"/>
      <c r="S1629" s="6"/>
      <c r="T1629" s="6"/>
      <c r="U1629" s="6"/>
      <c r="V1629" s="6"/>
      <c r="W1629" s="6"/>
      <c r="X1629" s="6"/>
      <c r="Y1629" s="6"/>
      <c r="Z1629" s="6"/>
      <c r="AA1629" s="6"/>
      <c r="AB1629" s="6"/>
      <c r="AC1629" s="6"/>
      <c r="AD1629" s="6"/>
      <c r="AE1629" s="6"/>
    </row>
    <row r="1630" spans="1:31" ht="63.75" x14ac:dyDescent="0.2">
      <c r="A1630" s="6" t="s">
        <v>7836</v>
      </c>
      <c r="B1630" s="6" t="s">
        <v>7839</v>
      </c>
      <c r="C1630" s="20" t="s">
        <v>7840</v>
      </c>
      <c r="D1630" s="6" t="s">
        <v>7841</v>
      </c>
      <c r="E1630" s="6"/>
      <c r="F1630" s="6" t="s">
        <v>6209</v>
      </c>
      <c r="G1630" s="6" t="s">
        <v>6436</v>
      </c>
      <c r="H1630" s="6" t="str">
        <f t="shared" si="143"/>
        <v>MOLIA
THE OVERSEER (P1
P43)</v>
      </c>
      <c r="I1630" s="6" t="s">
        <v>533</v>
      </c>
      <c r="J1630" s="6"/>
      <c r="K1630" s="6"/>
      <c r="L1630" s="6" t="s">
        <v>209</v>
      </c>
      <c r="M1630" s="6" t="str">
        <f>VLOOKUP(L1630, GLOSSARY!$A:$C, 2, FALSE)</f>
        <v>BREADNUT ISLAND PEN</v>
      </c>
      <c r="N1630" s="6" t="s">
        <v>68</v>
      </c>
      <c r="O1630" s="6"/>
      <c r="P1630" s="6"/>
      <c r="Q1630" s="6"/>
      <c r="R1630" s="6"/>
      <c r="S1630" s="6"/>
      <c r="T1630" s="6"/>
      <c r="U1630" s="6"/>
      <c r="V1630" s="6"/>
      <c r="W1630" s="6"/>
      <c r="X1630" s="6"/>
      <c r="Y1630" s="6"/>
      <c r="Z1630" s="6"/>
      <c r="AA1630" s="6"/>
      <c r="AB1630" s="6"/>
      <c r="AC1630" s="6"/>
      <c r="AD1630" s="6"/>
      <c r="AE1630" s="6"/>
    </row>
    <row r="1631" spans="1:31" ht="38.25" x14ac:dyDescent="0.2">
      <c r="A1631" s="6" t="s">
        <v>7842</v>
      </c>
      <c r="B1631" s="6" t="s">
        <v>4698</v>
      </c>
      <c r="C1631" s="20" t="s">
        <v>7843</v>
      </c>
      <c r="D1631" s="6" t="s">
        <v>7844</v>
      </c>
      <c r="E1631" s="6"/>
      <c r="F1631" s="6" t="s">
        <v>7845</v>
      </c>
      <c r="G1631" s="6" t="s">
        <v>488</v>
      </c>
      <c r="H1631" s="6" t="str">
        <f t="shared" si="143"/>
        <v>PHOEBE
PHOEBE'S CHILD (P58)</v>
      </c>
      <c r="I1631" s="6" t="s">
        <v>96</v>
      </c>
      <c r="J1631" s="6"/>
      <c r="K1631" s="6"/>
      <c r="L1631" s="6" t="s">
        <v>209</v>
      </c>
      <c r="M1631" s="6" t="str">
        <f>VLOOKUP(L1631, GLOSSARY!$A:$C, 2, FALSE)</f>
        <v>BREADNUT ISLAND PEN</v>
      </c>
      <c r="N1631" s="6" t="s">
        <v>68</v>
      </c>
      <c r="O1631" s="6"/>
      <c r="P1631" s="6"/>
      <c r="Q1631" s="6"/>
      <c r="R1631" s="6"/>
      <c r="S1631" s="6"/>
      <c r="T1631" s="6"/>
      <c r="U1631" s="6"/>
      <c r="V1631" s="6"/>
      <c r="W1631" s="6"/>
      <c r="X1631" s="6"/>
      <c r="Y1631" s="6"/>
      <c r="Z1631" s="6"/>
      <c r="AA1631" s="6"/>
      <c r="AB1631" s="6"/>
      <c r="AC1631" s="6"/>
      <c r="AD1631" s="6"/>
      <c r="AE1631" s="6"/>
    </row>
    <row r="1632" spans="1:31" ht="63.75" x14ac:dyDescent="0.2">
      <c r="A1632" s="6" t="s">
        <v>7842</v>
      </c>
      <c r="B1632" s="6" t="s">
        <v>4708</v>
      </c>
      <c r="C1632" s="20" t="s">
        <v>7846</v>
      </c>
      <c r="D1632" s="6" t="s">
        <v>7847</v>
      </c>
      <c r="E1632" s="6"/>
      <c r="F1632" s="6" t="s">
        <v>7848</v>
      </c>
      <c r="G1632" s="6" t="s">
        <v>7849</v>
      </c>
      <c r="H1632" s="6" t="str">
        <f t="shared" si="143"/>
        <v>NANNY
PHOEBE (P15
P58)</v>
      </c>
      <c r="I1632" s="6" t="s">
        <v>96</v>
      </c>
      <c r="J1632" s="6"/>
      <c r="K1632" s="6"/>
      <c r="L1632" s="6" t="s">
        <v>209</v>
      </c>
      <c r="M1632" s="6" t="str">
        <f>VLOOKUP(L1632, GLOSSARY!$A:$C, 2, FALSE)</f>
        <v>BREADNUT ISLAND PEN</v>
      </c>
      <c r="N1632" s="6" t="s">
        <v>68</v>
      </c>
      <c r="O1632" s="6"/>
      <c r="P1632" s="6"/>
      <c r="Q1632" s="6"/>
      <c r="R1632" s="6"/>
      <c r="S1632" s="6"/>
      <c r="T1632" s="6"/>
      <c r="U1632" s="6"/>
      <c r="V1632" s="6"/>
      <c r="W1632" s="6"/>
      <c r="X1632" s="6"/>
      <c r="Y1632" s="6"/>
      <c r="Z1632" s="6"/>
      <c r="AA1632" s="6"/>
      <c r="AB1632" s="6"/>
      <c r="AC1632" s="6"/>
      <c r="AD1632" s="6"/>
      <c r="AE1632" s="6"/>
    </row>
    <row r="1633" spans="1:31" ht="63.75" x14ac:dyDescent="0.2">
      <c r="A1633" s="6" t="s">
        <v>7850</v>
      </c>
      <c r="B1633" s="6" t="s">
        <v>4720</v>
      </c>
      <c r="C1633" s="20" t="s">
        <v>7851</v>
      </c>
      <c r="D1633" s="6" t="s">
        <v>7852</v>
      </c>
      <c r="E1633" s="6"/>
      <c r="F1633" s="6" t="s">
        <v>7853</v>
      </c>
      <c r="G1633" s="6" t="s">
        <v>7854</v>
      </c>
      <c r="H1633" s="6" t="str">
        <f t="shared" si="143"/>
        <v>OWORIA
VINE (P40
P12)</v>
      </c>
      <c r="I1633" s="6" t="s">
        <v>533</v>
      </c>
      <c r="J1633" s="6" t="s">
        <v>372</v>
      </c>
      <c r="K1633" s="6"/>
      <c r="L1633" s="6" t="s">
        <v>209</v>
      </c>
      <c r="M1633" s="6" t="str">
        <f>VLOOKUP(L1633, GLOSSARY!$A:$C, 2, FALSE)</f>
        <v>BREADNUT ISLAND PEN</v>
      </c>
      <c r="N1633" s="6" t="s">
        <v>68</v>
      </c>
      <c r="O1633" s="6"/>
      <c r="P1633" s="6"/>
      <c r="Q1633" s="6"/>
      <c r="R1633" s="6"/>
      <c r="S1633" s="6"/>
      <c r="T1633" s="6"/>
      <c r="U1633" s="6"/>
      <c r="V1633" s="6"/>
      <c r="W1633" s="6"/>
      <c r="X1633" s="6"/>
      <c r="Y1633" s="6"/>
      <c r="Z1633" s="6"/>
      <c r="AA1633" s="6"/>
      <c r="AB1633" s="6"/>
      <c r="AC1633" s="6"/>
      <c r="AD1633" s="6"/>
      <c r="AE1633" s="6"/>
    </row>
    <row r="1634" spans="1:31" ht="63.75" x14ac:dyDescent="0.2">
      <c r="A1634" s="6" t="s">
        <v>7842</v>
      </c>
      <c r="B1634" s="6" t="s">
        <v>4720</v>
      </c>
      <c r="C1634" s="20" t="s">
        <v>7855</v>
      </c>
      <c r="D1634" s="6" t="s">
        <v>7856</v>
      </c>
      <c r="E1634" s="6"/>
      <c r="F1634" s="6" t="s">
        <v>7857</v>
      </c>
      <c r="G1634" s="6" t="s">
        <v>7858</v>
      </c>
      <c r="H1634" s="6" t="str">
        <f t="shared" si="143"/>
        <v>PHOEBE'S CHILD
OLD PHIBBAH (P258
P96)</v>
      </c>
      <c r="I1634" s="6" t="s">
        <v>1068</v>
      </c>
      <c r="J1634" s="6"/>
      <c r="K1634" s="6"/>
      <c r="L1634" s="6" t="s">
        <v>209</v>
      </c>
      <c r="M1634" s="6" t="str">
        <f>VLOOKUP(L1634, GLOSSARY!$A:$C, 2, FALSE)</f>
        <v>BREADNUT ISLAND PEN</v>
      </c>
      <c r="N1634" s="6" t="s">
        <v>68</v>
      </c>
      <c r="O1634" s="6"/>
      <c r="P1634" s="6"/>
      <c r="Q1634" s="6"/>
      <c r="R1634" s="6"/>
      <c r="S1634" s="6"/>
      <c r="T1634" s="6"/>
      <c r="U1634" s="6"/>
      <c r="V1634" s="6"/>
      <c r="W1634" s="6"/>
      <c r="X1634" s="6"/>
      <c r="Y1634" s="6"/>
      <c r="Z1634" s="6"/>
      <c r="AA1634" s="6"/>
      <c r="AB1634" s="6"/>
      <c r="AC1634" s="6"/>
      <c r="AD1634" s="6"/>
      <c r="AE1634" s="6"/>
    </row>
    <row r="1635" spans="1:31" ht="114.75" x14ac:dyDescent="0.2">
      <c r="A1635" s="6" t="s">
        <v>7859</v>
      </c>
      <c r="B1635" s="6" t="s">
        <v>4724</v>
      </c>
      <c r="C1635" s="20" t="s">
        <v>7860</v>
      </c>
      <c r="D1635" s="6" t="s">
        <v>7861</v>
      </c>
      <c r="E1635" s="6"/>
      <c r="F1635" s="6" t="s">
        <v>7862</v>
      </c>
      <c r="G1635" s="6" t="s">
        <v>7863</v>
      </c>
      <c r="H1635" s="6" t="str">
        <f t="shared" si="143"/>
        <v>MR. PARKER
THE OVERSEER
JULINA (P69
P43
P4)</v>
      </c>
      <c r="I1635" s="6" t="s">
        <v>96</v>
      </c>
      <c r="J1635" s="6"/>
      <c r="K1635" s="6"/>
      <c r="L1635" s="6" t="s">
        <v>209</v>
      </c>
      <c r="M1635" s="6" t="str">
        <f>VLOOKUP(L1635, GLOSSARY!$A:$C, 2, FALSE)</f>
        <v>BREADNUT ISLAND PEN</v>
      </c>
      <c r="N1635" s="6" t="s">
        <v>167</v>
      </c>
      <c r="O1635" s="6"/>
      <c r="P1635" s="6"/>
      <c r="Q1635" s="6"/>
      <c r="R1635" s="6"/>
      <c r="S1635" s="6"/>
      <c r="T1635" s="6"/>
      <c r="U1635" s="6"/>
      <c r="V1635" s="6"/>
      <c r="W1635" s="6"/>
      <c r="X1635" s="6"/>
      <c r="Y1635" s="6"/>
      <c r="Z1635" s="6"/>
      <c r="AA1635" s="6"/>
      <c r="AB1635" s="6"/>
      <c r="AC1635" s="6"/>
      <c r="AD1635" s="6"/>
      <c r="AE1635" s="6"/>
    </row>
    <row r="1636" spans="1:31" ht="76.5" x14ac:dyDescent="0.2">
      <c r="A1636" s="6" t="s">
        <v>7864</v>
      </c>
      <c r="B1636" s="6" t="s">
        <v>4724</v>
      </c>
      <c r="C1636" s="20" t="s">
        <v>7865</v>
      </c>
      <c r="D1636" s="6" t="s">
        <v>7866</v>
      </c>
      <c r="E1636" s="6"/>
      <c r="F1636" s="6" t="s">
        <v>48</v>
      </c>
      <c r="G1636" s="6" t="s">
        <v>50</v>
      </c>
      <c r="H1636" s="6" t="str">
        <f t="shared" si="143"/>
        <v>THE OVERSEER (P43)</v>
      </c>
      <c r="I1636" s="6" t="s">
        <v>26</v>
      </c>
      <c r="J1636" s="6"/>
      <c r="K1636" s="6"/>
      <c r="L1636" s="6" t="s">
        <v>209</v>
      </c>
      <c r="M1636" s="6" t="str">
        <f>VLOOKUP(L1636, GLOSSARY!$A:$C, 2, FALSE)</f>
        <v>BREADNUT ISLAND PEN</v>
      </c>
      <c r="N1636" s="6" t="s">
        <v>68</v>
      </c>
      <c r="O1636" s="6"/>
      <c r="P1636" s="6"/>
      <c r="Q1636" s="6"/>
      <c r="R1636" s="6"/>
      <c r="S1636" s="6"/>
      <c r="T1636" s="6"/>
      <c r="U1636" s="6"/>
      <c r="V1636" s="6"/>
      <c r="W1636" s="6"/>
      <c r="X1636" s="6"/>
      <c r="Y1636" s="6"/>
      <c r="Z1636" s="6"/>
      <c r="AA1636" s="6"/>
      <c r="AB1636" s="6"/>
      <c r="AC1636" s="6"/>
      <c r="AD1636" s="6"/>
      <c r="AE1636" s="6"/>
    </row>
    <row r="1637" spans="1:31" ht="12.75" x14ac:dyDescent="0.2">
      <c r="A1637" s="6" t="s">
        <v>7842</v>
      </c>
      <c r="B1637" s="6" t="s">
        <v>4724</v>
      </c>
      <c r="C1637" s="20" t="s">
        <v>7865</v>
      </c>
      <c r="D1637" s="6" t="s">
        <v>7867</v>
      </c>
      <c r="E1637" s="6"/>
      <c r="F1637" s="6" t="s">
        <v>489</v>
      </c>
      <c r="G1637" s="6" t="s">
        <v>488</v>
      </c>
      <c r="H1637" s="6" t="str">
        <f t="shared" si="143"/>
        <v>PHOEBE (P58)</v>
      </c>
      <c r="I1637" s="6" t="s">
        <v>96</v>
      </c>
      <c r="J1637" s="6"/>
      <c r="K1637" s="6"/>
      <c r="L1637" s="6" t="s">
        <v>209</v>
      </c>
      <c r="M1637" s="6" t="str">
        <f>VLOOKUP(L1637, GLOSSARY!$A:$C, 2, FALSE)</f>
        <v>BREADNUT ISLAND PEN</v>
      </c>
      <c r="N1637" s="6" t="s">
        <v>68</v>
      </c>
      <c r="O1637" s="6"/>
      <c r="P1637" s="6"/>
      <c r="Q1637" s="6"/>
      <c r="R1637" s="6"/>
      <c r="S1637" s="6"/>
      <c r="T1637" s="6"/>
      <c r="U1637" s="6"/>
      <c r="V1637" s="6"/>
      <c r="W1637" s="6"/>
      <c r="X1637" s="6"/>
      <c r="Y1637" s="6"/>
      <c r="Z1637" s="6"/>
      <c r="AA1637" s="6"/>
      <c r="AB1637" s="6"/>
      <c r="AC1637" s="6"/>
      <c r="AD1637" s="6"/>
      <c r="AE1637" s="6"/>
    </row>
    <row r="1638" spans="1:31" ht="153" x14ac:dyDescent="0.2">
      <c r="A1638" s="6" t="s">
        <v>7868</v>
      </c>
      <c r="B1638" s="6" t="s">
        <v>5203</v>
      </c>
      <c r="C1638" s="20" t="s">
        <v>7869</v>
      </c>
      <c r="D1638" s="6" t="s">
        <v>7870</v>
      </c>
      <c r="E1638" s="6"/>
      <c r="F1638" s="6" t="s">
        <v>151</v>
      </c>
      <c r="G1638" s="6" t="s">
        <v>150</v>
      </c>
      <c r="H1638" s="6" t="str">
        <f t="shared" si="143"/>
        <v>VINE (P12)</v>
      </c>
      <c r="I1638" s="6" t="s">
        <v>383</v>
      </c>
      <c r="J1638" s="6"/>
      <c r="K1638" s="6"/>
      <c r="L1638" s="6" t="s">
        <v>2992</v>
      </c>
      <c r="M1638" s="6" t="str">
        <f>VLOOKUP(L1638, GLOSSARY!$A:$C, 2, FALSE)</f>
        <v>VINE'S HOUSE</v>
      </c>
      <c r="N1638" s="6" t="s">
        <v>68</v>
      </c>
      <c r="O1638" s="6"/>
      <c r="P1638" s="6"/>
      <c r="Q1638" s="6"/>
      <c r="R1638" s="6"/>
      <c r="S1638" s="6"/>
      <c r="T1638" s="6"/>
      <c r="U1638" s="6"/>
      <c r="V1638" s="6"/>
      <c r="W1638" s="6"/>
      <c r="X1638" s="6"/>
      <c r="Y1638" s="6"/>
      <c r="Z1638" s="6"/>
      <c r="AA1638" s="6"/>
      <c r="AB1638" s="6"/>
      <c r="AC1638" s="6"/>
      <c r="AD1638" s="6"/>
      <c r="AE1638" s="6"/>
    </row>
    <row r="1639" spans="1:31" ht="38.25" x14ac:dyDescent="0.2">
      <c r="A1639" s="6" t="s">
        <v>7793</v>
      </c>
      <c r="B1639" s="6" t="s">
        <v>7296</v>
      </c>
      <c r="C1639" s="20" t="s">
        <v>7871</v>
      </c>
      <c r="D1639" s="6" t="s">
        <v>7872</v>
      </c>
      <c r="E1639" s="6"/>
      <c r="F1639" s="6" t="s">
        <v>7796</v>
      </c>
      <c r="G1639" s="6" t="s">
        <v>7797</v>
      </c>
      <c r="H1639" s="6" t="str">
        <f t="shared" si="143"/>
        <v>LITTLE LUCY
THE OVERSEER (P14
P43)</v>
      </c>
      <c r="I1639" s="6" t="s">
        <v>533</v>
      </c>
      <c r="J1639" s="6"/>
      <c r="K1639" s="6"/>
      <c r="L1639" s="6" t="s">
        <v>209</v>
      </c>
      <c r="M1639" s="6" t="str">
        <f>VLOOKUP(L1639, GLOSSARY!$A:$C, 2, FALSE)</f>
        <v>BREADNUT ISLAND PEN</v>
      </c>
      <c r="N1639" s="6" t="s">
        <v>68</v>
      </c>
      <c r="O1639" s="6"/>
      <c r="P1639" s="6"/>
      <c r="Q1639" s="6"/>
      <c r="R1639" s="6"/>
      <c r="S1639" s="6"/>
      <c r="T1639" s="6"/>
      <c r="U1639" s="6"/>
      <c r="V1639" s="6"/>
      <c r="W1639" s="6"/>
      <c r="X1639" s="6"/>
      <c r="Y1639" s="6"/>
      <c r="Z1639" s="6"/>
      <c r="AA1639" s="6"/>
      <c r="AB1639" s="6"/>
      <c r="AC1639" s="6"/>
      <c r="AD1639" s="6"/>
      <c r="AE1639" s="6"/>
    </row>
    <row r="1640" spans="1:31" ht="63.75" x14ac:dyDescent="0.2">
      <c r="A1640" s="6" t="s">
        <v>7793</v>
      </c>
      <c r="B1640" s="6" t="s">
        <v>3520</v>
      </c>
      <c r="C1640" s="20" t="s">
        <v>7873</v>
      </c>
      <c r="D1640" s="6" t="s">
        <v>7874</v>
      </c>
      <c r="E1640" s="6"/>
      <c r="F1640" s="6" t="s">
        <v>7875</v>
      </c>
      <c r="G1640" s="6" t="s">
        <v>7876</v>
      </c>
      <c r="H1640" s="6" t="str">
        <f t="shared" si="143"/>
        <v>LITTLE LUCY
THE OVERSEER
SOLON (P14
P43
P26)</v>
      </c>
      <c r="I1640" s="6" t="s">
        <v>533</v>
      </c>
      <c r="J1640" s="6"/>
      <c r="K1640" s="6"/>
      <c r="L1640" s="6" t="s">
        <v>209</v>
      </c>
      <c r="M1640" s="6" t="str">
        <f>VLOOKUP(L1640, GLOSSARY!$A:$C, 2, FALSE)</f>
        <v>BREADNUT ISLAND PEN</v>
      </c>
      <c r="N1640" s="6" t="s">
        <v>68</v>
      </c>
      <c r="O1640" s="6"/>
      <c r="P1640" s="6"/>
      <c r="Q1640" s="6"/>
      <c r="R1640" s="6"/>
      <c r="S1640" s="6"/>
      <c r="T1640" s="6"/>
      <c r="U1640" s="6"/>
      <c r="V1640" s="6"/>
      <c r="W1640" s="6"/>
      <c r="X1640" s="6"/>
      <c r="Y1640" s="6"/>
      <c r="Z1640" s="6"/>
      <c r="AA1640" s="6"/>
      <c r="AB1640" s="6"/>
      <c r="AC1640" s="6"/>
      <c r="AD1640" s="6"/>
      <c r="AE1640" s="6"/>
    </row>
    <row r="1641" spans="1:31" ht="63.75" x14ac:dyDescent="0.2">
      <c r="A1641" s="6" t="s">
        <v>7793</v>
      </c>
      <c r="B1641" s="6" t="s">
        <v>7877</v>
      </c>
      <c r="C1641" s="20" t="s">
        <v>7878</v>
      </c>
      <c r="D1641" s="6" t="s">
        <v>7879</v>
      </c>
      <c r="E1641" s="6"/>
      <c r="F1641" s="6" t="s">
        <v>7880</v>
      </c>
      <c r="G1641" s="6" t="s">
        <v>7881</v>
      </c>
      <c r="H1641" s="6" t="str">
        <f t="shared" si="143"/>
        <v>PHOEBE
LITTLE LUCY
THE OVERSEER (P14
P58
P43)</v>
      </c>
      <c r="I1641" s="6" t="s">
        <v>533</v>
      </c>
      <c r="J1641" s="6"/>
      <c r="K1641" s="6"/>
      <c r="L1641" s="6" t="s">
        <v>209</v>
      </c>
      <c r="M1641" s="6" t="str">
        <f>VLOOKUP(L1641, GLOSSARY!$A:$C, 2, FALSE)</f>
        <v>BREADNUT ISLAND PEN</v>
      </c>
      <c r="N1641" s="6" t="s">
        <v>68</v>
      </c>
      <c r="O1641" s="6"/>
      <c r="P1641" s="6"/>
      <c r="Q1641" s="6"/>
      <c r="R1641" s="6"/>
      <c r="S1641" s="6"/>
      <c r="T1641" s="6"/>
      <c r="U1641" s="6"/>
      <c r="V1641" s="6"/>
      <c r="W1641" s="6"/>
      <c r="X1641" s="6"/>
      <c r="Y1641" s="6"/>
      <c r="Z1641" s="6"/>
      <c r="AA1641" s="6"/>
      <c r="AB1641" s="6"/>
      <c r="AC1641" s="6"/>
      <c r="AD1641" s="6"/>
      <c r="AE1641" s="6"/>
    </row>
    <row r="1642" spans="1:31" ht="12.75" x14ac:dyDescent="0.2">
      <c r="A1642" s="6" t="s">
        <v>7842</v>
      </c>
      <c r="B1642" s="6" t="s">
        <v>4742</v>
      </c>
      <c r="C1642" s="20" t="s">
        <v>7882</v>
      </c>
      <c r="D1642" s="6" t="s">
        <v>7883</v>
      </c>
      <c r="E1642" s="6"/>
      <c r="F1642" s="6" t="s">
        <v>489</v>
      </c>
      <c r="G1642" s="6" t="s">
        <v>488</v>
      </c>
      <c r="H1642" s="6" t="str">
        <f t="shared" si="143"/>
        <v>PHOEBE (P58)</v>
      </c>
      <c r="I1642" s="6" t="s">
        <v>784</v>
      </c>
      <c r="J1642" s="6"/>
      <c r="K1642" s="6"/>
      <c r="L1642" s="6"/>
      <c r="M1642" s="6" t="e">
        <f>VLOOKUP(L1642, GLOSSARY!$A:$C, 2, FALSE)</f>
        <v>#N/A</v>
      </c>
      <c r="N1642" s="6"/>
      <c r="O1642" s="6"/>
      <c r="P1642" s="6"/>
      <c r="Q1642" s="6"/>
      <c r="R1642" s="6"/>
      <c r="S1642" s="6"/>
      <c r="T1642" s="6"/>
      <c r="U1642" s="6"/>
      <c r="V1642" s="6"/>
      <c r="W1642" s="6"/>
      <c r="X1642" s="6"/>
      <c r="Y1642" s="6"/>
      <c r="Z1642" s="6"/>
      <c r="AA1642" s="6"/>
      <c r="AB1642" s="6"/>
      <c r="AC1642" s="6"/>
      <c r="AD1642" s="6"/>
      <c r="AE1642" s="6"/>
    </row>
    <row r="1643" spans="1:31" ht="344.25" x14ac:dyDescent="0.2">
      <c r="A1643" s="6" t="s">
        <v>7884</v>
      </c>
      <c r="B1643" s="6" t="s">
        <v>4742</v>
      </c>
      <c r="C1643" s="20" t="s">
        <v>7882</v>
      </c>
      <c r="D1643" s="6" t="s">
        <v>7885</v>
      </c>
      <c r="E1643" s="6"/>
      <c r="F1643" s="6" t="s">
        <v>7886</v>
      </c>
      <c r="G1643" s="6" t="s">
        <v>7887</v>
      </c>
      <c r="H1643" s="6" t="str">
        <f t="shared" si="143"/>
        <v>OLD LEANDRA
THE PROPRIETRESS
OLD CUNNINGHAM (P28
P50
P259)</v>
      </c>
      <c r="I1643" s="6" t="s">
        <v>3796</v>
      </c>
      <c r="J1643" s="6"/>
      <c r="K1643" s="6"/>
      <c r="L1643" s="6" t="s">
        <v>445</v>
      </c>
      <c r="M1643" s="6" t="str">
        <f>VLOOKUP(L1643, GLOSSARY!$A:$C, 2, FALSE)</f>
        <v>MRS. SARAH BENNETT'S</v>
      </c>
      <c r="N1643" s="6" t="s">
        <v>68</v>
      </c>
      <c r="O1643" s="6"/>
      <c r="P1643" s="6"/>
      <c r="Q1643" s="6"/>
      <c r="R1643" s="6"/>
      <c r="S1643" s="6"/>
      <c r="T1643" s="6"/>
      <c r="U1643" s="6"/>
      <c r="V1643" s="6"/>
      <c r="W1643" s="6"/>
      <c r="X1643" s="6"/>
      <c r="Y1643" s="6"/>
      <c r="Z1643" s="6"/>
      <c r="AA1643" s="6"/>
      <c r="AB1643" s="6"/>
      <c r="AC1643" s="6"/>
      <c r="AD1643" s="6"/>
      <c r="AE1643" s="6"/>
    </row>
    <row r="1644" spans="1:31" ht="25.5" x14ac:dyDescent="0.2">
      <c r="A1644" s="6" t="s">
        <v>7888</v>
      </c>
      <c r="B1644" s="6" t="s">
        <v>5227</v>
      </c>
      <c r="C1644" s="20" t="s">
        <v>7889</v>
      </c>
      <c r="D1644" s="6" t="s">
        <v>7890</v>
      </c>
      <c r="E1644" s="6"/>
      <c r="F1644" s="6" t="s">
        <v>782</v>
      </c>
      <c r="G1644" s="6" t="s">
        <v>781</v>
      </c>
      <c r="H1644" s="6" t="str">
        <f t="shared" si="143"/>
        <v>ABIGAIL (P118)</v>
      </c>
      <c r="I1644" s="6" t="s">
        <v>1068</v>
      </c>
      <c r="J1644" s="6"/>
      <c r="K1644" s="6"/>
      <c r="L1644" s="6" t="s">
        <v>55</v>
      </c>
      <c r="M1644" s="6" t="str">
        <f>VLOOKUP(L1644, GLOSSARY!$A:$C, 2, FALSE)</f>
        <v>EGYPT ESTATE</v>
      </c>
      <c r="N1644" s="6" t="s">
        <v>167</v>
      </c>
      <c r="O1644" s="6"/>
      <c r="P1644" s="6"/>
      <c r="Q1644" s="6"/>
      <c r="R1644" s="6"/>
      <c r="S1644" s="6"/>
      <c r="T1644" s="6"/>
      <c r="U1644" s="6"/>
      <c r="V1644" s="6"/>
      <c r="W1644" s="6"/>
      <c r="X1644" s="6"/>
      <c r="Y1644" s="6"/>
      <c r="Z1644" s="6"/>
      <c r="AA1644" s="6"/>
      <c r="AB1644" s="6"/>
      <c r="AC1644" s="6"/>
      <c r="AD1644" s="6"/>
      <c r="AE1644" s="6"/>
    </row>
    <row r="1645" spans="1:31" ht="76.5" x14ac:dyDescent="0.2">
      <c r="A1645" s="6" t="s">
        <v>7891</v>
      </c>
      <c r="B1645" s="6" t="s">
        <v>4753</v>
      </c>
      <c r="C1645" s="20" t="s">
        <v>7892</v>
      </c>
      <c r="D1645" s="6" t="s">
        <v>7893</v>
      </c>
      <c r="E1645" s="6"/>
      <c r="F1645" s="6" t="s">
        <v>7894</v>
      </c>
      <c r="G1645" s="6" t="s">
        <v>7895</v>
      </c>
      <c r="H1645" s="6" t="str">
        <f>CONCATENATE(F1645,"(",G1645,")")</f>
        <v>JIMMY
MOLIA(P54
P7)</v>
      </c>
      <c r="I1645" s="6" t="s">
        <v>533</v>
      </c>
      <c r="J1645" s="6" t="s">
        <v>35</v>
      </c>
      <c r="K1645" s="6"/>
      <c r="L1645" s="6" t="s">
        <v>3069</v>
      </c>
      <c r="M1645" s="6" t="str">
        <f>VLOOKUP(L1645, GLOSSARY!$A:$C, 2, FALSE)</f>
        <v>THE RETRIEVE</v>
      </c>
      <c r="N1645" s="6" t="s">
        <v>167</v>
      </c>
      <c r="O1645" s="6"/>
      <c r="P1645" s="6"/>
      <c r="Q1645" s="6"/>
      <c r="R1645" s="6"/>
      <c r="S1645" s="6"/>
      <c r="T1645" s="6"/>
      <c r="U1645" s="6"/>
      <c r="V1645" s="6"/>
      <c r="W1645" s="6"/>
      <c r="X1645" s="6"/>
      <c r="Y1645" s="6"/>
      <c r="Z1645" s="6"/>
      <c r="AA1645" s="6"/>
      <c r="AB1645" s="6"/>
      <c r="AC1645" s="6"/>
      <c r="AD1645" s="6"/>
      <c r="AE1645" s="6"/>
    </row>
    <row r="1646" spans="1:31" ht="38.25" x14ac:dyDescent="0.2">
      <c r="A1646" s="6" t="s">
        <v>4460</v>
      </c>
      <c r="B1646" s="6" t="s">
        <v>7896</v>
      </c>
      <c r="C1646" s="61" t="s">
        <v>7897</v>
      </c>
      <c r="D1646" s="6" t="s">
        <v>7898</v>
      </c>
      <c r="E1646" s="6"/>
      <c r="F1646" s="6" t="s">
        <v>415</v>
      </c>
      <c r="G1646" s="6" t="s">
        <v>414</v>
      </c>
      <c r="H1646" s="6" t="str">
        <f>CONCATENATE(F1646," (",G1646,")")</f>
        <v>THE NEIGHBOR (P46)</v>
      </c>
      <c r="I1646" s="6" t="s">
        <v>26</v>
      </c>
      <c r="J1646" s="6"/>
      <c r="K1646" s="6"/>
      <c r="L1646" s="6" t="s">
        <v>158</v>
      </c>
      <c r="M1646" s="6" t="str">
        <f>VLOOKUP(L1646, GLOSSARY!$A:$C, 2, FALSE)</f>
        <v>CABARITTA ESTATE</v>
      </c>
      <c r="N1646" s="6" t="s">
        <v>68</v>
      </c>
      <c r="O1646" s="6"/>
      <c r="P1646" s="6"/>
      <c r="Q1646" s="6"/>
      <c r="R1646" s="6"/>
      <c r="S1646" s="6"/>
      <c r="T1646" s="6"/>
      <c r="U1646" s="6"/>
      <c r="V1646" s="6"/>
      <c r="W1646" s="6"/>
      <c r="X1646" s="6"/>
      <c r="Y1646" s="6"/>
      <c r="Z1646" s="6"/>
      <c r="AA1646" s="6"/>
      <c r="AB1646" s="6"/>
      <c r="AC1646" s="6"/>
      <c r="AD1646" s="6"/>
      <c r="AE1646" s="6"/>
    </row>
    <row r="1647" spans="1:31" ht="63.75" x14ac:dyDescent="0.2">
      <c r="A1647" s="6" t="s">
        <v>7891</v>
      </c>
      <c r="B1647" s="6" t="s">
        <v>4753</v>
      </c>
      <c r="C1647" s="20" t="s">
        <v>7899</v>
      </c>
      <c r="D1647" s="6" t="s">
        <v>7900</v>
      </c>
      <c r="E1647" s="6"/>
      <c r="F1647" s="6" t="s">
        <v>7177</v>
      </c>
      <c r="G1647" s="6" t="s">
        <v>7178</v>
      </c>
      <c r="H1647" s="6" t="str">
        <f>CONCATENATE(F1647,"(",G1647,")")</f>
        <v>SOLON
MOLIA(P26
P1)</v>
      </c>
      <c r="I1647" s="6" t="s">
        <v>139</v>
      </c>
      <c r="J1647" s="6" t="s">
        <v>35</v>
      </c>
      <c r="K1647" s="6"/>
      <c r="L1647" s="6" t="s">
        <v>209</v>
      </c>
      <c r="M1647" s="6" t="str">
        <f>VLOOKUP(L1647, GLOSSARY!$A:$C, 2, FALSE)</f>
        <v>BREADNUT ISLAND PEN</v>
      </c>
      <c r="N1647" s="6" t="s">
        <v>68</v>
      </c>
      <c r="O1647" s="6"/>
      <c r="P1647" s="6"/>
      <c r="Q1647" s="6"/>
      <c r="R1647" s="6"/>
      <c r="S1647" s="6"/>
      <c r="T1647" s="6"/>
      <c r="U1647" s="6"/>
      <c r="V1647" s="6"/>
      <c r="W1647" s="6"/>
      <c r="X1647" s="6"/>
      <c r="Y1647" s="6"/>
      <c r="Z1647" s="6"/>
      <c r="AA1647" s="6"/>
      <c r="AB1647" s="6"/>
      <c r="AC1647" s="6"/>
      <c r="AD1647" s="6"/>
      <c r="AE1647" s="6"/>
    </row>
    <row r="1648" spans="1:31" ht="114.75" x14ac:dyDescent="0.2">
      <c r="A1648" s="6" t="s">
        <v>7901</v>
      </c>
      <c r="B1648" s="6" t="s">
        <v>7116</v>
      </c>
      <c r="C1648" s="20" t="s">
        <v>7902</v>
      </c>
      <c r="D1648" s="6" t="s">
        <v>7903</v>
      </c>
      <c r="E1648" s="6"/>
      <c r="F1648" s="6" t="s">
        <v>7904</v>
      </c>
      <c r="G1648" s="6" t="s">
        <v>7905</v>
      </c>
      <c r="H1648" s="6" t="str">
        <f>CONCATENATE(F1648," (",G1648,")")</f>
        <v>PHIBBAH
THE OVERSEER
 VINE (P7
P43
P12)</v>
      </c>
      <c r="I1648" s="6" t="s">
        <v>533</v>
      </c>
      <c r="J1648" s="6"/>
      <c r="K1648" s="6"/>
      <c r="L1648" s="6" t="s">
        <v>209</v>
      </c>
      <c r="M1648" s="6" t="str">
        <f>VLOOKUP(L1648, GLOSSARY!$A:$C, 2, FALSE)</f>
        <v>BREADNUT ISLAND PEN</v>
      </c>
      <c r="N1648" s="6" t="s">
        <v>167</v>
      </c>
      <c r="O1648" s="6"/>
      <c r="P1648" s="6"/>
      <c r="Q1648" s="6"/>
      <c r="R1648" s="6"/>
      <c r="S1648" s="6"/>
      <c r="T1648" s="6"/>
      <c r="U1648" s="6"/>
      <c r="V1648" s="6"/>
      <c r="W1648" s="6"/>
      <c r="X1648" s="6"/>
      <c r="Y1648" s="6"/>
      <c r="Z1648" s="6"/>
      <c r="AA1648" s="6"/>
      <c r="AB1648" s="6"/>
      <c r="AC1648" s="6"/>
      <c r="AD1648" s="6"/>
      <c r="AE1648" s="6"/>
    </row>
    <row r="1649" spans="1:31" ht="280.5" x14ac:dyDescent="0.2">
      <c r="A1649" s="6" t="s">
        <v>7906</v>
      </c>
      <c r="B1649" s="6" t="s">
        <v>4770</v>
      </c>
      <c r="C1649" s="20" t="s">
        <v>7907</v>
      </c>
      <c r="D1649" s="6" t="s">
        <v>7908</v>
      </c>
      <c r="E1649" s="6"/>
      <c r="F1649" s="6" t="s">
        <v>7909</v>
      </c>
      <c r="G1649" s="6" t="s">
        <v>7910</v>
      </c>
      <c r="H1649" s="6" t="str">
        <f>CONCATENATE(F1649,"(",G1649,")")</f>
        <v>JOHN
MR. HUGHES
MR. STONE
THE OVERSEER
PHIBBAH
(P9
P43
P7
P112
P64)</v>
      </c>
      <c r="I1649" s="6" t="s">
        <v>2834</v>
      </c>
      <c r="J1649" s="6"/>
      <c r="K1649" s="6"/>
      <c r="L1649" s="6" t="s">
        <v>209</v>
      </c>
      <c r="M1649" s="6" t="str">
        <f>VLOOKUP(L1649, GLOSSARY!$A:$C, 2, FALSE)</f>
        <v>BREADNUT ISLAND PEN</v>
      </c>
      <c r="N1649" s="6"/>
      <c r="O1649" s="6"/>
      <c r="P1649" s="6"/>
      <c r="Q1649" s="6"/>
      <c r="R1649" s="6"/>
      <c r="S1649" s="6"/>
      <c r="T1649" s="6"/>
      <c r="U1649" s="6"/>
      <c r="V1649" s="6"/>
      <c r="W1649" s="6"/>
      <c r="X1649" s="6"/>
      <c r="Y1649" s="6"/>
      <c r="Z1649" s="6"/>
      <c r="AA1649" s="6"/>
      <c r="AB1649" s="6"/>
      <c r="AC1649" s="6"/>
      <c r="AD1649" s="6"/>
      <c r="AE1649" s="6"/>
    </row>
    <row r="1650" spans="1:31" ht="63.75" x14ac:dyDescent="0.2">
      <c r="A1650" s="6" t="s">
        <v>7911</v>
      </c>
      <c r="B1650" s="6" t="s">
        <v>4792</v>
      </c>
      <c r="C1650" s="20" t="s">
        <v>7912</v>
      </c>
      <c r="D1650" s="6" t="s">
        <v>7913</v>
      </c>
      <c r="E1650" s="6"/>
      <c r="F1650" s="6" t="s">
        <v>6109</v>
      </c>
      <c r="G1650" s="6" t="s">
        <v>6110</v>
      </c>
      <c r="H1650" s="6" t="str">
        <f t="shared" ref="H1650:H1656" si="144">CONCATENATE(F1650," (",G1650,")")</f>
        <v>ABBA
THE OVERSEER (P6
P43)</v>
      </c>
      <c r="I1650" s="6" t="s">
        <v>409</v>
      </c>
      <c r="J1650" s="6"/>
      <c r="K1650" s="6"/>
      <c r="L1650" s="6" t="s">
        <v>209</v>
      </c>
      <c r="M1650" s="6" t="str">
        <f>VLOOKUP(L1650, GLOSSARY!$A:$C, 2, FALSE)</f>
        <v>BREADNUT ISLAND PEN</v>
      </c>
      <c r="N1650" s="6" t="s">
        <v>68</v>
      </c>
      <c r="O1650" s="6"/>
      <c r="P1650" s="6"/>
      <c r="Q1650" s="6"/>
      <c r="R1650" s="6"/>
      <c r="S1650" s="6"/>
      <c r="T1650" s="6"/>
      <c r="U1650" s="6"/>
      <c r="V1650" s="6"/>
      <c r="W1650" s="6"/>
      <c r="X1650" s="6"/>
      <c r="Y1650" s="6"/>
      <c r="Z1650" s="6"/>
      <c r="AA1650" s="6"/>
      <c r="AB1650" s="6"/>
      <c r="AC1650" s="6"/>
      <c r="AD1650" s="6"/>
      <c r="AE1650" s="6"/>
    </row>
    <row r="1651" spans="1:31" ht="89.25" x14ac:dyDescent="0.2">
      <c r="A1651" s="6" t="s">
        <v>7911</v>
      </c>
      <c r="B1651" s="6" t="s">
        <v>5238</v>
      </c>
      <c r="C1651" s="20" t="s">
        <v>7914</v>
      </c>
      <c r="D1651" s="6" t="s">
        <v>7915</v>
      </c>
      <c r="E1651" s="6" t="s">
        <v>7916</v>
      </c>
      <c r="F1651" s="6" t="s">
        <v>7917</v>
      </c>
      <c r="G1651" s="6" t="s">
        <v>7918</v>
      </c>
      <c r="H1651" s="18" t="str">
        <f t="shared" si="144"/>
        <v>ABBA
OLD PHIBBAH (P6
P96)</v>
      </c>
      <c r="I1651" s="6" t="s">
        <v>96</v>
      </c>
      <c r="J1651" s="6"/>
      <c r="K1651" s="6" t="s">
        <v>207</v>
      </c>
      <c r="L1651" s="6" t="s">
        <v>209</v>
      </c>
      <c r="M1651" s="18" t="str">
        <f>VLOOKUP(L1651, GLOSSARY!$A:$C, 2, FALSE)</f>
        <v>BREADNUT ISLAND PEN</v>
      </c>
      <c r="N1651" s="6" t="s">
        <v>167</v>
      </c>
      <c r="O1651" s="6"/>
      <c r="P1651" s="6"/>
      <c r="Q1651" s="6"/>
      <c r="R1651" s="6"/>
      <c r="S1651" s="6"/>
      <c r="T1651" s="6"/>
      <c r="U1651" s="6"/>
      <c r="V1651" s="6"/>
      <c r="W1651" s="6"/>
      <c r="X1651" s="6"/>
      <c r="Y1651" s="6"/>
      <c r="Z1651" s="6"/>
      <c r="AA1651" s="6"/>
      <c r="AB1651" s="6"/>
      <c r="AC1651" s="6"/>
      <c r="AD1651" s="6"/>
      <c r="AE1651" s="6"/>
    </row>
    <row r="1652" spans="1:31" ht="63.75" x14ac:dyDescent="0.2">
      <c r="A1652" s="6" t="s">
        <v>7911</v>
      </c>
      <c r="B1652" s="6" t="s">
        <v>5238</v>
      </c>
      <c r="C1652" s="20" t="s">
        <v>7914</v>
      </c>
      <c r="D1652" s="6" t="s">
        <v>7919</v>
      </c>
      <c r="E1652" s="6"/>
      <c r="F1652" s="6" t="s">
        <v>7920</v>
      </c>
      <c r="G1652" s="6" t="s">
        <v>7921</v>
      </c>
      <c r="H1652" s="6" t="str">
        <f t="shared" si="144"/>
        <v>OLD LEANDRA
ABBA (P28
P6)</v>
      </c>
      <c r="I1652" s="6" t="s">
        <v>96</v>
      </c>
      <c r="J1652" s="6"/>
      <c r="K1652" s="6"/>
      <c r="L1652" s="6" t="s">
        <v>209</v>
      </c>
      <c r="M1652" s="6" t="str">
        <f>VLOOKUP(L1652, GLOSSARY!$A:$C, 2, FALSE)</f>
        <v>BREADNUT ISLAND PEN</v>
      </c>
      <c r="N1652" s="6" t="s">
        <v>68</v>
      </c>
      <c r="O1652" s="6"/>
      <c r="P1652" s="6"/>
      <c r="Q1652" s="6"/>
      <c r="R1652" s="6"/>
      <c r="S1652" s="6"/>
      <c r="T1652" s="6"/>
      <c r="U1652" s="6"/>
      <c r="V1652" s="6"/>
      <c r="W1652" s="6"/>
      <c r="X1652" s="6"/>
      <c r="Y1652" s="6"/>
      <c r="Z1652" s="6"/>
      <c r="AA1652" s="6"/>
      <c r="AB1652" s="6"/>
      <c r="AC1652" s="6"/>
      <c r="AD1652" s="6"/>
      <c r="AE1652" s="6"/>
    </row>
    <row r="1653" spans="1:31" ht="242.25" x14ac:dyDescent="0.2">
      <c r="A1653" s="6" t="s">
        <v>7868</v>
      </c>
      <c r="B1653" s="6" t="s">
        <v>7922</v>
      </c>
      <c r="C1653" s="20" t="s">
        <v>7923</v>
      </c>
      <c r="D1653" s="6" t="s">
        <v>7924</v>
      </c>
      <c r="E1653" s="6"/>
      <c r="F1653" s="6"/>
      <c r="G1653" s="6"/>
      <c r="H1653" s="6" t="str">
        <f t="shared" si="144"/>
        <v xml:space="preserve"> ()</v>
      </c>
      <c r="I1653" s="6" t="s">
        <v>26</v>
      </c>
      <c r="J1653" s="6"/>
      <c r="K1653" s="6"/>
      <c r="L1653" s="6" t="s">
        <v>1121</v>
      </c>
      <c r="M1653" s="6" t="str">
        <f>VLOOKUP(L1653, GLOSSARY!$A:$C, 2, FALSE)</f>
        <v>SAVANNA LA MAR</v>
      </c>
      <c r="N1653" s="6" t="s">
        <v>167</v>
      </c>
      <c r="O1653" s="6"/>
      <c r="P1653" s="6"/>
      <c r="Q1653" s="6"/>
      <c r="R1653" s="6"/>
      <c r="S1653" s="6"/>
      <c r="T1653" s="6"/>
      <c r="U1653" s="6"/>
      <c r="V1653" s="6"/>
      <c r="W1653" s="6"/>
      <c r="X1653" s="6"/>
      <c r="Y1653" s="6"/>
      <c r="Z1653" s="6"/>
      <c r="AA1653" s="6"/>
      <c r="AB1653" s="6"/>
      <c r="AC1653" s="6"/>
      <c r="AD1653" s="6"/>
      <c r="AE1653" s="6"/>
    </row>
    <row r="1654" spans="1:31" ht="114.75" x14ac:dyDescent="0.2">
      <c r="A1654" s="6" t="s">
        <v>7925</v>
      </c>
      <c r="B1654" s="6" t="s">
        <v>5247</v>
      </c>
      <c r="C1654" s="20" t="s">
        <v>7926</v>
      </c>
      <c r="D1654" s="6" t="s">
        <v>7927</v>
      </c>
      <c r="E1654" s="6"/>
      <c r="F1654" s="6" t="s">
        <v>7928</v>
      </c>
      <c r="G1654" s="6" t="s">
        <v>7929</v>
      </c>
      <c r="H1654" s="6" t="str">
        <f t="shared" si="144"/>
        <v>BESS
OLD PHIBBAH
BRISTOL [BESS' SON] (P41 
P96
P257)</v>
      </c>
      <c r="I1654" s="6" t="s">
        <v>96</v>
      </c>
      <c r="J1654" s="6"/>
      <c r="K1654" s="6"/>
      <c r="L1654" s="6" t="s">
        <v>209</v>
      </c>
      <c r="M1654" s="6" t="str">
        <f>VLOOKUP(L1654, GLOSSARY!$A:$C, 2, FALSE)</f>
        <v>BREADNUT ISLAND PEN</v>
      </c>
      <c r="N1654" s="6" t="s">
        <v>167</v>
      </c>
      <c r="O1654" s="6"/>
      <c r="P1654" s="6"/>
      <c r="Q1654" s="6"/>
      <c r="R1654" s="6"/>
      <c r="S1654" s="6"/>
      <c r="T1654" s="6"/>
      <c r="U1654" s="6"/>
      <c r="V1654" s="6"/>
      <c r="W1654" s="6"/>
      <c r="X1654" s="6"/>
      <c r="Y1654" s="6"/>
      <c r="Z1654" s="6"/>
      <c r="AA1654" s="6"/>
      <c r="AB1654" s="6"/>
      <c r="AC1654" s="6"/>
      <c r="AD1654" s="6"/>
      <c r="AE1654" s="6"/>
    </row>
    <row r="1655" spans="1:31" ht="38.25" x14ac:dyDescent="0.2">
      <c r="A1655" s="6" t="s">
        <v>7911</v>
      </c>
      <c r="B1655" s="6" t="s">
        <v>7930</v>
      </c>
      <c r="C1655" s="20" t="s">
        <v>7931</v>
      </c>
      <c r="D1655" s="6" t="s">
        <v>7932</v>
      </c>
      <c r="E1655" s="6" t="s">
        <v>4532</v>
      </c>
      <c r="F1655" s="6" t="s">
        <v>4533</v>
      </c>
      <c r="G1655" s="6" t="s">
        <v>7933</v>
      </c>
      <c r="H1655" s="18" t="str">
        <f t="shared" si="144"/>
        <v>ABBA
THE OVERSEER (P6
P43)</v>
      </c>
      <c r="I1655" s="6" t="s">
        <v>96</v>
      </c>
      <c r="J1655" s="6"/>
      <c r="K1655" s="6" t="s">
        <v>207</v>
      </c>
      <c r="L1655" s="6" t="s">
        <v>209</v>
      </c>
      <c r="M1655" s="18" t="str">
        <f>VLOOKUP(L1655, GLOSSARY!$A:$C, 2, FALSE)</f>
        <v>BREADNUT ISLAND PEN</v>
      </c>
      <c r="N1655" s="6" t="s">
        <v>5886</v>
      </c>
      <c r="O1655" s="6"/>
      <c r="P1655" s="6"/>
      <c r="Q1655" s="6"/>
      <c r="R1655" s="6"/>
      <c r="S1655" s="6"/>
      <c r="T1655" s="6"/>
      <c r="U1655" s="6"/>
      <c r="V1655" s="6"/>
      <c r="W1655" s="6"/>
      <c r="X1655" s="6"/>
      <c r="Y1655" s="6"/>
      <c r="Z1655" s="6"/>
      <c r="AA1655" s="6"/>
      <c r="AB1655" s="6"/>
      <c r="AC1655" s="6"/>
      <c r="AD1655" s="6"/>
      <c r="AE1655" s="6"/>
    </row>
    <row r="1656" spans="1:31" ht="89.25" x14ac:dyDescent="0.2">
      <c r="A1656" s="6" t="s">
        <v>7911</v>
      </c>
      <c r="B1656" s="6" t="s">
        <v>7934</v>
      </c>
      <c r="C1656" s="20" t="s">
        <v>7935</v>
      </c>
      <c r="D1656" s="6" t="s">
        <v>7936</v>
      </c>
      <c r="E1656" s="6" t="s">
        <v>7937</v>
      </c>
      <c r="F1656" s="6" t="s">
        <v>7938</v>
      </c>
      <c r="G1656" s="6" t="s">
        <v>7939</v>
      </c>
      <c r="H1656" s="18" t="str">
        <f t="shared" si="144"/>
        <v>ABBA
BESS
MOLIA
OLD LEANDRA (P6
P41
P1
P28)</v>
      </c>
      <c r="I1656" s="6" t="s">
        <v>96</v>
      </c>
      <c r="J1656" s="6"/>
      <c r="K1656" s="6" t="s">
        <v>207</v>
      </c>
      <c r="L1656" s="6" t="s">
        <v>209</v>
      </c>
      <c r="M1656" s="18" t="str">
        <f>VLOOKUP(L1656, GLOSSARY!$A:$C, 2, FALSE)</f>
        <v>BREADNUT ISLAND PEN</v>
      </c>
      <c r="N1656" s="6"/>
      <c r="O1656" s="6"/>
      <c r="P1656" s="6"/>
      <c r="Q1656" s="6"/>
      <c r="R1656" s="6"/>
      <c r="S1656" s="6"/>
      <c r="T1656" s="6"/>
      <c r="U1656" s="6"/>
      <c r="V1656" s="6"/>
      <c r="W1656" s="6"/>
      <c r="X1656" s="6"/>
      <c r="Y1656" s="6"/>
      <c r="Z1656" s="6"/>
      <c r="AA1656" s="6"/>
      <c r="AB1656" s="6"/>
      <c r="AC1656" s="6"/>
      <c r="AD1656" s="6"/>
      <c r="AE1656" s="6"/>
    </row>
    <row r="1657" spans="1:31" ht="63.75" x14ac:dyDescent="0.2">
      <c r="A1657" s="6" t="s">
        <v>7940</v>
      </c>
      <c r="B1657" s="6" t="s">
        <v>5300</v>
      </c>
      <c r="C1657" s="20" t="s">
        <v>7941</v>
      </c>
      <c r="D1657" s="6" t="s">
        <v>7942</v>
      </c>
      <c r="E1657" s="6"/>
      <c r="F1657" s="6" t="s">
        <v>7943</v>
      </c>
      <c r="G1657" s="6" t="s">
        <v>7944</v>
      </c>
      <c r="H1657" s="6" t="str">
        <f>CONCATENATE(F1658,"(",G1657,")")</f>
        <v>MOLIA(P34
P96)</v>
      </c>
      <c r="I1657" s="6" t="s">
        <v>96</v>
      </c>
      <c r="J1657" s="6"/>
      <c r="K1657" s="6"/>
      <c r="L1657" s="6" t="s">
        <v>209</v>
      </c>
      <c r="M1657" s="6" t="str">
        <f>VLOOKUP(L1657, GLOSSARY!$A:$C, 2, FALSE)</f>
        <v>BREADNUT ISLAND PEN</v>
      </c>
      <c r="N1657" s="6" t="s">
        <v>167</v>
      </c>
      <c r="O1657" s="6"/>
      <c r="P1657" s="6"/>
      <c r="Q1657" s="6"/>
      <c r="R1657" s="6"/>
      <c r="S1657" s="6"/>
      <c r="T1657" s="6"/>
      <c r="U1657" s="6"/>
      <c r="V1657" s="6"/>
      <c r="W1657" s="6"/>
      <c r="X1657" s="6"/>
      <c r="Y1657" s="6"/>
      <c r="Z1657" s="6"/>
      <c r="AA1657" s="6"/>
      <c r="AB1657" s="6"/>
      <c r="AC1657" s="6"/>
      <c r="AD1657" s="6"/>
      <c r="AE1657" s="6"/>
    </row>
    <row r="1658" spans="1:31" ht="25.5" x14ac:dyDescent="0.2">
      <c r="A1658" s="6" t="s">
        <v>7945</v>
      </c>
      <c r="B1658" s="6" t="s">
        <v>5312</v>
      </c>
      <c r="C1658" s="20" t="s">
        <v>7946</v>
      </c>
      <c r="D1658" s="6" t="s">
        <v>7947</v>
      </c>
      <c r="E1658" s="6"/>
      <c r="F1658" s="6" t="s">
        <v>29</v>
      </c>
      <c r="G1658" s="6" t="s">
        <v>28</v>
      </c>
      <c r="H1658" s="6" t="str">
        <f>CONCATENATE(F1658,"(",G1658,")")</f>
        <v>MOLIA(P1)</v>
      </c>
      <c r="I1658" s="6" t="s">
        <v>198</v>
      </c>
      <c r="J1658" s="6" t="s">
        <v>6424</v>
      </c>
      <c r="K1658" s="6"/>
      <c r="L1658" s="6" t="s">
        <v>209</v>
      </c>
      <c r="M1658" s="6" t="str">
        <f>VLOOKUP(L1658, GLOSSARY!$A:$C, 2, FALSE)</f>
        <v>BREADNUT ISLAND PEN</v>
      </c>
      <c r="N1658" s="6" t="s">
        <v>68</v>
      </c>
      <c r="O1658" s="6"/>
      <c r="P1658" s="6"/>
      <c r="Q1658" s="6"/>
      <c r="R1658" s="6"/>
      <c r="S1658" s="6"/>
      <c r="T1658" s="6"/>
      <c r="U1658" s="6"/>
      <c r="V1658" s="6"/>
      <c r="W1658" s="6"/>
      <c r="X1658" s="6"/>
      <c r="Y1658" s="6"/>
      <c r="Z1658" s="6"/>
      <c r="AA1658" s="6"/>
      <c r="AB1658" s="6"/>
      <c r="AC1658" s="6"/>
      <c r="AD1658" s="6"/>
      <c r="AE1658" s="6"/>
    </row>
    <row r="1659" spans="1:31" ht="38.25" x14ac:dyDescent="0.2">
      <c r="A1659" s="6" t="s">
        <v>7911</v>
      </c>
      <c r="B1659" s="6" t="s">
        <v>7948</v>
      </c>
      <c r="C1659" s="20" t="s">
        <v>7949</v>
      </c>
      <c r="D1659" s="6" t="s">
        <v>7950</v>
      </c>
      <c r="E1659" s="6"/>
      <c r="F1659" s="6" t="s">
        <v>90</v>
      </c>
      <c r="G1659" s="6" t="s">
        <v>89</v>
      </c>
      <c r="H1659" s="6" t="str">
        <f t="shared" ref="H1659:H1661" si="145">CONCATENATE(F1659," (",G1659,")")</f>
        <v>ABBA (P6)</v>
      </c>
      <c r="I1659" s="6" t="s">
        <v>1047</v>
      </c>
      <c r="J1659" s="6"/>
      <c r="K1659" s="6"/>
      <c r="L1659" s="6" t="s">
        <v>209</v>
      </c>
      <c r="M1659" s="6" t="str">
        <f>VLOOKUP(L1659, GLOSSARY!$A:$C, 2, FALSE)</f>
        <v>BREADNUT ISLAND PEN</v>
      </c>
      <c r="N1659" s="6" t="s">
        <v>68</v>
      </c>
      <c r="O1659" s="6"/>
      <c r="P1659" s="6"/>
      <c r="Q1659" s="6"/>
      <c r="R1659" s="6"/>
      <c r="S1659" s="6"/>
      <c r="T1659" s="6"/>
      <c r="U1659" s="6"/>
      <c r="V1659" s="6"/>
      <c r="W1659" s="6"/>
      <c r="X1659" s="6"/>
      <c r="Y1659" s="6"/>
      <c r="Z1659" s="6"/>
      <c r="AA1659" s="6"/>
      <c r="AB1659" s="6"/>
      <c r="AC1659" s="6"/>
      <c r="AD1659" s="6"/>
      <c r="AE1659" s="6"/>
    </row>
    <row r="1660" spans="1:31" ht="25.5" x14ac:dyDescent="0.2">
      <c r="A1660" s="6" t="s">
        <v>7951</v>
      </c>
      <c r="B1660" s="6" t="s">
        <v>7948</v>
      </c>
      <c r="C1660" s="20" t="s">
        <v>7949</v>
      </c>
      <c r="D1660" s="6" t="s">
        <v>7952</v>
      </c>
      <c r="E1660" s="6"/>
      <c r="F1660" s="6" t="s">
        <v>29</v>
      </c>
      <c r="G1660" s="6" t="s">
        <v>28</v>
      </c>
      <c r="H1660" s="6" t="str">
        <f t="shared" si="145"/>
        <v>MOLIA (P1)</v>
      </c>
      <c r="I1660" s="6" t="s">
        <v>533</v>
      </c>
      <c r="J1660" s="6" t="s">
        <v>6424</v>
      </c>
      <c r="K1660" s="6"/>
      <c r="L1660" s="6" t="s">
        <v>209</v>
      </c>
      <c r="M1660" s="6" t="str">
        <f>VLOOKUP(L1660, GLOSSARY!$A:$C, 2, FALSE)</f>
        <v>BREADNUT ISLAND PEN</v>
      </c>
      <c r="N1660" s="6" t="s">
        <v>68</v>
      </c>
      <c r="O1660" s="6"/>
      <c r="P1660" s="6"/>
      <c r="Q1660" s="6"/>
      <c r="R1660" s="6"/>
      <c r="S1660" s="6"/>
      <c r="T1660" s="6"/>
      <c r="U1660" s="6"/>
      <c r="V1660" s="6"/>
      <c r="W1660" s="6"/>
      <c r="X1660" s="6"/>
      <c r="Y1660" s="6"/>
      <c r="Z1660" s="6"/>
      <c r="AA1660" s="6"/>
      <c r="AB1660" s="6"/>
      <c r="AC1660" s="6"/>
      <c r="AD1660" s="6"/>
      <c r="AE1660" s="6"/>
    </row>
    <row r="1661" spans="1:31" ht="25.5" x14ac:dyDescent="0.2">
      <c r="A1661" s="6" t="s">
        <v>7951</v>
      </c>
      <c r="B1661" s="6" t="s">
        <v>7599</v>
      </c>
      <c r="C1661" s="20" t="s">
        <v>7953</v>
      </c>
      <c r="D1661" s="6" t="s">
        <v>7954</v>
      </c>
      <c r="E1661" s="6"/>
      <c r="F1661" s="6" t="s">
        <v>29</v>
      </c>
      <c r="G1661" s="6" t="s">
        <v>28</v>
      </c>
      <c r="H1661" s="6" t="str">
        <f t="shared" si="145"/>
        <v>MOLIA (P1)</v>
      </c>
      <c r="I1661" s="6" t="s">
        <v>533</v>
      </c>
      <c r="J1661" s="6" t="s">
        <v>6424</v>
      </c>
      <c r="K1661" s="6"/>
      <c r="L1661" s="6" t="s">
        <v>209</v>
      </c>
      <c r="M1661" s="6" t="str">
        <f>VLOOKUP(L1661, GLOSSARY!$A:$C, 2, FALSE)</f>
        <v>BREADNUT ISLAND PEN</v>
      </c>
      <c r="N1661" s="6" t="s">
        <v>68</v>
      </c>
      <c r="O1661" s="6"/>
      <c r="P1661" s="6"/>
      <c r="Q1661" s="6"/>
      <c r="R1661" s="6"/>
      <c r="S1661" s="6"/>
      <c r="T1661" s="6"/>
      <c r="U1661" s="6"/>
      <c r="V1661" s="6"/>
      <c r="W1661" s="6"/>
      <c r="X1661" s="6"/>
      <c r="Y1661" s="6"/>
      <c r="Z1661" s="6"/>
      <c r="AA1661" s="6"/>
      <c r="AB1661" s="6"/>
      <c r="AC1661" s="6"/>
      <c r="AD1661" s="6"/>
      <c r="AE1661" s="6"/>
    </row>
    <row r="1662" spans="1:31" ht="114.75" x14ac:dyDescent="0.2">
      <c r="A1662" s="6" t="s">
        <v>7955</v>
      </c>
      <c r="B1662" s="6" t="s">
        <v>7956</v>
      </c>
      <c r="C1662" s="20" t="s">
        <v>7957</v>
      </c>
      <c r="D1662" s="6" t="s">
        <v>7958</v>
      </c>
      <c r="E1662" s="6"/>
      <c r="F1662" s="6" t="s">
        <v>7430</v>
      </c>
      <c r="G1662" s="6" t="s">
        <v>7959</v>
      </c>
      <c r="H1662" s="6" t="str">
        <f>CONCATENATE(F1662,"(",G1662,")")</f>
        <v>PHIBBAH
VINE(P7
P12)</v>
      </c>
      <c r="I1662" s="6" t="s">
        <v>533</v>
      </c>
      <c r="J1662" s="6"/>
      <c r="K1662" s="6"/>
      <c r="L1662" s="6" t="s">
        <v>209</v>
      </c>
      <c r="M1662" s="6" t="str">
        <f>VLOOKUP(L1662, GLOSSARY!$A:$C, 2, FALSE)</f>
        <v>BREADNUT ISLAND PEN</v>
      </c>
      <c r="N1662" s="6" t="s">
        <v>167</v>
      </c>
      <c r="O1662" s="6"/>
      <c r="P1662" s="6"/>
      <c r="Q1662" s="6"/>
      <c r="R1662" s="6"/>
      <c r="S1662" s="6"/>
      <c r="T1662" s="6"/>
      <c r="U1662" s="6"/>
      <c r="V1662" s="6"/>
      <c r="W1662" s="6"/>
      <c r="X1662" s="6"/>
      <c r="Y1662" s="6"/>
      <c r="Z1662" s="6"/>
      <c r="AA1662" s="6"/>
      <c r="AB1662" s="6"/>
      <c r="AC1662" s="6"/>
      <c r="AD1662" s="6"/>
      <c r="AE1662" s="6"/>
    </row>
    <row r="1663" spans="1:31" ht="63.75" x14ac:dyDescent="0.2">
      <c r="A1663" s="6" t="s">
        <v>6404</v>
      </c>
      <c r="B1663" s="6" t="s">
        <v>7960</v>
      </c>
      <c r="C1663" s="20" t="s">
        <v>7961</v>
      </c>
      <c r="D1663" s="6" t="s">
        <v>7962</v>
      </c>
      <c r="E1663" s="6"/>
      <c r="F1663" s="6" t="s">
        <v>7963</v>
      </c>
      <c r="G1663" s="6" t="s">
        <v>7964</v>
      </c>
      <c r="H1663" s="6" t="str">
        <f t="shared" ref="H1663:H1667" si="146">CONCATENATE(F1663," (",G1663,")")</f>
        <v>OGO
SOLON (P13
P26)</v>
      </c>
      <c r="I1663" s="6" t="s">
        <v>112</v>
      </c>
      <c r="J1663" s="6"/>
      <c r="K1663" s="6"/>
      <c r="L1663" s="6" t="s">
        <v>7965</v>
      </c>
      <c r="M1663" s="6" t="s">
        <v>7966</v>
      </c>
      <c r="N1663" s="6" t="s">
        <v>68</v>
      </c>
      <c r="O1663" s="6"/>
      <c r="P1663" s="6"/>
      <c r="Q1663" s="6"/>
      <c r="R1663" s="6"/>
      <c r="S1663" s="6"/>
      <c r="T1663" s="6"/>
      <c r="U1663" s="6"/>
      <c r="V1663" s="6"/>
      <c r="W1663" s="6"/>
      <c r="X1663" s="6"/>
      <c r="Y1663" s="6"/>
      <c r="Z1663" s="6"/>
      <c r="AA1663" s="6"/>
      <c r="AB1663" s="6"/>
      <c r="AC1663" s="6"/>
      <c r="AD1663" s="6"/>
      <c r="AE1663" s="6"/>
    </row>
    <row r="1664" spans="1:31" ht="114.75" x14ac:dyDescent="0.2">
      <c r="A1664" s="6" t="s">
        <v>7967</v>
      </c>
      <c r="B1664" s="6" t="s">
        <v>7968</v>
      </c>
      <c r="C1664" s="20" t="s">
        <v>7969</v>
      </c>
      <c r="D1664" s="6" t="s">
        <v>7970</v>
      </c>
      <c r="E1664" s="6"/>
      <c r="F1664" s="6" t="s">
        <v>7971</v>
      </c>
      <c r="G1664" s="6" t="s">
        <v>7972</v>
      </c>
      <c r="H1664" s="6" t="str">
        <f t="shared" si="146"/>
        <v>THE OVERSEER
GEORGE
LINCOLN (P43
P178
P24)</v>
      </c>
      <c r="I1664" s="6" t="s">
        <v>112</v>
      </c>
      <c r="J1664" s="6"/>
      <c r="K1664" s="6"/>
      <c r="L1664" s="6" t="s">
        <v>209</v>
      </c>
      <c r="M1664" s="6" t="str">
        <f>VLOOKUP(L1664, GLOSSARY!$A:$C, 2, FALSE)</f>
        <v>BREADNUT ISLAND PEN</v>
      </c>
      <c r="N1664" s="6" t="s">
        <v>167</v>
      </c>
      <c r="O1664" s="6"/>
      <c r="P1664" s="6"/>
      <c r="Q1664" s="6"/>
      <c r="R1664" s="6"/>
      <c r="S1664" s="6"/>
      <c r="T1664" s="6"/>
      <c r="U1664" s="6"/>
      <c r="V1664" s="6"/>
      <c r="W1664" s="6"/>
      <c r="X1664" s="6"/>
      <c r="Y1664" s="6"/>
      <c r="Z1664" s="6"/>
      <c r="AA1664" s="6"/>
      <c r="AB1664" s="6"/>
      <c r="AC1664" s="6"/>
      <c r="AD1664" s="6"/>
      <c r="AE1664" s="6"/>
    </row>
    <row r="1665" spans="1:31" ht="63.75" x14ac:dyDescent="0.2">
      <c r="A1665" s="6" t="s">
        <v>7973</v>
      </c>
      <c r="B1665" s="6" t="s">
        <v>7974</v>
      </c>
      <c r="C1665" s="20" t="s">
        <v>7975</v>
      </c>
      <c r="D1665" s="6" t="s">
        <v>7976</v>
      </c>
      <c r="E1665" s="6"/>
      <c r="F1665" s="6" t="s">
        <v>7977</v>
      </c>
      <c r="G1665" s="6" t="s">
        <v>7978</v>
      </c>
      <c r="H1665" s="6" t="str">
        <f t="shared" si="146"/>
        <v>THE OVERSEER
JOHN (P43
P9)</v>
      </c>
      <c r="I1665" s="6" t="s">
        <v>957</v>
      </c>
      <c r="J1665" s="6"/>
      <c r="K1665" s="6"/>
      <c r="L1665" s="6" t="s">
        <v>209</v>
      </c>
      <c r="M1665" s="6" t="str">
        <f>VLOOKUP(L1665, GLOSSARY!$A:$C, 2, FALSE)</f>
        <v>BREADNUT ISLAND PEN</v>
      </c>
      <c r="N1665" s="6" t="s">
        <v>68</v>
      </c>
      <c r="O1665" s="6"/>
      <c r="P1665" s="6"/>
      <c r="Q1665" s="6"/>
      <c r="R1665" s="6"/>
      <c r="S1665" s="6"/>
      <c r="T1665" s="6"/>
      <c r="U1665" s="6"/>
      <c r="V1665" s="6"/>
      <c r="W1665" s="6"/>
      <c r="X1665" s="6"/>
      <c r="Y1665" s="6"/>
      <c r="Z1665" s="6"/>
      <c r="AA1665" s="6"/>
      <c r="AB1665" s="6"/>
      <c r="AC1665" s="6"/>
      <c r="AD1665" s="6"/>
      <c r="AE1665" s="6"/>
    </row>
    <row r="1666" spans="1:31" ht="114.75" x14ac:dyDescent="0.2">
      <c r="A1666" s="6" t="s">
        <v>7979</v>
      </c>
      <c r="B1666" s="6" t="s">
        <v>7980</v>
      </c>
      <c r="C1666" s="20" t="s">
        <v>7981</v>
      </c>
      <c r="D1666" s="6" t="s">
        <v>7982</v>
      </c>
      <c r="E1666" s="6"/>
      <c r="F1666" s="6" t="s">
        <v>7983</v>
      </c>
      <c r="G1666" s="6" t="s">
        <v>7984</v>
      </c>
      <c r="H1666" s="6" t="str">
        <f t="shared" si="146"/>
        <v>JOHN
PHIBBAH
VINE
ABBA (P9
P7
P12
P6)</v>
      </c>
      <c r="I1666" s="6" t="s">
        <v>859</v>
      </c>
      <c r="J1666" s="6"/>
      <c r="K1666" s="6"/>
      <c r="L1666" s="6" t="s">
        <v>255</v>
      </c>
      <c r="M1666" s="6" t="str">
        <f>VLOOKUP(L1666, GLOSSARY!$A:$C, 2, FALSE)</f>
        <v>BLUEFIELDS BAY</v>
      </c>
      <c r="N1666" s="6" t="s">
        <v>68</v>
      </c>
      <c r="O1666" s="6"/>
      <c r="P1666" s="6"/>
      <c r="Q1666" s="6"/>
      <c r="R1666" s="6"/>
      <c r="S1666" s="6"/>
      <c r="T1666" s="6"/>
      <c r="U1666" s="6"/>
      <c r="V1666" s="6"/>
      <c r="W1666" s="6"/>
      <c r="X1666" s="6"/>
      <c r="Y1666" s="6"/>
      <c r="Z1666" s="6"/>
      <c r="AA1666" s="6"/>
      <c r="AB1666" s="6"/>
      <c r="AC1666" s="6"/>
      <c r="AD1666" s="6"/>
      <c r="AE1666" s="6"/>
    </row>
    <row r="1667" spans="1:31" ht="89.25" x14ac:dyDescent="0.2">
      <c r="A1667" s="6" t="s">
        <v>6404</v>
      </c>
      <c r="B1667" s="6" t="s">
        <v>1201</v>
      </c>
      <c r="C1667" s="20" t="s">
        <v>7985</v>
      </c>
      <c r="D1667" s="6" t="s">
        <v>7986</v>
      </c>
      <c r="E1667" s="6"/>
      <c r="F1667" s="6" t="s">
        <v>7987</v>
      </c>
      <c r="G1667" s="6" t="s">
        <v>7988</v>
      </c>
      <c r="H1667" s="6" t="str">
        <f t="shared" si="146"/>
        <v>OGO
SOLON
OGO'S SWEETHEART (P13
P26
P233)</v>
      </c>
      <c r="I1667" s="6" t="s">
        <v>112</v>
      </c>
      <c r="J1667" s="6"/>
      <c r="K1667" s="6"/>
      <c r="L1667" s="6" t="s">
        <v>7965</v>
      </c>
      <c r="M1667" s="6" t="s">
        <v>7966</v>
      </c>
      <c r="N1667" s="6" t="s">
        <v>68</v>
      </c>
      <c r="O1667" s="6"/>
      <c r="P1667" s="6"/>
      <c r="Q1667" s="6"/>
      <c r="R1667" s="6"/>
      <c r="S1667" s="6"/>
      <c r="T1667" s="6"/>
      <c r="U1667" s="6"/>
      <c r="V1667" s="6"/>
      <c r="W1667" s="6"/>
      <c r="X1667" s="6"/>
      <c r="Y1667" s="6"/>
      <c r="Z1667" s="6"/>
      <c r="AA1667" s="6"/>
      <c r="AB1667" s="6"/>
      <c r="AC1667" s="6"/>
      <c r="AD1667" s="6"/>
      <c r="AE1667" s="6"/>
    </row>
    <row r="1668" spans="1:31" ht="76.5" x14ac:dyDescent="0.2">
      <c r="A1668" s="6" t="s">
        <v>7989</v>
      </c>
      <c r="B1668" s="6" t="s">
        <v>7990</v>
      </c>
      <c r="C1668" s="20" t="s">
        <v>7991</v>
      </c>
      <c r="D1668" s="6" t="s">
        <v>7992</v>
      </c>
      <c r="E1668" s="6"/>
      <c r="F1668" s="6" t="s">
        <v>2135</v>
      </c>
      <c r="G1668" s="6" t="s">
        <v>2136</v>
      </c>
      <c r="H1668" s="6" t="str">
        <f t="shared" ref="H1668:H1671" si="147">CONCATENATE(F1668,"(",G1668,")")</f>
        <v>PHIBBAH
THE OVERSEER(P7
P43)</v>
      </c>
      <c r="I1668" s="6" t="s">
        <v>957</v>
      </c>
      <c r="J1668" s="6"/>
      <c r="K1668" s="6"/>
      <c r="L1668" s="6" t="s">
        <v>209</v>
      </c>
      <c r="M1668" s="6" t="str">
        <f>VLOOKUP(L1668, GLOSSARY!$A:$C, 2, FALSE)</f>
        <v>BREADNUT ISLAND PEN</v>
      </c>
      <c r="N1668" s="6" t="s">
        <v>68</v>
      </c>
      <c r="O1668" s="6"/>
      <c r="P1668" s="6"/>
      <c r="Q1668" s="6"/>
      <c r="R1668" s="6"/>
      <c r="S1668" s="6"/>
      <c r="T1668" s="6"/>
      <c r="U1668" s="6"/>
      <c r="V1668" s="6"/>
      <c r="W1668" s="6"/>
      <c r="X1668" s="6"/>
      <c r="Y1668" s="6"/>
      <c r="Z1668" s="6"/>
      <c r="AA1668" s="6"/>
      <c r="AB1668" s="6"/>
      <c r="AC1668" s="6"/>
      <c r="AD1668" s="6"/>
      <c r="AE1668" s="6"/>
    </row>
    <row r="1669" spans="1:31" ht="38.25" x14ac:dyDescent="0.2">
      <c r="A1669" s="6" t="s">
        <v>7993</v>
      </c>
      <c r="B1669" s="6" t="s">
        <v>7994</v>
      </c>
      <c r="C1669" s="20" t="s">
        <v>7995</v>
      </c>
      <c r="D1669" s="6" t="s">
        <v>7996</v>
      </c>
      <c r="E1669" s="6"/>
      <c r="F1669" s="6" t="s">
        <v>48</v>
      </c>
      <c r="G1669" s="6" t="s">
        <v>50</v>
      </c>
      <c r="H1669" s="6" t="str">
        <f t="shared" si="147"/>
        <v>THE OVERSEER(P43)</v>
      </c>
      <c r="I1669" s="6" t="s">
        <v>759</v>
      </c>
      <c r="J1669" s="6"/>
      <c r="K1669" s="6"/>
      <c r="L1669" s="6" t="s">
        <v>209</v>
      </c>
      <c r="M1669" s="6" t="str">
        <f>VLOOKUP(L1669, GLOSSARY!$A:$C, 2, FALSE)</f>
        <v>BREADNUT ISLAND PEN</v>
      </c>
      <c r="N1669" s="6" t="s">
        <v>68</v>
      </c>
      <c r="O1669" s="6"/>
      <c r="P1669" s="6"/>
      <c r="Q1669" s="6"/>
      <c r="R1669" s="6"/>
      <c r="S1669" s="6"/>
      <c r="T1669" s="6"/>
      <c r="U1669" s="6"/>
      <c r="V1669" s="6"/>
      <c r="W1669" s="6"/>
      <c r="X1669" s="6"/>
      <c r="Y1669" s="6"/>
      <c r="Z1669" s="6"/>
      <c r="AA1669" s="6"/>
      <c r="AB1669" s="6"/>
      <c r="AC1669" s="6"/>
      <c r="AD1669" s="6"/>
      <c r="AE1669" s="6"/>
    </row>
    <row r="1670" spans="1:31" ht="51" x14ac:dyDescent="0.2">
      <c r="A1670" s="6" t="s">
        <v>7993</v>
      </c>
      <c r="B1670" s="6" t="s">
        <v>7997</v>
      </c>
      <c r="C1670" s="20" t="s">
        <v>7998</v>
      </c>
      <c r="D1670" s="6" t="s">
        <v>7999</v>
      </c>
      <c r="E1670" s="6"/>
      <c r="F1670" s="6" t="s">
        <v>48</v>
      </c>
      <c r="G1670" s="6" t="s">
        <v>50</v>
      </c>
      <c r="H1670" s="6" t="str">
        <f t="shared" si="147"/>
        <v>THE OVERSEER(P43)</v>
      </c>
      <c r="I1670" s="6" t="s">
        <v>759</v>
      </c>
      <c r="J1670" s="6"/>
      <c r="K1670" s="6"/>
      <c r="L1670" s="6" t="s">
        <v>209</v>
      </c>
      <c r="M1670" s="6" t="str">
        <f>VLOOKUP(L1670, GLOSSARY!$A:$C, 2, FALSE)</f>
        <v>BREADNUT ISLAND PEN</v>
      </c>
      <c r="N1670" s="6" t="s">
        <v>68</v>
      </c>
      <c r="O1670" s="6"/>
      <c r="P1670" s="6"/>
      <c r="Q1670" s="6"/>
      <c r="R1670" s="6"/>
      <c r="S1670" s="6"/>
      <c r="T1670" s="6"/>
      <c r="U1670" s="6"/>
      <c r="V1670" s="6"/>
      <c r="W1670" s="6"/>
      <c r="X1670" s="6"/>
      <c r="Y1670" s="6"/>
      <c r="Z1670" s="6"/>
      <c r="AA1670" s="6"/>
      <c r="AB1670" s="6"/>
      <c r="AC1670" s="6"/>
      <c r="AD1670" s="6"/>
      <c r="AE1670" s="6"/>
    </row>
    <row r="1671" spans="1:31" ht="102" x14ac:dyDescent="0.2">
      <c r="A1671" s="6" t="s">
        <v>7993</v>
      </c>
      <c r="B1671" s="6" t="s">
        <v>8000</v>
      </c>
      <c r="C1671" s="20" t="s">
        <v>8001</v>
      </c>
      <c r="D1671" s="6" t="s">
        <v>8002</v>
      </c>
      <c r="E1671" s="6"/>
      <c r="F1671" s="6" t="s">
        <v>48</v>
      </c>
      <c r="G1671" s="6" t="s">
        <v>50</v>
      </c>
      <c r="H1671" s="6" t="str">
        <f t="shared" si="147"/>
        <v>THE OVERSEER(P43)</v>
      </c>
      <c r="I1671" s="6" t="s">
        <v>759</v>
      </c>
      <c r="J1671" s="6"/>
      <c r="K1671" s="6"/>
      <c r="L1671" s="6" t="s">
        <v>209</v>
      </c>
      <c r="M1671" s="6" t="str">
        <f>VLOOKUP(L1671, GLOSSARY!$A:$C, 2, FALSE)</f>
        <v>BREADNUT ISLAND PEN</v>
      </c>
      <c r="N1671" s="6" t="s">
        <v>68</v>
      </c>
      <c r="O1671" s="6"/>
      <c r="P1671" s="6"/>
      <c r="Q1671" s="6"/>
      <c r="R1671" s="6"/>
      <c r="S1671" s="6"/>
      <c r="T1671" s="6"/>
      <c r="U1671" s="6"/>
      <c r="V1671" s="6"/>
      <c r="W1671" s="6"/>
      <c r="X1671" s="6"/>
      <c r="Y1671" s="6"/>
      <c r="Z1671" s="6"/>
      <c r="AA1671" s="6"/>
      <c r="AB1671" s="6"/>
      <c r="AC1671" s="6"/>
      <c r="AD1671" s="6"/>
      <c r="AE1671" s="6"/>
    </row>
    <row r="1672" spans="1:31" ht="76.5" x14ac:dyDescent="0.2">
      <c r="A1672" s="6" t="s">
        <v>8003</v>
      </c>
      <c r="B1672" s="6" t="s">
        <v>8004</v>
      </c>
      <c r="C1672" s="20" t="s">
        <v>8005</v>
      </c>
      <c r="D1672" s="6" t="s">
        <v>8006</v>
      </c>
      <c r="E1672" s="6"/>
      <c r="F1672" s="6" t="s">
        <v>329</v>
      </c>
      <c r="G1672" s="6" t="s">
        <v>328</v>
      </c>
      <c r="H1672" s="6" t="str">
        <f t="shared" ref="H1672:H1693" si="148">CONCATENATE(F1672," (",G1672,")")</f>
        <v>DAMSEL (P34)</v>
      </c>
      <c r="I1672" s="6" t="s">
        <v>439</v>
      </c>
      <c r="J1672" s="6"/>
      <c r="K1672" s="6"/>
      <c r="L1672" s="6" t="s">
        <v>440</v>
      </c>
      <c r="M1672" s="6" t="str">
        <f>VLOOKUP(L1672, GLOSSARY!$A:$C, 2, FALSE)</f>
        <v>THE ROAD(S)</v>
      </c>
      <c r="N1672" s="6" t="s">
        <v>68</v>
      </c>
      <c r="O1672" s="6"/>
      <c r="P1672" s="6"/>
      <c r="Q1672" s="6"/>
      <c r="R1672" s="6"/>
      <c r="S1672" s="6"/>
      <c r="T1672" s="6"/>
      <c r="U1672" s="6"/>
      <c r="V1672" s="6"/>
      <c r="W1672" s="6"/>
      <c r="X1672" s="6"/>
      <c r="Y1672" s="6"/>
      <c r="Z1672" s="6"/>
      <c r="AA1672" s="6"/>
      <c r="AB1672" s="6"/>
      <c r="AC1672" s="6"/>
      <c r="AD1672" s="6"/>
      <c r="AE1672" s="6"/>
    </row>
    <row r="1673" spans="1:31" ht="255" x14ac:dyDescent="0.2">
      <c r="A1673" s="6" t="s">
        <v>8007</v>
      </c>
      <c r="B1673" s="6" t="s">
        <v>6200</v>
      </c>
      <c r="C1673" s="20" t="s">
        <v>8008</v>
      </c>
      <c r="D1673" s="6" t="s">
        <v>8009</v>
      </c>
      <c r="E1673" s="6" t="s">
        <v>8010</v>
      </c>
      <c r="F1673" s="6" t="s">
        <v>8011</v>
      </c>
      <c r="G1673" s="6" t="s">
        <v>8012</v>
      </c>
      <c r="H1673" s="18" t="str">
        <f t="shared" si="148"/>
        <v>MOLIA
JAMES LYMBURNER
JOHN HARTNOLE
DR. DRUMMOND
RICHARD CROTCHER
 (P1
P53
P81
P69)</v>
      </c>
      <c r="I1673" s="6" t="s">
        <v>656</v>
      </c>
      <c r="J1673" s="6" t="s">
        <v>35</v>
      </c>
      <c r="K1673" s="6" t="s">
        <v>8013</v>
      </c>
      <c r="L1673" s="6" t="s">
        <v>8014</v>
      </c>
      <c r="M1673" s="18" t="e">
        <f>VLOOKUP(L1673, GLOSSARY!$A:$C, 2, FALSE)</f>
        <v>#N/A</v>
      </c>
      <c r="N1673" s="6" t="s">
        <v>68</v>
      </c>
      <c r="O1673" s="6" t="s">
        <v>8015</v>
      </c>
      <c r="P1673" s="6"/>
      <c r="Q1673" s="6"/>
      <c r="R1673" s="6"/>
      <c r="S1673" s="6"/>
      <c r="T1673" s="6"/>
      <c r="U1673" s="6"/>
      <c r="V1673" s="6"/>
      <c r="W1673" s="6"/>
      <c r="X1673" s="6"/>
      <c r="Y1673" s="6"/>
      <c r="Z1673" s="6"/>
      <c r="AA1673" s="6"/>
      <c r="AB1673" s="6"/>
      <c r="AC1673" s="6"/>
      <c r="AD1673" s="6"/>
      <c r="AE1673" s="6"/>
    </row>
    <row r="1674" spans="1:31" ht="51" x14ac:dyDescent="0.2">
      <c r="A1674" s="6" t="s">
        <v>8007</v>
      </c>
      <c r="B1674" s="6" t="s">
        <v>6200</v>
      </c>
      <c r="C1674" s="20" t="s">
        <v>8016</v>
      </c>
      <c r="D1674" s="6" t="s">
        <v>8017</v>
      </c>
      <c r="E1674" s="6" t="s">
        <v>8018</v>
      </c>
      <c r="F1674" s="6" t="s">
        <v>8019</v>
      </c>
      <c r="G1674" s="6" t="s">
        <v>8020</v>
      </c>
      <c r="H1674" s="18" t="str">
        <f t="shared" si="148"/>
        <v>SOLON
MOLIA
 (P26
P1)</v>
      </c>
      <c r="I1674" s="6" t="s">
        <v>656</v>
      </c>
      <c r="J1674" s="6" t="s">
        <v>35</v>
      </c>
      <c r="K1674" s="6" t="s">
        <v>207</v>
      </c>
      <c r="L1674" s="6" t="s">
        <v>209</v>
      </c>
      <c r="M1674" s="18" t="str">
        <f>VLOOKUP(L1674, GLOSSARY!$A:$C, 2, FALSE)</f>
        <v>BREADNUT ISLAND PEN</v>
      </c>
      <c r="N1674" s="6" t="s">
        <v>68</v>
      </c>
      <c r="O1674" s="6" t="s">
        <v>8021</v>
      </c>
      <c r="P1674" s="6"/>
      <c r="Q1674" s="6"/>
      <c r="R1674" s="6"/>
      <c r="S1674" s="6"/>
      <c r="T1674" s="6"/>
      <c r="U1674" s="6"/>
      <c r="V1674" s="6"/>
      <c r="W1674" s="6"/>
      <c r="X1674" s="6"/>
      <c r="Y1674" s="6"/>
      <c r="Z1674" s="6"/>
      <c r="AA1674" s="6"/>
      <c r="AB1674" s="6"/>
      <c r="AC1674" s="6"/>
      <c r="AD1674" s="6"/>
      <c r="AE1674" s="6"/>
    </row>
    <row r="1675" spans="1:31" ht="51" x14ac:dyDescent="0.2">
      <c r="A1675" s="6" t="s">
        <v>8007</v>
      </c>
      <c r="B1675" s="6" t="s">
        <v>8022</v>
      </c>
      <c r="C1675" s="20" t="s">
        <v>8023</v>
      </c>
      <c r="D1675" s="6" t="s">
        <v>8024</v>
      </c>
      <c r="E1675" s="6"/>
      <c r="F1675" s="6"/>
      <c r="G1675" s="6"/>
      <c r="H1675" s="18" t="str">
        <f t="shared" si="148"/>
        <v xml:space="preserve"> ()</v>
      </c>
      <c r="I1675" s="6" t="s">
        <v>26</v>
      </c>
      <c r="J1675" s="6"/>
      <c r="K1675" s="6" t="s">
        <v>207</v>
      </c>
      <c r="L1675" s="6" t="s">
        <v>209</v>
      </c>
      <c r="M1675" s="18" t="str">
        <f>VLOOKUP(L1675, GLOSSARY!$A:$C, 2, FALSE)</f>
        <v>BREADNUT ISLAND PEN</v>
      </c>
      <c r="N1675" s="6" t="s">
        <v>287</v>
      </c>
      <c r="O1675" s="6" t="s">
        <v>8025</v>
      </c>
      <c r="P1675" s="6"/>
      <c r="Q1675" s="6"/>
      <c r="R1675" s="6"/>
      <c r="S1675" s="6"/>
      <c r="T1675" s="6"/>
      <c r="U1675" s="6"/>
      <c r="V1675" s="6"/>
      <c r="W1675" s="6"/>
      <c r="X1675" s="6"/>
      <c r="Y1675" s="6"/>
      <c r="Z1675" s="6"/>
      <c r="AA1675" s="6"/>
      <c r="AB1675" s="6"/>
      <c r="AC1675" s="6"/>
      <c r="AD1675" s="6"/>
      <c r="AE1675" s="6"/>
    </row>
    <row r="1676" spans="1:31" ht="89.25" x14ac:dyDescent="0.2">
      <c r="A1676" s="6" t="s">
        <v>8007</v>
      </c>
      <c r="B1676" s="6" t="s">
        <v>8026</v>
      </c>
      <c r="C1676" s="20" t="s">
        <v>8027</v>
      </c>
      <c r="D1676" s="6" t="s">
        <v>8028</v>
      </c>
      <c r="E1676" s="6" t="s">
        <v>8018</v>
      </c>
      <c r="F1676" s="6" t="s">
        <v>8029</v>
      </c>
      <c r="G1676" s="6" t="s">
        <v>8020</v>
      </c>
      <c r="H1676" s="18" t="str">
        <f t="shared" si="148"/>
        <v>SOLON
MOLIA (P26
P1)</v>
      </c>
      <c r="I1676" s="6" t="s">
        <v>656</v>
      </c>
      <c r="J1676" s="6" t="s">
        <v>35</v>
      </c>
      <c r="K1676" s="6" t="s">
        <v>8030</v>
      </c>
      <c r="L1676" s="6"/>
      <c r="M1676" s="18" t="e">
        <f>VLOOKUP(L1676, GLOSSARY!$A:$C, 2, FALSE)</f>
        <v>#N/A</v>
      </c>
      <c r="N1676" s="6"/>
      <c r="O1676" s="6" t="s">
        <v>8031</v>
      </c>
      <c r="P1676" s="6"/>
      <c r="Q1676" s="6"/>
      <c r="R1676" s="6"/>
      <c r="S1676" s="6"/>
      <c r="T1676" s="6"/>
      <c r="U1676" s="6"/>
      <c r="V1676" s="6"/>
      <c r="W1676" s="6"/>
      <c r="X1676" s="6"/>
      <c r="Y1676" s="6"/>
      <c r="Z1676" s="6"/>
      <c r="AA1676" s="6"/>
      <c r="AB1676" s="6"/>
      <c r="AC1676" s="6"/>
      <c r="AD1676" s="6"/>
      <c r="AE1676" s="6"/>
    </row>
    <row r="1677" spans="1:31" ht="63.75" x14ac:dyDescent="0.2">
      <c r="A1677" s="6" t="s">
        <v>8007</v>
      </c>
      <c r="B1677" s="6" t="s">
        <v>7485</v>
      </c>
      <c r="C1677" s="20" t="s">
        <v>8032</v>
      </c>
      <c r="D1677" s="6" t="s">
        <v>8033</v>
      </c>
      <c r="E1677" s="6" t="s">
        <v>8018</v>
      </c>
      <c r="F1677" s="6" t="s">
        <v>8029</v>
      </c>
      <c r="G1677" s="6" t="s">
        <v>8020</v>
      </c>
      <c r="H1677" s="18" t="str">
        <f t="shared" si="148"/>
        <v>SOLON
MOLIA (P26
P1)</v>
      </c>
      <c r="I1677" s="6" t="s">
        <v>656</v>
      </c>
      <c r="J1677" s="6" t="s">
        <v>35</v>
      </c>
      <c r="K1677" s="6" t="s">
        <v>8034</v>
      </c>
      <c r="L1677" s="6" t="s">
        <v>8035</v>
      </c>
      <c r="M1677" s="18" t="e">
        <f>VLOOKUP(L1677, GLOSSARY!$A:$C, 2, FALSE)</f>
        <v>#N/A</v>
      </c>
      <c r="N1677" s="6" t="s">
        <v>287</v>
      </c>
      <c r="O1677" s="6" t="s">
        <v>8036</v>
      </c>
      <c r="P1677" s="6"/>
      <c r="Q1677" s="6"/>
      <c r="R1677" s="6"/>
      <c r="S1677" s="6"/>
      <c r="T1677" s="6"/>
      <c r="U1677" s="6"/>
      <c r="V1677" s="6"/>
      <c r="W1677" s="6"/>
      <c r="X1677" s="6"/>
      <c r="Y1677" s="6"/>
      <c r="Z1677" s="6"/>
      <c r="AA1677" s="6"/>
      <c r="AB1677" s="6"/>
      <c r="AC1677" s="6"/>
      <c r="AD1677" s="6"/>
      <c r="AE1677" s="6"/>
    </row>
    <row r="1678" spans="1:31" ht="63.75" x14ac:dyDescent="0.2">
      <c r="A1678" s="6" t="s">
        <v>8007</v>
      </c>
      <c r="B1678" s="6" t="s">
        <v>8037</v>
      </c>
      <c r="C1678" s="20" t="s">
        <v>8038</v>
      </c>
      <c r="D1678" s="6" t="s">
        <v>8039</v>
      </c>
      <c r="E1678" s="6"/>
      <c r="F1678" s="6"/>
      <c r="G1678" s="6"/>
      <c r="H1678" s="18" t="str">
        <f t="shared" si="148"/>
        <v xml:space="preserve"> ()</v>
      </c>
      <c r="I1678" s="6" t="s">
        <v>26</v>
      </c>
      <c r="J1678" s="6"/>
      <c r="K1678" s="6" t="s">
        <v>207</v>
      </c>
      <c r="L1678" s="6" t="s">
        <v>8035</v>
      </c>
      <c r="M1678" s="18" t="e">
        <f>VLOOKUP(L1678, GLOSSARY!$A:$C, 2, FALSE)</f>
        <v>#N/A</v>
      </c>
      <c r="N1678" s="6" t="s">
        <v>287</v>
      </c>
      <c r="O1678" s="6" t="s">
        <v>8039</v>
      </c>
      <c r="P1678" s="6"/>
      <c r="Q1678" s="6"/>
      <c r="R1678" s="6"/>
      <c r="S1678" s="6"/>
      <c r="T1678" s="6"/>
      <c r="U1678" s="6"/>
      <c r="V1678" s="6"/>
      <c r="W1678" s="6"/>
      <c r="X1678" s="6"/>
      <c r="Y1678" s="6"/>
      <c r="Z1678" s="6"/>
      <c r="AA1678" s="6"/>
      <c r="AB1678" s="6"/>
      <c r="AC1678" s="6"/>
      <c r="AD1678" s="6"/>
      <c r="AE1678" s="6"/>
    </row>
    <row r="1679" spans="1:31" ht="51" x14ac:dyDescent="0.2">
      <c r="A1679" s="6" t="s">
        <v>8007</v>
      </c>
      <c r="B1679" s="6" t="s">
        <v>6223</v>
      </c>
      <c r="C1679" s="20" t="s">
        <v>8040</v>
      </c>
      <c r="D1679" s="6" t="s">
        <v>8041</v>
      </c>
      <c r="E1679" s="6" t="s">
        <v>8018</v>
      </c>
      <c r="F1679" s="6" t="s">
        <v>8029</v>
      </c>
      <c r="G1679" s="6" t="s">
        <v>8020</v>
      </c>
      <c r="H1679" s="18" t="str">
        <f t="shared" si="148"/>
        <v>SOLON
MOLIA (P26
P1)</v>
      </c>
      <c r="I1679" s="6" t="s">
        <v>656</v>
      </c>
      <c r="J1679" s="6" t="s">
        <v>35</v>
      </c>
      <c r="K1679" s="6" t="s">
        <v>8042</v>
      </c>
      <c r="L1679" s="6" t="s">
        <v>8043</v>
      </c>
      <c r="M1679" s="18" t="e">
        <f>VLOOKUP(L1679, GLOSSARY!$A:$C, 2, FALSE)</f>
        <v>#N/A</v>
      </c>
      <c r="N1679" s="6" t="s">
        <v>167</v>
      </c>
      <c r="O1679" s="6" t="s">
        <v>8044</v>
      </c>
      <c r="P1679" s="6"/>
      <c r="Q1679" s="6"/>
      <c r="R1679" s="6"/>
      <c r="S1679" s="6"/>
      <c r="T1679" s="6"/>
      <c r="U1679" s="6"/>
      <c r="V1679" s="6"/>
      <c r="W1679" s="6"/>
      <c r="X1679" s="6"/>
      <c r="Y1679" s="6"/>
      <c r="Z1679" s="6"/>
      <c r="AA1679" s="6"/>
      <c r="AB1679" s="6"/>
      <c r="AC1679" s="6"/>
      <c r="AD1679" s="6"/>
      <c r="AE1679" s="6"/>
    </row>
    <row r="1680" spans="1:31" ht="25.5" x14ac:dyDescent="0.2">
      <c r="A1680" s="6" t="s">
        <v>8007</v>
      </c>
      <c r="B1680" s="6" t="s">
        <v>8037</v>
      </c>
      <c r="C1680" s="20" t="s">
        <v>8045</v>
      </c>
      <c r="D1680" s="6" t="s">
        <v>8046</v>
      </c>
      <c r="E1680" s="6"/>
      <c r="F1680" s="6"/>
      <c r="G1680" s="6"/>
      <c r="H1680" s="18" t="str">
        <f t="shared" si="148"/>
        <v xml:space="preserve"> ()</v>
      </c>
      <c r="I1680" s="6" t="s">
        <v>26</v>
      </c>
      <c r="J1680" s="6"/>
      <c r="K1680" s="6" t="s">
        <v>207</v>
      </c>
      <c r="L1680" s="6" t="s">
        <v>209</v>
      </c>
      <c r="M1680" s="18" t="str">
        <f>VLOOKUP(L1680, GLOSSARY!$A:$C, 2, FALSE)</f>
        <v>BREADNUT ISLAND PEN</v>
      </c>
      <c r="N1680" s="6" t="s">
        <v>287</v>
      </c>
      <c r="O1680" s="6" t="s">
        <v>8046</v>
      </c>
      <c r="P1680" s="6"/>
      <c r="Q1680" s="6"/>
      <c r="R1680" s="6"/>
      <c r="S1680" s="6"/>
      <c r="T1680" s="6"/>
      <c r="U1680" s="6"/>
      <c r="V1680" s="6"/>
      <c r="W1680" s="6"/>
      <c r="X1680" s="6"/>
      <c r="Y1680" s="6"/>
      <c r="Z1680" s="6"/>
      <c r="AA1680" s="6"/>
      <c r="AB1680" s="6"/>
      <c r="AC1680" s="6"/>
      <c r="AD1680" s="6"/>
      <c r="AE1680" s="6"/>
    </row>
    <row r="1681" spans="1:31" ht="12.75" x14ac:dyDescent="0.2">
      <c r="A1681" s="6" t="s">
        <v>8007</v>
      </c>
      <c r="B1681" s="6" t="s">
        <v>8047</v>
      </c>
      <c r="C1681" s="20" t="s">
        <v>8048</v>
      </c>
      <c r="D1681" s="6" t="s">
        <v>8049</v>
      </c>
      <c r="E1681" s="6" t="s">
        <v>3829</v>
      </c>
      <c r="F1681" s="6" t="s">
        <v>29</v>
      </c>
      <c r="G1681" s="6" t="s">
        <v>28</v>
      </c>
      <c r="H1681" s="18" t="str">
        <f t="shared" si="148"/>
        <v>MOLIA (P1)</v>
      </c>
      <c r="I1681" s="6" t="s">
        <v>656</v>
      </c>
      <c r="J1681" s="6" t="s">
        <v>35</v>
      </c>
      <c r="K1681" s="6" t="s">
        <v>207</v>
      </c>
      <c r="L1681" s="6" t="s">
        <v>209</v>
      </c>
      <c r="M1681" s="18" t="str">
        <f>VLOOKUP(L1681, GLOSSARY!$A:$C, 2, FALSE)</f>
        <v>BREADNUT ISLAND PEN</v>
      </c>
      <c r="N1681" s="6" t="s">
        <v>287</v>
      </c>
      <c r="O1681" s="6"/>
      <c r="P1681" s="6"/>
      <c r="Q1681" s="6"/>
      <c r="R1681" s="6"/>
      <c r="S1681" s="6"/>
      <c r="T1681" s="6"/>
      <c r="U1681" s="6"/>
      <c r="V1681" s="6"/>
      <c r="W1681" s="6"/>
      <c r="X1681" s="6"/>
      <c r="Y1681" s="6"/>
      <c r="Z1681" s="6"/>
      <c r="AA1681" s="6"/>
      <c r="AB1681" s="6"/>
      <c r="AC1681" s="6"/>
      <c r="AD1681" s="6"/>
      <c r="AE1681" s="6"/>
    </row>
    <row r="1682" spans="1:31" ht="38.25" x14ac:dyDescent="0.2">
      <c r="A1682" s="6" t="s">
        <v>8007</v>
      </c>
      <c r="B1682" s="6" t="s">
        <v>8050</v>
      </c>
      <c r="C1682" s="20" t="s">
        <v>8051</v>
      </c>
      <c r="D1682" s="6" t="s">
        <v>8052</v>
      </c>
      <c r="E1682" s="6"/>
      <c r="F1682" s="6"/>
      <c r="G1682" s="6"/>
      <c r="H1682" s="18" t="str">
        <f t="shared" si="148"/>
        <v xml:space="preserve"> ()</v>
      </c>
      <c r="I1682" s="6" t="s">
        <v>26</v>
      </c>
      <c r="J1682" s="6"/>
      <c r="K1682" s="6" t="s">
        <v>207</v>
      </c>
      <c r="L1682" s="6" t="s">
        <v>209</v>
      </c>
      <c r="M1682" s="18" t="str">
        <f>VLOOKUP(L1682, GLOSSARY!$A:$C, 2, FALSE)</f>
        <v>BREADNUT ISLAND PEN</v>
      </c>
      <c r="N1682" s="6" t="s">
        <v>287</v>
      </c>
      <c r="O1682" s="6" t="s">
        <v>8052</v>
      </c>
      <c r="P1682" s="6"/>
      <c r="Q1682" s="6"/>
      <c r="R1682" s="6"/>
      <c r="S1682" s="6"/>
      <c r="T1682" s="6"/>
      <c r="U1682" s="6"/>
      <c r="V1682" s="6"/>
      <c r="W1682" s="6"/>
      <c r="X1682" s="6"/>
      <c r="Y1682" s="6"/>
      <c r="Z1682" s="6"/>
      <c r="AA1682" s="6"/>
      <c r="AB1682" s="6"/>
      <c r="AC1682" s="6"/>
      <c r="AD1682" s="6"/>
      <c r="AE1682" s="6"/>
    </row>
    <row r="1683" spans="1:31" ht="76.5" x14ac:dyDescent="0.2">
      <c r="A1683" s="6" t="s">
        <v>8007</v>
      </c>
      <c r="B1683" s="6" t="s">
        <v>8050</v>
      </c>
      <c r="C1683" s="20" t="s">
        <v>8053</v>
      </c>
      <c r="D1683" s="6" t="s">
        <v>8054</v>
      </c>
      <c r="E1683" s="6"/>
      <c r="F1683" s="6"/>
      <c r="G1683" s="6"/>
      <c r="H1683" s="18" t="str">
        <f t="shared" si="148"/>
        <v xml:space="preserve"> ()</v>
      </c>
      <c r="I1683" s="6" t="s">
        <v>26</v>
      </c>
      <c r="J1683" s="6"/>
      <c r="K1683" s="6" t="s">
        <v>207</v>
      </c>
      <c r="L1683" s="6" t="s">
        <v>209</v>
      </c>
      <c r="M1683" s="18" t="str">
        <f>VLOOKUP(L1683, GLOSSARY!$A:$C, 2, FALSE)</f>
        <v>BREADNUT ISLAND PEN</v>
      </c>
      <c r="N1683" s="6" t="s">
        <v>287</v>
      </c>
      <c r="O1683" s="6" t="s">
        <v>8054</v>
      </c>
      <c r="P1683" s="6"/>
      <c r="Q1683" s="6"/>
      <c r="R1683" s="6"/>
      <c r="S1683" s="6"/>
      <c r="T1683" s="6"/>
      <c r="U1683" s="6"/>
      <c r="V1683" s="6"/>
      <c r="W1683" s="6"/>
      <c r="X1683" s="6"/>
      <c r="Y1683" s="6"/>
      <c r="Z1683" s="6"/>
      <c r="AA1683" s="6"/>
      <c r="AB1683" s="6"/>
      <c r="AC1683" s="6"/>
      <c r="AD1683" s="6"/>
      <c r="AE1683" s="6"/>
    </row>
    <row r="1684" spans="1:31" ht="153" x14ac:dyDescent="0.2">
      <c r="A1684" s="6" t="s">
        <v>8007</v>
      </c>
      <c r="B1684" s="6" t="s">
        <v>7502</v>
      </c>
      <c r="C1684" s="20" t="s">
        <v>8055</v>
      </c>
      <c r="D1684" s="6" t="s">
        <v>8056</v>
      </c>
      <c r="E1684" s="6" t="s">
        <v>8057</v>
      </c>
      <c r="F1684" s="6" t="s">
        <v>8058</v>
      </c>
      <c r="G1684" s="6" t="s">
        <v>8059</v>
      </c>
      <c r="H1684" s="18" t="str">
        <f t="shared" si="148"/>
        <v>MOLIA
MR. CHAMBERS
CHUB
STROP
THE OVERSEER (P1
P70
P57
P71
P43)</v>
      </c>
      <c r="I1684" s="6" t="s">
        <v>656</v>
      </c>
      <c r="J1684" s="6" t="s">
        <v>35</v>
      </c>
      <c r="K1684" s="6" t="s">
        <v>8060</v>
      </c>
      <c r="L1684" s="6" t="s">
        <v>8061</v>
      </c>
      <c r="M1684" s="18" t="e">
        <f>VLOOKUP(L1684, GLOSSARY!$A:$C, 2, FALSE)</f>
        <v>#N/A</v>
      </c>
      <c r="N1684" s="6" t="s">
        <v>287</v>
      </c>
      <c r="O1684" s="6"/>
      <c r="P1684" s="6"/>
      <c r="Q1684" s="6"/>
      <c r="R1684" s="6"/>
      <c r="S1684" s="6"/>
      <c r="T1684" s="6"/>
      <c r="U1684" s="6"/>
      <c r="V1684" s="6"/>
      <c r="W1684" s="6"/>
      <c r="X1684" s="6"/>
      <c r="Y1684" s="6"/>
      <c r="Z1684" s="6"/>
      <c r="AA1684" s="6"/>
      <c r="AB1684" s="6"/>
      <c r="AC1684" s="6"/>
      <c r="AD1684" s="6"/>
      <c r="AE1684" s="6"/>
    </row>
    <row r="1685" spans="1:31" ht="63.75" x14ac:dyDescent="0.2">
      <c r="A1685" s="6" t="s">
        <v>8007</v>
      </c>
      <c r="B1685" s="6" t="s">
        <v>8062</v>
      </c>
      <c r="C1685" s="62" t="s">
        <v>8063</v>
      </c>
      <c r="D1685" s="6" t="s">
        <v>8064</v>
      </c>
      <c r="E1685" s="6"/>
      <c r="F1685" s="6"/>
      <c r="G1685" s="6"/>
      <c r="H1685" s="18" t="str">
        <f t="shared" si="148"/>
        <v xml:space="preserve"> ()</v>
      </c>
      <c r="I1685" s="6" t="s">
        <v>26</v>
      </c>
      <c r="J1685" s="6"/>
      <c r="K1685" s="6" t="s">
        <v>207</v>
      </c>
      <c r="L1685" s="6" t="s">
        <v>209</v>
      </c>
      <c r="M1685" s="18" t="str">
        <f>VLOOKUP(L1685, GLOSSARY!$A:$C, 2, FALSE)</f>
        <v>BREADNUT ISLAND PEN</v>
      </c>
      <c r="N1685" s="6" t="s">
        <v>287</v>
      </c>
      <c r="O1685" s="6" t="s">
        <v>8064</v>
      </c>
      <c r="P1685" s="6"/>
      <c r="Q1685" s="6"/>
      <c r="R1685" s="6"/>
      <c r="S1685" s="6"/>
      <c r="T1685" s="6"/>
      <c r="U1685" s="6"/>
      <c r="V1685" s="6"/>
      <c r="W1685" s="6"/>
      <c r="X1685" s="6"/>
      <c r="Y1685" s="6"/>
      <c r="Z1685" s="6"/>
      <c r="AA1685" s="6"/>
      <c r="AB1685" s="6"/>
      <c r="AC1685" s="6"/>
      <c r="AD1685" s="6"/>
      <c r="AE1685" s="6"/>
    </row>
    <row r="1686" spans="1:31" ht="51" x14ac:dyDescent="0.2">
      <c r="A1686" s="6" t="s">
        <v>8007</v>
      </c>
      <c r="B1686" s="6" t="s">
        <v>8062</v>
      </c>
      <c r="C1686" s="20" t="s">
        <v>8065</v>
      </c>
      <c r="D1686" s="6" t="s">
        <v>8066</v>
      </c>
      <c r="E1686" s="6"/>
      <c r="F1686" s="6"/>
      <c r="G1686" s="6"/>
      <c r="H1686" s="18" t="str">
        <f t="shared" si="148"/>
        <v xml:space="preserve"> ()</v>
      </c>
      <c r="I1686" s="6" t="s">
        <v>26</v>
      </c>
      <c r="J1686" s="6"/>
      <c r="K1686" s="6" t="s">
        <v>207</v>
      </c>
      <c r="L1686" s="6" t="s">
        <v>209</v>
      </c>
      <c r="M1686" s="18" t="str">
        <f>VLOOKUP(L1686, GLOSSARY!$A:$C, 2, FALSE)</f>
        <v>BREADNUT ISLAND PEN</v>
      </c>
      <c r="N1686" s="6" t="s">
        <v>287</v>
      </c>
      <c r="O1686" s="6" t="s">
        <v>8066</v>
      </c>
      <c r="P1686" s="6"/>
      <c r="Q1686" s="6"/>
      <c r="R1686" s="6"/>
      <c r="S1686" s="6"/>
      <c r="T1686" s="6"/>
      <c r="U1686" s="6"/>
      <c r="V1686" s="6"/>
      <c r="W1686" s="6"/>
      <c r="X1686" s="6"/>
      <c r="Y1686" s="6"/>
      <c r="Z1686" s="6"/>
      <c r="AA1686" s="6"/>
      <c r="AB1686" s="6"/>
      <c r="AC1686" s="6"/>
      <c r="AD1686" s="6"/>
      <c r="AE1686" s="6"/>
    </row>
    <row r="1687" spans="1:31" ht="76.5" x14ac:dyDescent="0.2">
      <c r="A1687" s="6" t="s">
        <v>8007</v>
      </c>
      <c r="B1687" s="6" t="s">
        <v>8062</v>
      </c>
      <c r="C1687" s="20" t="s">
        <v>8067</v>
      </c>
      <c r="D1687" s="6" t="s">
        <v>8068</v>
      </c>
      <c r="E1687" s="6"/>
      <c r="F1687" s="6"/>
      <c r="G1687" s="6"/>
      <c r="H1687" s="18" t="str">
        <f t="shared" si="148"/>
        <v xml:space="preserve"> ()</v>
      </c>
      <c r="I1687" s="6" t="s">
        <v>26</v>
      </c>
      <c r="J1687" s="6"/>
      <c r="K1687" s="6" t="s">
        <v>207</v>
      </c>
      <c r="L1687" s="6" t="s">
        <v>209</v>
      </c>
      <c r="M1687" s="18" t="str">
        <f>VLOOKUP(L1687, GLOSSARY!$A:$C, 2, FALSE)</f>
        <v>BREADNUT ISLAND PEN</v>
      </c>
      <c r="N1687" s="6" t="s">
        <v>287</v>
      </c>
      <c r="O1687" s="6" t="s">
        <v>8068</v>
      </c>
      <c r="P1687" s="6"/>
      <c r="Q1687" s="6"/>
      <c r="R1687" s="6"/>
      <c r="S1687" s="6"/>
      <c r="T1687" s="6"/>
      <c r="U1687" s="6"/>
      <c r="V1687" s="6"/>
      <c r="W1687" s="6"/>
      <c r="X1687" s="6"/>
      <c r="Y1687" s="6"/>
      <c r="Z1687" s="6"/>
      <c r="AA1687" s="6"/>
      <c r="AB1687" s="6"/>
      <c r="AC1687" s="6"/>
      <c r="AD1687" s="6"/>
      <c r="AE1687" s="6"/>
    </row>
    <row r="1688" spans="1:31" ht="51" x14ac:dyDescent="0.2">
      <c r="A1688" s="6" t="s">
        <v>8007</v>
      </c>
      <c r="B1688" s="6" t="s">
        <v>8062</v>
      </c>
      <c r="C1688" s="20" t="s">
        <v>8069</v>
      </c>
      <c r="D1688" s="6" t="s">
        <v>8070</v>
      </c>
      <c r="E1688" s="6"/>
      <c r="F1688" s="6"/>
      <c r="G1688" s="6"/>
      <c r="H1688" s="18" t="str">
        <f t="shared" si="148"/>
        <v xml:space="preserve"> ()</v>
      </c>
      <c r="I1688" s="6" t="s">
        <v>26</v>
      </c>
      <c r="J1688" s="6"/>
      <c r="K1688" s="6" t="s">
        <v>207</v>
      </c>
      <c r="L1688" s="6" t="s">
        <v>209</v>
      </c>
      <c r="M1688" s="18" t="str">
        <f>VLOOKUP(L1688, GLOSSARY!$A:$C, 2, FALSE)</f>
        <v>BREADNUT ISLAND PEN</v>
      </c>
      <c r="N1688" s="6" t="s">
        <v>287</v>
      </c>
      <c r="O1688" s="6" t="s">
        <v>8070</v>
      </c>
      <c r="P1688" s="6"/>
      <c r="Q1688" s="6"/>
      <c r="R1688" s="6"/>
      <c r="S1688" s="6"/>
      <c r="T1688" s="6"/>
      <c r="U1688" s="6"/>
      <c r="V1688" s="6"/>
      <c r="W1688" s="6"/>
      <c r="X1688" s="6"/>
      <c r="Y1688" s="6"/>
      <c r="Z1688" s="6"/>
      <c r="AA1688" s="6"/>
      <c r="AB1688" s="6"/>
      <c r="AC1688" s="6"/>
      <c r="AD1688" s="6"/>
      <c r="AE1688" s="6"/>
    </row>
    <row r="1689" spans="1:31" ht="51" x14ac:dyDescent="0.2">
      <c r="A1689" s="6" t="s">
        <v>8007</v>
      </c>
      <c r="B1689" s="6" t="s">
        <v>8062</v>
      </c>
      <c r="C1689" s="20" t="s">
        <v>8071</v>
      </c>
      <c r="D1689" s="6" t="s">
        <v>8072</v>
      </c>
      <c r="E1689" s="6"/>
      <c r="F1689" s="6"/>
      <c r="G1689" s="6"/>
      <c r="H1689" s="18" t="str">
        <f t="shared" si="148"/>
        <v xml:space="preserve"> ()</v>
      </c>
      <c r="I1689" s="6" t="s">
        <v>26</v>
      </c>
      <c r="J1689" s="6"/>
      <c r="K1689" s="6" t="s">
        <v>207</v>
      </c>
      <c r="L1689" s="6" t="s">
        <v>209</v>
      </c>
      <c r="M1689" s="18" t="str">
        <f>VLOOKUP(L1689, GLOSSARY!$A:$C, 2, FALSE)</f>
        <v>BREADNUT ISLAND PEN</v>
      </c>
      <c r="N1689" s="6" t="s">
        <v>287</v>
      </c>
      <c r="O1689" s="6" t="s">
        <v>8072</v>
      </c>
      <c r="P1689" s="6"/>
      <c r="Q1689" s="6"/>
      <c r="R1689" s="6"/>
      <c r="S1689" s="6"/>
      <c r="T1689" s="6"/>
      <c r="U1689" s="6"/>
      <c r="V1689" s="6"/>
      <c r="W1689" s="6"/>
      <c r="X1689" s="6"/>
      <c r="Y1689" s="6"/>
      <c r="Z1689" s="6"/>
      <c r="AA1689" s="6"/>
      <c r="AB1689" s="6"/>
      <c r="AC1689" s="6"/>
      <c r="AD1689" s="6"/>
      <c r="AE1689" s="6"/>
    </row>
    <row r="1690" spans="1:31" ht="102" x14ac:dyDescent="0.2">
      <c r="A1690" s="6" t="s">
        <v>8007</v>
      </c>
      <c r="B1690" s="6" t="s">
        <v>8073</v>
      </c>
      <c r="C1690" s="20" t="s">
        <v>8074</v>
      </c>
      <c r="D1690" s="6" t="s">
        <v>8075</v>
      </c>
      <c r="E1690" s="6" t="s">
        <v>8076</v>
      </c>
      <c r="F1690" s="6" t="s">
        <v>8077</v>
      </c>
      <c r="G1690" s="6" t="s">
        <v>8078</v>
      </c>
      <c r="H1690" s="18" t="str">
        <f t="shared" si="148"/>
        <v>MOLIA
PARADISE JACK
THE OVERSEER (P1
P35
P43)</v>
      </c>
      <c r="I1690" s="6" t="s">
        <v>656</v>
      </c>
      <c r="J1690" s="6" t="s">
        <v>35</v>
      </c>
      <c r="K1690" s="6" t="s">
        <v>6597</v>
      </c>
      <c r="L1690" s="6" t="s">
        <v>6596</v>
      </c>
      <c r="M1690" s="18" t="e">
        <f>VLOOKUP(L1690, GLOSSARY!$A:$C, 2, FALSE)</f>
        <v>#N/A</v>
      </c>
      <c r="N1690" s="6" t="s">
        <v>68</v>
      </c>
      <c r="O1690" s="6"/>
      <c r="P1690" s="6"/>
      <c r="Q1690" s="6"/>
      <c r="R1690" s="6"/>
      <c r="S1690" s="6"/>
      <c r="T1690" s="6"/>
      <c r="U1690" s="6"/>
      <c r="V1690" s="6"/>
      <c r="W1690" s="6"/>
      <c r="X1690" s="6"/>
      <c r="Y1690" s="6"/>
      <c r="Z1690" s="6"/>
      <c r="AA1690" s="6"/>
      <c r="AB1690" s="6"/>
      <c r="AC1690" s="6"/>
      <c r="AD1690" s="6"/>
      <c r="AE1690" s="6"/>
    </row>
    <row r="1691" spans="1:31" ht="89.25" x14ac:dyDescent="0.2">
      <c r="A1691" s="6" t="s">
        <v>8007</v>
      </c>
      <c r="B1691" s="6" t="s">
        <v>8079</v>
      </c>
      <c r="C1691" s="20" t="s">
        <v>8080</v>
      </c>
      <c r="D1691" s="6" t="s">
        <v>8081</v>
      </c>
      <c r="E1691" s="6"/>
      <c r="F1691" s="6"/>
      <c r="G1691" s="6"/>
      <c r="H1691" s="18" t="str">
        <f t="shared" si="148"/>
        <v xml:space="preserve"> ()</v>
      </c>
      <c r="I1691" s="6" t="s">
        <v>26</v>
      </c>
      <c r="J1691" s="6"/>
      <c r="K1691" s="6" t="s">
        <v>207</v>
      </c>
      <c r="L1691" s="6" t="s">
        <v>209</v>
      </c>
      <c r="M1691" s="18" t="str">
        <f>VLOOKUP(L1691, GLOSSARY!$A:$C, 2, FALSE)</f>
        <v>BREADNUT ISLAND PEN</v>
      </c>
      <c r="N1691" s="6" t="s">
        <v>287</v>
      </c>
      <c r="O1691" s="6" t="s">
        <v>8081</v>
      </c>
      <c r="P1691" s="6"/>
      <c r="Q1691" s="6"/>
      <c r="R1691" s="6"/>
      <c r="S1691" s="6"/>
      <c r="T1691" s="6"/>
      <c r="U1691" s="6"/>
      <c r="V1691" s="6"/>
      <c r="W1691" s="6"/>
      <c r="X1691" s="6"/>
      <c r="Y1691" s="6"/>
      <c r="Z1691" s="6"/>
      <c r="AA1691" s="6"/>
      <c r="AB1691" s="6"/>
      <c r="AC1691" s="6"/>
      <c r="AD1691" s="6"/>
      <c r="AE1691" s="6"/>
    </row>
    <row r="1692" spans="1:31" ht="153" x14ac:dyDescent="0.2">
      <c r="A1692" s="6" t="s">
        <v>8007</v>
      </c>
      <c r="B1692" s="6" t="s">
        <v>8082</v>
      </c>
      <c r="C1692" s="20" t="s">
        <v>8083</v>
      </c>
      <c r="D1692" s="6" t="s">
        <v>8084</v>
      </c>
      <c r="E1692" s="6" t="s">
        <v>8085</v>
      </c>
      <c r="F1692" s="6" t="s">
        <v>8086</v>
      </c>
      <c r="G1692" s="6" t="s">
        <v>8087</v>
      </c>
      <c r="H1692" s="18" t="str">
        <f t="shared" si="148"/>
        <v>MOLIA
GEORGE LESLEY
SAWNO
MR. BEAN
THE OVERSEER (P1
P49
P38
P72
P43)</v>
      </c>
      <c r="I1692" s="6" t="s">
        <v>2607</v>
      </c>
      <c r="J1692" s="6" t="s">
        <v>8088</v>
      </c>
      <c r="K1692" s="6" t="s">
        <v>8089</v>
      </c>
      <c r="L1692" s="6" t="s">
        <v>8090</v>
      </c>
      <c r="M1692" s="18" t="e">
        <f>VLOOKUP(L1692, GLOSSARY!$A:$C, 2, FALSE)</f>
        <v>#N/A</v>
      </c>
      <c r="N1692" s="6" t="s">
        <v>68</v>
      </c>
      <c r="O1692" s="6" t="s">
        <v>8091</v>
      </c>
      <c r="P1692" s="6"/>
      <c r="Q1692" s="6"/>
      <c r="R1692" s="6"/>
      <c r="S1692" s="6"/>
      <c r="T1692" s="6"/>
      <c r="U1692" s="6"/>
      <c r="V1692" s="6"/>
      <c r="W1692" s="6"/>
      <c r="X1692" s="6"/>
      <c r="Y1692" s="6"/>
      <c r="Z1692" s="6"/>
      <c r="AA1692" s="6"/>
      <c r="AB1692" s="6"/>
      <c r="AC1692" s="6"/>
      <c r="AD1692" s="6"/>
      <c r="AE1692" s="6"/>
    </row>
    <row r="1693" spans="1:31" ht="76.5" x14ac:dyDescent="0.2">
      <c r="A1693" s="6" t="s">
        <v>8007</v>
      </c>
      <c r="B1693" s="6" t="s">
        <v>8092</v>
      </c>
      <c r="C1693" s="20" t="s">
        <v>8093</v>
      </c>
      <c r="D1693" s="6" t="s">
        <v>8094</v>
      </c>
      <c r="E1693" s="6" t="s">
        <v>8095</v>
      </c>
      <c r="F1693" s="6" t="s">
        <v>8096</v>
      </c>
      <c r="G1693" s="6" t="s">
        <v>8097</v>
      </c>
      <c r="H1693" s="18" t="str">
        <f t="shared" si="148"/>
        <v>MOLIA
GEORGE LESLEY
WILLIAM POMMELLS (P1
P49
P206)</v>
      </c>
      <c r="I1693" s="6" t="s">
        <v>2607</v>
      </c>
      <c r="J1693" s="6" t="s">
        <v>35</v>
      </c>
      <c r="K1693" s="6" t="s">
        <v>8098</v>
      </c>
      <c r="L1693" s="6" t="s">
        <v>8099</v>
      </c>
      <c r="M1693" s="18" t="e">
        <f>VLOOKUP(L1693, GLOSSARY!$A:$C, 2, FALSE)</f>
        <v>#N/A</v>
      </c>
      <c r="N1693" s="6" t="s">
        <v>68</v>
      </c>
      <c r="O1693" s="6" t="s">
        <v>8100</v>
      </c>
      <c r="P1693" s="6"/>
      <c r="Q1693" s="6"/>
      <c r="R1693" s="6"/>
      <c r="S1693" s="6"/>
      <c r="T1693" s="6"/>
      <c r="U1693" s="6"/>
      <c r="V1693" s="6"/>
      <c r="W1693" s="6"/>
      <c r="X1693" s="6"/>
      <c r="Y1693" s="6"/>
      <c r="Z1693" s="6"/>
      <c r="AA1693" s="6"/>
      <c r="AB1693" s="6"/>
      <c r="AC1693" s="6"/>
      <c r="AD1693" s="6"/>
      <c r="AE1693" s="6"/>
    </row>
    <row r="1694" spans="1:31" ht="76.5" x14ac:dyDescent="0.2">
      <c r="A1694" s="6" t="s">
        <v>7993</v>
      </c>
      <c r="B1694" s="6" t="s">
        <v>8101</v>
      </c>
      <c r="C1694" s="20" t="s">
        <v>8102</v>
      </c>
      <c r="D1694" s="6" t="s">
        <v>8103</v>
      </c>
      <c r="E1694" s="6"/>
      <c r="F1694" s="6" t="s">
        <v>48</v>
      </c>
      <c r="G1694" s="6" t="s">
        <v>50</v>
      </c>
      <c r="H1694" s="6" t="str">
        <f>CONCATENATE(F1694,"(",G1694,")")</f>
        <v>THE OVERSEER(P43)</v>
      </c>
      <c r="I1694" s="6" t="s">
        <v>759</v>
      </c>
      <c r="J1694" s="6"/>
      <c r="K1694" s="6"/>
      <c r="L1694" s="6" t="s">
        <v>209</v>
      </c>
      <c r="M1694" s="6" t="str">
        <f>VLOOKUP(L1694, GLOSSARY!$A:$C, 2, FALSE)</f>
        <v>BREADNUT ISLAND PEN</v>
      </c>
      <c r="N1694" s="6" t="s">
        <v>68</v>
      </c>
      <c r="O1694" s="6"/>
      <c r="P1694" s="6"/>
      <c r="Q1694" s="6"/>
      <c r="R1694" s="6"/>
      <c r="S1694" s="6"/>
      <c r="T1694" s="6"/>
      <c r="U1694" s="6"/>
      <c r="V1694" s="6"/>
      <c r="W1694" s="6"/>
      <c r="X1694" s="6"/>
      <c r="Y1694" s="6"/>
      <c r="Z1694" s="6"/>
      <c r="AA1694" s="6"/>
      <c r="AB1694" s="6"/>
      <c r="AC1694" s="6"/>
      <c r="AD1694" s="6"/>
      <c r="AE1694" s="6"/>
    </row>
    <row r="1695" spans="1:31" ht="38.25" x14ac:dyDescent="0.2">
      <c r="A1695" s="6" t="s">
        <v>8104</v>
      </c>
      <c r="B1695" s="6" t="s">
        <v>7573</v>
      </c>
      <c r="C1695" s="20" t="s">
        <v>8105</v>
      </c>
      <c r="D1695" s="6" t="s">
        <v>8106</v>
      </c>
      <c r="E1695" s="6" t="s">
        <v>8107</v>
      </c>
      <c r="F1695" s="6" t="s">
        <v>8108</v>
      </c>
      <c r="G1695" s="6" t="s">
        <v>8109</v>
      </c>
      <c r="H1695" s="18" t="str">
        <f t="shared" ref="H1695:H1697" si="149">CONCATENATE(F1695," (",G1695,")")</f>
        <v>PEGGY
SUKEY (P19
P37)</v>
      </c>
      <c r="I1695" s="6" t="s">
        <v>3797</v>
      </c>
      <c r="J1695" s="6"/>
      <c r="K1695" s="6" t="s">
        <v>207</v>
      </c>
      <c r="L1695" s="6" t="s">
        <v>209</v>
      </c>
      <c r="M1695" s="18" t="str">
        <f>VLOOKUP(L1695, GLOSSARY!$A:$C, 2, FALSE)</f>
        <v>BREADNUT ISLAND PEN</v>
      </c>
      <c r="N1695" s="6" t="s">
        <v>68</v>
      </c>
      <c r="O1695" s="6"/>
      <c r="P1695" s="6"/>
      <c r="Q1695" s="6"/>
      <c r="R1695" s="6"/>
      <c r="S1695" s="6"/>
      <c r="T1695" s="6"/>
      <c r="U1695" s="6"/>
      <c r="V1695" s="6"/>
      <c r="W1695" s="6"/>
      <c r="X1695" s="6"/>
      <c r="Y1695" s="6"/>
      <c r="Z1695" s="6"/>
      <c r="AA1695" s="6"/>
      <c r="AB1695" s="6"/>
      <c r="AC1695" s="6"/>
      <c r="AD1695" s="6"/>
      <c r="AE1695" s="6"/>
    </row>
    <row r="1696" spans="1:31" ht="63.75" x14ac:dyDescent="0.2">
      <c r="A1696" s="6" t="s">
        <v>8110</v>
      </c>
      <c r="B1696" s="6" t="s">
        <v>7974</v>
      </c>
      <c r="C1696" s="58" t="s">
        <v>8111</v>
      </c>
      <c r="D1696" s="6" t="s">
        <v>8112</v>
      </c>
      <c r="E1696" s="6"/>
      <c r="F1696" s="6" t="s">
        <v>8113</v>
      </c>
      <c r="G1696" s="6" t="s">
        <v>8114</v>
      </c>
      <c r="H1696" s="6" t="str">
        <f t="shared" si="149"/>
        <v>ABBA
JOHN (P6
P9)</v>
      </c>
      <c r="I1696" s="6" t="s">
        <v>409</v>
      </c>
      <c r="J1696" s="6" t="s">
        <v>754</v>
      </c>
      <c r="K1696" s="6"/>
      <c r="L1696" s="6" t="s">
        <v>209</v>
      </c>
      <c r="M1696" s="6" t="str">
        <f>VLOOKUP(L1696, GLOSSARY!$A:$C, 2, FALSE)</f>
        <v>BREADNUT ISLAND PEN</v>
      </c>
      <c r="N1696" s="6" t="s">
        <v>68</v>
      </c>
      <c r="O1696" s="6"/>
      <c r="P1696" s="6"/>
      <c r="Q1696" s="6"/>
      <c r="R1696" s="6"/>
      <c r="S1696" s="6"/>
      <c r="T1696" s="6"/>
      <c r="U1696" s="6"/>
      <c r="V1696" s="6"/>
      <c r="W1696" s="6"/>
      <c r="X1696" s="6"/>
      <c r="Y1696" s="6"/>
      <c r="Z1696" s="6"/>
      <c r="AA1696" s="6"/>
      <c r="AB1696" s="6"/>
      <c r="AC1696" s="6"/>
      <c r="AD1696" s="6"/>
      <c r="AE1696" s="6"/>
    </row>
    <row r="1697" spans="1:31" ht="76.5" x14ac:dyDescent="0.2">
      <c r="A1697" s="6" t="s">
        <v>8007</v>
      </c>
      <c r="B1697" s="6" t="s">
        <v>8079</v>
      </c>
      <c r="C1697" s="20" t="s">
        <v>8115</v>
      </c>
      <c r="D1697" s="6" t="s">
        <v>8116</v>
      </c>
      <c r="E1697" s="6"/>
      <c r="F1697" s="6"/>
      <c r="G1697" s="6"/>
      <c r="H1697" s="18" t="str">
        <f t="shared" si="149"/>
        <v xml:space="preserve"> ()</v>
      </c>
      <c r="I1697" s="6" t="s">
        <v>26</v>
      </c>
      <c r="J1697" s="6"/>
      <c r="K1697" s="6" t="s">
        <v>207</v>
      </c>
      <c r="L1697" s="6" t="s">
        <v>209</v>
      </c>
      <c r="M1697" s="18" t="str">
        <f>VLOOKUP(L1697, GLOSSARY!$A:$C, 2, FALSE)</f>
        <v>BREADNUT ISLAND PEN</v>
      </c>
      <c r="N1697" s="6" t="s">
        <v>287</v>
      </c>
      <c r="O1697" s="6" t="s">
        <v>8116</v>
      </c>
      <c r="P1697" s="6"/>
      <c r="Q1697" s="6"/>
      <c r="R1697" s="6"/>
      <c r="S1697" s="6"/>
      <c r="T1697" s="6"/>
      <c r="U1697" s="6"/>
      <c r="V1697" s="6"/>
      <c r="W1697" s="6"/>
      <c r="X1697" s="6"/>
      <c r="Y1697" s="6"/>
      <c r="Z1697" s="6"/>
      <c r="AA1697" s="6"/>
      <c r="AB1697" s="6"/>
      <c r="AC1697" s="6"/>
      <c r="AD1697" s="6"/>
      <c r="AE1697" s="6"/>
    </row>
    <row r="1698" spans="1:31" ht="242.25" x14ac:dyDescent="0.2">
      <c r="A1698" s="6" t="s">
        <v>8117</v>
      </c>
      <c r="B1698" s="6" t="s">
        <v>8118</v>
      </c>
      <c r="C1698" s="20" t="s">
        <v>8119</v>
      </c>
      <c r="D1698" s="6" t="s">
        <v>8120</v>
      </c>
      <c r="E1698" s="6"/>
      <c r="F1698" s="6" t="s">
        <v>8121</v>
      </c>
      <c r="G1698" s="6" t="s">
        <v>8122</v>
      </c>
      <c r="H1698" s="6" t="str">
        <f t="shared" ref="H1698:H1699" si="150">CONCATENATE(F1698,"(",G1698,")")</f>
        <v>JAMES LIMBURNER
JENNY YOUNG
HOUSE FRANKE
PHIBBAH
NANCY(P279
P43
P16
P10
P7
P8)</v>
      </c>
      <c r="I1698" s="6" t="s">
        <v>3796</v>
      </c>
      <c r="J1698" s="6" t="s">
        <v>35</v>
      </c>
      <c r="K1698" s="6"/>
      <c r="L1698" s="6" t="s">
        <v>209</v>
      </c>
      <c r="M1698" s="6" t="str">
        <f>VLOOKUP(L1698, GLOSSARY!$A:$C, 2, FALSE)</f>
        <v>BREADNUT ISLAND PEN</v>
      </c>
      <c r="N1698" s="6" t="s">
        <v>68</v>
      </c>
      <c r="O1698" s="6"/>
      <c r="P1698" s="6"/>
      <c r="Q1698" s="6"/>
      <c r="R1698" s="6"/>
      <c r="S1698" s="6"/>
      <c r="T1698" s="6"/>
      <c r="U1698" s="6"/>
      <c r="V1698" s="6"/>
      <c r="W1698" s="6"/>
      <c r="X1698" s="6"/>
      <c r="Y1698" s="6"/>
      <c r="Z1698" s="6"/>
      <c r="AA1698" s="6"/>
      <c r="AB1698" s="6"/>
      <c r="AC1698" s="6"/>
      <c r="AD1698" s="6"/>
      <c r="AE1698" s="6"/>
    </row>
    <row r="1699" spans="1:31" ht="409.5" x14ac:dyDescent="0.2">
      <c r="A1699" s="6" t="s">
        <v>8123</v>
      </c>
      <c r="B1699" s="6" t="s">
        <v>7538</v>
      </c>
      <c r="C1699" s="20" t="s">
        <v>8124</v>
      </c>
      <c r="D1699" s="6" t="s">
        <v>8125</v>
      </c>
      <c r="E1699" s="6"/>
      <c r="F1699" s="6" t="s">
        <v>8126</v>
      </c>
      <c r="G1699" s="6" t="s">
        <v>8127</v>
      </c>
      <c r="H1699" s="6" t="str">
        <f t="shared" si="150"/>
        <v>THE OVERSEER
MR. BECKFORD
MR. BOSSLEY
MR. WATT
HUGH WHITE
JAMES WHITE
MR. STERLING
MR. BOYD
THE PLANTER'S WIFE [MOLLY COPE]
PEGGY COPE(P43
P383
P384
P385
P386
P387
P388
P389
P45
)</v>
      </c>
      <c r="I1699" s="6" t="s">
        <v>3805</v>
      </c>
      <c r="J1699" s="6"/>
      <c r="K1699" s="6"/>
      <c r="L1699" s="6" t="s">
        <v>55</v>
      </c>
      <c r="M1699" s="6" t="str">
        <f>VLOOKUP(L1699, GLOSSARY!$A:$C, 2, FALSE)</f>
        <v>EGYPT ESTATE</v>
      </c>
      <c r="N1699" s="6" t="s">
        <v>68</v>
      </c>
      <c r="O1699" s="6"/>
      <c r="P1699" s="6"/>
      <c r="Q1699" s="6"/>
      <c r="R1699" s="6"/>
      <c r="S1699" s="6"/>
      <c r="T1699" s="6"/>
      <c r="U1699" s="6"/>
      <c r="V1699" s="6"/>
      <c r="W1699" s="6"/>
      <c r="X1699" s="6"/>
      <c r="Y1699" s="6"/>
      <c r="Z1699" s="6"/>
      <c r="AA1699" s="6"/>
      <c r="AB1699" s="6"/>
      <c r="AC1699" s="6"/>
      <c r="AD1699" s="6"/>
      <c r="AE1699" s="6"/>
    </row>
    <row r="1700" spans="1:31" ht="102" x14ac:dyDescent="0.2">
      <c r="A1700" s="6" t="s">
        <v>8128</v>
      </c>
      <c r="B1700" s="6" t="s">
        <v>8129</v>
      </c>
      <c r="C1700" s="20" t="s">
        <v>8130</v>
      </c>
      <c r="D1700" s="6" t="s">
        <v>8131</v>
      </c>
      <c r="E1700" s="6"/>
      <c r="F1700" s="6" t="s">
        <v>8132</v>
      </c>
      <c r="G1700" s="6" t="s">
        <v>8133</v>
      </c>
      <c r="H1700" s="6" t="str">
        <f t="shared" ref="H1700:H1709" si="151">CONCATENATE(F1700," (",G1700,")")</f>
        <v>SALLY
FANNY
MIRTILLA
SAWNO/DOWOTRONNY (P17
P31
P32
P38)</v>
      </c>
      <c r="I1700" s="6" t="s">
        <v>112</v>
      </c>
      <c r="J1700" s="6" t="s">
        <v>359</v>
      </c>
      <c r="K1700" s="6"/>
      <c r="L1700" s="6" t="s">
        <v>209</v>
      </c>
      <c r="M1700" s="6" t="str">
        <f>VLOOKUP(L1700, GLOSSARY!$A:$C, 2, FALSE)</f>
        <v>BREADNUT ISLAND PEN</v>
      </c>
      <c r="N1700" s="6" t="s">
        <v>68</v>
      </c>
      <c r="O1700" s="6"/>
      <c r="P1700" s="6"/>
      <c r="Q1700" s="6"/>
      <c r="R1700" s="6"/>
      <c r="S1700" s="6"/>
      <c r="T1700" s="6"/>
      <c r="U1700" s="6"/>
      <c r="V1700" s="6"/>
      <c r="W1700" s="6"/>
      <c r="X1700" s="6"/>
      <c r="Y1700" s="6"/>
      <c r="Z1700" s="6"/>
      <c r="AA1700" s="6"/>
      <c r="AB1700" s="6"/>
      <c r="AC1700" s="6"/>
      <c r="AD1700" s="6"/>
      <c r="AE1700" s="6"/>
    </row>
    <row r="1701" spans="1:31" ht="127.5" x14ac:dyDescent="0.2">
      <c r="A1701" s="6" t="s">
        <v>8134</v>
      </c>
      <c r="B1701" s="6" t="s">
        <v>8135</v>
      </c>
      <c r="C1701" s="20" t="s">
        <v>8136</v>
      </c>
      <c r="D1701" s="6" t="s">
        <v>8137</v>
      </c>
      <c r="E1701" s="6"/>
      <c r="F1701" s="6" t="s">
        <v>8138</v>
      </c>
      <c r="G1701" s="6" t="s">
        <v>8139</v>
      </c>
      <c r="H1701" s="6" t="str">
        <f t="shared" si="151"/>
        <v>THE OVERSEER
THOMAS BRODIE
JOHN
UNNAMED NEGROE WOMAN (P43
P163
P9)</v>
      </c>
      <c r="I1701" s="6" t="s">
        <v>112</v>
      </c>
      <c r="J1701" s="6"/>
      <c r="K1701" s="6"/>
      <c r="L1701" s="6" t="s">
        <v>1121</v>
      </c>
      <c r="M1701" s="6" t="str">
        <f>VLOOKUP(L1701, GLOSSARY!$A:$C, 2, FALSE)</f>
        <v>SAVANNA LA MAR</v>
      </c>
      <c r="N1701" s="6" t="s">
        <v>68</v>
      </c>
      <c r="O1701" s="6"/>
      <c r="P1701" s="6"/>
      <c r="Q1701" s="6"/>
      <c r="R1701" s="6"/>
      <c r="S1701" s="6"/>
      <c r="T1701" s="6"/>
      <c r="U1701" s="6"/>
      <c r="V1701" s="6"/>
      <c r="W1701" s="6"/>
      <c r="X1701" s="6"/>
      <c r="Y1701" s="6"/>
      <c r="Z1701" s="6"/>
      <c r="AA1701" s="6"/>
      <c r="AB1701" s="6"/>
      <c r="AC1701" s="6"/>
      <c r="AD1701" s="6"/>
      <c r="AE1701" s="6"/>
    </row>
    <row r="1702" spans="1:31" ht="38.25" x14ac:dyDescent="0.2">
      <c r="A1702" s="6" t="s">
        <v>8140</v>
      </c>
      <c r="B1702" s="6" t="s">
        <v>7948</v>
      </c>
      <c r="C1702" s="20" t="s">
        <v>8141</v>
      </c>
      <c r="D1702" s="6" t="s">
        <v>8142</v>
      </c>
      <c r="E1702" s="6"/>
      <c r="F1702" s="6" t="s">
        <v>8143</v>
      </c>
      <c r="G1702" s="6" t="s">
        <v>8144</v>
      </c>
      <c r="H1702" s="6" t="str">
        <f t="shared" si="151"/>
        <v>THE OVERSEER
GEORGE LESLEY (P43
P49)</v>
      </c>
      <c r="I1702" s="6" t="s">
        <v>859</v>
      </c>
      <c r="J1702" s="6"/>
      <c r="K1702" s="6"/>
      <c r="L1702" s="6" t="s">
        <v>209</v>
      </c>
      <c r="M1702" s="6" t="str">
        <f>VLOOKUP(L1702, GLOSSARY!$A:$C, 2, FALSE)</f>
        <v>BREADNUT ISLAND PEN</v>
      </c>
      <c r="N1702" s="6" t="s">
        <v>68</v>
      </c>
      <c r="O1702" s="6"/>
      <c r="P1702" s="6"/>
      <c r="Q1702" s="6"/>
      <c r="R1702" s="6"/>
      <c r="S1702" s="6"/>
      <c r="T1702" s="6"/>
      <c r="U1702" s="6"/>
      <c r="V1702" s="6"/>
      <c r="W1702" s="6"/>
      <c r="X1702" s="6"/>
      <c r="Y1702" s="6"/>
      <c r="Z1702" s="6"/>
      <c r="AA1702" s="6"/>
      <c r="AB1702" s="6"/>
      <c r="AC1702" s="6"/>
      <c r="AD1702" s="6"/>
      <c r="AE1702" s="6"/>
    </row>
    <row r="1703" spans="1:31" ht="344.25" x14ac:dyDescent="0.2">
      <c r="A1703" s="6" t="s">
        <v>8145</v>
      </c>
      <c r="B1703" s="6" t="s">
        <v>8146</v>
      </c>
      <c r="C1703" s="20" t="s">
        <v>8147</v>
      </c>
      <c r="D1703" s="6" t="s">
        <v>8148</v>
      </c>
      <c r="E1703" s="6" t="s">
        <v>8149</v>
      </c>
      <c r="F1703" s="6" t="s">
        <v>8150</v>
      </c>
      <c r="G1703" s="6" t="s">
        <v>8151</v>
      </c>
      <c r="H1703" s="6" t="str">
        <f t="shared" si="151"/>
        <v>SALLY
SAWNO/DOWOTRONNY
MR. JOHN THOMPSON
MR. JOHN THOMPSON'S MULATTA DAUGHTER
JENNY YOUNG (P17
P38
P131
P132
P16)</v>
      </c>
      <c r="I1703" s="6" t="s">
        <v>656</v>
      </c>
      <c r="J1703" s="6" t="s">
        <v>8152</v>
      </c>
      <c r="K1703" s="6"/>
      <c r="L1703" s="6" t="s">
        <v>3890</v>
      </c>
      <c r="M1703" s="6" t="s">
        <v>7520</v>
      </c>
      <c r="N1703" s="6" t="s">
        <v>68</v>
      </c>
      <c r="O1703" s="6"/>
      <c r="P1703" s="6"/>
      <c r="Q1703" s="6"/>
      <c r="R1703" s="6"/>
      <c r="S1703" s="6"/>
      <c r="T1703" s="6"/>
      <c r="U1703" s="6"/>
      <c r="V1703" s="6"/>
      <c r="W1703" s="6"/>
      <c r="X1703" s="6"/>
      <c r="Y1703" s="6"/>
      <c r="Z1703" s="6"/>
      <c r="AA1703" s="6"/>
      <c r="AB1703" s="6"/>
      <c r="AC1703" s="6"/>
      <c r="AD1703" s="6"/>
      <c r="AE1703" s="6"/>
    </row>
    <row r="1704" spans="1:31" ht="204" x14ac:dyDescent="0.2">
      <c r="A1704" s="6" t="s">
        <v>8145</v>
      </c>
      <c r="B1704" s="6" t="s">
        <v>8146</v>
      </c>
      <c r="C1704" s="20" t="s">
        <v>8147</v>
      </c>
      <c r="D1704" s="6" t="s">
        <v>8153</v>
      </c>
      <c r="E1704" s="6" t="s">
        <v>8154</v>
      </c>
      <c r="F1704" s="6" t="s">
        <v>8155</v>
      </c>
      <c r="G1704" s="6" t="s">
        <v>8156</v>
      </c>
      <c r="H1704" s="6" t="str">
        <f t="shared" si="151"/>
        <v>MRS. BESSIE CALAMY
SALLY
BETTY
THE OVERSEER
 (P133
P17
P43)</v>
      </c>
      <c r="I1704" s="6" t="s">
        <v>656</v>
      </c>
      <c r="J1704" s="6"/>
      <c r="K1704" s="6"/>
      <c r="L1704" s="6" t="s">
        <v>209</v>
      </c>
      <c r="M1704" s="6" t="str">
        <f>VLOOKUP(L1704, GLOSSARY!$A:$C, 2, FALSE)</f>
        <v>BREADNUT ISLAND PEN</v>
      </c>
      <c r="N1704" s="6" t="s">
        <v>167</v>
      </c>
      <c r="O1704" s="6"/>
      <c r="P1704" s="6"/>
      <c r="Q1704" s="6"/>
      <c r="R1704" s="6"/>
      <c r="S1704" s="6"/>
      <c r="T1704" s="6"/>
      <c r="U1704" s="6"/>
      <c r="V1704" s="6"/>
      <c r="W1704" s="6"/>
      <c r="X1704" s="6"/>
      <c r="Y1704" s="6"/>
      <c r="Z1704" s="6"/>
      <c r="AA1704" s="6"/>
      <c r="AB1704" s="6"/>
      <c r="AC1704" s="6"/>
      <c r="AD1704" s="6"/>
      <c r="AE1704" s="6"/>
    </row>
    <row r="1705" spans="1:31" ht="51" x14ac:dyDescent="0.2">
      <c r="A1705" s="6" t="s">
        <v>8157</v>
      </c>
      <c r="B1705" s="6" t="s">
        <v>8158</v>
      </c>
      <c r="C1705" s="20" t="s">
        <v>8159</v>
      </c>
      <c r="D1705" s="6" t="s">
        <v>8160</v>
      </c>
      <c r="E1705" s="6"/>
      <c r="F1705" s="6"/>
      <c r="G1705" s="6"/>
      <c r="H1705" s="18" t="str">
        <f t="shared" si="151"/>
        <v xml:space="preserve"> ()</v>
      </c>
      <c r="I1705" s="6" t="s">
        <v>326</v>
      </c>
      <c r="J1705" s="6"/>
      <c r="K1705" s="6" t="s">
        <v>3092</v>
      </c>
      <c r="L1705" s="6" t="s">
        <v>3091</v>
      </c>
      <c r="M1705" s="18" t="str">
        <f>VLOOKUP(L1705, GLOSSARY!$A:$C, 2, FALSE)</f>
        <v>MONTEGO BAY</v>
      </c>
      <c r="N1705" s="6" t="s">
        <v>68</v>
      </c>
      <c r="O1705" s="6"/>
      <c r="P1705" s="6"/>
      <c r="Q1705" s="6"/>
      <c r="R1705" s="6"/>
      <c r="S1705" s="6"/>
      <c r="T1705" s="6"/>
      <c r="U1705" s="6"/>
      <c r="V1705" s="6"/>
      <c r="W1705" s="6"/>
      <c r="X1705" s="6"/>
      <c r="Y1705" s="6"/>
      <c r="Z1705" s="6"/>
      <c r="AA1705" s="6"/>
      <c r="AB1705" s="6"/>
      <c r="AC1705" s="6"/>
      <c r="AD1705" s="6"/>
      <c r="AE1705" s="6"/>
    </row>
    <row r="1706" spans="1:31" ht="191.25" x14ac:dyDescent="0.2">
      <c r="A1706" s="6" t="s">
        <v>8145</v>
      </c>
      <c r="B1706" s="6" t="s">
        <v>8158</v>
      </c>
      <c r="C1706" s="20" t="s">
        <v>8159</v>
      </c>
      <c r="D1706" s="6" t="s">
        <v>8161</v>
      </c>
      <c r="E1706" s="6"/>
      <c r="F1706" s="6" t="s">
        <v>8162</v>
      </c>
      <c r="G1706" s="6" t="s">
        <v>8163</v>
      </c>
      <c r="H1706" s="6" t="str">
        <f t="shared" si="151"/>
        <v>CUDJOE
SALLY
MR. MURRAY
ISAACS
MONDAY
BESSIE (P60
P17
P138
P135
P136
P137)</v>
      </c>
      <c r="I1706" s="6" t="s">
        <v>656</v>
      </c>
      <c r="J1706" s="6"/>
      <c r="K1706" s="6"/>
      <c r="L1706" s="6" t="s">
        <v>8164</v>
      </c>
      <c r="M1706" s="6" t="s">
        <v>8375</v>
      </c>
      <c r="N1706" s="6" t="s">
        <v>68</v>
      </c>
      <c r="O1706" s="6"/>
      <c r="P1706" s="6"/>
      <c r="Q1706" s="6"/>
      <c r="R1706" s="6"/>
      <c r="S1706" s="6"/>
      <c r="T1706" s="6"/>
      <c r="U1706" s="6"/>
      <c r="V1706" s="6"/>
      <c r="W1706" s="6"/>
      <c r="X1706" s="6"/>
      <c r="Y1706" s="6"/>
      <c r="Z1706" s="6"/>
      <c r="AA1706" s="6"/>
      <c r="AB1706" s="6"/>
      <c r="AC1706" s="6"/>
      <c r="AD1706" s="6"/>
      <c r="AE1706" s="6"/>
    </row>
    <row r="1707" spans="1:31" ht="38.25" x14ac:dyDescent="0.2">
      <c r="A1707" s="6" t="s">
        <v>8145</v>
      </c>
      <c r="B1707" s="6" t="s">
        <v>8165</v>
      </c>
      <c r="C1707" s="20" t="s">
        <v>8166</v>
      </c>
      <c r="D1707" s="6" t="s">
        <v>8167</v>
      </c>
      <c r="E1707" s="6"/>
      <c r="F1707" s="6" t="s">
        <v>8168</v>
      </c>
      <c r="G1707" s="6" t="s">
        <v>8169</v>
      </c>
      <c r="H1707" s="6" t="str">
        <f t="shared" si="151"/>
        <v>SALLY
THE OVERSEER (P17
P436)</v>
      </c>
      <c r="I1707" s="6" t="s">
        <v>112</v>
      </c>
      <c r="J1707" s="6"/>
      <c r="K1707" s="6"/>
      <c r="L1707" s="6" t="s">
        <v>209</v>
      </c>
      <c r="M1707" s="6" t="str">
        <f>VLOOKUP(L1707, GLOSSARY!$A:$C, 2, FALSE)</f>
        <v>BREADNUT ISLAND PEN</v>
      </c>
      <c r="N1707" s="6" t="s">
        <v>68</v>
      </c>
      <c r="O1707" s="6"/>
      <c r="P1707" s="6"/>
      <c r="Q1707" s="6"/>
      <c r="R1707" s="6"/>
      <c r="S1707" s="6"/>
      <c r="T1707" s="6"/>
      <c r="U1707" s="6"/>
      <c r="V1707" s="6"/>
      <c r="W1707" s="6"/>
      <c r="X1707" s="6"/>
      <c r="Y1707" s="6"/>
      <c r="Z1707" s="6"/>
      <c r="AA1707" s="6"/>
      <c r="AB1707" s="6"/>
      <c r="AC1707" s="6"/>
      <c r="AD1707" s="6"/>
      <c r="AE1707" s="6"/>
    </row>
    <row r="1708" spans="1:31" ht="127.5" x14ac:dyDescent="0.2">
      <c r="A1708" s="6" t="s">
        <v>8145</v>
      </c>
      <c r="B1708" s="6" t="s">
        <v>8170</v>
      </c>
      <c r="C1708" s="20" t="s">
        <v>8171</v>
      </c>
      <c r="D1708" s="6" t="s">
        <v>8172</v>
      </c>
      <c r="E1708" s="6"/>
      <c r="F1708" s="6" t="s">
        <v>8173</v>
      </c>
      <c r="G1708" s="6" t="s">
        <v>8156</v>
      </c>
      <c r="H1708" s="6" t="str">
        <f t="shared" si="151"/>
        <v>MRS. BESSIE CALAMY
SALLY
THE OVERSEER
 (P133
P17
P43)</v>
      </c>
      <c r="I1708" s="6" t="s">
        <v>656</v>
      </c>
      <c r="J1708" s="6"/>
      <c r="K1708" s="6"/>
      <c r="L1708" s="6" t="s">
        <v>209</v>
      </c>
      <c r="M1708" s="6" t="str">
        <f>VLOOKUP(L1708, GLOSSARY!$A:$C, 2, FALSE)</f>
        <v>BREADNUT ISLAND PEN</v>
      </c>
      <c r="N1708" s="6" t="s">
        <v>68</v>
      </c>
      <c r="O1708" s="6"/>
      <c r="P1708" s="6"/>
      <c r="Q1708" s="6"/>
      <c r="R1708" s="6"/>
      <c r="S1708" s="6"/>
      <c r="T1708" s="6"/>
      <c r="U1708" s="6"/>
      <c r="V1708" s="6"/>
      <c r="W1708" s="6"/>
      <c r="X1708" s="6"/>
      <c r="Y1708" s="6"/>
      <c r="Z1708" s="6"/>
      <c r="AA1708" s="6"/>
      <c r="AB1708" s="6"/>
      <c r="AC1708" s="6"/>
      <c r="AD1708" s="6"/>
      <c r="AE1708" s="6"/>
    </row>
    <row r="1709" spans="1:31" ht="38.25" x14ac:dyDescent="0.2">
      <c r="A1709" s="6" t="s">
        <v>8174</v>
      </c>
      <c r="B1709" s="6" t="s">
        <v>7968</v>
      </c>
      <c r="C1709" s="20" t="s">
        <v>8175</v>
      </c>
      <c r="D1709" s="6" t="s">
        <v>8176</v>
      </c>
      <c r="E1709" s="6"/>
      <c r="F1709" s="6" t="s">
        <v>8143</v>
      </c>
      <c r="G1709" s="6" t="s">
        <v>8144</v>
      </c>
      <c r="H1709" s="6" t="str">
        <f t="shared" si="151"/>
        <v>THE OVERSEER
GEORGE LESLEY (P43
P49)</v>
      </c>
      <c r="I1709" s="6" t="s">
        <v>859</v>
      </c>
      <c r="J1709" s="6"/>
      <c r="K1709" s="6"/>
      <c r="L1709" s="6" t="s">
        <v>209</v>
      </c>
      <c r="M1709" s="6" t="str">
        <f>VLOOKUP(L1709, GLOSSARY!$A:$C, 2, FALSE)</f>
        <v>BREADNUT ISLAND PEN</v>
      </c>
      <c r="N1709" s="6" t="s">
        <v>167</v>
      </c>
      <c r="O1709" s="6"/>
      <c r="P1709" s="6"/>
      <c r="Q1709" s="6"/>
      <c r="R1709" s="6"/>
      <c r="S1709" s="6"/>
      <c r="T1709" s="6"/>
      <c r="U1709" s="6"/>
      <c r="V1709" s="6"/>
      <c r="W1709" s="6"/>
      <c r="X1709" s="6"/>
      <c r="Y1709" s="6"/>
      <c r="Z1709" s="6"/>
      <c r="AA1709" s="6"/>
      <c r="AB1709" s="6"/>
      <c r="AC1709" s="6"/>
      <c r="AD1709" s="6"/>
      <c r="AE1709" s="6"/>
    </row>
    <row r="1710" spans="1:31" ht="63.75" x14ac:dyDescent="0.2">
      <c r="A1710" s="6" t="s">
        <v>8177</v>
      </c>
      <c r="B1710" s="6" t="s">
        <v>8178</v>
      </c>
      <c r="C1710" s="20" t="s">
        <v>8179</v>
      </c>
      <c r="D1710" s="6" t="s">
        <v>8180</v>
      </c>
      <c r="E1710" s="6"/>
      <c r="F1710" s="6" t="s">
        <v>48</v>
      </c>
      <c r="G1710" s="6" t="s">
        <v>50</v>
      </c>
      <c r="H1710" s="6" t="str">
        <f>CONCATENATE(F1711,"(",G1710,")")</f>
        <v>JENNY [GEORGE LESLEY HOUSEKEEPER]
PHIBBAH(P43)</v>
      </c>
      <c r="I1710" s="6" t="s">
        <v>26</v>
      </c>
      <c r="J1710" s="6"/>
      <c r="K1710" s="6"/>
      <c r="L1710" s="6" t="s">
        <v>209</v>
      </c>
      <c r="M1710" s="6" t="str">
        <f>VLOOKUP(L1710, GLOSSARY!$A:$C, 2, FALSE)</f>
        <v>BREADNUT ISLAND PEN</v>
      </c>
      <c r="N1710" s="6" t="s">
        <v>68</v>
      </c>
      <c r="O1710" s="6"/>
      <c r="P1710" s="6"/>
      <c r="Q1710" s="6"/>
      <c r="R1710" s="6"/>
      <c r="S1710" s="6"/>
      <c r="T1710" s="6"/>
      <c r="U1710" s="6"/>
      <c r="V1710" s="6"/>
      <c r="W1710" s="6"/>
      <c r="X1710" s="6"/>
      <c r="Y1710" s="6"/>
      <c r="Z1710" s="6"/>
      <c r="AA1710" s="6"/>
      <c r="AB1710" s="6"/>
      <c r="AC1710" s="6"/>
      <c r="AD1710" s="6"/>
      <c r="AE1710" s="6"/>
    </row>
    <row r="1711" spans="1:31" ht="51" x14ac:dyDescent="0.2">
      <c r="A1711" s="6" t="s">
        <v>8181</v>
      </c>
      <c r="B1711" s="6" t="s">
        <v>6112</v>
      </c>
      <c r="C1711" s="20" t="s">
        <v>8182</v>
      </c>
      <c r="D1711" s="6" t="s">
        <v>8183</v>
      </c>
      <c r="E1711" s="6"/>
      <c r="F1711" s="6" t="s">
        <v>8184</v>
      </c>
      <c r="G1711" s="6" t="s">
        <v>8185</v>
      </c>
      <c r="H1711" s="6" t="str">
        <f t="shared" ref="H1711:H1725" si="152">CONCATENATE(F1711," (",G1711,")")</f>
        <v>JENNY [GEORGE LESLEY HOUSEKEEPER]
PHIBBAH (P162
P7)</v>
      </c>
      <c r="I1711" s="6" t="s">
        <v>859</v>
      </c>
      <c r="J1711" s="6"/>
      <c r="K1711" s="6"/>
      <c r="L1711" s="6" t="s">
        <v>209</v>
      </c>
      <c r="M1711" s="6" t="str">
        <f>VLOOKUP(L1711, GLOSSARY!$A:$C, 2, FALSE)</f>
        <v>BREADNUT ISLAND PEN</v>
      </c>
      <c r="N1711" s="6" t="s">
        <v>167</v>
      </c>
      <c r="O1711" s="6"/>
      <c r="P1711" s="6"/>
      <c r="Q1711" s="6"/>
      <c r="R1711" s="6"/>
      <c r="S1711" s="6"/>
      <c r="T1711" s="6"/>
      <c r="U1711" s="6"/>
      <c r="V1711" s="6"/>
      <c r="W1711" s="6"/>
      <c r="X1711" s="6"/>
      <c r="Y1711" s="6"/>
      <c r="Z1711" s="6"/>
      <c r="AA1711" s="6"/>
      <c r="AB1711" s="6"/>
      <c r="AC1711" s="6"/>
      <c r="AD1711" s="6"/>
      <c r="AE1711" s="6"/>
    </row>
    <row r="1712" spans="1:31" ht="114.75" x14ac:dyDescent="0.2">
      <c r="A1712" s="6" t="s">
        <v>8186</v>
      </c>
      <c r="B1712" s="6" t="s">
        <v>6118</v>
      </c>
      <c r="C1712" s="20" t="s">
        <v>8187</v>
      </c>
      <c r="D1712" s="6" t="s">
        <v>8188</v>
      </c>
      <c r="E1712" s="6"/>
      <c r="F1712" s="6" t="s">
        <v>8189</v>
      </c>
      <c r="G1712" s="6" t="s">
        <v>8190</v>
      </c>
      <c r="H1712" s="6" t="str">
        <f t="shared" si="152"/>
        <v>FANNY
NANNY
PHOEBE (P31
P15
P58)</v>
      </c>
      <c r="I1712" s="6" t="s">
        <v>112</v>
      </c>
      <c r="J1712" s="6"/>
      <c r="K1712" s="6"/>
      <c r="L1712" s="6" t="s">
        <v>209</v>
      </c>
      <c r="M1712" s="6" t="str">
        <f>VLOOKUP(L1712, GLOSSARY!$A:$C, 2, FALSE)</f>
        <v>BREADNUT ISLAND PEN</v>
      </c>
      <c r="N1712" s="6" t="s">
        <v>167</v>
      </c>
      <c r="O1712" s="6"/>
      <c r="P1712" s="6"/>
      <c r="Q1712" s="6"/>
      <c r="R1712" s="6"/>
      <c r="S1712" s="6"/>
      <c r="T1712" s="6"/>
      <c r="U1712" s="6"/>
      <c r="V1712" s="6"/>
      <c r="W1712" s="6"/>
      <c r="X1712" s="6"/>
      <c r="Y1712" s="6"/>
      <c r="Z1712" s="6"/>
      <c r="AA1712" s="6"/>
      <c r="AB1712" s="6"/>
      <c r="AC1712" s="6"/>
      <c r="AD1712" s="6"/>
      <c r="AE1712" s="6"/>
    </row>
    <row r="1713" spans="1:31" ht="165.75" x14ac:dyDescent="0.2">
      <c r="A1713" s="6" t="s">
        <v>8191</v>
      </c>
      <c r="B1713" s="6" t="s">
        <v>4300</v>
      </c>
      <c r="C1713" s="20" t="s">
        <v>8192</v>
      </c>
      <c r="D1713" s="6" t="s">
        <v>8193</v>
      </c>
      <c r="E1713" s="6"/>
      <c r="F1713" s="6" t="s">
        <v>8194</v>
      </c>
      <c r="G1713" s="6" t="s">
        <v>8195</v>
      </c>
      <c r="H1713" s="6" t="str">
        <f t="shared" si="152"/>
        <v>THE OVERSEER
LINCOLN
SAWNO/DOWOTRONNY (P43
P24
P39)</v>
      </c>
      <c r="I1713" s="6" t="s">
        <v>112</v>
      </c>
      <c r="J1713" s="6" t="s">
        <v>359</v>
      </c>
      <c r="K1713" s="6"/>
      <c r="L1713" s="6" t="s">
        <v>209</v>
      </c>
      <c r="M1713" s="6" t="str">
        <f>VLOOKUP(L1713, GLOSSARY!$A:$C, 2, FALSE)</f>
        <v>BREADNUT ISLAND PEN</v>
      </c>
      <c r="N1713" s="6" t="s">
        <v>167</v>
      </c>
      <c r="O1713" s="6"/>
      <c r="P1713" s="6"/>
      <c r="Q1713" s="6"/>
      <c r="R1713" s="6"/>
      <c r="S1713" s="6"/>
      <c r="T1713" s="6"/>
      <c r="U1713" s="6"/>
      <c r="V1713" s="6"/>
      <c r="W1713" s="6"/>
      <c r="X1713" s="6"/>
      <c r="Y1713" s="6"/>
      <c r="Z1713" s="6"/>
      <c r="AA1713" s="6"/>
      <c r="AB1713" s="6"/>
      <c r="AC1713" s="6"/>
      <c r="AD1713" s="6"/>
      <c r="AE1713" s="6"/>
    </row>
    <row r="1714" spans="1:31" ht="63.75" x14ac:dyDescent="0.2">
      <c r="A1714" s="6" t="s">
        <v>8191</v>
      </c>
      <c r="B1714" s="6" t="s">
        <v>4300</v>
      </c>
      <c r="C1714" s="20" t="s">
        <v>8196</v>
      </c>
      <c r="D1714" s="6" t="s">
        <v>8197</v>
      </c>
      <c r="E1714" s="6"/>
      <c r="F1714" s="6" t="s">
        <v>8198</v>
      </c>
      <c r="G1714" s="6" t="s">
        <v>8199</v>
      </c>
      <c r="H1714" s="6" t="str">
        <f t="shared" si="152"/>
        <v>LINCOLN 
THE OVERSEER (P24
P43)</v>
      </c>
      <c r="I1714" s="6" t="s">
        <v>112</v>
      </c>
      <c r="J1714" s="6"/>
      <c r="K1714" s="6"/>
      <c r="L1714" s="6" t="s">
        <v>209</v>
      </c>
      <c r="M1714" s="6" t="str">
        <f>VLOOKUP(L1714, GLOSSARY!$A:$C, 2, FALSE)</f>
        <v>BREADNUT ISLAND PEN</v>
      </c>
      <c r="N1714" s="6" t="s">
        <v>68</v>
      </c>
      <c r="O1714" s="6"/>
      <c r="P1714" s="6"/>
      <c r="Q1714" s="6"/>
      <c r="R1714" s="6"/>
      <c r="S1714" s="6"/>
      <c r="T1714" s="6"/>
      <c r="U1714" s="6"/>
      <c r="V1714" s="6"/>
      <c r="W1714" s="6"/>
      <c r="X1714" s="6"/>
      <c r="Y1714" s="6"/>
      <c r="Z1714" s="6"/>
      <c r="AA1714" s="6"/>
      <c r="AB1714" s="6"/>
      <c r="AC1714" s="6"/>
      <c r="AD1714" s="6"/>
      <c r="AE1714" s="6"/>
    </row>
    <row r="1715" spans="1:31" ht="89.25" x14ac:dyDescent="0.2">
      <c r="A1715" s="6" t="s">
        <v>8191</v>
      </c>
      <c r="B1715" s="6" t="s">
        <v>6200</v>
      </c>
      <c r="C1715" s="20" t="s">
        <v>8200</v>
      </c>
      <c r="D1715" s="6" t="s">
        <v>8201</v>
      </c>
      <c r="E1715" s="6"/>
      <c r="F1715" s="6" t="s">
        <v>8202</v>
      </c>
      <c r="G1715" s="6" t="s">
        <v>8203</v>
      </c>
      <c r="H1715" s="6" t="str">
        <f t="shared" si="152"/>
        <v>LINCOLN
EGYPT HOUSE FRANKE
THE OVERSEER (P24
P43
P194)</v>
      </c>
      <c r="I1715" s="6" t="s">
        <v>112</v>
      </c>
      <c r="J1715" s="6"/>
      <c r="K1715" s="6"/>
      <c r="L1715" s="6" t="s">
        <v>209</v>
      </c>
      <c r="M1715" s="6" t="str">
        <f>VLOOKUP(L1715, GLOSSARY!$A:$C, 2, FALSE)</f>
        <v>BREADNUT ISLAND PEN</v>
      </c>
      <c r="N1715" s="6" t="s">
        <v>167</v>
      </c>
      <c r="O1715" s="6"/>
      <c r="P1715" s="6"/>
      <c r="Q1715" s="6"/>
      <c r="R1715" s="6"/>
      <c r="S1715" s="6"/>
      <c r="T1715" s="6"/>
      <c r="U1715" s="6"/>
      <c r="V1715" s="6"/>
      <c r="W1715" s="6"/>
      <c r="X1715" s="6"/>
      <c r="Y1715" s="6"/>
      <c r="Z1715" s="6"/>
      <c r="AA1715" s="6"/>
      <c r="AB1715" s="6"/>
      <c r="AC1715" s="6"/>
      <c r="AD1715" s="6"/>
      <c r="AE1715" s="6"/>
    </row>
    <row r="1716" spans="1:31" ht="38.25" x14ac:dyDescent="0.2">
      <c r="A1716" s="6" t="s">
        <v>8204</v>
      </c>
      <c r="B1716" s="6" t="s">
        <v>8205</v>
      </c>
      <c r="C1716" s="20" t="s">
        <v>8206</v>
      </c>
      <c r="D1716" s="6" t="s">
        <v>8207</v>
      </c>
      <c r="E1716" s="6"/>
      <c r="F1716" s="6" t="s">
        <v>169</v>
      </c>
      <c r="G1716" s="6" t="s">
        <v>168</v>
      </c>
      <c r="H1716" s="6" t="str">
        <f t="shared" si="152"/>
        <v>LUCY (P14)</v>
      </c>
      <c r="I1716" s="6" t="s">
        <v>533</v>
      </c>
      <c r="J1716" s="6" t="s">
        <v>170</v>
      </c>
      <c r="K1716" s="6"/>
      <c r="L1716" s="6" t="s">
        <v>209</v>
      </c>
      <c r="M1716" s="6" t="str">
        <f>VLOOKUP(L1716, GLOSSARY!$A:$C, 2, FALSE)</f>
        <v>BREADNUT ISLAND PEN</v>
      </c>
      <c r="N1716" s="6" t="s">
        <v>68</v>
      </c>
      <c r="O1716" s="6"/>
      <c r="P1716" s="6"/>
      <c r="Q1716" s="6"/>
      <c r="R1716" s="6"/>
      <c r="S1716" s="6"/>
      <c r="T1716" s="6"/>
      <c r="U1716" s="6"/>
      <c r="V1716" s="6"/>
      <c r="W1716" s="6"/>
      <c r="X1716" s="6"/>
      <c r="Y1716" s="6"/>
      <c r="Z1716" s="6"/>
      <c r="AA1716" s="6"/>
      <c r="AB1716" s="6"/>
      <c r="AC1716" s="6"/>
      <c r="AD1716" s="6"/>
      <c r="AE1716" s="6"/>
    </row>
    <row r="1717" spans="1:31" ht="63.75" x14ac:dyDescent="0.2">
      <c r="A1717" s="6" t="s">
        <v>8204</v>
      </c>
      <c r="B1717" s="6" t="s">
        <v>6312</v>
      </c>
      <c r="C1717" s="20" t="s">
        <v>8208</v>
      </c>
      <c r="D1717" s="6" t="s">
        <v>8209</v>
      </c>
      <c r="E1717" s="6"/>
      <c r="F1717" s="6" t="s">
        <v>8210</v>
      </c>
      <c r="G1717" s="6" t="s">
        <v>8211</v>
      </c>
      <c r="H1717" s="6" t="str">
        <f t="shared" si="152"/>
        <v>LUCY
THE OVERSEER (P14
P43)</v>
      </c>
      <c r="I1717" s="6" t="s">
        <v>533</v>
      </c>
      <c r="J1717" s="6" t="s">
        <v>170</v>
      </c>
      <c r="K1717" s="6"/>
      <c r="L1717" s="6" t="s">
        <v>209</v>
      </c>
      <c r="M1717" s="6" t="str">
        <f>VLOOKUP(L1717, GLOSSARY!$A:$C, 2, FALSE)</f>
        <v>BREADNUT ISLAND PEN</v>
      </c>
      <c r="N1717" s="6" t="s">
        <v>68</v>
      </c>
      <c r="O1717" s="6"/>
      <c r="P1717" s="6"/>
      <c r="Q1717" s="6"/>
      <c r="R1717" s="6"/>
      <c r="S1717" s="6"/>
      <c r="T1717" s="6"/>
      <c r="U1717" s="6"/>
      <c r="V1717" s="6"/>
      <c r="W1717" s="6"/>
      <c r="X1717" s="6"/>
      <c r="Y1717" s="6"/>
      <c r="Z1717" s="6"/>
      <c r="AA1717" s="6"/>
      <c r="AB1717" s="6"/>
      <c r="AC1717" s="6"/>
      <c r="AD1717" s="6"/>
      <c r="AE1717" s="6"/>
    </row>
    <row r="1718" spans="1:31" ht="63.75" x14ac:dyDescent="0.2">
      <c r="A1718" s="6" t="s">
        <v>8204</v>
      </c>
      <c r="B1718" s="6" t="s">
        <v>8212</v>
      </c>
      <c r="C1718" s="20" t="s">
        <v>8213</v>
      </c>
      <c r="D1718" s="6" t="s">
        <v>8214</v>
      </c>
      <c r="E1718" s="6"/>
      <c r="F1718" s="6" t="s">
        <v>169</v>
      </c>
      <c r="G1718" s="6" t="s">
        <v>168</v>
      </c>
      <c r="H1718" s="6" t="str">
        <f t="shared" si="152"/>
        <v>LUCY (P14)</v>
      </c>
      <c r="I1718" s="6" t="s">
        <v>533</v>
      </c>
      <c r="J1718" s="6" t="s">
        <v>170</v>
      </c>
      <c r="K1718" s="6"/>
      <c r="L1718" s="6" t="s">
        <v>209</v>
      </c>
      <c r="M1718" s="6" t="str">
        <f>VLOOKUP(L1718, GLOSSARY!$A:$C, 2, FALSE)</f>
        <v>BREADNUT ISLAND PEN</v>
      </c>
      <c r="N1718" s="6" t="s">
        <v>68</v>
      </c>
      <c r="O1718" s="6"/>
      <c r="P1718" s="6"/>
      <c r="Q1718" s="6"/>
      <c r="R1718" s="6"/>
      <c r="S1718" s="6"/>
      <c r="T1718" s="6"/>
      <c r="U1718" s="6"/>
      <c r="V1718" s="6"/>
      <c r="W1718" s="6"/>
      <c r="X1718" s="6"/>
      <c r="Y1718" s="6"/>
      <c r="Z1718" s="6"/>
      <c r="AA1718" s="6"/>
      <c r="AB1718" s="6"/>
      <c r="AC1718" s="6"/>
      <c r="AD1718" s="6"/>
      <c r="AE1718" s="6"/>
    </row>
    <row r="1719" spans="1:31" ht="25.5" x14ac:dyDescent="0.2">
      <c r="A1719" s="6" t="s">
        <v>8204</v>
      </c>
      <c r="B1719" s="6" t="s">
        <v>8212</v>
      </c>
      <c r="C1719" s="20" t="s">
        <v>8215</v>
      </c>
      <c r="D1719" s="6" t="s">
        <v>8216</v>
      </c>
      <c r="E1719" s="6"/>
      <c r="F1719" s="6" t="s">
        <v>169</v>
      </c>
      <c r="G1719" s="6" t="s">
        <v>168</v>
      </c>
      <c r="H1719" s="6" t="str">
        <f t="shared" si="152"/>
        <v>LUCY (P14)</v>
      </c>
      <c r="I1719" s="6" t="s">
        <v>533</v>
      </c>
      <c r="J1719" s="6" t="s">
        <v>170</v>
      </c>
      <c r="K1719" s="6"/>
      <c r="L1719" s="6" t="s">
        <v>209</v>
      </c>
      <c r="M1719" s="6" t="str">
        <f>VLOOKUP(L1719, GLOSSARY!$A:$C, 2, FALSE)</f>
        <v>BREADNUT ISLAND PEN</v>
      </c>
      <c r="N1719" s="6" t="s">
        <v>68</v>
      </c>
      <c r="O1719" s="6"/>
      <c r="P1719" s="6"/>
      <c r="Q1719" s="6"/>
      <c r="R1719" s="6"/>
      <c r="S1719" s="6"/>
      <c r="T1719" s="6"/>
      <c r="U1719" s="6"/>
      <c r="V1719" s="6"/>
      <c r="W1719" s="6"/>
      <c r="X1719" s="6"/>
      <c r="Y1719" s="6"/>
      <c r="Z1719" s="6"/>
      <c r="AA1719" s="6"/>
      <c r="AB1719" s="6"/>
      <c r="AC1719" s="6"/>
      <c r="AD1719" s="6"/>
      <c r="AE1719" s="6"/>
    </row>
    <row r="1720" spans="1:31" ht="63.75" x14ac:dyDescent="0.2">
      <c r="A1720" s="6" t="s">
        <v>8204</v>
      </c>
      <c r="B1720" s="6" t="s">
        <v>8212</v>
      </c>
      <c r="C1720" s="20" t="s">
        <v>8217</v>
      </c>
      <c r="D1720" s="6" t="s">
        <v>8218</v>
      </c>
      <c r="E1720" s="6"/>
      <c r="F1720" s="6" t="s">
        <v>169</v>
      </c>
      <c r="G1720" s="6" t="s">
        <v>168</v>
      </c>
      <c r="H1720" s="6" t="str">
        <f t="shared" si="152"/>
        <v>LUCY (P14)</v>
      </c>
      <c r="I1720" s="6" t="s">
        <v>1068</v>
      </c>
      <c r="J1720" s="6" t="s">
        <v>170</v>
      </c>
      <c r="K1720" s="6"/>
      <c r="L1720" s="6" t="s">
        <v>209</v>
      </c>
      <c r="M1720" s="6" t="str">
        <f>VLOOKUP(L1720, GLOSSARY!$A:$C, 2, FALSE)</f>
        <v>BREADNUT ISLAND PEN</v>
      </c>
      <c r="N1720" s="6" t="s">
        <v>167</v>
      </c>
      <c r="O1720" s="6" t="s">
        <v>8219</v>
      </c>
      <c r="P1720" s="6"/>
      <c r="Q1720" s="6"/>
      <c r="R1720" s="6"/>
      <c r="S1720" s="6"/>
      <c r="T1720" s="6"/>
      <c r="U1720" s="6"/>
      <c r="V1720" s="6"/>
      <c r="W1720" s="6"/>
      <c r="X1720" s="6"/>
      <c r="Y1720" s="6"/>
      <c r="Z1720" s="6"/>
      <c r="AA1720" s="6"/>
      <c r="AB1720" s="6"/>
      <c r="AC1720" s="6"/>
      <c r="AD1720" s="6"/>
      <c r="AE1720" s="6"/>
    </row>
    <row r="1721" spans="1:31" ht="76.5" x14ac:dyDescent="0.2">
      <c r="A1721" s="6" t="s">
        <v>8204</v>
      </c>
      <c r="B1721" s="6" t="s">
        <v>6316</v>
      </c>
      <c r="C1721" s="20" t="s">
        <v>8220</v>
      </c>
      <c r="D1721" s="6" t="s">
        <v>8221</v>
      </c>
      <c r="E1721" s="6"/>
      <c r="F1721" s="6" t="s">
        <v>8222</v>
      </c>
      <c r="G1721" s="6" t="s">
        <v>8223</v>
      </c>
      <c r="H1721" s="6" t="str">
        <f t="shared" si="152"/>
        <v>SOLON
LUCY (P14
P26)</v>
      </c>
      <c r="I1721" s="6" t="s">
        <v>1068</v>
      </c>
      <c r="J1721" s="6" t="s">
        <v>170</v>
      </c>
      <c r="K1721" s="6"/>
      <c r="L1721" s="6" t="s">
        <v>209</v>
      </c>
      <c r="M1721" s="6" t="str">
        <f>VLOOKUP(L1721, GLOSSARY!$A:$C, 2, FALSE)</f>
        <v>BREADNUT ISLAND PEN</v>
      </c>
      <c r="N1721" s="6" t="s">
        <v>68</v>
      </c>
      <c r="O1721" s="6" t="s">
        <v>8224</v>
      </c>
      <c r="P1721" s="6"/>
      <c r="Q1721" s="6"/>
      <c r="R1721" s="6"/>
      <c r="S1721" s="6"/>
      <c r="T1721" s="6"/>
      <c r="U1721" s="6"/>
      <c r="V1721" s="6"/>
      <c r="W1721" s="6"/>
      <c r="X1721" s="6"/>
      <c r="Y1721" s="6"/>
      <c r="Z1721" s="6"/>
      <c r="AA1721" s="6"/>
      <c r="AB1721" s="6"/>
      <c r="AC1721" s="6"/>
      <c r="AD1721" s="6"/>
      <c r="AE1721" s="6"/>
    </row>
    <row r="1722" spans="1:31" ht="229.5" x14ac:dyDescent="0.2">
      <c r="A1722" s="6" t="s">
        <v>8204</v>
      </c>
      <c r="B1722" s="6" t="s">
        <v>8225</v>
      </c>
      <c r="C1722" s="20" t="s">
        <v>8220</v>
      </c>
      <c r="D1722" s="6" t="s">
        <v>8226</v>
      </c>
      <c r="E1722" s="6"/>
      <c r="F1722" s="6" t="s">
        <v>8227</v>
      </c>
      <c r="G1722" s="6" t="s">
        <v>8228</v>
      </c>
      <c r="H1722" s="6" t="str">
        <f t="shared" si="152"/>
        <v>THE PLANTER
THE OVERSEER
DAVIE
OGO
LUCY
 (P44
P43
P217
P13
P14)</v>
      </c>
      <c r="I1722" s="6" t="s">
        <v>1068</v>
      </c>
      <c r="J1722" s="6" t="s">
        <v>170</v>
      </c>
      <c r="K1722" s="6"/>
      <c r="L1722" s="6"/>
      <c r="M1722" s="6" t="e">
        <f>VLOOKUP(L1722, GLOSSARY!$A:$C, 2, FALSE)</f>
        <v>#N/A</v>
      </c>
      <c r="N1722" s="6"/>
      <c r="O1722" s="6"/>
      <c r="P1722" s="6"/>
      <c r="Q1722" s="6"/>
      <c r="R1722" s="6"/>
      <c r="S1722" s="6"/>
      <c r="T1722" s="6"/>
      <c r="U1722" s="6"/>
      <c r="V1722" s="6"/>
      <c r="W1722" s="6"/>
      <c r="X1722" s="6"/>
      <c r="Y1722" s="6"/>
      <c r="Z1722" s="6"/>
      <c r="AA1722" s="6"/>
      <c r="AB1722" s="6"/>
      <c r="AC1722" s="6"/>
      <c r="AD1722" s="6"/>
      <c r="AE1722" s="6"/>
    </row>
    <row r="1723" spans="1:31" ht="140.25" x14ac:dyDescent="0.2">
      <c r="A1723" s="6" t="s">
        <v>8229</v>
      </c>
      <c r="B1723" s="6" t="s">
        <v>8230</v>
      </c>
      <c r="C1723" s="20" t="s">
        <v>8231</v>
      </c>
      <c r="D1723" s="6" t="s">
        <v>8232</v>
      </c>
      <c r="E1723" s="6"/>
      <c r="F1723" s="6" t="s">
        <v>8233</v>
      </c>
      <c r="G1723" s="6" t="s">
        <v>8234</v>
      </c>
      <c r="H1723" s="6" t="str">
        <f t="shared" si="152"/>
        <v>NANNY
MIRTILLA
THE OVERSEER (P15
P32
P43)</v>
      </c>
      <c r="I1723" s="6" t="s">
        <v>112</v>
      </c>
      <c r="J1723" s="6"/>
      <c r="K1723" s="6"/>
      <c r="L1723" s="6" t="s">
        <v>209</v>
      </c>
      <c r="M1723" s="6" t="str">
        <f>VLOOKUP(L1723, GLOSSARY!$A:$C, 2, FALSE)</f>
        <v>BREADNUT ISLAND PEN</v>
      </c>
      <c r="N1723" s="6" t="s">
        <v>68</v>
      </c>
      <c r="O1723" s="6"/>
      <c r="P1723" s="6"/>
      <c r="Q1723" s="6"/>
      <c r="R1723" s="6"/>
      <c r="S1723" s="6"/>
      <c r="T1723" s="6"/>
      <c r="U1723" s="6"/>
      <c r="V1723" s="6"/>
      <c r="W1723" s="6"/>
      <c r="X1723" s="6"/>
      <c r="Y1723" s="6"/>
      <c r="Z1723" s="6"/>
      <c r="AA1723" s="6"/>
      <c r="AB1723" s="6"/>
      <c r="AC1723" s="6"/>
      <c r="AD1723" s="6"/>
      <c r="AE1723" s="6"/>
    </row>
    <row r="1724" spans="1:31" ht="63.75" x14ac:dyDescent="0.2">
      <c r="A1724" s="6" t="s">
        <v>8235</v>
      </c>
      <c r="B1724" s="6" t="s">
        <v>3821</v>
      </c>
      <c r="C1724" s="20" t="s">
        <v>8236</v>
      </c>
      <c r="D1724" s="6" t="s">
        <v>8237</v>
      </c>
      <c r="E1724" s="6"/>
      <c r="F1724" s="6" t="s">
        <v>8238</v>
      </c>
      <c r="G1724" s="6" t="s">
        <v>8239</v>
      </c>
      <c r="H1724" s="6" t="str">
        <f t="shared" si="152"/>
        <v>QUASHEBA [EGYPT]
PHOEBE (P58
P185)</v>
      </c>
      <c r="I1724" s="6" t="s">
        <v>96</v>
      </c>
      <c r="J1724" s="6"/>
      <c r="K1724" s="6"/>
      <c r="L1724" s="6" t="s">
        <v>209</v>
      </c>
      <c r="M1724" s="6" t="str">
        <f>VLOOKUP(L1724, GLOSSARY!$A:$C, 2, FALSE)</f>
        <v>BREADNUT ISLAND PEN</v>
      </c>
      <c r="N1724" s="6" t="s">
        <v>68</v>
      </c>
      <c r="O1724" s="6"/>
      <c r="P1724" s="6"/>
      <c r="Q1724" s="6"/>
      <c r="R1724" s="6"/>
      <c r="S1724" s="6"/>
      <c r="T1724" s="6"/>
      <c r="U1724" s="6"/>
      <c r="V1724" s="6"/>
      <c r="W1724" s="6"/>
      <c r="X1724" s="6"/>
      <c r="Y1724" s="6"/>
      <c r="Z1724" s="6"/>
      <c r="AA1724" s="6"/>
      <c r="AB1724" s="6"/>
      <c r="AC1724" s="6"/>
      <c r="AD1724" s="6"/>
      <c r="AE1724" s="6"/>
    </row>
    <row r="1725" spans="1:31" ht="25.5" x14ac:dyDescent="0.2">
      <c r="A1725" s="6" t="s">
        <v>8235</v>
      </c>
      <c r="B1725" s="6" t="s">
        <v>3821</v>
      </c>
      <c r="C1725" s="20" t="s">
        <v>8240</v>
      </c>
      <c r="D1725" s="6" t="s">
        <v>8241</v>
      </c>
      <c r="E1725" s="6"/>
      <c r="F1725" s="6" t="s">
        <v>1167</v>
      </c>
      <c r="G1725" s="6" t="s">
        <v>1166</v>
      </c>
      <c r="H1725" s="6" t="str">
        <f t="shared" si="152"/>
        <v>QUASHEBA [EGYPT] (P185)</v>
      </c>
      <c r="I1725" s="6" t="s">
        <v>96</v>
      </c>
      <c r="J1725" s="6"/>
      <c r="K1725" s="6"/>
      <c r="L1725" s="6" t="s">
        <v>55</v>
      </c>
      <c r="M1725" s="6" t="str">
        <f>VLOOKUP(L1725, GLOSSARY!$A:$C, 2, FALSE)</f>
        <v>EGYPT ESTATE</v>
      </c>
      <c r="N1725" s="6" t="s">
        <v>68</v>
      </c>
      <c r="O1725" s="6"/>
      <c r="P1725" s="6"/>
      <c r="Q1725" s="6"/>
      <c r="R1725" s="6"/>
      <c r="S1725" s="6"/>
      <c r="T1725" s="6"/>
      <c r="U1725" s="6"/>
      <c r="V1725" s="6"/>
      <c r="W1725" s="6"/>
      <c r="X1725" s="6"/>
      <c r="Y1725" s="6"/>
      <c r="Z1725" s="6"/>
      <c r="AA1725" s="6"/>
      <c r="AB1725" s="6"/>
      <c r="AC1725" s="6"/>
      <c r="AD1725" s="6"/>
      <c r="AE1725" s="6"/>
    </row>
    <row r="1726" spans="1:31" ht="38.25" x14ac:dyDescent="0.2">
      <c r="A1726" s="6" t="s">
        <v>4460</v>
      </c>
      <c r="B1726" s="6" t="s">
        <v>4043</v>
      </c>
      <c r="C1726" s="20" t="s">
        <v>8242</v>
      </c>
      <c r="D1726" s="6" t="s">
        <v>8243</v>
      </c>
      <c r="E1726" s="6"/>
      <c r="F1726" s="6" t="s">
        <v>48</v>
      </c>
      <c r="G1726" s="6" t="s">
        <v>50</v>
      </c>
      <c r="H1726" s="6" t="str">
        <f t="shared" ref="H1726:H1731" si="153">CONCATENATE(F1726,"(",G1726,")")</f>
        <v>THE OVERSEER(P43)</v>
      </c>
      <c r="I1726" s="6" t="s">
        <v>26</v>
      </c>
      <c r="J1726" s="6"/>
      <c r="K1726" s="6"/>
      <c r="L1726" s="6" t="s">
        <v>209</v>
      </c>
      <c r="M1726" s="6" t="str">
        <f>VLOOKUP(L1726, GLOSSARY!$A:$C, 2, FALSE)</f>
        <v>BREADNUT ISLAND PEN</v>
      </c>
      <c r="N1726" s="6"/>
      <c r="O1726" s="6"/>
      <c r="P1726" s="6"/>
      <c r="Q1726" s="6"/>
      <c r="R1726" s="6"/>
      <c r="S1726" s="6"/>
      <c r="T1726" s="6"/>
      <c r="U1726" s="6"/>
      <c r="V1726" s="6"/>
      <c r="W1726" s="6"/>
      <c r="X1726" s="6"/>
      <c r="Y1726" s="6"/>
      <c r="Z1726" s="6"/>
      <c r="AA1726" s="6"/>
      <c r="AB1726" s="6"/>
      <c r="AC1726" s="6"/>
      <c r="AD1726" s="6"/>
      <c r="AE1726" s="6"/>
    </row>
    <row r="1727" spans="1:31" ht="51" x14ac:dyDescent="0.2">
      <c r="A1727" s="6" t="s">
        <v>8244</v>
      </c>
      <c r="B1727" s="6" t="s">
        <v>8245</v>
      </c>
      <c r="C1727" s="20" t="s">
        <v>8246</v>
      </c>
      <c r="D1727" s="6" t="s">
        <v>8247</v>
      </c>
      <c r="E1727" s="6"/>
      <c r="F1727" s="6" t="s">
        <v>617</v>
      </c>
      <c r="G1727" s="6" t="s">
        <v>616</v>
      </c>
      <c r="H1727" s="6" t="str">
        <f t="shared" si="153"/>
        <v>JOHN HARTNOLE(P81)</v>
      </c>
      <c r="I1727" s="6" t="s">
        <v>1068</v>
      </c>
      <c r="J1727" s="6"/>
      <c r="K1727" s="6"/>
      <c r="L1727" s="6" t="s">
        <v>3201</v>
      </c>
      <c r="M1727" s="6" t="str">
        <f>VLOOKUP(L1727, GLOSSARY!$A:$C, 2, FALSE)</f>
        <v>MR. HARTNOLE'S</v>
      </c>
      <c r="N1727" s="6" t="s">
        <v>167</v>
      </c>
      <c r="O1727" s="6"/>
      <c r="P1727" s="6"/>
      <c r="Q1727" s="6"/>
      <c r="R1727" s="6"/>
      <c r="S1727" s="6"/>
      <c r="T1727" s="6"/>
      <c r="U1727" s="6"/>
      <c r="V1727" s="6"/>
      <c r="W1727" s="6"/>
      <c r="X1727" s="6"/>
      <c r="Y1727" s="6"/>
      <c r="Z1727" s="6"/>
      <c r="AA1727" s="6"/>
      <c r="AB1727" s="6"/>
      <c r="AC1727" s="6"/>
      <c r="AD1727" s="6"/>
      <c r="AE1727" s="6"/>
    </row>
    <row r="1728" spans="1:31" ht="165.75" x14ac:dyDescent="0.2">
      <c r="A1728" s="6" t="s">
        <v>8244</v>
      </c>
      <c r="B1728" s="6" t="s">
        <v>4753</v>
      </c>
      <c r="C1728" s="20" t="s">
        <v>8248</v>
      </c>
      <c r="D1728" s="6" t="s">
        <v>8249</v>
      </c>
      <c r="E1728" s="6"/>
      <c r="F1728" s="6" t="s">
        <v>8250</v>
      </c>
      <c r="G1728" s="6" t="s">
        <v>8251</v>
      </c>
      <c r="H1728" s="6" t="str">
        <f t="shared" si="153"/>
        <v>THE OVERSEER
JOHN CHAMBER
JOHN HARTNOLE(P43
P81
P70)</v>
      </c>
      <c r="I1728" s="6" t="s">
        <v>1068</v>
      </c>
      <c r="J1728" s="6"/>
      <c r="K1728" s="6"/>
      <c r="L1728" s="6" t="s">
        <v>3015</v>
      </c>
      <c r="M1728" s="6" t="str">
        <f>VLOOKUP(L1728, GLOSSARY!$A:$C, 2, FALSE)</f>
        <v>SAVANNA LA MAR CHAPEL</v>
      </c>
      <c r="N1728" s="6" t="s">
        <v>68</v>
      </c>
      <c r="O1728" s="6"/>
      <c r="P1728" s="6"/>
      <c r="Q1728" s="6"/>
      <c r="R1728" s="6"/>
      <c r="S1728" s="6"/>
      <c r="T1728" s="6"/>
      <c r="U1728" s="6"/>
      <c r="V1728" s="6"/>
      <c r="W1728" s="6"/>
      <c r="X1728" s="6"/>
      <c r="Y1728" s="6"/>
      <c r="Z1728" s="6"/>
      <c r="AA1728" s="6"/>
      <c r="AB1728" s="6"/>
      <c r="AC1728" s="6"/>
      <c r="AD1728" s="6"/>
      <c r="AE1728" s="6"/>
    </row>
    <row r="1729" spans="1:31" ht="76.5" x14ac:dyDescent="0.2">
      <c r="A1729" s="6" t="s">
        <v>8252</v>
      </c>
      <c r="B1729" s="6" t="s">
        <v>4364</v>
      </c>
      <c r="C1729" s="20" t="s">
        <v>8253</v>
      </c>
      <c r="D1729" s="6" t="s">
        <v>8254</v>
      </c>
      <c r="E1729" s="6"/>
      <c r="F1729" s="6" t="s">
        <v>8255</v>
      </c>
      <c r="G1729" s="6" t="s">
        <v>1723</v>
      </c>
      <c r="H1729" s="6" t="str">
        <f t="shared" si="153"/>
        <v>MOCHO JIMMY
(P291)</v>
      </c>
      <c r="I1729" s="6" t="s">
        <v>3809</v>
      </c>
      <c r="J1729" s="6" t="s">
        <v>8256</v>
      </c>
      <c r="K1729" s="6"/>
      <c r="L1729" s="6" t="s">
        <v>3173</v>
      </c>
      <c r="M1729" s="6" t="str">
        <f>VLOOKUP(L1729, GLOSSARY!$A:$C, 2, FALSE)</f>
        <v>MR. WILSON'S</v>
      </c>
      <c r="N1729" s="6" t="s">
        <v>68</v>
      </c>
      <c r="O1729" s="6"/>
      <c r="P1729" s="6"/>
      <c r="Q1729" s="6"/>
      <c r="R1729" s="6"/>
      <c r="S1729" s="6"/>
      <c r="T1729" s="6"/>
      <c r="U1729" s="6"/>
      <c r="V1729" s="6"/>
      <c r="W1729" s="6"/>
      <c r="X1729" s="6"/>
      <c r="Y1729" s="6"/>
      <c r="Z1729" s="6"/>
      <c r="AA1729" s="6"/>
      <c r="AB1729" s="6"/>
      <c r="AC1729" s="6"/>
      <c r="AD1729" s="6"/>
      <c r="AE1729" s="6"/>
    </row>
    <row r="1730" spans="1:31" ht="38.25" x14ac:dyDescent="0.2">
      <c r="A1730" s="6" t="s">
        <v>8257</v>
      </c>
      <c r="B1730" s="6" t="s">
        <v>7296</v>
      </c>
      <c r="C1730" s="20" t="s">
        <v>8258</v>
      </c>
      <c r="D1730" s="6" t="s">
        <v>8259</v>
      </c>
      <c r="E1730" s="6"/>
      <c r="F1730" s="6" t="s">
        <v>443</v>
      </c>
      <c r="G1730" s="6" t="s">
        <v>441</v>
      </c>
      <c r="H1730" s="6" t="str">
        <f t="shared" si="153"/>
        <v>SARAH BENNETT(P50)</v>
      </c>
      <c r="I1730" s="6" t="s">
        <v>1068</v>
      </c>
      <c r="J1730" s="6"/>
      <c r="K1730" s="6"/>
      <c r="L1730" s="6" t="s">
        <v>445</v>
      </c>
      <c r="M1730" s="6" t="str">
        <f>VLOOKUP(L1730, GLOSSARY!$A:$C, 2, FALSE)</f>
        <v>MRS. SARAH BENNETT'S</v>
      </c>
      <c r="N1730" s="6" t="s">
        <v>1481</v>
      </c>
      <c r="O1730" s="6"/>
      <c r="P1730" s="6"/>
      <c r="Q1730" s="6"/>
      <c r="R1730" s="6"/>
      <c r="S1730" s="6"/>
      <c r="T1730" s="6"/>
      <c r="U1730" s="6"/>
      <c r="V1730" s="6"/>
      <c r="W1730" s="6"/>
      <c r="X1730" s="6"/>
      <c r="Y1730" s="6"/>
      <c r="Z1730" s="6"/>
      <c r="AA1730" s="6"/>
      <c r="AB1730" s="6"/>
      <c r="AC1730" s="6"/>
      <c r="AD1730" s="6"/>
      <c r="AE1730" s="6"/>
    </row>
    <row r="1731" spans="1:31" ht="63.75" x14ac:dyDescent="0.2">
      <c r="A1731" s="6" t="s">
        <v>5282</v>
      </c>
      <c r="B1731" s="6" t="s">
        <v>4764</v>
      </c>
      <c r="C1731" s="20" t="s">
        <v>8260</v>
      </c>
      <c r="D1731" s="6" t="s">
        <v>8261</v>
      </c>
      <c r="E1731" s="6"/>
      <c r="F1731" s="6"/>
      <c r="G1731" s="6"/>
      <c r="H1731" s="6" t="str">
        <f t="shared" si="153"/>
        <v>()</v>
      </c>
      <c r="I1731" s="6" t="s">
        <v>1068</v>
      </c>
      <c r="J1731" s="6"/>
      <c r="K1731" s="6"/>
      <c r="L1731" s="6" t="s">
        <v>186</v>
      </c>
      <c r="M1731" s="6" t="str">
        <f>VLOOKUP(L1731, GLOSSARY!$A:$C, 2, FALSE)</f>
        <v xml:space="preserve">WILDERNESS </v>
      </c>
      <c r="N1731" s="6" t="s">
        <v>167</v>
      </c>
      <c r="O1731" s="6"/>
      <c r="P1731" s="6"/>
      <c r="Q1731" s="6"/>
      <c r="R1731" s="6"/>
      <c r="S1731" s="6"/>
      <c r="T1731" s="6"/>
      <c r="U1731" s="6"/>
      <c r="V1731" s="6"/>
      <c r="W1731" s="6"/>
      <c r="X1731" s="6"/>
      <c r="Y1731" s="6"/>
      <c r="Z1731" s="6"/>
      <c r="AA1731" s="6"/>
      <c r="AB1731" s="6"/>
      <c r="AC1731" s="6"/>
      <c r="AD1731" s="6"/>
      <c r="AE1731" s="6"/>
    </row>
    <row r="1732" spans="1:31" ht="114.75" x14ac:dyDescent="0.2">
      <c r="A1732" s="6" t="s">
        <v>8262</v>
      </c>
      <c r="B1732" s="6" t="s">
        <v>8263</v>
      </c>
      <c r="C1732" s="20" t="s">
        <v>8264</v>
      </c>
      <c r="D1732" s="6" t="s">
        <v>8265</v>
      </c>
      <c r="E1732" s="6" t="s">
        <v>8266</v>
      </c>
      <c r="F1732" s="6" t="s">
        <v>8267</v>
      </c>
      <c r="G1732" s="6" t="s">
        <v>8268</v>
      </c>
      <c r="H1732" s="18" t="str">
        <f>CONCATENATE(F1732," (",G1732,")")</f>
        <v>THE PLANTER
THE PLANTER'S WIFE
JACK COPE
JENNY YOUNG (P44
P45
P94
P16)</v>
      </c>
      <c r="I1732" s="6" t="s">
        <v>112</v>
      </c>
      <c r="J1732" s="6" t="s">
        <v>8269</v>
      </c>
      <c r="K1732" s="6" t="s">
        <v>141</v>
      </c>
      <c r="L1732" s="6" t="s">
        <v>99</v>
      </c>
      <c r="M1732" s="18" t="str">
        <f>VLOOKUP(L1732, GLOSSARY!$A:$C, 2, FALSE)</f>
        <v>PARADISE ESTATE</v>
      </c>
      <c r="N1732" s="6" t="s">
        <v>68</v>
      </c>
      <c r="O1732" s="6"/>
      <c r="P1732" s="6"/>
      <c r="Q1732" s="6"/>
      <c r="R1732" s="6"/>
      <c r="S1732" s="6"/>
      <c r="T1732" s="6"/>
      <c r="U1732" s="6"/>
      <c r="V1732" s="6"/>
      <c r="W1732" s="6"/>
      <c r="X1732" s="6"/>
      <c r="Y1732" s="6"/>
      <c r="Z1732" s="6"/>
      <c r="AA1732" s="6"/>
      <c r="AB1732" s="6"/>
      <c r="AC1732" s="6"/>
      <c r="AD1732" s="6"/>
      <c r="AE1732" s="6"/>
    </row>
    <row r="1733" spans="1:31" ht="140.25" x14ac:dyDescent="0.2">
      <c r="A1733" s="6" t="s">
        <v>8270</v>
      </c>
      <c r="B1733" s="6" t="s">
        <v>8263</v>
      </c>
      <c r="C1733" s="20" t="s">
        <v>8264</v>
      </c>
      <c r="D1733" s="6" t="s">
        <v>8271</v>
      </c>
      <c r="E1733" s="6"/>
      <c r="F1733" s="6" t="s">
        <v>1729</v>
      </c>
      <c r="G1733" s="6" t="s">
        <v>1726</v>
      </c>
      <c r="H1733" s="6" t="str">
        <f>CONCATENATE(F1733,"(",G1733,")")</f>
        <v>HANNAH PINKNEY(P292)</v>
      </c>
      <c r="I1733" s="6" t="s">
        <v>3809</v>
      </c>
      <c r="J1733" s="6"/>
      <c r="K1733" s="6"/>
      <c r="L1733" s="6" t="s">
        <v>3178</v>
      </c>
      <c r="M1733" s="6" t="str">
        <f>VLOOKUP(L1733, GLOSSARY!$A:$C, 2, FALSE)</f>
        <v>HANNAH PINKNEY'S</v>
      </c>
      <c r="N1733" s="6"/>
      <c r="O1733" s="6"/>
      <c r="P1733" s="6"/>
      <c r="Q1733" s="6"/>
      <c r="R1733" s="6"/>
      <c r="S1733" s="6"/>
      <c r="T1733" s="6"/>
      <c r="U1733" s="6"/>
      <c r="V1733" s="6"/>
      <c r="W1733" s="6"/>
      <c r="X1733" s="6"/>
      <c r="Y1733" s="6"/>
      <c r="Z1733" s="6"/>
      <c r="AA1733" s="6"/>
      <c r="AB1733" s="6"/>
      <c r="AC1733" s="6"/>
      <c r="AD1733" s="6"/>
      <c r="AE1733" s="6"/>
    </row>
    <row r="1734" spans="1:31" ht="25.5" x14ac:dyDescent="0.2">
      <c r="A1734" s="6" t="s">
        <v>8272</v>
      </c>
      <c r="B1734" s="6" t="s">
        <v>5496</v>
      </c>
      <c r="C1734" s="20" t="s">
        <v>8273</v>
      </c>
      <c r="D1734" s="6" t="s">
        <v>8274</v>
      </c>
      <c r="E1734" s="6" t="s">
        <v>8275</v>
      </c>
      <c r="F1734" s="6" t="s">
        <v>308</v>
      </c>
      <c r="G1734" s="6" t="s">
        <v>307</v>
      </c>
      <c r="H1734" s="18" t="str">
        <f t="shared" ref="H1734:H1750" si="154">CONCATENATE(F1734," (",G1734,")")</f>
        <v>FANNY (P31)</v>
      </c>
      <c r="I1734" s="6" t="s">
        <v>3797</v>
      </c>
      <c r="J1734" s="6"/>
      <c r="K1734" s="6" t="s">
        <v>207</v>
      </c>
      <c r="L1734" s="6" t="s">
        <v>209</v>
      </c>
      <c r="M1734" s="18" t="str">
        <f>VLOOKUP(L1734, GLOSSARY!$A:$C, 2, FALSE)</f>
        <v>BREADNUT ISLAND PEN</v>
      </c>
      <c r="N1734" s="6" t="s">
        <v>68</v>
      </c>
      <c r="O1734" s="6"/>
      <c r="P1734" s="6"/>
      <c r="Q1734" s="6"/>
      <c r="R1734" s="6"/>
      <c r="S1734" s="6"/>
      <c r="T1734" s="6"/>
      <c r="U1734" s="6"/>
      <c r="V1734" s="6"/>
      <c r="W1734" s="6"/>
      <c r="X1734" s="6"/>
      <c r="Y1734" s="6"/>
      <c r="Z1734" s="6"/>
      <c r="AA1734" s="6"/>
      <c r="AB1734" s="6"/>
      <c r="AC1734" s="6"/>
      <c r="AD1734" s="6"/>
      <c r="AE1734" s="6"/>
    </row>
    <row r="1735" spans="1:31" ht="63.75" x14ac:dyDescent="0.2">
      <c r="A1735" s="6" t="s">
        <v>5660</v>
      </c>
      <c r="B1735" s="6" t="s">
        <v>5624</v>
      </c>
      <c r="C1735" s="20" t="s">
        <v>8276</v>
      </c>
      <c r="D1735" s="6" t="s">
        <v>8277</v>
      </c>
      <c r="E1735" s="6" t="s">
        <v>8278</v>
      </c>
      <c r="F1735" s="6" t="s">
        <v>8279</v>
      </c>
      <c r="G1735" s="6" t="s">
        <v>8280</v>
      </c>
      <c r="H1735" s="18" t="str">
        <f t="shared" si="154"/>
        <v>FANNY 
EGYPT MIRTILLA (P31
P97)</v>
      </c>
      <c r="I1735" s="6" t="s">
        <v>96</v>
      </c>
      <c r="J1735" s="6"/>
      <c r="K1735" s="6" t="s">
        <v>207</v>
      </c>
      <c r="L1735" s="6" t="s">
        <v>209</v>
      </c>
      <c r="M1735" s="18" t="str">
        <f>VLOOKUP(L1735, GLOSSARY!$A:$C, 2, FALSE)</f>
        <v>BREADNUT ISLAND PEN</v>
      </c>
      <c r="N1735" s="6" t="s">
        <v>167</v>
      </c>
      <c r="O1735" s="6"/>
      <c r="P1735" s="6"/>
      <c r="Q1735" s="6"/>
      <c r="R1735" s="6"/>
      <c r="S1735" s="6"/>
      <c r="T1735" s="6"/>
      <c r="U1735" s="6"/>
      <c r="V1735" s="6"/>
      <c r="W1735" s="6"/>
      <c r="X1735" s="6"/>
      <c r="Y1735" s="6"/>
      <c r="Z1735" s="6"/>
      <c r="AA1735" s="6"/>
      <c r="AB1735" s="6"/>
      <c r="AC1735" s="6"/>
      <c r="AD1735" s="6"/>
      <c r="AE1735" s="6"/>
    </row>
    <row r="1736" spans="1:31" ht="76.5" x14ac:dyDescent="0.2">
      <c r="A1736" s="6" t="s">
        <v>5660</v>
      </c>
      <c r="B1736" s="6" t="s">
        <v>7354</v>
      </c>
      <c r="C1736" s="20" t="s">
        <v>8281</v>
      </c>
      <c r="D1736" s="6" t="s">
        <v>8282</v>
      </c>
      <c r="E1736" s="6" t="s">
        <v>8278</v>
      </c>
      <c r="F1736" s="6" t="s">
        <v>8283</v>
      </c>
      <c r="G1736" s="6" t="s">
        <v>8280</v>
      </c>
      <c r="H1736" s="18" t="str">
        <f t="shared" si="154"/>
        <v>FANNY
EGYPT MIRTILLA (P31
P97)</v>
      </c>
      <c r="I1736" s="6" t="s">
        <v>96</v>
      </c>
      <c r="J1736" s="6"/>
      <c r="K1736" s="6" t="s">
        <v>207</v>
      </c>
      <c r="L1736" s="6" t="s">
        <v>209</v>
      </c>
      <c r="M1736" s="18" t="str">
        <f>VLOOKUP(L1736, GLOSSARY!$A:$C, 2, FALSE)</f>
        <v>BREADNUT ISLAND PEN</v>
      </c>
      <c r="N1736" s="6" t="s">
        <v>68</v>
      </c>
      <c r="O1736" s="6"/>
      <c r="P1736" s="6"/>
      <c r="Q1736" s="6"/>
      <c r="R1736" s="6"/>
      <c r="S1736" s="6"/>
      <c r="T1736" s="6"/>
      <c r="U1736" s="6"/>
      <c r="V1736" s="6"/>
      <c r="W1736" s="6"/>
      <c r="X1736" s="6"/>
      <c r="Y1736" s="6"/>
      <c r="Z1736" s="6"/>
      <c r="AA1736" s="6"/>
      <c r="AB1736" s="6"/>
      <c r="AC1736" s="6"/>
      <c r="AD1736" s="6"/>
      <c r="AE1736" s="6"/>
    </row>
    <row r="1737" spans="1:31" ht="63.75" x14ac:dyDescent="0.2">
      <c r="A1737" s="6" t="s">
        <v>5660</v>
      </c>
      <c r="B1737" s="6" t="s">
        <v>7158</v>
      </c>
      <c r="C1737" s="20" t="s">
        <v>8284</v>
      </c>
      <c r="D1737" s="6" t="s">
        <v>8285</v>
      </c>
      <c r="E1737" s="6" t="s">
        <v>8286</v>
      </c>
      <c r="F1737" s="6" t="s">
        <v>8287</v>
      </c>
      <c r="G1737" s="6" t="s">
        <v>8288</v>
      </c>
      <c r="H1737" s="18" t="str">
        <f t="shared" si="154"/>
        <v>FANNY
SUKEY
EGYPT MIRTILLA (P31
P37
P97)</v>
      </c>
      <c r="I1737" s="6" t="s">
        <v>96</v>
      </c>
      <c r="J1737" s="6"/>
      <c r="K1737" s="6" t="s">
        <v>207</v>
      </c>
      <c r="L1737" s="6" t="s">
        <v>209</v>
      </c>
      <c r="M1737" s="18" t="str">
        <f>VLOOKUP(L1737, GLOSSARY!$A:$C, 2, FALSE)</f>
        <v>BREADNUT ISLAND PEN</v>
      </c>
      <c r="N1737" s="6" t="s">
        <v>68</v>
      </c>
      <c r="O1737" s="6"/>
      <c r="P1737" s="6"/>
      <c r="Q1737" s="6"/>
      <c r="R1737" s="6"/>
      <c r="S1737" s="6"/>
      <c r="T1737" s="6"/>
      <c r="U1737" s="6"/>
      <c r="V1737" s="6"/>
      <c r="W1737" s="6"/>
      <c r="X1737" s="6"/>
      <c r="Y1737" s="6"/>
      <c r="Z1737" s="6"/>
      <c r="AA1737" s="6"/>
      <c r="AB1737" s="6"/>
      <c r="AC1737" s="6"/>
      <c r="AD1737" s="6"/>
      <c r="AE1737" s="6"/>
    </row>
    <row r="1738" spans="1:31" ht="38.25" x14ac:dyDescent="0.2">
      <c r="A1738" s="6" t="s">
        <v>5660</v>
      </c>
      <c r="B1738" s="6" t="s">
        <v>8289</v>
      </c>
      <c r="C1738" s="20" t="s">
        <v>8290</v>
      </c>
      <c r="D1738" s="6" t="s">
        <v>8291</v>
      </c>
      <c r="E1738" s="6" t="s">
        <v>8292</v>
      </c>
      <c r="F1738" s="6" t="s">
        <v>8293</v>
      </c>
      <c r="G1738" s="6" t="s">
        <v>8294</v>
      </c>
      <c r="H1738" s="18" t="str">
        <f t="shared" si="154"/>
        <v>FANNY
SUKEY (P31
P37)</v>
      </c>
      <c r="I1738" s="6" t="s">
        <v>96</v>
      </c>
      <c r="J1738" s="6"/>
      <c r="K1738" s="6" t="s">
        <v>207</v>
      </c>
      <c r="L1738" s="6" t="s">
        <v>209</v>
      </c>
      <c r="M1738" s="18" t="str">
        <f>VLOOKUP(L1738, GLOSSARY!$A:$C, 2, FALSE)</f>
        <v>BREADNUT ISLAND PEN</v>
      </c>
      <c r="N1738" s="6" t="s">
        <v>68</v>
      </c>
      <c r="O1738" s="6"/>
      <c r="P1738" s="6"/>
      <c r="Q1738" s="6"/>
      <c r="R1738" s="6"/>
      <c r="S1738" s="6"/>
      <c r="T1738" s="6"/>
      <c r="U1738" s="6"/>
      <c r="V1738" s="6"/>
      <c r="W1738" s="6"/>
      <c r="X1738" s="6"/>
      <c r="Y1738" s="6"/>
      <c r="Z1738" s="6"/>
      <c r="AA1738" s="6"/>
      <c r="AB1738" s="6"/>
      <c r="AC1738" s="6"/>
      <c r="AD1738" s="6"/>
      <c r="AE1738" s="6"/>
    </row>
    <row r="1739" spans="1:31" ht="38.25" x14ac:dyDescent="0.2">
      <c r="A1739" s="6" t="s">
        <v>5660</v>
      </c>
      <c r="B1739" s="6" t="s">
        <v>5673</v>
      </c>
      <c r="C1739" s="20" t="s">
        <v>8295</v>
      </c>
      <c r="D1739" s="6" t="s">
        <v>8296</v>
      </c>
      <c r="E1739" s="6" t="s">
        <v>8297</v>
      </c>
      <c r="F1739" s="6" t="s">
        <v>8298</v>
      </c>
      <c r="G1739" s="6" t="s">
        <v>8299</v>
      </c>
      <c r="H1739" s="18" t="str">
        <f t="shared" si="154"/>
        <v>FANNY
THE OVERSEER (P31
P43)</v>
      </c>
      <c r="I1739" s="6" t="s">
        <v>533</v>
      </c>
      <c r="J1739" s="6"/>
      <c r="K1739" s="6" t="s">
        <v>207</v>
      </c>
      <c r="L1739" s="6" t="s">
        <v>209</v>
      </c>
      <c r="M1739" s="18" t="str">
        <f>VLOOKUP(L1739, GLOSSARY!$A:$C, 2, FALSE)</f>
        <v>BREADNUT ISLAND PEN</v>
      </c>
      <c r="N1739" s="6" t="s">
        <v>167</v>
      </c>
      <c r="O1739" s="6"/>
      <c r="P1739" s="6"/>
      <c r="Q1739" s="6"/>
      <c r="R1739" s="6"/>
      <c r="S1739" s="6"/>
      <c r="T1739" s="6"/>
      <c r="U1739" s="6"/>
      <c r="V1739" s="6"/>
      <c r="W1739" s="6"/>
      <c r="X1739" s="6"/>
      <c r="Y1739" s="6"/>
      <c r="Z1739" s="6"/>
      <c r="AA1739" s="6"/>
      <c r="AB1739" s="6"/>
      <c r="AC1739" s="6"/>
      <c r="AD1739" s="6"/>
      <c r="AE1739" s="6"/>
    </row>
    <row r="1740" spans="1:31" ht="25.5" x14ac:dyDescent="0.2">
      <c r="A1740" s="6" t="s">
        <v>5660</v>
      </c>
      <c r="B1740" s="6" t="s">
        <v>7183</v>
      </c>
      <c r="C1740" s="20" t="s">
        <v>8300</v>
      </c>
      <c r="D1740" s="6" t="s">
        <v>8301</v>
      </c>
      <c r="E1740" s="6" t="s">
        <v>8275</v>
      </c>
      <c r="F1740" s="6" t="s">
        <v>308</v>
      </c>
      <c r="G1740" s="6" t="s">
        <v>307</v>
      </c>
      <c r="H1740" s="18" t="str">
        <f t="shared" si="154"/>
        <v>FANNY (P31)</v>
      </c>
      <c r="I1740" s="6" t="s">
        <v>533</v>
      </c>
      <c r="J1740" s="6"/>
      <c r="K1740" s="6" t="s">
        <v>207</v>
      </c>
      <c r="L1740" s="6" t="s">
        <v>209</v>
      </c>
      <c r="M1740" s="18" t="str">
        <f>VLOOKUP(L1740, GLOSSARY!$A:$C, 2, FALSE)</f>
        <v>BREADNUT ISLAND PEN</v>
      </c>
      <c r="N1740" s="6" t="s">
        <v>68</v>
      </c>
      <c r="O1740" s="6"/>
      <c r="P1740" s="6"/>
      <c r="Q1740" s="6"/>
      <c r="R1740" s="6"/>
      <c r="S1740" s="6"/>
      <c r="T1740" s="6"/>
      <c r="U1740" s="6"/>
      <c r="V1740" s="6"/>
      <c r="W1740" s="6"/>
      <c r="X1740" s="6"/>
      <c r="Y1740" s="6"/>
      <c r="Z1740" s="6"/>
      <c r="AA1740" s="6"/>
      <c r="AB1740" s="6"/>
      <c r="AC1740" s="6"/>
      <c r="AD1740" s="6"/>
      <c r="AE1740" s="6"/>
    </row>
    <row r="1741" spans="1:31" ht="38.25" x14ac:dyDescent="0.2">
      <c r="A1741" s="6" t="s">
        <v>5660</v>
      </c>
      <c r="B1741" s="6" t="s">
        <v>7183</v>
      </c>
      <c r="C1741" s="20" t="s">
        <v>8302</v>
      </c>
      <c r="D1741" s="6" t="s">
        <v>8303</v>
      </c>
      <c r="E1741" s="6" t="s">
        <v>8275</v>
      </c>
      <c r="F1741" s="6" t="s">
        <v>308</v>
      </c>
      <c r="G1741" s="6" t="s">
        <v>311</v>
      </c>
      <c r="H1741" s="18" t="str">
        <f t="shared" si="154"/>
        <v>FANNY (P32)</v>
      </c>
      <c r="I1741" s="6" t="s">
        <v>533</v>
      </c>
      <c r="J1741" s="6"/>
      <c r="K1741" s="6" t="s">
        <v>207</v>
      </c>
      <c r="L1741" s="6" t="s">
        <v>209</v>
      </c>
      <c r="M1741" s="18" t="str">
        <f>VLOOKUP(L1741, GLOSSARY!$A:$C, 2, FALSE)</f>
        <v>BREADNUT ISLAND PEN</v>
      </c>
      <c r="N1741" s="6" t="s">
        <v>68</v>
      </c>
      <c r="O1741" s="6"/>
      <c r="P1741" s="6"/>
      <c r="Q1741" s="6"/>
      <c r="R1741" s="6"/>
      <c r="S1741" s="6"/>
      <c r="T1741" s="6"/>
      <c r="U1741" s="6"/>
      <c r="V1741" s="6"/>
      <c r="W1741" s="6"/>
      <c r="X1741" s="6"/>
      <c r="Y1741" s="6"/>
      <c r="Z1741" s="6"/>
      <c r="AA1741" s="6"/>
      <c r="AB1741" s="6"/>
      <c r="AC1741" s="6"/>
      <c r="AD1741" s="6"/>
      <c r="AE1741" s="6"/>
    </row>
    <row r="1742" spans="1:31" ht="51" x14ac:dyDescent="0.2">
      <c r="A1742" s="6" t="s">
        <v>5660</v>
      </c>
      <c r="B1742" s="6" t="s">
        <v>5675</v>
      </c>
      <c r="C1742" s="20" t="s">
        <v>8304</v>
      </c>
      <c r="D1742" s="6" t="s">
        <v>8305</v>
      </c>
      <c r="E1742" s="6" t="s">
        <v>8275</v>
      </c>
      <c r="F1742" s="6" t="s">
        <v>308</v>
      </c>
      <c r="G1742" s="6" t="s">
        <v>322</v>
      </c>
      <c r="H1742" s="18" t="str">
        <f t="shared" si="154"/>
        <v>FANNY (P33)</v>
      </c>
      <c r="I1742" s="6" t="s">
        <v>533</v>
      </c>
      <c r="J1742" s="6"/>
      <c r="K1742" s="6" t="s">
        <v>207</v>
      </c>
      <c r="L1742" s="6" t="s">
        <v>209</v>
      </c>
      <c r="M1742" s="18" t="str">
        <f>VLOOKUP(L1742, GLOSSARY!$A:$C, 2, FALSE)</f>
        <v>BREADNUT ISLAND PEN</v>
      </c>
      <c r="N1742" s="6" t="s">
        <v>68</v>
      </c>
      <c r="O1742" s="6"/>
      <c r="P1742" s="6"/>
      <c r="Q1742" s="6"/>
      <c r="R1742" s="6"/>
      <c r="S1742" s="6"/>
      <c r="T1742" s="6"/>
      <c r="U1742" s="6"/>
      <c r="V1742" s="6"/>
      <c r="W1742" s="6"/>
      <c r="X1742" s="6"/>
      <c r="Y1742" s="6"/>
      <c r="Z1742" s="6"/>
      <c r="AA1742" s="6"/>
      <c r="AB1742" s="6"/>
      <c r="AC1742" s="6"/>
      <c r="AD1742" s="6"/>
      <c r="AE1742" s="6"/>
    </row>
    <row r="1743" spans="1:31" ht="25.5" x14ac:dyDescent="0.2">
      <c r="A1743" s="6" t="s">
        <v>5660</v>
      </c>
      <c r="B1743" s="6" t="s">
        <v>5680</v>
      </c>
      <c r="C1743" s="20" t="s">
        <v>8306</v>
      </c>
      <c r="D1743" s="6" t="s">
        <v>8307</v>
      </c>
      <c r="E1743" s="6" t="s">
        <v>8275</v>
      </c>
      <c r="F1743" s="6" t="s">
        <v>308</v>
      </c>
      <c r="G1743" s="6" t="s">
        <v>328</v>
      </c>
      <c r="H1743" s="18" t="str">
        <f t="shared" si="154"/>
        <v>FANNY (P34)</v>
      </c>
      <c r="I1743" s="6" t="s">
        <v>533</v>
      </c>
      <c r="J1743" s="6"/>
      <c r="K1743" s="6" t="s">
        <v>207</v>
      </c>
      <c r="L1743" s="6" t="s">
        <v>209</v>
      </c>
      <c r="M1743" s="18" t="str">
        <f>VLOOKUP(L1743, GLOSSARY!$A:$C, 2, FALSE)</f>
        <v>BREADNUT ISLAND PEN</v>
      </c>
      <c r="N1743" s="6" t="s">
        <v>68</v>
      </c>
      <c r="O1743" s="6"/>
      <c r="P1743" s="6"/>
      <c r="Q1743" s="6"/>
      <c r="R1743" s="6"/>
      <c r="S1743" s="6"/>
      <c r="T1743" s="6"/>
      <c r="U1743" s="6"/>
      <c r="V1743" s="6"/>
      <c r="W1743" s="6"/>
      <c r="X1743" s="6"/>
      <c r="Y1743" s="6"/>
      <c r="Z1743" s="6"/>
      <c r="AA1743" s="6"/>
      <c r="AB1743" s="6"/>
      <c r="AC1743" s="6"/>
      <c r="AD1743" s="6"/>
      <c r="AE1743" s="6"/>
    </row>
    <row r="1744" spans="1:31" ht="51" x14ac:dyDescent="0.2">
      <c r="A1744" s="6" t="s">
        <v>5660</v>
      </c>
      <c r="B1744" s="6" t="s">
        <v>5680</v>
      </c>
      <c r="C1744" s="20" t="s">
        <v>8308</v>
      </c>
      <c r="D1744" s="6" t="s">
        <v>8309</v>
      </c>
      <c r="E1744" s="6" t="s">
        <v>8275</v>
      </c>
      <c r="F1744" s="6" t="s">
        <v>308</v>
      </c>
      <c r="G1744" s="6" t="s">
        <v>338</v>
      </c>
      <c r="H1744" s="18" t="str">
        <f t="shared" si="154"/>
        <v>FANNY (P35)</v>
      </c>
      <c r="I1744" s="6" t="s">
        <v>1068</v>
      </c>
      <c r="J1744" s="6"/>
      <c r="K1744" s="6" t="s">
        <v>207</v>
      </c>
      <c r="L1744" s="6" t="s">
        <v>209</v>
      </c>
      <c r="M1744" s="18" t="str">
        <f>VLOOKUP(L1744, GLOSSARY!$A:$C, 2, FALSE)</f>
        <v>BREADNUT ISLAND PEN</v>
      </c>
      <c r="N1744" s="6" t="s">
        <v>167</v>
      </c>
      <c r="O1744" s="6"/>
      <c r="P1744" s="6"/>
      <c r="Q1744" s="6"/>
      <c r="R1744" s="6"/>
      <c r="S1744" s="6"/>
      <c r="T1744" s="6"/>
      <c r="U1744" s="6"/>
      <c r="V1744" s="6"/>
      <c r="W1744" s="6"/>
      <c r="X1744" s="6"/>
      <c r="Y1744" s="6"/>
      <c r="Z1744" s="6"/>
      <c r="AA1744" s="6"/>
      <c r="AB1744" s="6"/>
      <c r="AC1744" s="6"/>
      <c r="AD1744" s="6"/>
      <c r="AE1744" s="6"/>
    </row>
    <row r="1745" spans="1:31" ht="63.75" x14ac:dyDescent="0.2">
      <c r="A1745" s="6" t="s">
        <v>5660</v>
      </c>
      <c r="B1745" s="6" t="s">
        <v>8310</v>
      </c>
      <c r="C1745" s="20" t="s">
        <v>8311</v>
      </c>
      <c r="D1745" s="6" t="s">
        <v>8312</v>
      </c>
      <c r="E1745" s="6" t="s">
        <v>8313</v>
      </c>
      <c r="F1745" s="6" t="s">
        <v>8314</v>
      </c>
      <c r="G1745" s="6" t="s">
        <v>8315</v>
      </c>
      <c r="H1745" s="18" t="str">
        <f t="shared" si="154"/>
        <v>FANNY
L. POMPEY (P36
P98)</v>
      </c>
      <c r="I1745" s="6" t="s">
        <v>1068</v>
      </c>
      <c r="J1745" s="6"/>
      <c r="K1745" s="6" t="s">
        <v>207</v>
      </c>
      <c r="L1745" s="6" t="s">
        <v>209</v>
      </c>
      <c r="M1745" s="18" t="str">
        <f>VLOOKUP(L1745, GLOSSARY!$A:$C, 2, FALSE)</f>
        <v>BREADNUT ISLAND PEN</v>
      </c>
      <c r="N1745" s="6" t="s">
        <v>167</v>
      </c>
      <c r="O1745" s="6"/>
      <c r="P1745" s="6"/>
      <c r="Q1745" s="6"/>
      <c r="R1745" s="6"/>
      <c r="S1745" s="6"/>
      <c r="T1745" s="6"/>
      <c r="U1745" s="6"/>
      <c r="V1745" s="6"/>
      <c r="W1745" s="6"/>
      <c r="X1745" s="6"/>
      <c r="Y1745" s="6"/>
      <c r="Z1745" s="6"/>
      <c r="AA1745" s="6"/>
      <c r="AB1745" s="6"/>
      <c r="AC1745" s="6"/>
      <c r="AD1745" s="6"/>
      <c r="AE1745" s="6"/>
    </row>
    <row r="1746" spans="1:31" ht="102" x14ac:dyDescent="0.2">
      <c r="A1746" s="6" t="s">
        <v>8316</v>
      </c>
      <c r="B1746" s="6" t="s">
        <v>7192</v>
      </c>
      <c r="C1746" s="20" t="s">
        <v>8317</v>
      </c>
      <c r="D1746" s="6" t="s">
        <v>8318</v>
      </c>
      <c r="E1746" s="6" t="s">
        <v>8319</v>
      </c>
      <c r="F1746" s="6" t="s">
        <v>8320</v>
      </c>
      <c r="G1746" s="6" t="s">
        <v>8321</v>
      </c>
      <c r="H1746" s="18" t="str">
        <f t="shared" si="154"/>
        <v>LITTLE FANNY
MR. HAWYWARD'S SALLY
PHOEBE (P100
P99
P58)</v>
      </c>
      <c r="I1746" s="6" t="s">
        <v>1047</v>
      </c>
      <c r="J1746" s="6"/>
      <c r="K1746" s="6" t="s">
        <v>207</v>
      </c>
      <c r="L1746" s="6" t="s">
        <v>209</v>
      </c>
      <c r="M1746" s="18" t="str">
        <f>VLOOKUP(L1746, GLOSSARY!$A:$C, 2, FALSE)</f>
        <v>BREADNUT ISLAND PEN</v>
      </c>
      <c r="N1746" s="6" t="s">
        <v>68</v>
      </c>
      <c r="O1746" s="6"/>
      <c r="P1746" s="6"/>
      <c r="Q1746" s="6"/>
      <c r="R1746" s="6"/>
      <c r="S1746" s="6"/>
      <c r="T1746" s="6"/>
      <c r="U1746" s="6"/>
      <c r="V1746" s="6"/>
      <c r="W1746" s="6"/>
      <c r="X1746" s="6"/>
      <c r="Y1746" s="6"/>
      <c r="Z1746" s="6"/>
      <c r="AA1746" s="6"/>
      <c r="AB1746" s="6"/>
      <c r="AC1746" s="6"/>
      <c r="AD1746" s="6"/>
      <c r="AE1746" s="6"/>
    </row>
    <row r="1747" spans="1:31" ht="76.5" x14ac:dyDescent="0.2">
      <c r="A1747" s="6" t="s">
        <v>8316</v>
      </c>
      <c r="B1747" s="6" t="s">
        <v>5727</v>
      </c>
      <c r="C1747" s="20" t="s">
        <v>8322</v>
      </c>
      <c r="D1747" s="6" t="s">
        <v>8323</v>
      </c>
      <c r="E1747" s="6" t="s">
        <v>8324</v>
      </c>
      <c r="F1747" s="6" t="s">
        <v>8320</v>
      </c>
      <c r="G1747" s="6" t="s">
        <v>8321</v>
      </c>
      <c r="H1747" s="18" t="str">
        <f t="shared" si="154"/>
        <v>LITTLE FANNY
MR. HAWYWARD'S SALLY
PHOEBE (P100
P99
P58)</v>
      </c>
      <c r="I1747" s="6" t="s">
        <v>1047</v>
      </c>
      <c r="J1747" s="6"/>
      <c r="K1747" s="6" t="s">
        <v>207</v>
      </c>
      <c r="L1747" s="6" t="s">
        <v>209</v>
      </c>
      <c r="M1747" s="18" t="str">
        <f>VLOOKUP(L1747, GLOSSARY!$A:$C, 2, FALSE)</f>
        <v>BREADNUT ISLAND PEN</v>
      </c>
      <c r="N1747" s="6" t="s">
        <v>68</v>
      </c>
      <c r="O1747" s="6"/>
      <c r="P1747" s="6"/>
      <c r="Q1747" s="6"/>
      <c r="R1747" s="6"/>
      <c r="S1747" s="6"/>
      <c r="T1747" s="6"/>
      <c r="U1747" s="6"/>
      <c r="V1747" s="6"/>
      <c r="W1747" s="6"/>
      <c r="X1747" s="6"/>
      <c r="Y1747" s="6"/>
      <c r="Z1747" s="6"/>
      <c r="AA1747" s="6"/>
      <c r="AB1747" s="6"/>
      <c r="AC1747" s="6"/>
      <c r="AD1747" s="6"/>
      <c r="AE1747" s="6"/>
    </row>
    <row r="1748" spans="1:31" ht="51" x14ac:dyDescent="0.2">
      <c r="A1748" s="6" t="s">
        <v>8316</v>
      </c>
      <c r="B1748" s="6" t="s">
        <v>3826</v>
      </c>
      <c r="C1748" s="20" t="s">
        <v>8325</v>
      </c>
      <c r="D1748" s="6" t="s">
        <v>8326</v>
      </c>
      <c r="E1748" s="6" t="s">
        <v>8327</v>
      </c>
      <c r="F1748" s="6" t="s">
        <v>8328</v>
      </c>
      <c r="G1748" s="6" t="s">
        <v>8329</v>
      </c>
      <c r="H1748" s="18" t="str">
        <f t="shared" si="154"/>
        <v>MR. HAYWARD'S SALLY
LITTLE FANNY (P99
P100)</v>
      </c>
      <c r="I1748" s="6" t="s">
        <v>1047</v>
      </c>
      <c r="J1748" s="6"/>
      <c r="K1748" s="6" t="s">
        <v>207</v>
      </c>
      <c r="L1748" s="6" t="s">
        <v>209</v>
      </c>
      <c r="M1748" s="18" t="str">
        <f>VLOOKUP(L1748, GLOSSARY!$A:$C, 2, FALSE)</f>
        <v>BREADNUT ISLAND PEN</v>
      </c>
      <c r="N1748" s="6" t="s">
        <v>68</v>
      </c>
      <c r="O1748" s="6"/>
      <c r="P1748" s="6"/>
      <c r="Q1748" s="6"/>
      <c r="R1748" s="6"/>
      <c r="S1748" s="6"/>
      <c r="T1748" s="6"/>
      <c r="U1748" s="6"/>
      <c r="V1748" s="6"/>
      <c r="W1748" s="6"/>
      <c r="X1748" s="6"/>
      <c r="Y1748" s="6"/>
      <c r="Z1748" s="6"/>
      <c r="AA1748" s="6"/>
      <c r="AB1748" s="6"/>
      <c r="AC1748" s="6"/>
      <c r="AD1748" s="6"/>
      <c r="AE1748" s="6"/>
    </row>
    <row r="1749" spans="1:31" ht="51" x14ac:dyDescent="0.2">
      <c r="A1749" s="6" t="s">
        <v>8316</v>
      </c>
      <c r="B1749" s="6" t="s">
        <v>8330</v>
      </c>
      <c r="C1749" s="20" t="s">
        <v>8331</v>
      </c>
      <c r="D1749" s="6" t="s">
        <v>8332</v>
      </c>
      <c r="E1749" s="6" t="s">
        <v>8333</v>
      </c>
      <c r="F1749" s="6" t="s">
        <v>8328</v>
      </c>
      <c r="G1749" s="6"/>
      <c r="H1749" s="18" t="str">
        <f t="shared" si="154"/>
        <v>MR. HAYWARD'S SALLY
LITTLE FANNY ()</v>
      </c>
      <c r="I1749" s="6" t="s">
        <v>1047</v>
      </c>
      <c r="J1749" s="6"/>
      <c r="K1749" s="6" t="s">
        <v>207</v>
      </c>
      <c r="L1749" s="6" t="s">
        <v>209</v>
      </c>
      <c r="M1749" s="18" t="str">
        <f>VLOOKUP(L1749, GLOSSARY!$A:$C, 2, FALSE)</f>
        <v>BREADNUT ISLAND PEN</v>
      </c>
      <c r="N1749" s="6" t="s">
        <v>68</v>
      </c>
      <c r="O1749" s="6"/>
      <c r="P1749" s="6"/>
      <c r="Q1749" s="6"/>
      <c r="R1749" s="6"/>
      <c r="S1749" s="6"/>
      <c r="T1749" s="6"/>
      <c r="U1749" s="6"/>
      <c r="V1749" s="6"/>
      <c r="W1749" s="6"/>
      <c r="X1749" s="6"/>
      <c r="Y1749" s="6"/>
      <c r="Z1749" s="6"/>
      <c r="AA1749" s="6"/>
      <c r="AB1749" s="6"/>
      <c r="AC1749" s="6"/>
      <c r="AD1749" s="6"/>
      <c r="AE1749" s="6"/>
    </row>
    <row r="1750" spans="1:31" ht="25.5" x14ac:dyDescent="0.2">
      <c r="A1750" s="6" t="s">
        <v>8316</v>
      </c>
      <c r="B1750" s="6" t="s">
        <v>8334</v>
      </c>
      <c r="C1750" s="20" t="s">
        <v>8335</v>
      </c>
      <c r="D1750" s="6" t="s">
        <v>8336</v>
      </c>
      <c r="E1750" s="6" t="s">
        <v>8337</v>
      </c>
      <c r="F1750" s="6" t="s">
        <v>694</v>
      </c>
      <c r="G1750" s="6" t="s">
        <v>693</v>
      </c>
      <c r="H1750" s="18" t="str">
        <f t="shared" si="154"/>
        <v>MR. HAYWARD'S SALLY (P99)</v>
      </c>
      <c r="I1750" s="6" t="s">
        <v>1047</v>
      </c>
      <c r="J1750" s="6"/>
      <c r="K1750" s="6" t="s">
        <v>207</v>
      </c>
      <c r="L1750" s="6" t="s">
        <v>209</v>
      </c>
      <c r="M1750" s="18" t="str">
        <f>VLOOKUP(L1750, GLOSSARY!$A:$C, 2, FALSE)</f>
        <v>BREADNUT ISLAND PEN</v>
      </c>
      <c r="N1750" s="6" t="s">
        <v>68</v>
      </c>
      <c r="O1750" s="6"/>
      <c r="P1750" s="6"/>
      <c r="Q1750" s="6"/>
      <c r="R1750" s="6"/>
      <c r="S1750" s="6"/>
      <c r="T1750" s="6"/>
      <c r="U1750" s="6"/>
      <c r="V1750" s="6"/>
      <c r="W1750" s="6"/>
      <c r="X1750" s="6"/>
      <c r="Y1750" s="6"/>
      <c r="Z1750" s="6"/>
      <c r="AA1750" s="6"/>
      <c r="AB1750" s="6"/>
      <c r="AC1750" s="6"/>
      <c r="AD1750" s="6"/>
      <c r="AE1750" s="6"/>
    </row>
    <row r="1751" spans="1:31" ht="25.5" x14ac:dyDescent="0.2">
      <c r="A1751" s="6" t="s">
        <v>8316</v>
      </c>
      <c r="B1751" s="6" t="s">
        <v>8338</v>
      </c>
      <c r="C1751" s="20" t="s">
        <v>8339</v>
      </c>
      <c r="D1751" s="6" t="s">
        <v>8336</v>
      </c>
      <c r="E1751" s="6" t="s">
        <v>8337</v>
      </c>
      <c r="F1751" s="6" t="s">
        <v>694</v>
      </c>
      <c r="G1751" s="6" t="s">
        <v>697</v>
      </c>
      <c r="H1751" s="18" t="str">
        <f>CONCATENATE(F1751," (",G3540,")")</f>
        <v>MR. HAYWARD'S SALLY ()</v>
      </c>
      <c r="I1751" s="6" t="s">
        <v>1047</v>
      </c>
      <c r="J1751" s="6"/>
      <c r="K1751" s="6" t="s">
        <v>207</v>
      </c>
      <c r="L1751" s="6" t="s">
        <v>209</v>
      </c>
      <c r="M1751" s="18" t="str">
        <f>VLOOKUP(L1751, GLOSSARY!$A:$C, 2, FALSE)</f>
        <v>BREADNUT ISLAND PEN</v>
      </c>
      <c r="N1751" s="6" t="s">
        <v>68</v>
      </c>
      <c r="O1751" s="6"/>
      <c r="P1751" s="6"/>
      <c r="Q1751" s="6"/>
      <c r="R1751" s="6"/>
      <c r="S1751" s="6"/>
      <c r="T1751" s="6"/>
      <c r="U1751" s="6"/>
      <c r="V1751" s="6"/>
      <c r="W1751" s="6"/>
      <c r="X1751" s="6"/>
      <c r="Y1751" s="6"/>
      <c r="Z1751" s="6"/>
      <c r="AA1751" s="6"/>
      <c r="AB1751" s="6"/>
      <c r="AC1751" s="6"/>
      <c r="AD1751" s="6"/>
      <c r="AE1751" s="6"/>
    </row>
    <row r="1752" spans="1:31" ht="25.5" x14ac:dyDescent="0.2">
      <c r="A1752" s="6" t="s">
        <v>8316</v>
      </c>
      <c r="B1752" s="6" t="s">
        <v>8340</v>
      </c>
      <c r="C1752" s="20" t="s">
        <v>8341</v>
      </c>
      <c r="D1752" s="6" t="s">
        <v>8336</v>
      </c>
      <c r="E1752" s="6" t="s">
        <v>8337</v>
      </c>
      <c r="F1752" s="6" t="s">
        <v>694</v>
      </c>
      <c r="G1752" s="6" t="s">
        <v>700</v>
      </c>
      <c r="H1752" s="18" t="str">
        <f t="shared" ref="H1752:H1759" si="155">CONCATENATE(F1752," (",G1752,")")</f>
        <v>MR. HAYWARD'S SALLY (P101)</v>
      </c>
      <c r="I1752" s="6" t="s">
        <v>1047</v>
      </c>
      <c r="J1752" s="6"/>
      <c r="K1752" s="6" t="s">
        <v>207</v>
      </c>
      <c r="L1752" s="6" t="s">
        <v>209</v>
      </c>
      <c r="M1752" s="18" t="str">
        <f>VLOOKUP(L1752, GLOSSARY!$A:$C, 2, FALSE)</f>
        <v>BREADNUT ISLAND PEN</v>
      </c>
      <c r="N1752" s="6" t="s">
        <v>68</v>
      </c>
      <c r="O1752" s="6"/>
      <c r="P1752" s="6"/>
      <c r="Q1752" s="6"/>
      <c r="R1752" s="6"/>
      <c r="S1752" s="6"/>
      <c r="T1752" s="6"/>
      <c r="U1752" s="6"/>
      <c r="V1752" s="6"/>
      <c r="W1752" s="6"/>
      <c r="X1752" s="6"/>
      <c r="Y1752" s="6"/>
      <c r="Z1752" s="6"/>
      <c r="AA1752" s="6"/>
      <c r="AB1752" s="6"/>
      <c r="AC1752" s="6"/>
      <c r="AD1752" s="6"/>
      <c r="AE1752" s="6"/>
    </row>
    <row r="1753" spans="1:31" ht="25.5" x14ac:dyDescent="0.2">
      <c r="A1753" s="6" t="s">
        <v>8316</v>
      </c>
      <c r="B1753" s="6" t="s">
        <v>8342</v>
      </c>
      <c r="C1753" s="20" t="s">
        <v>8343</v>
      </c>
      <c r="D1753" s="6" t="s">
        <v>8336</v>
      </c>
      <c r="E1753" s="6" t="s">
        <v>8337</v>
      </c>
      <c r="F1753" s="6" t="s">
        <v>694</v>
      </c>
      <c r="G1753" s="6" t="s">
        <v>703</v>
      </c>
      <c r="H1753" s="18" t="str">
        <f t="shared" si="155"/>
        <v>MR. HAYWARD'S SALLY (P102)</v>
      </c>
      <c r="I1753" s="6" t="s">
        <v>1047</v>
      </c>
      <c r="J1753" s="6"/>
      <c r="K1753" s="6" t="s">
        <v>207</v>
      </c>
      <c r="L1753" s="6" t="s">
        <v>209</v>
      </c>
      <c r="M1753" s="18" t="str">
        <f>VLOOKUP(L1753, GLOSSARY!$A:$C, 2, FALSE)</f>
        <v>BREADNUT ISLAND PEN</v>
      </c>
      <c r="N1753" s="6" t="s">
        <v>68</v>
      </c>
      <c r="O1753" s="6"/>
      <c r="P1753" s="6"/>
      <c r="Q1753" s="6"/>
      <c r="R1753" s="6"/>
      <c r="S1753" s="6"/>
      <c r="T1753" s="6"/>
      <c r="U1753" s="6"/>
      <c r="V1753" s="6"/>
      <c r="W1753" s="6"/>
      <c r="X1753" s="6"/>
      <c r="Y1753" s="6"/>
      <c r="Z1753" s="6"/>
      <c r="AA1753" s="6"/>
      <c r="AB1753" s="6"/>
      <c r="AC1753" s="6"/>
      <c r="AD1753" s="6"/>
      <c r="AE1753" s="6"/>
    </row>
    <row r="1754" spans="1:31" ht="191.25" x14ac:dyDescent="0.2">
      <c r="A1754" s="6" t="s">
        <v>8344</v>
      </c>
      <c r="B1754" s="6" t="s">
        <v>1854</v>
      </c>
      <c r="C1754" s="20" t="s">
        <v>8345</v>
      </c>
      <c r="D1754" s="6" t="s">
        <v>8346</v>
      </c>
      <c r="E1754" s="6"/>
      <c r="F1754" s="6" t="s">
        <v>8347</v>
      </c>
      <c r="G1754" s="6" t="s">
        <v>8348</v>
      </c>
      <c r="H1754" s="6" t="str">
        <f t="shared" si="155"/>
        <v>THE OVERSEER
MR. STANFORD (P43
P179
P24)</v>
      </c>
      <c r="I1754" s="6" t="s">
        <v>342</v>
      </c>
      <c r="J1754" s="6"/>
      <c r="K1754" s="6"/>
      <c r="L1754" s="6" t="s">
        <v>1121</v>
      </c>
      <c r="M1754" s="6" t="str">
        <f>VLOOKUP(L1754, GLOSSARY!$A:$C, 2, FALSE)</f>
        <v>SAVANNA LA MAR</v>
      </c>
      <c r="N1754" s="6" t="s">
        <v>68</v>
      </c>
      <c r="O1754" s="6"/>
      <c r="P1754" s="6"/>
      <c r="Q1754" s="6"/>
      <c r="R1754" s="6"/>
      <c r="S1754" s="6"/>
      <c r="T1754" s="6"/>
      <c r="U1754" s="6"/>
      <c r="V1754" s="6"/>
      <c r="W1754" s="6"/>
      <c r="X1754" s="6"/>
      <c r="Y1754" s="6"/>
      <c r="Z1754" s="6"/>
      <c r="AA1754" s="6"/>
      <c r="AB1754" s="6"/>
      <c r="AC1754" s="6"/>
      <c r="AD1754" s="6"/>
      <c r="AE1754" s="6"/>
    </row>
    <row r="1755" spans="1:31" ht="25.5" x14ac:dyDescent="0.2">
      <c r="A1755" s="6" t="s">
        <v>8349</v>
      </c>
      <c r="B1755" s="6" t="s">
        <v>8350</v>
      </c>
      <c r="C1755" s="6">
        <v>1753</v>
      </c>
      <c r="D1755" s="6" t="s">
        <v>8351</v>
      </c>
      <c r="E1755" s="6"/>
      <c r="F1755" s="6" t="s">
        <v>1352</v>
      </c>
      <c r="G1755" s="6" t="s">
        <v>1351</v>
      </c>
      <c r="H1755" s="6" t="str">
        <f t="shared" si="155"/>
        <v>BASHEBA (P218)</v>
      </c>
      <c r="I1755" s="6" t="s">
        <v>96</v>
      </c>
      <c r="J1755" s="6"/>
      <c r="K1755" s="6"/>
      <c r="L1755" s="6" t="s">
        <v>55</v>
      </c>
      <c r="M1755" s="6" t="str">
        <f>VLOOKUP(L1755, GLOSSARY!$A:$C, 2, FALSE)</f>
        <v>EGYPT ESTATE</v>
      </c>
      <c r="N1755" s="6" t="s">
        <v>167</v>
      </c>
      <c r="O1755" s="6"/>
      <c r="P1755" s="6"/>
      <c r="Q1755" s="6"/>
      <c r="R1755" s="6"/>
      <c r="S1755" s="6"/>
      <c r="T1755" s="6"/>
      <c r="U1755" s="6"/>
      <c r="V1755" s="6"/>
      <c r="W1755" s="6"/>
      <c r="X1755" s="6"/>
      <c r="Y1755" s="6"/>
      <c r="Z1755" s="6"/>
      <c r="AA1755" s="6"/>
      <c r="AB1755" s="6"/>
      <c r="AC1755" s="6"/>
      <c r="AD1755" s="6"/>
      <c r="AE1755" s="6"/>
    </row>
    <row r="1756" spans="1:31" ht="25.5" x14ac:dyDescent="0.2">
      <c r="A1756" s="6" t="s">
        <v>8352</v>
      </c>
      <c r="B1756" s="6" t="s">
        <v>8353</v>
      </c>
      <c r="C1756" s="6">
        <v>1753</v>
      </c>
      <c r="D1756" s="6" t="s">
        <v>8354</v>
      </c>
      <c r="E1756" s="6"/>
      <c r="F1756" s="6" t="s">
        <v>1179</v>
      </c>
      <c r="G1756" s="6" t="s">
        <v>1178</v>
      </c>
      <c r="H1756" s="6" t="str">
        <f t="shared" si="155"/>
        <v>ROSE (P187)</v>
      </c>
      <c r="I1756" s="6" t="s">
        <v>957</v>
      </c>
      <c r="J1756" s="6"/>
      <c r="K1756" s="6"/>
      <c r="L1756" s="6" t="s">
        <v>93</v>
      </c>
      <c r="M1756" s="6" t="str">
        <f>VLOOKUP(L1756, GLOSSARY!$A:$C, 2, FALSE)</f>
        <v>SALT RIVER ESTATE</v>
      </c>
      <c r="N1756" s="6" t="s">
        <v>68</v>
      </c>
      <c r="O1756" s="6"/>
      <c r="P1756" s="6"/>
      <c r="Q1756" s="6"/>
      <c r="R1756" s="6"/>
      <c r="S1756" s="6"/>
      <c r="T1756" s="6"/>
      <c r="U1756" s="6"/>
      <c r="V1756" s="6"/>
      <c r="W1756" s="6"/>
      <c r="X1756" s="6"/>
      <c r="Y1756" s="6"/>
      <c r="Z1756" s="6"/>
      <c r="AA1756" s="6"/>
      <c r="AB1756" s="6"/>
      <c r="AC1756" s="6"/>
      <c r="AD1756" s="6"/>
      <c r="AE1756" s="6"/>
    </row>
    <row r="1757" spans="1:31" ht="114.75" x14ac:dyDescent="0.2">
      <c r="A1757" s="6" t="s">
        <v>8355</v>
      </c>
      <c r="B1757" s="6" t="s">
        <v>8350</v>
      </c>
      <c r="C1757" s="6">
        <v>1753</v>
      </c>
      <c r="D1757" s="6" t="s">
        <v>8356</v>
      </c>
      <c r="E1757" s="6"/>
      <c r="F1757" s="6" t="s">
        <v>8357</v>
      </c>
      <c r="G1757" s="6" t="s">
        <v>8358</v>
      </c>
      <c r="H1757" s="6" t="str">
        <f t="shared" si="155"/>
        <v>PHIBBAH
THE OVERSEER
JENNY (P7
P43
P107)</v>
      </c>
      <c r="I1757" s="6" t="s">
        <v>957</v>
      </c>
      <c r="J1757" s="6"/>
      <c r="K1757" s="6"/>
      <c r="L1757" s="6" t="s">
        <v>55</v>
      </c>
      <c r="M1757" s="6" t="str">
        <f>VLOOKUP(L1757, GLOSSARY!$A:$C, 2, FALSE)</f>
        <v>EGYPT ESTATE</v>
      </c>
      <c r="N1757" s="6" t="s">
        <v>68</v>
      </c>
      <c r="O1757" s="6"/>
      <c r="P1757" s="6"/>
      <c r="Q1757" s="6"/>
      <c r="R1757" s="6"/>
      <c r="S1757" s="6"/>
      <c r="T1757" s="6"/>
      <c r="U1757" s="6"/>
      <c r="V1757" s="6"/>
      <c r="W1757" s="6"/>
      <c r="X1757" s="6"/>
      <c r="Y1757" s="6"/>
      <c r="Z1757" s="6"/>
      <c r="AA1757" s="6"/>
      <c r="AB1757" s="6"/>
      <c r="AC1757" s="6"/>
      <c r="AD1757" s="6"/>
      <c r="AE1757" s="6"/>
    </row>
    <row r="1758" spans="1:31" ht="140.25" x14ac:dyDescent="0.2">
      <c r="A1758" s="6" t="s">
        <v>8359</v>
      </c>
      <c r="B1758" s="6" t="s">
        <v>8360</v>
      </c>
      <c r="C1758" s="6">
        <v>1763</v>
      </c>
      <c r="D1758" s="6" t="s">
        <v>8361</v>
      </c>
      <c r="E1758" s="6"/>
      <c r="F1758" s="6" t="s">
        <v>8362</v>
      </c>
      <c r="G1758" s="6" t="s">
        <v>8363</v>
      </c>
      <c r="H1758" s="6" t="str">
        <f t="shared" si="155"/>
        <v>EGYPT LUCY
JULINA
LITTLE QUASHE
 (P3
P4
P5)</v>
      </c>
      <c r="I1758" s="6" t="s">
        <v>759</v>
      </c>
      <c r="J1758" s="6"/>
      <c r="K1758" s="6"/>
      <c r="L1758" s="6" t="s">
        <v>55</v>
      </c>
      <c r="M1758" s="6" t="str">
        <f>VLOOKUP(L1758, GLOSSARY!$A:$C, 2, FALSE)</f>
        <v>EGYPT ESTATE</v>
      </c>
      <c r="N1758" s="6" t="s">
        <v>68</v>
      </c>
      <c r="O1758" s="6"/>
      <c r="P1758" s="6"/>
      <c r="Q1758" s="6"/>
      <c r="R1758" s="6"/>
      <c r="S1758" s="6"/>
      <c r="T1758" s="6"/>
      <c r="U1758" s="6"/>
      <c r="V1758" s="6"/>
      <c r="W1758" s="6"/>
      <c r="X1758" s="6"/>
      <c r="Y1758" s="6"/>
      <c r="Z1758" s="6"/>
      <c r="AA1758" s="6"/>
      <c r="AB1758" s="6"/>
      <c r="AC1758" s="6"/>
      <c r="AD1758" s="6"/>
      <c r="AE1758" s="6"/>
    </row>
    <row r="1759" spans="1:31" ht="140.25" x14ac:dyDescent="0.2">
      <c r="A1759" s="6" t="s">
        <v>8359</v>
      </c>
      <c r="B1759" s="6" t="s">
        <v>8364</v>
      </c>
      <c r="C1759" s="6">
        <v>1764</v>
      </c>
      <c r="D1759" s="6" t="s">
        <v>8365</v>
      </c>
      <c r="E1759" s="6"/>
      <c r="F1759" s="6" t="s">
        <v>8362</v>
      </c>
      <c r="G1759" s="6" t="s">
        <v>8363</v>
      </c>
      <c r="H1759" s="6" t="str">
        <f t="shared" si="155"/>
        <v>EGYPT LUCY
JULINA
LITTLE QUASHE
 (P3
P4
P5)</v>
      </c>
      <c r="I1759" s="6" t="s">
        <v>759</v>
      </c>
      <c r="J1759" s="6"/>
      <c r="K1759" s="6"/>
      <c r="L1759" s="6" t="s">
        <v>55</v>
      </c>
      <c r="M1759" s="6" t="str">
        <f>VLOOKUP(L1759, GLOSSARY!$A:$C, 2, FALSE)</f>
        <v>EGYPT ESTATE</v>
      </c>
      <c r="N1759" s="6" t="s">
        <v>68</v>
      </c>
      <c r="O1759" s="6"/>
      <c r="P1759" s="6"/>
      <c r="Q1759" s="6"/>
      <c r="R1759" s="6"/>
      <c r="S1759" s="6"/>
      <c r="T1759" s="6"/>
      <c r="U1759" s="6"/>
      <c r="V1759" s="6"/>
      <c r="W1759" s="6"/>
      <c r="X1759" s="6"/>
      <c r="Y1759" s="6"/>
      <c r="Z1759" s="6"/>
      <c r="AA1759" s="6"/>
      <c r="AB1759" s="6"/>
      <c r="AC1759" s="6"/>
      <c r="AD1759" s="6"/>
      <c r="AE1759" s="6"/>
    </row>
    <row r="1760" spans="1:31" ht="395.25" x14ac:dyDescent="0.2">
      <c r="A1760" s="6" t="s">
        <v>8366</v>
      </c>
      <c r="B1760" s="6" t="s">
        <v>8367</v>
      </c>
      <c r="C1760" s="6">
        <v>1768</v>
      </c>
      <c r="D1760" s="6" t="s">
        <v>8368</v>
      </c>
      <c r="E1760" s="6"/>
      <c r="F1760" s="6"/>
      <c r="G1760" s="6"/>
      <c r="H1760" s="6" t="str">
        <f t="shared" ref="H1760:H1763" si="156">CONCATENATE(F1760,"(",G1760,")")</f>
        <v>()</v>
      </c>
      <c r="I1760" s="6" t="s">
        <v>759</v>
      </c>
      <c r="J1760" s="6"/>
      <c r="K1760" s="6"/>
      <c r="L1760" s="6"/>
      <c r="M1760" s="6" t="e">
        <f>VLOOKUP(L1760, GLOSSARY!$A:$C, 2, FALSE)</f>
        <v>#N/A</v>
      </c>
      <c r="N1760" s="6"/>
      <c r="O1760" s="6"/>
      <c r="P1760" s="6"/>
      <c r="Q1760" s="6"/>
      <c r="R1760" s="6"/>
      <c r="S1760" s="6"/>
      <c r="T1760" s="6"/>
      <c r="U1760" s="6"/>
      <c r="V1760" s="6"/>
      <c r="W1760" s="6"/>
      <c r="X1760" s="6"/>
      <c r="Y1760" s="6"/>
      <c r="Z1760" s="6"/>
      <c r="AA1760" s="6"/>
      <c r="AB1760" s="6"/>
      <c r="AC1760" s="6"/>
      <c r="AD1760" s="6"/>
      <c r="AE1760" s="6"/>
    </row>
    <row r="1761" spans="1:31" ht="89.25" x14ac:dyDescent="0.2">
      <c r="A1761" s="6" t="s">
        <v>4806</v>
      </c>
      <c r="B1761" s="6" t="s">
        <v>7153</v>
      </c>
      <c r="C1761" s="55">
        <v>45605</v>
      </c>
      <c r="D1761" s="6" t="s">
        <v>8369</v>
      </c>
      <c r="E1761" s="6"/>
      <c r="F1761" s="6" t="s">
        <v>1842</v>
      </c>
      <c r="G1761" s="6" t="s">
        <v>780</v>
      </c>
      <c r="H1761" s="6" t="str">
        <f t="shared" si="156"/>
        <v>EGYPT FIELD HANDS(P315)</v>
      </c>
      <c r="I1761" s="6" t="s">
        <v>784</v>
      </c>
      <c r="J1761" s="6"/>
      <c r="K1761" s="6"/>
      <c r="L1761" s="6" t="s">
        <v>2909</v>
      </c>
      <c r="M1761" s="6" t="str">
        <f>VLOOKUP(L1761, GLOSSARY!$A:$C, 2, FALSE)</f>
        <v>EGYPT OLD SHEEP PEN PIECE</v>
      </c>
      <c r="N1761" s="6" t="s">
        <v>287</v>
      </c>
      <c r="O1761" s="6"/>
      <c r="P1761" s="6"/>
      <c r="Q1761" s="6"/>
      <c r="R1761" s="6"/>
      <c r="S1761" s="6"/>
      <c r="T1761" s="6"/>
      <c r="U1761" s="6"/>
      <c r="V1761" s="6"/>
      <c r="W1761" s="6"/>
      <c r="X1761" s="6"/>
      <c r="Y1761" s="6"/>
      <c r="Z1761" s="6"/>
      <c r="AA1761" s="6"/>
      <c r="AB1761" s="6"/>
      <c r="AC1761" s="6"/>
      <c r="AD1761" s="6"/>
      <c r="AE1761" s="6"/>
    </row>
    <row r="1762" spans="1:31" ht="76.5" x14ac:dyDescent="0.2">
      <c r="A1762" s="6" t="s">
        <v>8370</v>
      </c>
      <c r="B1762" s="6" t="s">
        <v>8371</v>
      </c>
      <c r="C1762" s="6" t="s">
        <v>8372</v>
      </c>
      <c r="D1762" s="6" t="s">
        <v>8373</v>
      </c>
      <c r="E1762" s="6"/>
      <c r="F1762" s="6" t="s">
        <v>110</v>
      </c>
      <c r="G1762" s="6" t="s">
        <v>111</v>
      </c>
      <c r="H1762" s="6" t="str">
        <f t="shared" si="156"/>
        <v>WILLIAM DORRILL(P75)</v>
      </c>
      <c r="I1762" s="6" t="s">
        <v>248</v>
      </c>
      <c r="J1762" s="6"/>
      <c r="K1762" s="6"/>
      <c r="L1762" s="6" t="s">
        <v>222</v>
      </c>
      <c r="M1762" s="6" t="str">
        <f>VLOOKUP(L1762, GLOSSARY!$A:$C, 2, FALSE)</f>
        <v>VINEYARD PEN</v>
      </c>
      <c r="N1762" s="6" t="s">
        <v>68</v>
      </c>
      <c r="O1762" s="6"/>
      <c r="P1762" s="6"/>
      <c r="Q1762" s="6"/>
      <c r="R1762" s="6"/>
      <c r="S1762" s="6"/>
      <c r="T1762" s="6"/>
      <c r="U1762" s="6"/>
      <c r="V1762" s="6"/>
      <c r="W1762" s="6"/>
      <c r="X1762" s="6"/>
      <c r="Y1762" s="6"/>
      <c r="Z1762" s="6"/>
      <c r="AA1762" s="6"/>
      <c r="AB1762" s="6"/>
      <c r="AC1762" s="6"/>
      <c r="AD1762" s="6"/>
      <c r="AE1762" s="6"/>
    </row>
    <row r="1763" spans="1:31" ht="25.5" x14ac:dyDescent="0.2">
      <c r="A1763" s="6"/>
      <c r="B1763" s="6" t="s">
        <v>8371</v>
      </c>
      <c r="C1763" s="6" t="s">
        <v>8372</v>
      </c>
      <c r="D1763" s="6" t="s">
        <v>8374</v>
      </c>
      <c r="E1763" s="6"/>
      <c r="F1763" s="6"/>
      <c r="G1763" s="6" t="s">
        <v>584</v>
      </c>
      <c r="H1763" s="6" t="str">
        <f t="shared" si="156"/>
        <v>(P76)</v>
      </c>
      <c r="I1763" s="6" t="s">
        <v>248</v>
      </c>
      <c r="J1763" s="6"/>
      <c r="K1763" s="6"/>
      <c r="L1763" s="6" t="s">
        <v>3169</v>
      </c>
      <c r="M1763" s="6" t="str">
        <f>VLOOKUP(L1763, GLOSSARY!$A:$C, 2, FALSE)</f>
        <v>CRAWFORD'S</v>
      </c>
      <c r="N1763" s="6"/>
      <c r="O1763" s="6"/>
      <c r="P1763" s="6"/>
      <c r="Q1763" s="6"/>
      <c r="R1763" s="6"/>
      <c r="S1763" s="6"/>
      <c r="T1763" s="6"/>
      <c r="U1763" s="6"/>
      <c r="V1763" s="6"/>
      <c r="W1763" s="6"/>
      <c r="X1763" s="6"/>
      <c r="Y1763" s="6"/>
      <c r="Z1763" s="6"/>
      <c r="AA1763" s="6"/>
      <c r="AB1763" s="6"/>
      <c r="AC1763" s="6"/>
      <c r="AD1763" s="6"/>
      <c r="AE1763" s="6"/>
    </row>
    <row r="1764" spans="1:31" ht="12.75" x14ac:dyDescent="0.2">
      <c r="A1764" s="6"/>
      <c r="B1764" s="6"/>
      <c r="C1764" s="20"/>
      <c r="D1764" s="6"/>
      <c r="E1764" s="6"/>
      <c r="F1764" s="6"/>
      <c r="G1764" s="6"/>
      <c r="H1764" s="6"/>
      <c r="I1764" s="6"/>
      <c r="J1764" s="6"/>
      <c r="K1764" s="6"/>
      <c r="L1764" s="6"/>
      <c r="M1764" s="6" t="e">
        <f>VLOOKUP(L1764, GLOSSARY!$A:$C, 2, FALSE)</f>
        <v>#N/A</v>
      </c>
      <c r="N1764" s="6"/>
      <c r="O1764" s="6"/>
      <c r="P1764" s="6"/>
      <c r="Q1764" s="6"/>
      <c r="R1764" s="6"/>
      <c r="S1764" s="6"/>
      <c r="T1764" s="6"/>
      <c r="U1764" s="6"/>
      <c r="V1764" s="6"/>
      <c r="W1764" s="6"/>
      <c r="X1764" s="6"/>
      <c r="Y1764" s="6"/>
      <c r="Z1764" s="6"/>
      <c r="AA1764" s="6"/>
      <c r="AB1764" s="6"/>
      <c r="AC1764" s="6"/>
      <c r="AD1764" s="6"/>
      <c r="AE1764" s="6"/>
    </row>
    <row r="1765" spans="1:31" ht="12.75" x14ac:dyDescent="0.2">
      <c r="A1765" s="6"/>
      <c r="B1765" s="6"/>
      <c r="C1765" s="20"/>
      <c r="D1765" s="6"/>
      <c r="E1765" s="6"/>
      <c r="F1765" s="6"/>
      <c r="G1765" s="6"/>
      <c r="H1765" s="6"/>
      <c r="I1765" s="6"/>
      <c r="J1765" s="6"/>
      <c r="K1765" s="6"/>
      <c r="L1765" s="6"/>
      <c r="M1765" s="6" t="e">
        <f>VLOOKUP(L1765, GLOSSARY!$A:$C, 2, FALSE)</f>
        <v>#N/A</v>
      </c>
      <c r="N1765" s="6"/>
      <c r="O1765" s="6"/>
      <c r="P1765" s="6"/>
      <c r="Q1765" s="6"/>
      <c r="R1765" s="6"/>
      <c r="S1765" s="6"/>
      <c r="T1765" s="6"/>
      <c r="U1765" s="6"/>
      <c r="V1765" s="6"/>
      <c r="W1765" s="6"/>
      <c r="X1765" s="6"/>
      <c r="Y1765" s="6"/>
      <c r="Z1765" s="6"/>
      <c r="AA1765" s="6"/>
      <c r="AB1765" s="6"/>
      <c r="AC1765" s="6"/>
      <c r="AD1765" s="6"/>
      <c r="AE1765" s="6"/>
    </row>
    <row r="1766" spans="1:31" ht="12.75" x14ac:dyDescent="0.2">
      <c r="A1766" s="6"/>
      <c r="B1766" s="6"/>
      <c r="C1766" s="20"/>
      <c r="D1766" s="6"/>
      <c r="E1766" s="6"/>
      <c r="F1766" s="6"/>
      <c r="G1766" s="6"/>
      <c r="H1766" s="6"/>
      <c r="I1766" s="6"/>
      <c r="J1766" s="6"/>
      <c r="K1766" s="6"/>
      <c r="L1766" s="6"/>
      <c r="M1766" s="6"/>
      <c r="N1766" s="6"/>
      <c r="O1766" s="6"/>
      <c r="P1766" s="6"/>
      <c r="Q1766" s="6"/>
      <c r="R1766" s="6"/>
      <c r="S1766" s="6"/>
      <c r="T1766" s="6"/>
      <c r="U1766" s="6"/>
      <c r="V1766" s="6"/>
      <c r="W1766" s="6"/>
      <c r="X1766" s="6"/>
      <c r="Y1766" s="6"/>
      <c r="Z1766" s="6"/>
      <c r="AA1766" s="6"/>
      <c r="AB1766" s="6"/>
      <c r="AC1766" s="6"/>
      <c r="AD1766" s="6"/>
      <c r="AE1766" s="6"/>
    </row>
    <row r="1767" spans="1:31" ht="12.75" x14ac:dyDescent="0.2">
      <c r="A1767" s="6"/>
      <c r="B1767" s="6"/>
      <c r="C1767" s="20"/>
      <c r="D1767" s="6"/>
      <c r="E1767" s="6"/>
      <c r="F1767" s="6"/>
      <c r="G1767" s="6"/>
      <c r="H1767" s="6"/>
      <c r="I1767" s="6"/>
      <c r="J1767" s="6"/>
      <c r="K1767" s="6"/>
      <c r="L1767" s="6"/>
      <c r="M1767" s="6"/>
      <c r="N1767" s="6"/>
      <c r="O1767" s="6"/>
      <c r="P1767" s="6"/>
      <c r="Q1767" s="6"/>
      <c r="R1767" s="6"/>
      <c r="S1767" s="6"/>
      <c r="T1767" s="6"/>
      <c r="U1767" s="6"/>
      <c r="V1767" s="6"/>
      <c r="W1767" s="6"/>
      <c r="X1767" s="6"/>
      <c r="Y1767" s="6"/>
      <c r="Z1767" s="6"/>
      <c r="AA1767" s="6"/>
      <c r="AB1767" s="6"/>
      <c r="AC1767" s="6"/>
      <c r="AD1767" s="6"/>
      <c r="AE1767" s="6"/>
    </row>
    <row r="1768" spans="1:31" ht="12.75" x14ac:dyDescent="0.2">
      <c r="A1768" s="6"/>
      <c r="B1768" s="6"/>
      <c r="C1768" s="20"/>
      <c r="D1768" s="6"/>
      <c r="E1768" s="6"/>
      <c r="F1768" s="6"/>
      <c r="G1768" s="6"/>
      <c r="H1768" s="6"/>
      <c r="I1768" s="6"/>
      <c r="J1768" s="6"/>
      <c r="K1768" s="6"/>
      <c r="L1768" s="6"/>
      <c r="M1768" s="6"/>
      <c r="N1768" s="6"/>
      <c r="O1768" s="6"/>
      <c r="P1768" s="6"/>
      <c r="Q1768" s="6"/>
      <c r="R1768" s="6"/>
      <c r="S1768" s="6"/>
      <c r="T1768" s="6"/>
      <c r="U1768" s="6"/>
      <c r="V1768" s="6"/>
      <c r="W1768" s="6"/>
      <c r="X1768" s="6"/>
      <c r="Y1768" s="6"/>
      <c r="Z1768" s="6"/>
      <c r="AA1768" s="6"/>
      <c r="AB1768" s="6"/>
      <c r="AC1768" s="6"/>
      <c r="AD1768" s="6"/>
      <c r="AE1768" s="6"/>
    </row>
    <row r="1769" spans="1:31" ht="12.75" x14ac:dyDescent="0.2">
      <c r="A1769" s="6"/>
      <c r="B1769" s="6"/>
      <c r="C1769" s="20"/>
      <c r="D1769" s="6"/>
      <c r="E1769" s="6"/>
      <c r="F1769" s="6"/>
      <c r="G1769" s="6"/>
      <c r="H1769" s="6"/>
      <c r="I1769" s="6"/>
      <c r="J1769" s="6"/>
      <c r="K1769" s="6"/>
      <c r="L1769" s="6"/>
      <c r="M1769" s="6"/>
      <c r="N1769" s="6"/>
      <c r="O1769" s="6"/>
      <c r="P1769" s="6"/>
      <c r="Q1769" s="6"/>
      <c r="R1769" s="6"/>
      <c r="S1769" s="6"/>
      <c r="T1769" s="6"/>
      <c r="U1769" s="6"/>
      <c r="V1769" s="6"/>
      <c r="W1769" s="6"/>
      <c r="X1769" s="6"/>
      <c r="Y1769" s="6"/>
      <c r="Z1769" s="6"/>
      <c r="AA1769" s="6"/>
      <c r="AB1769" s="6"/>
      <c r="AC1769" s="6"/>
      <c r="AD1769" s="6"/>
      <c r="AE1769" s="6"/>
    </row>
    <row r="1770" spans="1:31" ht="12.75" x14ac:dyDescent="0.2">
      <c r="A1770" s="6"/>
      <c r="B1770" s="6"/>
      <c r="C1770" s="20"/>
      <c r="D1770" s="6"/>
      <c r="E1770" s="6"/>
      <c r="F1770" s="6"/>
      <c r="G1770" s="6"/>
      <c r="H1770" s="6"/>
      <c r="I1770" s="6"/>
      <c r="J1770" s="6"/>
      <c r="K1770" s="6"/>
      <c r="L1770" s="6"/>
      <c r="M1770" s="6"/>
      <c r="N1770" s="6"/>
      <c r="O1770" s="6"/>
      <c r="P1770" s="6"/>
      <c r="Q1770" s="6"/>
      <c r="R1770" s="6"/>
      <c r="S1770" s="6"/>
      <c r="T1770" s="6"/>
      <c r="U1770" s="6"/>
      <c r="V1770" s="6"/>
      <c r="W1770" s="6"/>
      <c r="X1770" s="6"/>
      <c r="Y1770" s="6"/>
      <c r="Z1770" s="6"/>
      <c r="AA1770" s="6"/>
      <c r="AB1770" s="6"/>
      <c r="AC1770" s="6"/>
      <c r="AD1770" s="6"/>
      <c r="AE1770" s="6"/>
    </row>
    <row r="1771" spans="1:31" ht="12.75" x14ac:dyDescent="0.2">
      <c r="A1771" s="6"/>
      <c r="B1771" s="6"/>
      <c r="C1771" s="20"/>
      <c r="D1771" s="6"/>
      <c r="E1771" s="6"/>
      <c r="F1771" s="6"/>
      <c r="G1771" s="6"/>
      <c r="H1771" s="6"/>
      <c r="I1771" s="6"/>
      <c r="J1771" s="6"/>
      <c r="K1771" s="6"/>
      <c r="L1771" s="6"/>
      <c r="M1771" s="6"/>
      <c r="N1771" s="6"/>
      <c r="O1771" s="6"/>
      <c r="P1771" s="6"/>
      <c r="Q1771" s="6"/>
      <c r="R1771" s="6"/>
      <c r="S1771" s="6"/>
      <c r="T1771" s="6"/>
      <c r="U1771" s="6"/>
      <c r="V1771" s="6"/>
      <c r="W1771" s="6"/>
      <c r="X1771" s="6"/>
      <c r="Y1771" s="6"/>
      <c r="Z1771" s="6"/>
      <c r="AA1771" s="6"/>
      <c r="AB1771" s="6"/>
      <c r="AC1771" s="6"/>
      <c r="AD1771" s="6"/>
      <c r="AE1771" s="6"/>
    </row>
    <row r="1772" spans="1:31" ht="12.75" x14ac:dyDescent="0.2">
      <c r="A1772" s="6"/>
      <c r="B1772" s="6"/>
      <c r="C1772" s="20"/>
      <c r="D1772" s="6"/>
      <c r="E1772" s="6"/>
      <c r="F1772" s="6"/>
      <c r="G1772" s="6"/>
      <c r="H1772" s="6"/>
      <c r="I1772" s="6"/>
      <c r="J1772" s="6"/>
      <c r="K1772" s="6"/>
      <c r="L1772" s="6"/>
      <c r="M1772" s="6"/>
      <c r="N1772" s="6"/>
      <c r="O1772" s="6"/>
      <c r="P1772" s="6"/>
      <c r="Q1772" s="6"/>
      <c r="R1772" s="6"/>
      <c r="S1772" s="6"/>
      <c r="T1772" s="6"/>
      <c r="U1772" s="6"/>
      <c r="V1772" s="6"/>
      <c r="W1772" s="6"/>
      <c r="X1772" s="6"/>
      <c r="Y1772" s="6"/>
      <c r="Z1772" s="6"/>
      <c r="AA1772" s="6"/>
      <c r="AB1772" s="6"/>
      <c r="AC1772" s="6"/>
      <c r="AD1772" s="6"/>
      <c r="AE1772" s="6"/>
    </row>
    <row r="1773" spans="1:31" ht="12.75" x14ac:dyDescent="0.2">
      <c r="A1773" s="6"/>
      <c r="B1773" s="6"/>
      <c r="C1773" s="20"/>
      <c r="D1773" s="6"/>
      <c r="E1773" s="6"/>
      <c r="F1773" s="6"/>
      <c r="G1773" s="6"/>
      <c r="H1773" s="6"/>
      <c r="I1773" s="6"/>
      <c r="J1773" s="6"/>
      <c r="K1773" s="6"/>
      <c r="L1773" s="6"/>
      <c r="M1773" s="6"/>
      <c r="N1773" s="6"/>
      <c r="O1773" s="6"/>
      <c r="P1773" s="6"/>
      <c r="Q1773" s="6"/>
      <c r="R1773" s="6"/>
      <c r="S1773" s="6"/>
      <c r="T1773" s="6"/>
      <c r="U1773" s="6"/>
      <c r="V1773" s="6"/>
      <c r="W1773" s="6"/>
      <c r="X1773" s="6"/>
      <c r="Y1773" s="6"/>
      <c r="Z1773" s="6"/>
      <c r="AA1773" s="6"/>
      <c r="AB1773" s="6"/>
      <c r="AC1773" s="6"/>
      <c r="AD1773" s="6"/>
      <c r="AE1773" s="6"/>
    </row>
    <row r="1774" spans="1:31" ht="12.75" x14ac:dyDescent="0.2">
      <c r="A1774" s="6"/>
      <c r="B1774" s="6"/>
      <c r="C1774" s="20"/>
      <c r="D1774" s="6"/>
      <c r="E1774" s="6"/>
      <c r="F1774" s="6"/>
      <c r="G1774" s="6"/>
      <c r="H1774" s="6"/>
      <c r="I1774" s="6"/>
      <c r="J1774" s="6"/>
      <c r="K1774" s="6"/>
      <c r="L1774" s="6"/>
      <c r="M1774" s="6"/>
      <c r="N1774" s="6"/>
      <c r="O1774" s="6"/>
      <c r="P1774" s="6"/>
      <c r="Q1774" s="6"/>
      <c r="R1774" s="6"/>
      <c r="S1774" s="6"/>
      <c r="T1774" s="6"/>
      <c r="U1774" s="6"/>
      <c r="V1774" s="6"/>
      <c r="W1774" s="6"/>
      <c r="X1774" s="6"/>
      <c r="Y1774" s="6"/>
      <c r="Z1774" s="6"/>
      <c r="AA1774" s="6"/>
      <c r="AB1774" s="6"/>
      <c r="AC1774" s="6"/>
      <c r="AD1774" s="6"/>
      <c r="AE1774" s="6"/>
    </row>
    <row r="1775" spans="1:31" ht="12.75" x14ac:dyDescent="0.2">
      <c r="A1775" s="6"/>
      <c r="B1775" s="6"/>
      <c r="C1775" s="20"/>
      <c r="D1775" s="6"/>
      <c r="E1775" s="6"/>
      <c r="F1775" s="6"/>
      <c r="G1775" s="6"/>
      <c r="H1775" s="6"/>
      <c r="I1775" s="6"/>
      <c r="J1775" s="6"/>
      <c r="K1775" s="6"/>
      <c r="L1775" s="6"/>
      <c r="M1775" s="6"/>
      <c r="N1775" s="6"/>
      <c r="O1775" s="6"/>
      <c r="P1775" s="6"/>
      <c r="Q1775" s="6"/>
      <c r="R1775" s="6"/>
      <c r="S1775" s="6"/>
      <c r="T1775" s="6"/>
      <c r="U1775" s="6"/>
      <c r="V1775" s="6"/>
      <c r="W1775" s="6"/>
      <c r="X1775" s="6"/>
      <c r="Y1775" s="6"/>
      <c r="Z1775" s="6"/>
      <c r="AA1775" s="6"/>
      <c r="AB1775" s="6"/>
      <c r="AC1775" s="6"/>
      <c r="AD1775" s="6"/>
      <c r="AE1775" s="6"/>
    </row>
    <row r="1776" spans="1:31" ht="12.75" x14ac:dyDescent="0.2">
      <c r="A1776" s="6"/>
      <c r="B1776" s="6"/>
      <c r="C1776" s="20"/>
      <c r="D1776" s="6"/>
      <c r="E1776" s="6"/>
      <c r="F1776" s="6"/>
      <c r="G1776" s="6"/>
      <c r="H1776" s="6"/>
      <c r="I1776" s="6"/>
      <c r="J1776" s="6"/>
      <c r="K1776" s="6"/>
      <c r="L1776" s="6"/>
      <c r="M1776" s="6"/>
      <c r="N1776" s="6"/>
      <c r="O1776" s="6"/>
      <c r="P1776" s="6"/>
      <c r="Q1776" s="6"/>
      <c r="R1776" s="6"/>
      <c r="S1776" s="6"/>
      <c r="T1776" s="6"/>
      <c r="U1776" s="6"/>
      <c r="V1776" s="6"/>
      <c r="W1776" s="6"/>
      <c r="X1776" s="6"/>
      <c r="Y1776" s="6"/>
      <c r="Z1776" s="6"/>
      <c r="AA1776" s="6"/>
      <c r="AB1776" s="6"/>
      <c r="AC1776" s="6"/>
      <c r="AD1776" s="6"/>
      <c r="AE1776" s="6"/>
    </row>
    <row r="1777" spans="1:31" ht="12.75" x14ac:dyDescent="0.2">
      <c r="A1777" s="6"/>
      <c r="B1777" s="6"/>
      <c r="C1777" s="20"/>
      <c r="D1777" s="6"/>
      <c r="E1777" s="6"/>
      <c r="F1777" s="6"/>
      <c r="G1777" s="6"/>
      <c r="H1777" s="6"/>
      <c r="I1777" s="6"/>
      <c r="J1777" s="6"/>
      <c r="K1777" s="6"/>
      <c r="L1777" s="6"/>
      <c r="M1777" s="6"/>
      <c r="N1777" s="6"/>
      <c r="O1777" s="6"/>
      <c r="P1777" s="6"/>
      <c r="Q1777" s="6"/>
      <c r="R1777" s="6"/>
      <c r="S1777" s="6"/>
      <c r="T1777" s="6"/>
      <c r="U1777" s="6"/>
      <c r="V1777" s="6"/>
      <c r="W1777" s="6"/>
      <c r="X1777" s="6"/>
      <c r="Y1777" s="6"/>
      <c r="Z1777" s="6"/>
      <c r="AA1777" s="6"/>
      <c r="AB1777" s="6"/>
      <c r="AC1777" s="6"/>
      <c r="AD1777" s="6"/>
      <c r="AE1777" s="6"/>
    </row>
    <row r="1778" spans="1:31" ht="12.75" x14ac:dyDescent="0.2">
      <c r="A1778" s="6"/>
      <c r="B1778" s="6"/>
      <c r="C1778" s="20"/>
      <c r="D1778" s="6"/>
      <c r="E1778" s="6"/>
      <c r="F1778" s="6"/>
      <c r="G1778" s="6"/>
      <c r="H1778" s="6"/>
      <c r="I1778" s="6"/>
      <c r="J1778" s="6"/>
      <c r="K1778" s="6"/>
      <c r="L1778" s="6"/>
      <c r="M1778" s="6"/>
      <c r="N1778" s="6"/>
      <c r="O1778" s="6"/>
      <c r="P1778" s="6"/>
      <c r="Q1778" s="6"/>
      <c r="R1778" s="6"/>
      <c r="S1778" s="6"/>
      <c r="T1778" s="6"/>
      <c r="U1778" s="6"/>
      <c r="V1778" s="6"/>
      <c r="W1778" s="6"/>
      <c r="X1778" s="6"/>
      <c r="Y1778" s="6"/>
      <c r="Z1778" s="6"/>
      <c r="AA1778" s="6"/>
      <c r="AB1778" s="6"/>
      <c r="AC1778" s="6"/>
      <c r="AD1778" s="6"/>
      <c r="AE1778" s="6"/>
    </row>
    <row r="1779" spans="1:31" ht="12.75" x14ac:dyDescent="0.2">
      <c r="A1779" s="6"/>
      <c r="B1779" s="6"/>
      <c r="C1779" s="20"/>
      <c r="D1779" s="6"/>
      <c r="E1779" s="6"/>
      <c r="F1779" s="6"/>
      <c r="G1779" s="6"/>
      <c r="H1779" s="6"/>
      <c r="I1779" s="6"/>
      <c r="J1779" s="6"/>
      <c r="K1779" s="6"/>
      <c r="L1779" s="6"/>
      <c r="M1779" s="6"/>
      <c r="N1779" s="6"/>
      <c r="O1779" s="6"/>
      <c r="P1779" s="6"/>
      <c r="Q1779" s="6"/>
      <c r="R1779" s="6"/>
      <c r="S1779" s="6"/>
      <c r="T1779" s="6"/>
      <c r="U1779" s="6"/>
      <c r="V1779" s="6"/>
      <c r="W1779" s="6"/>
      <c r="X1779" s="6"/>
      <c r="Y1779" s="6"/>
      <c r="Z1779" s="6"/>
      <c r="AA1779" s="6"/>
      <c r="AB1779" s="6"/>
      <c r="AC1779" s="6"/>
      <c r="AD1779" s="6"/>
      <c r="AE1779" s="6"/>
    </row>
    <row r="1780" spans="1:31" ht="12.75" x14ac:dyDescent="0.2">
      <c r="A1780" s="6"/>
      <c r="B1780" s="6"/>
      <c r="C1780" s="20"/>
      <c r="D1780" s="6"/>
      <c r="E1780" s="6"/>
      <c r="F1780" s="6"/>
      <c r="G1780" s="6"/>
      <c r="H1780" s="6"/>
      <c r="I1780" s="6"/>
      <c r="J1780" s="6"/>
      <c r="K1780" s="6"/>
      <c r="L1780" s="6"/>
      <c r="M1780" s="6"/>
      <c r="N1780" s="6"/>
      <c r="O1780" s="6"/>
      <c r="P1780" s="6"/>
      <c r="Q1780" s="6"/>
      <c r="R1780" s="6"/>
      <c r="S1780" s="6"/>
      <c r="T1780" s="6"/>
      <c r="U1780" s="6"/>
      <c r="V1780" s="6"/>
      <c r="W1780" s="6"/>
      <c r="X1780" s="6"/>
      <c r="Y1780" s="6"/>
      <c r="Z1780" s="6"/>
      <c r="AA1780" s="6"/>
      <c r="AB1780" s="6"/>
      <c r="AC1780" s="6"/>
      <c r="AD1780" s="6"/>
      <c r="AE1780" s="6"/>
    </row>
    <row r="1781" spans="1:31" ht="12.75" x14ac:dyDescent="0.2">
      <c r="A1781" s="6"/>
      <c r="B1781" s="6"/>
      <c r="C1781" s="20"/>
      <c r="D1781" s="6"/>
      <c r="E1781" s="6"/>
      <c r="F1781" s="6"/>
      <c r="G1781" s="6"/>
      <c r="H1781" s="6"/>
      <c r="I1781" s="6"/>
      <c r="J1781" s="6"/>
      <c r="K1781" s="6"/>
      <c r="L1781" s="6"/>
      <c r="M1781" s="6"/>
      <c r="N1781" s="6"/>
      <c r="O1781" s="6"/>
      <c r="P1781" s="6"/>
      <c r="Q1781" s="6"/>
      <c r="R1781" s="6"/>
      <c r="S1781" s="6"/>
      <c r="T1781" s="6"/>
      <c r="U1781" s="6"/>
      <c r="V1781" s="6"/>
      <c r="W1781" s="6"/>
      <c r="X1781" s="6"/>
      <c r="Y1781" s="6"/>
      <c r="Z1781" s="6"/>
      <c r="AA1781" s="6"/>
      <c r="AB1781" s="6"/>
      <c r="AC1781" s="6"/>
      <c r="AD1781" s="6"/>
      <c r="AE1781" s="6"/>
    </row>
    <row r="1782" spans="1:31" ht="12.75" x14ac:dyDescent="0.2">
      <c r="A1782" s="6"/>
      <c r="B1782" s="6"/>
      <c r="C1782" s="20"/>
      <c r="D1782" s="6"/>
      <c r="E1782" s="6"/>
      <c r="F1782" s="6"/>
      <c r="G1782" s="6"/>
      <c r="H1782" s="6"/>
      <c r="I1782" s="6"/>
      <c r="J1782" s="6"/>
      <c r="K1782" s="6"/>
      <c r="L1782" s="6"/>
      <c r="M1782" s="6"/>
      <c r="N1782" s="6"/>
      <c r="O1782" s="6"/>
      <c r="P1782" s="6"/>
      <c r="Q1782" s="6"/>
      <c r="R1782" s="6"/>
      <c r="S1782" s="6"/>
      <c r="T1782" s="6"/>
      <c r="U1782" s="6"/>
      <c r="V1782" s="6"/>
      <c r="W1782" s="6"/>
      <c r="X1782" s="6"/>
      <c r="Y1782" s="6"/>
      <c r="Z1782" s="6"/>
      <c r="AA1782" s="6"/>
      <c r="AB1782" s="6"/>
      <c r="AC1782" s="6"/>
      <c r="AD1782" s="6"/>
      <c r="AE1782" s="6"/>
    </row>
    <row r="1783" spans="1:31" ht="12.75" x14ac:dyDescent="0.2">
      <c r="A1783" s="6"/>
      <c r="B1783" s="6"/>
      <c r="C1783" s="20"/>
      <c r="D1783" s="6"/>
      <c r="E1783" s="6"/>
      <c r="F1783" s="6"/>
      <c r="G1783" s="6"/>
      <c r="H1783" s="6"/>
      <c r="I1783" s="6"/>
      <c r="J1783" s="6"/>
      <c r="K1783" s="6"/>
      <c r="L1783" s="6"/>
      <c r="M1783" s="6"/>
      <c r="N1783" s="6"/>
      <c r="O1783" s="6"/>
      <c r="P1783" s="6"/>
      <c r="Q1783" s="6"/>
      <c r="R1783" s="6"/>
      <c r="S1783" s="6"/>
      <c r="T1783" s="6"/>
      <c r="U1783" s="6"/>
      <c r="V1783" s="6"/>
      <c r="W1783" s="6"/>
      <c r="X1783" s="6"/>
      <c r="Y1783" s="6"/>
      <c r="Z1783" s="6"/>
      <c r="AA1783" s="6"/>
      <c r="AB1783" s="6"/>
      <c r="AC1783" s="6"/>
      <c r="AD1783" s="6"/>
      <c r="AE1783" s="6"/>
    </row>
    <row r="1784" spans="1:31" ht="12.75" x14ac:dyDescent="0.2">
      <c r="A1784" s="6"/>
      <c r="B1784" s="6"/>
      <c r="C1784" s="20"/>
      <c r="D1784" s="6"/>
      <c r="E1784" s="6"/>
      <c r="F1784" s="6"/>
      <c r="G1784" s="6"/>
      <c r="H1784" s="6"/>
      <c r="I1784" s="6"/>
      <c r="J1784" s="6"/>
      <c r="K1784" s="6"/>
      <c r="L1784" s="6"/>
      <c r="M1784" s="6"/>
      <c r="N1784" s="6"/>
      <c r="O1784" s="6"/>
      <c r="P1784" s="6"/>
      <c r="Q1784" s="6"/>
      <c r="R1784" s="6"/>
      <c r="S1784" s="6"/>
      <c r="T1784" s="6"/>
      <c r="U1784" s="6"/>
      <c r="V1784" s="6"/>
      <c r="W1784" s="6"/>
      <c r="X1784" s="6"/>
      <c r="Y1784" s="6"/>
      <c r="Z1784" s="6"/>
      <c r="AA1784" s="6"/>
      <c r="AB1784" s="6"/>
      <c r="AC1784" s="6"/>
      <c r="AD1784" s="6"/>
      <c r="AE1784" s="6"/>
    </row>
    <row r="1785" spans="1:31" ht="12.75" x14ac:dyDescent="0.2">
      <c r="A1785" s="6"/>
      <c r="B1785" s="6"/>
      <c r="C1785" s="20"/>
      <c r="D1785" s="6"/>
      <c r="E1785" s="6"/>
      <c r="F1785" s="6"/>
      <c r="G1785" s="6"/>
      <c r="H1785" s="6"/>
      <c r="I1785" s="6"/>
      <c r="J1785" s="6"/>
      <c r="K1785" s="6"/>
      <c r="L1785" s="6"/>
      <c r="M1785" s="6"/>
      <c r="N1785" s="6"/>
      <c r="O1785" s="6"/>
      <c r="P1785" s="6"/>
      <c r="Q1785" s="6"/>
      <c r="R1785" s="6"/>
      <c r="S1785" s="6"/>
      <c r="T1785" s="6"/>
      <c r="U1785" s="6"/>
      <c r="V1785" s="6"/>
      <c r="W1785" s="6"/>
      <c r="X1785" s="6"/>
      <c r="Y1785" s="6"/>
      <c r="Z1785" s="6"/>
      <c r="AA1785" s="6"/>
      <c r="AB1785" s="6"/>
      <c r="AC1785" s="6"/>
      <c r="AD1785" s="6"/>
      <c r="AE1785" s="6"/>
    </row>
    <row r="1786" spans="1:31" ht="12.75" x14ac:dyDescent="0.2">
      <c r="A1786" s="6"/>
      <c r="B1786" s="6"/>
      <c r="C1786" s="20"/>
      <c r="D1786" s="6"/>
      <c r="E1786" s="6"/>
      <c r="F1786" s="6"/>
      <c r="G1786" s="6"/>
      <c r="H1786" s="6"/>
      <c r="I1786" s="6"/>
      <c r="J1786" s="6"/>
      <c r="K1786" s="6"/>
      <c r="L1786" s="6"/>
      <c r="M1786" s="6"/>
      <c r="N1786" s="6"/>
      <c r="O1786" s="6"/>
      <c r="P1786" s="6"/>
      <c r="Q1786" s="6"/>
      <c r="R1786" s="6"/>
      <c r="S1786" s="6"/>
      <c r="T1786" s="6"/>
      <c r="U1786" s="6"/>
      <c r="V1786" s="6"/>
      <c r="W1786" s="6"/>
      <c r="X1786" s="6"/>
      <c r="Y1786" s="6"/>
      <c r="Z1786" s="6"/>
      <c r="AA1786" s="6"/>
      <c r="AB1786" s="6"/>
      <c r="AC1786" s="6"/>
      <c r="AD1786" s="6"/>
      <c r="AE1786" s="6"/>
    </row>
    <row r="1787" spans="1:31" ht="12.75" x14ac:dyDescent="0.2">
      <c r="A1787" s="6"/>
      <c r="B1787" s="6"/>
      <c r="C1787" s="20"/>
      <c r="D1787" s="6"/>
      <c r="E1787" s="6"/>
      <c r="F1787" s="6"/>
      <c r="G1787" s="6"/>
      <c r="H1787" s="6"/>
      <c r="I1787" s="6"/>
      <c r="J1787" s="6"/>
      <c r="K1787" s="6"/>
      <c r="L1787" s="6"/>
      <c r="M1787" s="6"/>
      <c r="N1787" s="6"/>
      <c r="O1787" s="6"/>
      <c r="P1787" s="6"/>
      <c r="Q1787" s="6"/>
      <c r="R1787" s="6"/>
      <c r="S1787" s="6"/>
      <c r="T1787" s="6"/>
      <c r="U1787" s="6"/>
      <c r="V1787" s="6"/>
      <c r="W1787" s="6"/>
      <c r="X1787" s="6"/>
      <c r="Y1787" s="6"/>
      <c r="Z1787" s="6"/>
      <c r="AA1787" s="6"/>
      <c r="AB1787" s="6"/>
      <c r="AC1787" s="6"/>
      <c r="AD1787" s="6"/>
      <c r="AE1787" s="6"/>
    </row>
    <row r="1788" spans="1:31" ht="12.75" x14ac:dyDescent="0.2">
      <c r="A1788" s="6"/>
      <c r="B1788" s="6"/>
      <c r="C1788" s="20"/>
      <c r="D1788" s="6"/>
      <c r="E1788" s="6"/>
      <c r="F1788" s="6"/>
      <c r="G1788" s="6"/>
      <c r="H1788" s="6"/>
      <c r="I1788" s="6"/>
      <c r="J1788" s="6"/>
      <c r="K1788" s="6"/>
      <c r="L1788" s="6"/>
      <c r="M1788" s="6"/>
      <c r="N1788" s="6"/>
      <c r="O1788" s="6"/>
      <c r="P1788" s="6"/>
      <c r="Q1788" s="6"/>
      <c r="R1788" s="6"/>
      <c r="S1788" s="6"/>
      <c r="T1788" s="6"/>
      <c r="U1788" s="6"/>
      <c r="V1788" s="6"/>
      <c r="W1788" s="6"/>
      <c r="X1788" s="6"/>
      <c r="Y1788" s="6"/>
      <c r="Z1788" s="6"/>
      <c r="AA1788" s="6"/>
      <c r="AB1788" s="6"/>
      <c r="AC1788" s="6"/>
      <c r="AD1788" s="6"/>
      <c r="AE1788" s="6"/>
    </row>
    <row r="1789" spans="1:31" ht="12.75" x14ac:dyDescent="0.2">
      <c r="A1789" s="6"/>
      <c r="B1789" s="6"/>
      <c r="C1789" s="20"/>
      <c r="D1789" s="6"/>
      <c r="E1789" s="6"/>
      <c r="F1789" s="6"/>
      <c r="G1789" s="6"/>
      <c r="H1789" s="6"/>
      <c r="I1789" s="6"/>
      <c r="J1789" s="6"/>
      <c r="K1789" s="6"/>
      <c r="L1789" s="6"/>
      <c r="M1789" s="6"/>
      <c r="N1789" s="6"/>
      <c r="O1789" s="6"/>
      <c r="P1789" s="6"/>
      <c r="Q1789" s="6"/>
      <c r="R1789" s="6"/>
      <c r="S1789" s="6"/>
      <c r="T1789" s="6"/>
      <c r="U1789" s="6"/>
      <c r="V1789" s="6"/>
      <c r="W1789" s="6"/>
      <c r="X1789" s="6"/>
      <c r="Y1789" s="6"/>
      <c r="Z1789" s="6"/>
      <c r="AA1789" s="6"/>
      <c r="AB1789" s="6"/>
      <c r="AC1789" s="6"/>
      <c r="AD1789" s="6"/>
      <c r="AE1789" s="6"/>
    </row>
    <row r="1790" spans="1:31" ht="12.75" x14ac:dyDescent="0.2">
      <c r="A1790" s="6"/>
      <c r="B1790" s="6"/>
      <c r="C1790" s="20"/>
      <c r="D1790" s="6"/>
      <c r="E1790" s="6"/>
      <c r="F1790" s="6"/>
      <c r="G1790" s="6"/>
      <c r="H1790" s="6"/>
      <c r="I1790" s="6"/>
      <c r="J1790" s="6"/>
      <c r="K1790" s="6"/>
      <c r="L1790" s="6"/>
      <c r="M1790" s="6"/>
      <c r="N1790" s="6"/>
      <c r="O1790" s="6"/>
      <c r="P1790" s="6"/>
      <c r="Q1790" s="6"/>
      <c r="R1790" s="6"/>
      <c r="S1790" s="6"/>
      <c r="T1790" s="6"/>
      <c r="U1790" s="6"/>
      <c r="V1790" s="6"/>
      <c r="W1790" s="6"/>
      <c r="X1790" s="6"/>
      <c r="Y1790" s="6"/>
      <c r="Z1790" s="6"/>
      <c r="AA1790" s="6"/>
      <c r="AB1790" s="6"/>
      <c r="AC1790" s="6"/>
      <c r="AD1790" s="6"/>
      <c r="AE1790" s="6"/>
    </row>
    <row r="1791" spans="1:31" ht="12.75" x14ac:dyDescent="0.2">
      <c r="A1791" s="6"/>
      <c r="B1791" s="6"/>
      <c r="C1791" s="20"/>
      <c r="D1791" s="6"/>
      <c r="E1791" s="6"/>
      <c r="F1791" s="6"/>
      <c r="G1791" s="6"/>
      <c r="H1791" s="6"/>
      <c r="I1791" s="6"/>
      <c r="J1791" s="6"/>
      <c r="K1791" s="6"/>
      <c r="L1791" s="6"/>
      <c r="M1791" s="6"/>
      <c r="N1791" s="6"/>
      <c r="O1791" s="6"/>
      <c r="P1791" s="6"/>
      <c r="Q1791" s="6"/>
      <c r="R1791" s="6"/>
      <c r="S1791" s="6"/>
      <c r="T1791" s="6"/>
      <c r="U1791" s="6"/>
      <c r="V1791" s="6"/>
      <c r="W1791" s="6"/>
      <c r="X1791" s="6"/>
      <c r="Y1791" s="6"/>
      <c r="Z1791" s="6"/>
      <c r="AA1791" s="6"/>
      <c r="AB1791" s="6"/>
      <c r="AC1791" s="6"/>
      <c r="AD1791" s="6"/>
      <c r="AE1791" s="6"/>
    </row>
    <row r="1792" spans="1:31" ht="12.75" x14ac:dyDescent="0.2">
      <c r="A1792" s="6"/>
      <c r="B1792" s="6"/>
      <c r="C1792" s="20"/>
      <c r="D1792" s="6"/>
      <c r="E1792" s="6"/>
      <c r="F1792" s="6"/>
      <c r="G1792" s="6"/>
      <c r="H1792" s="6"/>
      <c r="I1792" s="6"/>
      <c r="J1792" s="6"/>
      <c r="K1792" s="6"/>
      <c r="L1792" s="6"/>
      <c r="M1792" s="6"/>
      <c r="N1792" s="6"/>
      <c r="O1792" s="6"/>
      <c r="P1792" s="6"/>
      <c r="Q1792" s="6"/>
      <c r="R1792" s="6"/>
      <c r="S1792" s="6"/>
      <c r="T1792" s="6"/>
      <c r="U1792" s="6"/>
      <c r="V1792" s="6"/>
      <c r="W1792" s="6"/>
      <c r="X1792" s="6"/>
      <c r="Y1792" s="6"/>
      <c r="Z1792" s="6"/>
      <c r="AA1792" s="6"/>
      <c r="AB1792" s="6"/>
      <c r="AC1792" s="6"/>
      <c r="AD1792" s="6"/>
      <c r="AE1792" s="6"/>
    </row>
    <row r="1793" spans="1:31" ht="12.75" x14ac:dyDescent="0.2">
      <c r="A1793" s="6"/>
      <c r="B1793" s="6"/>
      <c r="C1793" s="20"/>
      <c r="D1793" s="6"/>
      <c r="E1793" s="6"/>
      <c r="F1793" s="6"/>
      <c r="G1793" s="6"/>
      <c r="H1793" s="6"/>
      <c r="I1793" s="6"/>
      <c r="J1793" s="6"/>
      <c r="K1793" s="6"/>
      <c r="L1793" s="6"/>
      <c r="M1793" s="6"/>
      <c r="N1793" s="6"/>
      <c r="O1793" s="6"/>
      <c r="P1793" s="6"/>
      <c r="Q1793" s="6"/>
      <c r="R1793" s="6"/>
      <c r="S1793" s="6"/>
      <c r="T1793" s="6"/>
      <c r="U1793" s="6"/>
      <c r="V1793" s="6"/>
      <c r="W1793" s="6"/>
      <c r="X1793" s="6"/>
      <c r="Y1793" s="6"/>
      <c r="Z1793" s="6"/>
      <c r="AA1793" s="6"/>
      <c r="AB1793" s="6"/>
      <c r="AC1793" s="6"/>
      <c r="AD1793" s="6"/>
      <c r="AE1793" s="6"/>
    </row>
    <row r="1794" spans="1:31" ht="12.75" x14ac:dyDescent="0.2">
      <c r="A1794" s="6"/>
      <c r="B1794" s="6"/>
      <c r="C1794" s="20"/>
      <c r="D1794" s="6"/>
      <c r="E1794" s="6"/>
      <c r="F1794" s="6"/>
      <c r="G1794" s="6"/>
      <c r="H1794" s="6"/>
      <c r="I1794" s="6"/>
      <c r="J1794" s="6"/>
      <c r="K1794" s="6"/>
      <c r="L1794" s="6"/>
      <c r="M1794" s="6"/>
      <c r="N1794" s="6"/>
      <c r="O1794" s="6"/>
      <c r="P1794" s="6"/>
      <c r="Q1794" s="6"/>
      <c r="R1794" s="6"/>
      <c r="S1794" s="6"/>
      <c r="T1794" s="6"/>
      <c r="U1794" s="6"/>
      <c r="V1794" s="6"/>
      <c r="W1794" s="6"/>
      <c r="X1794" s="6"/>
      <c r="Y1794" s="6"/>
      <c r="Z1794" s="6"/>
      <c r="AA1794" s="6"/>
      <c r="AB1794" s="6"/>
      <c r="AC1794" s="6"/>
      <c r="AD1794" s="6"/>
      <c r="AE1794" s="6"/>
    </row>
    <row r="1795" spans="1:31" ht="12.75" x14ac:dyDescent="0.2">
      <c r="A1795" s="6"/>
      <c r="B1795" s="6"/>
      <c r="C1795" s="20"/>
      <c r="D1795" s="6"/>
      <c r="E1795" s="6"/>
      <c r="F1795" s="6"/>
      <c r="G1795" s="6"/>
      <c r="H1795" s="6"/>
      <c r="I1795" s="6"/>
      <c r="J1795" s="6"/>
      <c r="K1795" s="6"/>
      <c r="L1795" s="6"/>
      <c r="M1795" s="6"/>
      <c r="N1795" s="6"/>
      <c r="O1795" s="6"/>
      <c r="P1795" s="6"/>
      <c r="Q1795" s="6"/>
      <c r="R1795" s="6"/>
      <c r="S1795" s="6"/>
      <c r="T1795" s="6"/>
      <c r="U1795" s="6"/>
      <c r="V1795" s="6"/>
      <c r="W1795" s="6"/>
      <c r="X1795" s="6"/>
      <c r="Y1795" s="6"/>
      <c r="Z1795" s="6"/>
      <c r="AA1795" s="6"/>
      <c r="AB1795" s="6"/>
      <c r="AC1795" s="6"/>
      <c r="AD1795" s="6"/>
      <c r="AE1795" s="6"/>
    </row>
    <row r="1796" spans="1:31" ht="12.75" x14ac:dyDescent="0.2">
      <c r="A1796" s="6"/>
      <c r="B1796" s="6"/>
      <c r="C1796" s="20"/>
      <c r="D1796" s="6"/>
      <c r="E1796" s="6"/>
      <c r="F1796" s="6"/>
      <c r="G1796" s="6"/>
      <c r="H1796" s="6"/>
      <c r="I1796" s="6"/>
      <c r="J1796" s="6"/>
      <c r="K1796" s="6"/>
      <c r="L1796" s="6"/>
      <c r="M1796" s="6"/>
      <c r="N1796" s="6"/>
      <c r="O1796" s="6"/>
      <c r="P1796" s="6"/>
      <c r="Q1796" s="6"/>
      <c r="R1796" s="6"/>
      <c r="S1796" s="6"/>
      <c r="T1796" s="6"/>
      <c r="U1796" s="6"/>
      <c r="V1796" s="6"/>
      <c r="W1796" s="6"/>
      <c r="X1796" s="6"/>
      <c r="Y1796" s="6"/>
      <c r="Z1796" s="6"/>
      <c r="AA1796" s="6"/>
      <c r="AB1796" s="6"/>
      <c r="AC1796" s="6"/>
      <c r="AD1796" s="6"/>
      <c r="AE1796" s="6"/>
    </row>
    <row r="1797" spans="1:31" ht="12.75" x14ac:dyDescent="0.2">
      <c r="A1797" s="6"/>
      <c r="B1797" s="6"/>
      <c r="C1797" s="20"/>
      <c r="D1797" s="6"/>
      <c r="E1797" s="6"/>
      <c r="F1797" s="6"/>
      <c r="G1797" s="6"/>
      <c r="H1797" s="6"/>
      <c r="I1797" s="6"/>
      <c r="J1797" s="6"/>
      <c r="K1797" s="6"/>
      <c r="L1797" s="6"/>
      <c r="M1797" s="6"/>
      <c r="N1797" s="6"/>
      <c r="O1797" s="6"/>
      <c r="P1797" s="6"/>
      <c r="Q1797" s="6"/>
      <c r="R1797" s="6"/>
      <c r="S1797" s="6"/>
      <c r="T1797" s="6"/>
      <c r="U1797" s="6"/>
      <c r="V1797" s="6"/>
      <c r="W1797" s="6"/>
      <c r="X1797" s="6"/>
      <c r="Y1797" s="6"/>
      <c r="Z1797" s="6"/>
      <c r="AA1797" s="6"/>
      <c r="AB1797" s="6"/>
      <c r="AC1797" s="6"/>
      <c r="AD1797" s="6"/>
      <c r="AE1797" s="6"/>
    </row>
    <row r="1798" spans="1:31" ht="12.75" x14ac:dyDescent="0.2">
      <c r="A1798" s="6"/>
      <c r="B1798" s="6"/>
      <c r="C1798" s="20"/>
      <c r="D1798" s="6"/>
      <c r="E1798" s="6"/>
      <c r="F1798" s="6"/>
      <c r="G1798" s="6"/>
      <c r="H1798" s="6"/>
      <c r="I1798" s="6"/>
      <c r="J1798" s="6"/>
      <c r="K1798" s="6"/>
      <c r="L1798" s="6"/>
      <c r="M1798" s="6"/>
      <c r="N1798" s="6"/>
      <c r="O1798" s="6"/>
      <c r="P1798" s="6"/>
      <c r="Q1798" s="6"/>
      <c r="R1798" s="6"/>
      <c r="S1798" s="6"/>
      <c r="T1798" s="6"/>
      <c r="U1798" s="6"/>
      <c r="V1798" s="6"/>
      <c r="W1798" s="6"/>
      <c r="X1798" s="6"/>
      <c r="Y1798" s="6"/>
      <c r="Z1798" s="6"/>
      <c r="AA1798" s="6"/>
      <c r="AB1798" s="6"/>
      <c r="AC1798" s="6"/>
      <c r="AD1798" s="6"/>
      <c r="AE1798" s="6"/>
    </row>
    <row r="1799" spans="1:31" ht="12.75" x14ac:dyDescent="0.2">
      <c r="A1799" s="6"/>
      <c r="B1799" s="6"/>
      <c r="C1799" s="20"/>
      <c r="D1799" s="6"/>
      <c r="E1799" s="6"/>
      <c r="F1799" s="6"/>
      <c r="G1799" s="6"/>
      <c r="H1799" s="6"/>
      <c r="I1799" s="6"/>
      <c r="J1799" s="6"/>
      <c r="K1799" s="6"/>
      <c r="L1799" s="6"/>
      <c r="M1799" s="6"/>
      <c r="N1799" s="6"/>
      <c r="O1799" s="6"/>
      <c r="P1799" s="6"/>
      <c r="Q1799" s="6"/>
      <c r="R1799" s="6"/>
      <c r="S1799" s="6"/>
      <c r="T1799" s="6"/>
      <c r="U1799" s="6"/>
      <c r="V1799" s="6"/>
      <c r="W1799" s="6"/>
      <c r="X1799" s="6"/>
      <c r="Y1799" s="6"/>
      <c r="Z1799" s="6"/>
      <c r="AA1799" s="6"/>
      <c r="AB1799" s="6"/>
      <c r="AC1799" s="6"/>
      <c r="AD1799" s="6"/>
      <c r="AE1799" s="6"/>
    </row>
    <row r="1800" spans="1:31" ht="12.75" x14ac:dyDescent="0.2">
      <c r="A1800" s="6"/>
      <c r="B1800" s="6"/>
      <c r="C1800" s="20"/>
      <c r="D1800" s="6"/>
      <c r="E1800" s="6"/>
      <c r="F1800" s="6"/>
      <c r="G1800" s="6"/>
      <c r="H1800" s="6"/>
      <c r="I1800" s="6"/>
      <c r="J1800" s="6"/>
      <c r="K1800" s="6"/>
      <c r="L1800" s="6"/>
      <c r="M1800" s="6"/>
      <c r="N1800" s="6"/>
      <c r="O1800" s="6"/>
      <c r="P1800" s="6"/>
      <c r="Q1800" s="6"/>
      <c r="R1800" s="6"/>
      <c r="S1800" s="6"/>
      <c r="T1800" s="6"/>
      <c r="U1800" s="6"/>
      <c r="V1800" s="6"/>
      <c r="W1800" s="6"/>
      <c r="X1800" s="6"/>
      <c r="Y1800" s="6"/>
      <c r="Z1800" s="6"/>
      <c r="AA1800" s="6"/>
      <c r="AB1800" s="6"/>
      <c r="AC1800" s="6"/>
      <c r="AD1800" s="6"/>
      <c r="AE1800" s="6"/>
    </row>
    <row r="1801" spans="1:31" ht="12.75" x14ac:dyDescent="0.2">
      <c r="A1801" s="6"/>
      <c r="B1801" s="6"/>
      <c r="C1801" s="20"/>
      <c r="D1801" s="6"/>
      <c r="E1801" s="6"/>
      <c r="F1801" s="6"/>
      <c r="G1801" s="6"/>
      <c r="H1801" s="6"/>
      <c r="I1801" s="6"/>
      <c r="J1801" s="6"/>
      <c r="K1801" s="6"/>
      <c r="L1801" s="6"/>
      <c r="M1801" s="6"/>
      <c r="N1801" s="6"/>
      <c r="O1801" s="6"/>
      <c r="P1801" s="6"/>
      <c r="Q1801" s="6"/>
      <c r="R1801" s="6"/>
      <c r="S1801" s="6"/>
      <c r="T1801" s="6"/>
      <c r="U1801" s="6"/>
      <c r="V1801" s="6"/>
      <c r="W1801" s="6"/>
      <c r="X1801" s="6"/>
      <c r="Y1801" s="6"/>
      <c r="Z1801" s="6"/>
      <c r="AA1801" s="6"/>
      <c r="AB1801" s="6"/>
      <c r="AC1801" s="6"/>
      <c r="AD1801" s="6"/>
      <c r="AE1801" s="6"/>
    </row>
    <row r="1802" spans="1:31" ht="12.75" x14ac:dyDescent="0.2">
      <c r="A1802" s="6"/>
      <c r="B1802" s="6"/>
      <c r="C1802" s="20"/>
      <c r="D1802" s="6"/>
      <c r="E1802" s="6"/>
      <c r="F1802" s="6"/>
      <c r="G1802" s="6"/>
      <c r="H1802" s="6"/>
      <c r="I1802" s="6"/>
      <c r="J1802" s="6"/>
      <c r="K1802" s="6"/>
      <c r="L1802" s="6"/>
      <c r="M1802" s="6"/>
      <c r="N1802" s="6"/>
      <c r="O1802" s="6"/>
      <c r="P1802" s="6"/>
      <c r="Q1802" s="6"/>
      <c r="R1802" s="6"/>
      <c r="S1802" s="6"/>
      <c r="T1802" s="6"/>
      <c r="U1802" s="6"/>
      <c r="V1802" s="6"/>
      <c r="W1802" s="6"/>
      <c r="X1802" s="6"/>
      <c r="Y1802" s="6"/>
      <c r="Z1802" s="6"/>
      <c r="AA1802" s="6"/>
      <c r="AB1802" s="6"/>
      <c r="AC1802" s="6"/>
      <c r="AD1802" s="6"/>
      <c r="AE1802" s="6"/>
    </row>
    <row r="1803" spans="1:31" ht="12.75" x14ac:dyDescent="0.2">
      <c r="A1803" s="6"/>
      <c r="B1803" s="6"/>
      <c r="C1803" s="20"/>
      <c r="D1803" s="6"/>
      <c r="E1803" s="6"/>
      <c r="F1803" s="6"/>
      <c r="G1803" s="6"/>
      <c r="H1803" s="6"/>
      <c r="I1803" s="6"/>
      <c r="J1803" s="6"/>
      <c r="K1803" s="6"/>
      <c r="L1803" s="6"/>
      <c r="M1803" s="6"/>
      <c r="N1803" s="6"/>
      <c r="O1803" s="6"/>
      <c r="P1803" s="6"/>
      <c r="Q1803" s="6"/>
      <c r="R1803" s="6"/>
      <c r="S1803" s="6"/>
      <c r="T1803" s="6"/>
      <c r="U1803" s="6"/>
      <c r="V1803" s="6"/>
      <c r="W1803" s="6"/>
      <c r="X1803" s="6"/>
      <c r="Y1803" s="6"/>
      <c r="Z1803" s="6"/>
      <c r="AA1803" s="6"/>
      <c r="AB1803" s="6"/>
      <c r="AC1803" s="6"/>
      <c r="AD1803" s="6"/>
      <c r="AE1803" s="6"/>
    </row>
    <row r="1804" spans="1:31" ht="12.75" x14ac:dyDescent="0.2">
      <c r="A1804" s="6"/>
      <c r="B1804" s="6"/>
      <c r="C1804" s="20"/>
      <c r="D1804" s="6"/>
      <c r="E1804" s="6"/>
      <c r="F1804" s="6"/>
      <c r="G1804" s="6"/>
      <c r="H1804" s="6"/>
      <c r="I1804" s="6"/>
      <c r="J1804" s="6"/>
      <c r="K1804" s="6"/>
      <c r="L1804" s="6"/>
      <c r="M1804" s="6"/>
      <c r="N1804" s="6"/>
      <c r="O1804" s="6"/>
      <c r="P1804" s="6"/>
      <c r="Q1804" s="6"/>
      <c r="R1804" s="6"/>
      <c r="S1804" s="6"/>
      <c r="T1804" s="6"/>
      <c r="U1804" s="6"/>
      <c r="V1804" s="6"/>
      <c r="W1804" s="6"/>
      <c r="X1804" s="6"/>
      <c r="Y1804" s="6"/>
      <c r="Z1804" s="6"/>
      <c r="AA1804" s="6"/>
      <c r="AB1804" s="6"/>
      <c r="AC1804" s="6"/>
      <c r="AD1804" s="6"/>
      <c r="AE1804" s="6"/>
    </row>
    <row r="1805" spans="1:31" ht="12.75" x14ac:dyDescent="0.2">
      <c r="A1805" s="6"/>
      <c r="B1805" s="6"/>
      <c r="C1805" s="20"/>
      <c r="D1805" s="6"/>
      <c r="E1805" s="6"/>
      <c r="F1805" s="6"/>
      <c r="G1805" s="6"/>
      <c r="H1805" s="6"/>
      <c r="I1805" s="6"/>
      <c r="J1805" s="6"/>
      <c r="K1805" s="6"/>
      <c r="L1805" s="6"/>
      <c r="M1805" s="6"/>
      <c r="N1805" s="6"/>
      <c r="O1805" s="6"/>
      <c r="P1805" s="6"/>
      <c r="Q1805" s="6"/>
      <c r="R1805" s="6"/>
      <c r="S1805" s="6"/>
      <c r="T1805" s="6"/>
      <c r="U1805" s="6"/>
      <c r="V1805" s="6"/>
      <c r="W1805" s="6"/>
      <c r="X1805" s="6"/>
      <c r="Y1805" s="6"/>
      <c r="Z1805" s="6"/>
      <c r="AA1805" s="6"/>
      <c r="AB1805" s="6"/>
      <c r="AC1805" s="6"/>
      <c r="AD1805" s="6"/>
      <c r="AE1805" s="6"/>
    </row>
    <row r="1806" spans="1:31" ht="12.75" x14ac:dyDescent="0.2">
      <c r="A1806" s="6"/>
      <c r="B1806" s="6"/>
      <c r="C1806" s="20"/>
      <c r="D1806" s="6"/>
      <c r="E1806" s="6"/>
      <c r="F1806" s="6"/>
      <c r="G1806" s="6"/>
      <c r="H1806" s="6"/>
      <c r="I1806" s="6"/>
      <c r="J1806" s="6"/>
      <c r="K1806" s="6"/>
      <c r="L1806" s="6"/>
      <c r="M1806" s="6"/>
      <c r="N1806" s="6"/>
      <c r="O1806" s="6"/>
      <c r="P1806" s="6"/>
      <c r="Q1806" s="6"/>
      <c r="R1806" s="6"/>
      <c r="S1806" s="6"/>
      <c r="T1806" s="6"/>
      <c r="U1806" s="6"/>
      <c r="V1806" s="6"/>
      <c r="W1806" s="6"/>
      <c r="X1806" s="6"/>
      <c r="Y1806" s="6"/>
      <c r="Z1806" s="6"/>
      <c r="AA1806" s="6"/>
      <c r="AB1806" s="6"/>
      <c r="AC1806" s="6"/>
      <c r="AD1806" s="6"/>
      <c r="AE1806" s="6"/>
    </row>
    <row r="1807" spans="1:31" ht="12.75" x14ac:dyDescent="0.2">
      <c r="A1807" s="6"/>
      <c r="B1807" s="6"/>
      <c r="C1807" s="20"/>
      <c r="D1807" s="6"/>
      <c r="E1807" s="6"/>
      <c r="F1807" s="6"/>
      <c r="G1807" s="6"/>
      <c r="H1807" s="6"/>
      <c r="I1807" s="6"/>
      <c r="J1807" s="6"/>
      <c r="K1807" s="6"/>
      <c r="L1807" s="6"/>
      <c r="M1807" s="6"/>
      <c r="N1807" s="6"/>
      <c r="O1807" s="6"/>
      <c r="P1807" s="6"/>
      <c r="Q1807" s="6"/>
      <c r="R1807" s="6"/>
      <c r="S1807" s="6"/>
      <c r="T1807" s="6"/>
      <c r="U1807" s="6"/>
      <c r="V1807" s="6"/>
      <c r="W1807" s="6"/>
      <c r="X1807" s="6"/>
      <c r="Y1807" s="6"/>
      <c r="Z1807" s="6"/>
      <c r="AA1807" s="6"/>
      <c r="AB1807" s="6"/>
      <c r="AC1807" s="6"/>
      <c r="AD1807" s="6"/>
      <c r="AE1807" s="6"/>
    </row>
    <row r="1808" spans="1:31" ht="12.75" x14ac:dyDescent="0.2">
      <c r="A1808" s="6"/>
      <c r="B1808" s="6"/>
      <c r="C1808" s="20"/>
      <c r="D1808" s="6"/>
      <c r="E1808" s="6"/>
      <c r="F1808" s="6"/>
      <c r="G1808" s="6"/>
      <c r="H1808" s="6"/>
      <c r="I1808" s="6"/>
      <c r="J1808" s="6"/>
      <c r="K1808" s="6"/>
      <c r="L1808" s="6"/>
      <c r="M1808" s="6"/>
      <c r="N1808" s="6"/>
      <c r="O1808" s="6"/>
      <c r="P1808" s="6"/>
      <c r="Q1808" s="6"/>
      <c r="R1808" s="6"/>
      <c r="S1808" s="6"/>
      <c r="T1808" s="6"/>
      <c r="U1808" s="6"/>
      <c r="V1808" s="6"/>
      <c r="W1808" s="6"/>
      <c r="X1808" s="6"/>
      <c r="Y1808" s="6"/>
      <c r="Z1808" s="6"/>
      <c r="AA1808" s="6"/>
      <c r="AB1808" s="6"/>
      <c r="AC1808" s="6"/>
      <c r="AD1808" s="6"/>
      <c r="AE1808" s="6"/>
    </row>
    <row r="1809" spans="1:31" ht="12.75" x14ac:dyDescent="0.2">
      <c r="A1809" s="6"/>
      <c r="B1809" s="6"/>
      <c r="C1809" s="20"/>
      <c r="D1809" s="6"/>
      <c r="E1809" s="6"/>
      <c r="F1809" s="6"/>
      <c r="G1809" s="6"/>
      <c r="H1809" s="6"/>
      <c r="I1809" s="6"/>
      <c r="J1809" s="6"/>
      <c r="K1809" s="6"/>
      <c r="L1809" s="6"/>
      <c r="M1809" s="6"/>
      <c r="N1809" s="6"/>
      <c r="O1809" s="6"/>
      <c r="P1809" s="6"/>
      <c r="Q1809" s="6"/>
      <c r="R1809" s="6"/>
      <c r="S1809" s="6"/>
      <c r="T1809" s="6"/>
      <c r="U1809" s="6"/>
      <c r="V1809" s="6"/>
      <c r="W1809" s="6"/>
      <c r="X1809" s="6"/>
      <c r="Y1809" s="6"/>
      <c r="Z1809" s="6"/>
      <c r="AA1809" s="6"/>
      <c r="AB1809" s="6"/>
      <c r="AC1809" s="6"/>
      <c r="AD1809" s="6"/>
      <c r="AE1809" s="6"/>
    </row>
    <row r="1810" spans="1:31" ht="12.75" x14ac:dyDescent="0.2">
      <c r="A1810" s="6"/>
      <c r="B1810" s="6"/>
      <c r="C1810" s="20"/>
      <c r="D1810" s="6"/>
      <c r="E1810" s="6"/>
      <c r="F1810" s="6"/>
      <c r="G1810" s="6"/>
      <c r="H1810" s="6"/>
      <c r="I1810" s="6"/>
      <c r="J1810" s="6"/>
      <c r="K1810" s="6"/>
      <c r="L1810" s="6"/>
      <c r="M1810" s="6"/>
      <c r="N1810" s="6"/>
      <c r="O1810" s="6"/>
      <c r="P1810" s="6"/>
      <c r="Q1810" s="6"/>
      <c r="R1810" s="6"/>
      <c r="S1810" s="6"/>
      <c r="T1810" s="6"/>
      <c r="U1810" s="6"/>
      <c r="V1810" s="6"/>
      <c r="W1810" s="6"/>
      <c r="X1810" s="6"/>
      <c r="Y1810" s="6"/>
      <c r="Z1810" s="6"/>
      <c r="AA1810" s="6"/>
      <c r="AB1810" s="6"/>
      <c r="AC1810" s="6"/>
      <c r="AD1810" s="6"/>
      <c r="AE1810" s="6"/>
    </row>
    <row r="1811" spans="1:31" ht="12.75" x14ac:dyDescent="0.2">
      <c r="A1811" s="6"/>
      <c r="B1811" s="6"/>
      <c r="C1811" s="20"/>
      <c r="D1811" s="6"/>
      <c r="E1811" s="6"/>
      <c r="F1811" s="6"/>
      <c r="G1811" s="6"/>
      <c r="H1811" s="6"/>
      <c r="I1811" s="6"/>
      <c r="J1811" s="6"/>
      <c r="K1811" s="6"/>
      <c r="L1811" s="6"/>
      <c r="M1811" s="6"/>
      <c r="N1811" s="6"/>
      <c r="O1811" s="6"/>
      <c r="P1811" s="6"/>
      <c r="Q1811" s="6"/>
      <c r="R1811" s="6"/>
      <c r="S1811" s="6"/>
      <c r="T1811" s="6"/>
      <c r="U1811" s="6"/>
      <c r="V1811" s="6"/>
      <c r="W1811" s="6"/>
      <c r="X1811" s="6"/>
      <c r="Y1811" s="6"/>
      <c r="Z1811" s="6"/>
      <c r="AA1811" s="6"/>
      <c r="AB1811" s="6"/>
      <c r="AC1811" s="6"/>
      <c r="AD1811" s="6"/>
      <c r="AE1811" s="6"/>
    </row>
    <row r="1812" spans="1:31" ht="12.75" x14ac:dyDescent="0.2">
      <c r="A1812" s="6"/>
      <c r="B1812" s="6"/>
      <c r="C1812" s="20"/>
      <c r="D1812" s="6"/>
      <c r="E1812" s="6"/>
      <c r="F1812" s="6"/>
      <c r="G1812" s="6"/>
      <c r="H1812" s="6"/>
      <c r="I1812" s="6"/>
      <c r="J1812" s="6"/>
      <c r="K1812" s="6"/>
      <c r="L1812" s="6"/>
      <c r="M1812" s="6"/>
      <c r="N1812" s="6"/>
      <c r="O1812" s="6"/>
      <c r="P1812" s="6"/>
      <c r="Q1812" s="6"/>
      <c r="R1812" s="6"/>
      <c r="S1812" s="6"/>
      <c r="T1812" s="6"/>
      <c r="U1812" s="6"/>
      <c r="V1812" s="6"/>
      <c r="W1812" s="6"/>
      <c r="X1812" s="6"/>
      <c r="Y1812" s="6"/>
      <c r="Z1812" s="6"/>
      <c r="AA1812" s="6"/>
      <c r="AB1812" s="6"/>
      <c r="AC1812" s="6"/>
      <c r="AD1812" s="6"/>
      <c r="AE1812" s="6"/>
    </row>
    <row r="1813" spans="1:31" ht="12.75" x14ac:dyDescent="0.2">
      <c r="A1813" s="6"/>
      <c r="B1813" s="6"/>
      <c r="C1813" s="20"/>
      <c r="D1813" s="6"/>
      <c r="E1813" s="6"/>
      <c r="F1813" s="6"/>
      <c r="G1813" s="6"/>
      <c r="H1813" s="6"/>
      <c r="I1813" s="6"/>
      <c r="J1813" s="6"/>
      <c r="K1813" s="6"/>
      <c r="L1813" s="6"/>
      <c r="M1813" s="6"/>
      <c r="N1813" s="6"/>
      <c r="O1813" s="6"/>
      <c r="P1813" s="6"/>
      <c r="Q1813" s="6"/>
      <c r="R1813" s="6"/>
      <c r="S1813" s="6"/>
      <c r="T1813" s="6"/>
      <c r="U1813" s="6"/>
      <c r="V1813" s="6"/>
      <c r="W1813" s="6"/>
      <c r="X1813" s="6"/>
      <c r="Y1813" s="6"/>
      <c r="Z1813" s="6"/>
      <c r="AA1813" s="6"/>
      <c r="AB1813" s="6"/>
      <c r="AC1813" s="6"/>
      <c r="AD1813" s="6"/>
      <c r="AE1813" s="6"/>
    </row>
    <row r="1814" spans="1:31" ht="12.75" x14ac:dyDescent="0.2">
      <c r="A1814" s="6"/>
      <c r="B1814" s="6"/>
      <c r="C1814" s="20"/>
      <c r="D1814" s="6"/>
      <c r="E1814" s="6"/>
      <c r="F1814" s="6"/>
      <c r="G1814" s="6"/>
      <c r="H1814" s="6"/>
      <c r="I1814" s="6"/>
      <c r="J1814" s="6"/>
      <c r="K1814" s="6"/>
      <c r="L1814" s="6"/>
      <c r="M1814" s="6"/>
      <c r="N1814" s="6"/>
      <c r="O1814" s="6"/>
      <c r="P1814" s="6"/>
      <c r="Q1814" s="6"/>
      <c r="R1814" s="6"/>
      <c r="S1814" s="6"/>
      <c r="T1814" s="6"/>
      <c r="U1814" s="6"/>
      <c r="V1814" s="6"/>
      <c r="W1814" s="6"/>
      <c r="X1814" s="6"/>
      <c r="Y1814" s="6"/>
      <c r="Z1814" s="6"/>
      <c r="AA1814" s="6"/>
      <c r="AB1814" s="6"/>
      <c r="AC1814" s="6"/>
      <c r="AD1814" s="6"/>
      <c r="AE1814" s="6"/>
    </row>
    <row r="1815" spans="1:31" ht="12.75" x14ac:dyDescent="0.2">
      <c r="A1815" s="6"/>
      <c r="B1815" s="6"/>
      <c r="C1815" s="20"/>
      <c r="D1815" s="6"/>
      <c r="E1815" s="6"/>
      <c r="F1815" s="6"/>
      <c r="G1815" s="6"/>
      <c r="H1815" s="6"/>
      <c r="I1815" s="6"/>
      <c r="J1815" s="6"/>
      <c r="K1815" s="6"/>
      <c r="L1815" s="6"/>
      <c r="M1815" s="6"/>
      <c r="N1815" s="6"/>
      <c r="O1815" s="6"/>
      <c r="P1815" s="6"/>
      <c r="Q1815" s="6"/>
      <c r="R1815" s="6"/>
      <c r="S1815" s="6"/>
      <c r="T1815" s="6"/>
      <c r="U1815" s="6"/>
      <c r="V1815" s="6"/>
      <c r="W1815" s="6"/>
      <c r="X1815" s="6"/>
      <c r="Y1815" s="6"/>
      <c r="Z1815" s="6"/>
      <c r="AA1815" s="6"/>
      <c r="AB1815" s="6"/>
      <c r="AC1815" s="6"/>
      <c r="AD1815" s="6"/>
      <c r="AE1815" s="6"/>
    </row>
    <row r="1816" spans="1:31" ht="12.75" x14ac:dyDescent="0.2">
      <c r="A1816" s="6"/>
      <c r="B1816" s="6"/>
      <c r="C1816" s="20"/>
      <c r="D1816" s="6"/>
      <c r="E1816" s="6"/>
      <c r="F1816" s="6"/>
      <c r="G1816" s="6"/>
      <c r="H1816" s="6"/>
      <c r="I1816" s="6"/>
      <c r="J1816" s="6"/>
      <c r="K1816" s="6"/>
      <c r="L1816" s="6"/>
      <c r="M1816" s="6"/>
      <c r="N1816" s="6"/>
      <c r="O1816" s="6"/>
      <c r="P1816" s="6"/>
      <c r="Q1816" s="6"/>
      <c r="R1816" s="6"/>
      <c r="S1816" s="6"/>
      <c r="T1816" s="6"/>
      <c r="U1816" s="6"/>
      <c r="V1816" s="6"/>
      <c r="W1816" s="6"/>
      <c r="X1816" s="6"/>
      <c r="Y1816" s="6"/>
      <c r="Z1816" s="6"/>
      <c r="AA1816" s="6"/>
      <c r="AB1816" s="6"/>
      <c r="AC1816" s="6"/>
      <c r="AD1816" s="6"/>
      <c r="AE1816" s="6"/>
    </row>
    <row r="1817" spans="1:31" ht="12.75" x14ac:dyDescent="0.2">
      <c r="A1817" s="6"/>
      <c r="B1817" s="6"/>
      <c r="C1817" s="20"/>
      <c r="D1817" s="6"/>
      <c r="E1817" s="6"/>
      <c r="F1817" s="6"/>
      <c r="G1817" s="6"/>
      <c r="H1817" s="6"/>
      <c r="I1817" s="6"/>
      <c r="J1817" s="6"/>
      <c r="K1817" s="6"/>
      <c r="L1817" s="6"/>
      <c r="M1817" s="6"/>
      <c r="N1817" s="6"/>
      <c r="O1817" s="6"/>
      <c r="P1817" s="6"/>
      <c r="Q1817" s="6"/>
      <c r="R1817" s="6"/>
      <c r="S1817" s="6"/>
      <c r="T1817" s="6"/>
      <c r="U1817" s="6"/>
      <c r="V1817" s="6"/>
      <c r="W1817" s="6"/>
      <c r="X1817" s="6"/>
      <c r="Y1817" s="6"/>
      <c r="Z1817" s="6"/>
      <c r="AA1817" s="6"/>
      <c r="AB1817" s="6"/>
      <c r="AC1817" s="6"/>
      <c r="AD1817" s="6"/>
      <c r="AE1817" s="6"/>
    </row>
    <row r="1818" spans="1:31" ht="12.75" x14ac:dyDescent="0.2">
      <c r="A1818" s="6"/>
      <c r="B1818" s="6"/>
      <c r="C1818" s="20"/>
      <c r="D1818" s="6"/>
      <c r="E1818" s="6"/>
      <c r="F1818" s="6"/>
      <c r="G1818" s="6"/>
      <c r="H1818" s="6"/>
      <c r="I1818" s="6"/>
      <c r="J1818" s="6"/>
      <c r="K1818" s="6"/>
      <c r="L1818" s="6"/>
      <c r="M1818" s="6"/>
      <c r="N1818" s="6"/>
      <c r="O1818" s="6"/>
      <c r="P1818" s="6"/>
      <c r="Q1818" s="6"/>
      <c r="R1818" s="6"/>
      <c r="S1818" s="6"/>
      <c r="T1818" s="6"/>
      <c r="U1818" s="6"/>
      <c r="V1818" s="6"/>
      <c r="W1818" s="6"/>
      <c r="X1818" s="6"/>
      <c r="Y1818" s="6"/>
      <c r="Z1818" s="6"/>
      <c r="AA1818" s="6"/>
      <c r="AB1818" s="6"/>
      <c r="AC1818" s="6"/>
      <c r="AD1818" s="6"/>
      <c r="AE1818" s="6"/>
    </row>
    <row r="1819" spans="1:31" ht="12.75" x14ac:dyDescent="0.2">
      <c r="A1819" s="6"/>
      <c r="B1819" s="6"/>
      <c r="C1819" s="20"/>
      <c r="D1819" s="6"/>
      <c r="E1819" s="6"/>
      <c r="F1819" s="6"/>
      <c r="G1819" s="6"/>
      <c r="H1819" s="6"/>
      <c r="I1819" s="6"/>
      <c r="J1819" s="6"/>
      <c r="K1819" s="6"/>
      <c r="L1819" s="6"/>
      <c r="M1819" s="6"/>
      <c r="N1819" s="6"/>
      <c r="O1819" s="6"/>
      <c r="P1819" s="6"/>
      <c r="Q1819" s="6"/>
      <c r="R1819" s="6"/>
      <c r="S1819" s="6"/>
      <c r="T1819" s="6"/>
      <c r="U1819" s="6"/>
      <c r="V1819" s="6"/>
      <c r="W1819" s="6"/>
      <c r="X1819" s="6"/>
      <c r="Y1819" s="6"/>
      <c r="Z1819" s="6"/>
      <c r="AA1819" s="6"/>
      <c r="AB1819" s="6"/>
      <c r="AC1819" s="6"/>
      <c r="AD1819" s="6"/>
      <c r="AE1819" s="6"/>
    </row>
    <row r="1820" spans="1:31" ht="12.75" x14ac:dyDescent="0.2">
      <c r="A1820" s="6"/>
      <c r="B1820" s="6"/>
      <c r="C1820" s="20"/>
      <c r="D1820" s="6"/>
      <c r="E1820" s="6"/>
      <c r="F1820" s="6"/>
      <c r="G1820" s="6"/>
      <c r="H1820" s="6"/>
      <c r="I1820" s="6"/>
      <c r="J1820" s="6"/>
      <c r="K1820" s="6"/>
      <c r="L1820" s="6"/>
      <c r="M1820" s="6"/>
      <c r="N1820" s="6"/>
      <c r="O1820" s="6"/>
      <c r="P1820" s="6"/>
      <c r="Q1820" s="6"/>
      <c r="R1820" s="6"/>
      <c r="S1820" s="6"/>
      <c r="T1820" s="6"/>
      <c r="U1820" s="6"/>
      <c r="V1820" s="6"/>
      <c r="W1820" s="6"/>
      <c r="X1820" s="6"/>
      <c r="Y1820" s="6"/>
      <c r="Z1820" s="6"/>
      <c r="AA1820" s="6"/>
      <c r="AB1820" s="6"/>
      <c r="AC1820" s="6"/>
      <c r="AD1820" s="6"/>
      <c r="AE1820" s="6"/>
    </row>
    <row r="1821" spans="1:31" ht="12.75" x14ac:dyDescent="0.2">
      <c r="A1821" s="6"/>
      <c r="B1821" s="6"/>
      <c r="C1821" s="20"/>
      <c r="D1821" s="6"/>
      <c r="E1821" s="6"/>
      <c r="F1821" s="6"/>
      <c r="G1821" s="6"/>
      <c r="H1821" s="6"/>
      <c r="I1821" s="6"/>
      <c r="J1821" s="6"/>
      <c r="K1821" s="6"/>
      <c r="L1821" s="6"/>
      <c r="M1821" s="6"/>
      <c r="N1821" s="6"/>
      <c r="O1821" s="6"/>
      <c r="P1821" s="6"/>
      <c r="Q1821" s="6"/>
      <c r="R1821" s="6"/>
      <c r="S1821" s="6"/>
      <c r="T1821" s="6"/>
      <c r="U1821" s="6"/>
      <c r="V1821" s="6"/>
      <c r="W1821" s="6"/>
      <c r="X1821" s="6"/>
      <c r="Y1821" s="6"/>
      <c r="Z1821" s="6"/>
      <c r="AA1821" s="6"/>
      <c r="AB1821" s="6"/>
      <c r="AC1821" s="6"/>
      <c r="AD1821" s="6"/>
      <c r="AE1821" s="6"/>
    </row>
    <row r="1822" spans="1:31" ht="12.75" x14ac:dyDescent="0.2">
      <c r="A1822" s="6"/>
      <c r="B1822" s="6"/>
      <c r="C1822" s="20"/>
      <c r="D1822" s="6"/>
      <c r="E1822" s="6"/>
      <c r="F1822" s="6"/>
      <c r="G1822" s="6"/>
      <c r="H1822" s="6"/>
      <c r="I1822" s="6"/>
      <c r="J1822" s="6"/>
      <c r="K1822" s="6"/>
      <c r="L1822" s="6"/>
      <c r="M1822" s="6"/>
      <c r="N1822" s="6"/>
      <c r="O1822" s="6"/>
      <c r="P1822" s="6"/>
      <c r="Q1822" s="6"/>
      <c r="R1822" s="6"/>
      <c r="S1822" s="6"/>
      <c r="T1822" s="6"/>
      <c r="U1822" s="6"/>
      <c r="V1822" s="6"/>
      <c r="W1822" s="6"/>
      <c r="X1822" s="6"/>
      <c r="Y1822" s="6"/>
      <c r="Z1822" s="6"/>
      <c r="AA1822" s="6"/>
      <c r="AB1822" s="6"/>
      <c r="AC1822" s="6"/>
      <c r="AD1822" s="6"/>
      <c r="AE1822" s="6"/>
    </row>
    <row r="1823" spans="1:31" ht="12.75" x14ac:dyDescent="0.2">
      <c r="A1823" s="6"/>
      <c r="B1823" s="6"/>
      <c r="C1823" s="20"/>
      <c r="D1823" s="6"/>
      <c r="E1823" s="6"/>
      <c r="F1823" s="6"/>
      <c r="G1823" s="6"/>
      <c r="H1823" s="6"/>
      <c r="I1823" s="6"/>
      <c r="J1823" s="6"/>
      <c r="K1823" s="6"/>
      <c r="L1823" s="6"/>
      <c r="M1823" s="6"/>
      <c r="N1823" s="6"/>
      <c r="O1823" s="6"/>
      <c r="P1823" s="6"/>
      <c r="Q1823" s="6"/>
      <c r="R1823" s="6"/>
      <c r="S1823" s="6"/>
      <c r="T1823" s="6"/>
      <c r="U1823" s="6"/>
      <c r="V1823" s="6"/>
      <c r="W1823" s="6"/>
      <c r="X1823" s="6"/>
      <c r="Y1823" s="6"/>
      <c r="Z1823" s="6"/>
      <c r="AA1823" s="6"/>
      <c r="AB1823" s="6"/>
      <c r="AC1823" s="6"/>
      <c r="AD1823" s="6"/>
      <c r="AE1823" s="6"/>
    </row>
    <row r="1824" spans="1:31" ht="12.75" x14ac:dyDescent="0.2">
      <c r="A1824" s="6"/>
      <c r="B1824" s="6"/>
      <c r="C1824" s="20"/>
      <c r="D1824" s="6"/>
      <c r="E1824" s="6"/>
      <c r="F1824" s="6"/>
      <c r="G1824" s="6"/>
      <c r="H1824" s="6"/>
      <c r="I1824" s="6"/>
      <c r="J1824" s="6"/>
      <c r="K1824" s="6"/>
      <c r="L1824" s="6"/>
      <c r="M1824" s="6"/>
      <c r="N1824" s="6"/>
      <c r="O1824" s="6"/>
      <c r="P1824" s="6"/>
      <c r="Q1824" s="6"/>
      <c r="R1824" s="6"/>
      <c r="S1824" s="6"/>
      <c r="T1824" s="6"/>
      <c r="U1824" s="6"/>
      <c r="V1824" s="6"/>
      <c r="W1824" s="6"/>
      <c r="X1824" s="6"/>
      <c r="Y1824" s="6"/>
      <c r="Z1824" s="6"/>
      <c r="AA1824" s="6"/>
      <c r="AB1824" s="6"/>
      <c r="AC1824" s="6"/>
      <c r="AD1824" s="6"/>
      <c r="AE1824" s="6"/>
    </row>
    <row r="1825" spans="1:31" ht="12.75" x14ac:dyDescent="0.2">
      <c r="A1825" s="6"/>
      <c r="B1825" s="6"/>
      <c r="C1825" s="20"/>
      <c r="D1825" s="6"/>
      <c r="E1825" s="6"/>
      <c r="F1825" s="6"/>
      <c r="G1825" s="6"/>
      <c r="H1825" s="6"/>
      <c r="I1825" s="6"/>
      <c r="J1825" s="6"/>
      <c r="K1825" s="6"/>
      <c r="L1825" s="6"/>
      <c r="M1825" s="6"/>
      <c r="N1825" s="6"/>
      <c r="O1825" s="6"/>
      <c r="P1825" s="6"/>
      <c r="Q1825" s="6"/>
      <c r="R1825" s="6"/>
      <c r="S1825" s="6"/>
      <c r="T1825" s="6"/>
      <c r="U1825" s="6"/>
      <c r="V1825" s="6"/>
      <c r="W1825" s="6"/>
      <c r="X1825" s="6"/>
      <c r="Y1825" s="6"/>
      <c r="Z1825" s="6"/>
      <c r="AA1825" s="6"/>
      <c r="AB1825" s="6"/>
      <c r="AC1825" s="6"/>
      <c r="AD1825" s="6"/>
      <c r="AE1825" s="6"/>
    </row>
    <row r="1826" spans="1:31" ht="12.75" x14ac:dyDescent="0.2">
      <c r="A1826" s="6"/>
      <c r="B1826" s="6"/>
      <c r="C1826" s="20"/>
      <c r="D1826" s="6"/>
      <c r="E1826" s="6"/>
      <c r="F1826" s="6"/>
      <c r="G1826" s="6"/>
      <c r="H1826" s="6"/>
      <c r="I1826" s="6"/>
      <c r="J1826" s="6"/>
      <c r="K1826" s="6"/>
      <c r="L1826" s="6"/>
      <c r="M1826" s="6"/>
      <c r="N1826" s="6"/>
      <c r="O1826" s="6"/>
      <c r="P1826" s="6"/>
      <c r="Q1826" s="6"/>
      <c r="R1826" s="6"/>
      <c r="S1826" s="6"/>
      <c r="T1826" s="6"/>
      <c r="U1826" s="6"/>
      <c r="V1826" s="6"/>
      <c r="W1826" s="6"/>
      <c r="X1826" s="6"/>
      <c r="Y1826" s="6"/>
      <c r="Z1826" s="6"/>
      <c r="AA1826" s="6"/>
      <c r="AB1826" s="6"/>
      <c r="AC1826" s="6"/>
      <c r="AD1826" s="6"/>
      <c r="AE1826" s="6"/>
    </row>
    <row r="1827" spans="1:31" ht="12.75" x14ac:dyDescent="0.2">
      <c r="A1827" s="6"/>
      <c r="B1827" s="6"/>
      <c r="C1827" s="20"/>
      <c r="D1827" s="6"/>
      <c r="E1827" s="6"/>
      <c r="F1827" s="6"/>
      <c r="G1827" s="6"/>
      <c r="H1827" s="6"/>
      <c r="I1827" s="6"/>
      <c r="J1827" s="6"/>
      <c r="K1827" s="6"/>
      <c r="L1827" s="6"/>
      <c r="M1827" s="6"/>
      <c r="N1827" s="6"/>
      <c r="O1827" s="6"/>
      <c r="P1827" s="6"/>
      <c r="Q1827" s="6"/>
      <c r="R1827" s="6"/>
      <c r="S1827" s="6"/>
      <c r="T1827" s="6"/>
      <c r="U1827" s="6"/>
      <c r="V1827" s="6"/>
      <c r="W1827" s="6"/>
      <c r="X1827" s="6"/>
      <c r="Y1827" s="6"/>
      <c r="Z1827" s="6"/>
      <c r="AA1827" s="6"/>
      <c r="AB1827" s="6"/>
      <c r="AC1827" s="6"/>
      <c r="AD1827" s="6"/>
      <c r="AE1827" s="6"/>
    </row>
    <row r="1828" spans="1:31" ht="12.75" x14ac:dyDescent="0.2">
      <c r="A1828" s="6"/>
      <c r="B1828" s="6"/>
      <c r="C1828" s="20"/>
      <c r="D1828" s="6"/>
      <c r="E1828" s="6"/>
      <c r="F1828" s="6"/>
      <c r="G1828" s="6"/>
      <c r="H1828" s="6"/>
      <c r="I1828" s="6"/>
      <c r="J1828" s="6"/>
      <c r="K1828" s="6"/>
      <c r="L1828" s="6"/>
      <c r="M1828" s="6"/>
      <c r="N1828" s="6"/>
      <c r="O1828" s="6"/>
      <c r="P1828" s="6"/>
      <c r="Q1828" s="6"/>
      <c r="R1828" s="6"/>
      <c r="S1828" s="6"/>
      <c r="T1828" s="6"/>
      <c r="U1828" s="6"/>
      <c r="V1828" s="6"/>
      <c r="W1828" s="6"/>
      <c r="X1828" s="6"/>
      <c r="Y1828" s="6"/>
      <c r="Z1828" s="6"/>
      <c r="AA1828" s="6"/>
      <c r="AB1828" s="6"/>
      <c r="AC1828" s="6"/>
      <c r="AD1828" s="6"/>
      <c r="AE1828" s="6"/>
    </row>
    <row r="1829" spans="1:31" ht="12.75" x14ac:dyDescent="0.2">
      <c r="A1829" s="6"/>
      <c r="B1829" s="6"/>
      <c r="C1829" s="20"/>
      <c r="D1829" s="6"/>
      <c r="E1829" s="6"/>
      <c r="F1829" s="6"/>
      <c r="G1829" s="6"/>
      <c r="H1829" s="6"/>
      <c r="I1829" s="6"/>
      <c r="J1829" s="6"/>
      <c r="K1829" s="6"/>
      <c r="L1829" s="6"/>
      <c r="M1829" s="6"/>
      <c r="N1829" s="6"/>
      <c r="O1829" s="6"/>
      <c r="P1829" s="6"/>
      <c r="Q1829" s="6"/>
      <c r="R1829" s="6"/>
      <c r="S1829" s="6"/>
      <c r="T1829" s="6"/>
      <c r="U1829" s="6"/>
      <c r="V1829" s="6"/>
      <c r="W1829" s="6"/>
      <c r="X1829" s="6"/>
      <c r="Y1829" s="6"/>
      <c r="Z1829" s="6"/>
      <c r="AA1829" s="6"/>
      <c r="AB1829" s="6"/>
      <c r="AC1829" s="6"/>
      <c r="AD1829" s="6"/>
      <c r="AE1829" s="6"/>
    </row>
    <row r="1830" spans="1:31" ht="12.75" x14ac:dyDescent="0.2">
      <c r="A1830" s="6"/>
      <c r="B1830" s="6"/>
      <c r="C1830" s="20"/>
      <c r="D1830" s="6"/>
      <c r="E1830" s="6"/>
      <c r="F1830" s="6"/>
      <c r="G1830" s="6"/>
      <c r="H1830" s="6"/>
      <c r="I1830" s="6"/>
      <c r="J1830" s="6"/>
      <c r="K1830" s="6"/>
      <c r="L1830" s="6"/>
      <c r="M1830" s="6"/>
      <c r="N1830" s="6"/>
      <c r="O1830" s="6"/>
      <c r="P1830" s="6"/>
      <c r="Q1830" s="6"/>
      <c r="R1830" s="6"/>
      <c r="S1830" s="6"/>
      <c r="T1830" s="6"/>
      <c r="U1830" s="6"/>
      <c r="V1830" s="6"/>
      <c r="W1830" s="6"/>
      <c r="X1830" s="6"/>
      <c r="Y1830" s="6"/>
      <c r="Z1830" s="6"/>
      <c r="AA1830" s="6"/>
      <c r="AB1830" s="6"/>
      <c r="AC1830" s="6"/>
      <c r="AD1830" s="6"/>
      <c r="AE1830" s="6"/>
    </row>
    <row r="1831" spans="1:31" ht="12.75" x14ac:dyDescent="0.2">
      <c r="A1831" s="6"/>
      <c r="B1831" s="6"/>
      <c r="C1831" s="20"/>
      <c r="D1831" s="6"/>
      <c r="E1831" s="6"/>
      <c r="F1831" s="6"/>
      <c r="G1831" s="6"/>
      <c r="H1831" s="6"/>
      <c r="I1831" s="6"/>
      <c r="J1831" s="6"/>
      <c r="K1831" s="6"/>
      <c r="L1831" s="6"/>
      <c r="M1831" s="6"/>
      <c r="N1831" s="6"/>
      <c r="O1831" s="6"/>
      <c r="P1831" s="6"/>
      <c r="Q1831" s="6"/>
      <c r="R1831" s="6"/>
      <c r="S1831" s="6"/>
      <c r="T1831" s="6"/>
      <c r="U1831" s="6"/>
      <c r="V1831" s="6"/>
      <c r="W1831" s="6"/>
      <c r="X1831" s="6"/>
      <c r="Y1831" s="6"/>
      <c r="Z1831" s="6"/>
      <c r="AA1831" s="6"/>
      <c r="AB1831" s="6"/>
      <c r="AC1831" s="6"/>
      <c r="AD1831" s="6"/>
      <c r="AE1831" s="6"/>
    </row>
    <row r="1832" spans="1:31" ht="12.75" x14ac:dyDescent="0.2">
      <c r="A1832" s="6"/>
      <c r="B1832" s="6"/>
      <c r="C1832" s="20"/>
      <c r="D1832" s="6"/>
      <c r="E1832" s="6"/>
      <c r="F1832" s="6"/>
      <c r="G1832" s="6"/>
      <c r="H1832" s="6"/>
      <c r="I1832" s="6"/>
      <c r="J1832" s="6"/>
      <c r="K1832" s="6"/>
      <c r="L1832" s="6"/>
      <c r="M1832" s="6"/>
      <c r="N1832" s="6"/>
      <c r="O1832" s="6"/>
      <c r="P1832" s="6"/>
      <c r="Q1832" s="6"/>
      <c r="R1832" s="6"/>
      <c r="S1832" s="6"/>
      <c r="T1832" s="6"/>
      <c r="U1832" s="6"/>
      <c r="V1832" s="6"/>
      <c r="W1832" s="6"/>
      <c r="X1832" s="6"/>
      <c r="Y1832" s="6"/>
      <c r="Z1832" s="6"/>
      <c r="AA1832" s="6"/>
      <c r="AB1832" s="6"/>
      <c r="AC1832" s="6"/>
      <c r="AD1832" s="6"/>
      <c r="AE1832" s="6"/>
    </row>
    <row r="1833" spans="1:31" ht="12.75" x14ac:dyDescent="0.2">
      <c r="A1833" s="6"/>
      <c r="B1833" s="6"/>
      <c r="C1833" s="20"/>
      <c r="D1833" s="6"/>
      <c r="E1833" s="6"/>
      <c r="F1833" s="6"/>
      <c r="G1833" s="6"/>
      <c r="H1833" s="6"/>
      <c r="I1833" s="6"/>
      <c r="J1833" s="6"/>
      <c r="K1833" s="6"/>
      <c r="L1833" s="6"/>
      <c r="M1833" s="6"/>
      <c r="N1833" s="6"/>
      <c r="O1833" s="6"/>
      <c r="P1833" s="6"/>
      <c r="Q1833" s="6"/>
      <c r="R1833" s="6"/>
      <c r="S1833" s="6"/>
      <c r="T1833" s="6"/>
      <c r="U1833" s="6"/>
      <c r="V1833" s="6"/>
      <c r="W1833" s="6"/>
      <c r="X1833" s="6"/>
      <c r="Y1833" s="6"/>
      <c r="Z1833" s="6"/>
      <c r="AA1833" s="6"/>
      <c r="AB1833" s="6"/>
      <c r="AC1833" s="6"/>
      <c r="AD1833" s="6"/>
      <c r="AE1833" s="6"/>
    </row>
    <row r="1834" spans="1:31" ht="12.75" x14ac:dyDescent="0.2">
      <c r="A1834" s="6"/>
      <c r="B1834" s="6"/>
      <c r="C1834" s="20"/>
      <c r="D1834" s="6"/>
      <c r="E1834" s="6"/>
      <c r="F1834" s="6"/>
      <c r="G1834" s="6"/>
      <c r="H1834" s="6"/>
      <c r="I1834" s="6"/>
      <c r="J1834" s="6"/>
      <c r="K1834" s="6"/>
      <c r="L1834" s="6"/>
      <c r="M1834" s="6"/>
      <c r="N1834" s="6"/>
      <c r="O1834" s="6"/>
      <c r="P1834" s="6"/>
      <c r="Q1834" s="6"/>
      <c r="R1834" s="6"/>
      <c r="S1834" s="6"/>
      <c r="T1834" s="6"/>
      <c r="U1834" s="6"/>
      <c r="V1834" s="6"/>
      <c r="W1834" s="6"/>
      <c r="X1834" s="6"/>
      <c r="Y1834" s="6"/>
      <c r="Z1834" s="6"/>
      <c r="AA1834" s="6"/>
      <c r="AB1834" s="6"/>
      <c r="AC1834" s="6"/>
      <c r="AD1834" s="6"/>
      <c r="AE1834" s="6"/>
    </row>
    <row r="1835" spans="1:31" ht="12.75" x14ac:dyDescent="0.2">
      <c r="A1835" s="6"/>
      <c r="B1835" s="6"/>
      <c r="C1835" s="20"/>
      <c r="D1835" s="6"/>
      <c r="E1835" s="6"/>
      <c r="F1835" s="6"/>
      <c r="G1835" s="6"/>
      <c r="H1835" s="6"/>
      <c r="I1835" s="6"/>
      <c r="J1835" s="6"/>
      <c r="K1835" s="6"/>
      <c r="L1835" s="6"/>
      <c r="M1835" s="6"/>
      <c r="N1835" s="6"/>
      <c r="O1835" s="6"/>
      <c r="P1835" s="6"/>
      <c r="Q1835" s="6"/>
      <c r="R1835" s="6"/>
      <c r="S1835" s="6"/>
      <c r="T1835" s="6"/>
      <c r="U1835" s="6"/>
      <c r="V1835" s="6"/>
      <c r="W1835" s="6"/>
      <c r="X1835" s="6"/>
      <c r="Y1835" s="6"/>
      <c r="Z1835" s="6"/>
      <c r="AA1835" s="6"/>
      <c r="AB1835" s="6"/>
      <c r="AC1835" s="6"/>
      <c r="AD1835" s="6"/>
      <c r="AE1835" s="6"/>
    </row>
    <row r="1836" spans="1:31" ht="12.75" x14ac:dyDescent="0.2">
      <c r="A1836" s="6"/>
      <c r="B1836" s="6"/>
      <c r="C1836" s="20"/>
      <c r="D1836" s="6"/>
      <c r="E1836" s="6"/>
      <c r="F1836" s="6"/>
      <c r="G1836" s="6"/>
      <c r="H1836" s="6"/>
      <c r="I1836" s="6"/>
      <c r="J1836" s="6"/>
      <c r="K1836" s="6"/>
      <c r="L1836" s="6"/>
      <c r="M1836" s="6"/>
      <c r="N1836" s="6"/>
      <c r="O1836" s="6"/>
      <c r="P1836" s="6"/>
      <c r="Q1836" s="6"/>
      <c r="R1836" s="6"/>
      <c r="S1836" s="6"/>
      <c r="T1836" s="6"/>
      <c r="U1836" s="6"/>
      <c r="V1836" s="6"/>
      <c r="W1836" s="6"/>
      <c r="X1836" s="6"/>
      <c r="Y1836" s="6"/>
      <c r="Z1836" s="6"/>
      <c r="AA1836" s="6"/>
      <c r="AB1836" s="6"/>
      <c r="AC1836" s="6"/>
      <c r="AD1836" s="6"/>
      <c r="AE1836" s="6"/>
    </row>
    <row r="1837" spans="1:31" ht="12.75" x14ac:dyDescent="0.2">
      <c r="A1837" s="6"/>
      <c r="B1837" s="6"/>
      <c r="C1837" s="20"/>
      <c r="D1837" s="6"/>
      <c r="E1837" s="6"/>
      <c r="F1837" s="6"/>
      <c r="G1837" s="6"/>
      <c r="H1837" s="6"/>
      <c r="I1837" s="6"/>
      <c r="J1837" s="6"/>
      <c r="K1837" s="6"/>
      <c r="L1837" s="6"/>
      <c r="M1837" s="6"/>
      <c r="N1837" s="6"/>
      <c r="O1837" s="6"/>
      <c r="P1837" s="6"/>
      <c r="Q1837" s="6"/>
      <c r="R1837" s="6"/>
      <c r="S1837" s="6"/>
      <c r="T1837" s="6"/>
      <c r="U1837" s="6"/>
      <c r="V1837" s="6"/>
      <c r="W1837" s="6"/>
      <c r="X1837" s="6"/>
      <c r="Y1837" s="6"/>
      <c r="Z1837" s="6"/>
      <c r="AA1837" s="6"/>
      <c r="AB1837" s="6"/>
      <c r="AC1837" s="6"/>
      <c r="AD1837" s="6"/>
      <c r="AE1837" s="6"/>
    </row>
    <row r="1838" spans="1:31" ht="12.75" x14ac:dyDescent="0.2">
      <c r="A1838" s="6"/>
      <c r="B1838" s="6"/>
      <c r="C1838" s="20"/>
      <c r="D1838" s="6"/>
      <c r="E1838" s="6"/>
      <c r="F1838" s="6"/>
      <c r="G1838" s="6"/>
      <c r="H1838" s="6"/>
      <c r="I1838" s="6"/>
      <c r="J1838" s="6"/>
      <c r="K1838" s="6"/>
      <c r="L1838" s="6"/>
      <c r="M1838" s="6"/>
      <c r="N1838" s="6"/>
      <c r="O1838" s="6"/>
      <c r="P1838" s="6"/>
      <c r="Q1838" s="6"/>
      <c r="R1838" s="6"/>
      <c r="S1838" s="6"/>
      <c r="T1838" s="6"/>
      <c r="U1838" s="6"/>
      <c r="V1838" s="6"/>
      <c r="W1838" s="6"/>
      <c r="X1838" s="6"/>
      <c r="Y1838" s="6"/>
      <c r="Z1838" s="6"/>
      <c r="AA1838" s="6"/>
      <c r="AB1838" s="6"/>
      <c r="AC1838" s="6"/>
      <c r="AD1838" s="6"/>
      <c r="AE1838" s="6"/>
    </row>
    <row r="1839" spans="1:31" ht="12.75" x14ac:dyDescent="0.2">
      <c r="A1839" s="6"/>
      <c r="B1839" s="6"/>
      <c r="C1839" s="20"/>
      <c r="D1839" s="6"/>
      <c r="E1839" s="6"/>
      <c r="F1839" s="6"/>
      <c r="G1839" s="6"/>
      <c r="H1839" s="6"/>
      <c r="I1839" s="6"/>
      <c r="J1839" s="6"/>
      <c r="K1839" s="6"/>
      <c r="L1839" s="6"/>
      <c r="M1839" s="6"/>
      <c r="N1839" s="6"/>
      <c r="O1839" s="6"/>
      <c r="P1839" s="6"/>
      <c r="Q1839" s="6"/>
      <c r="R1839" s="6"/>
      <c r="S1839" s="6"/>
      <c r="T1839" s="6"/>
      <c r="U1839" s="6"/>
      <c r="V1839" s="6"/>
      <c r="W1839" s="6"/>
      <c r="X1839" s="6"/>
      <c r="Y1839" s="6"/>
      <c r="Z1839" s="6"/>
      <c r="AA1839" s="6"/>
      <c r="AB1839" s="6"/>
      <c r="AC1839" s="6"/>
      <c r="AD1839" s="6"/>
      <c r="AE1839" s="6"/>
    </row>
    <row r="1840" spans="1:31" ht="12.75" x14ac:dyDescent="0.2">
      <c r="A1840" s="6"/>
      <c r="B1840" s="6"/>
      <c r="C1840" s="20"/>
      <c r="D1840" s="6"/>
      <c r="E1840" s="6"/>
      <c r="F1840" s="6"/>
      <c r="G1840" s="6"/>
      <c r="H1840" s="6"/>
      <c r="I1840" s="6"/>
      <c r="J1840" s="6"/>
      <c r="K1840" s="6"/>
      <c r="L1840" s="6"/>
      <c r="M1840" s="6"/>
      <c r="N1840" s="6"/>
      <c r="O1840" s="6"/>
      <c r="P1840" s="6"/>
      <c r="Q1840" s="6"/>
      <c r="R1840" s="6"/>
      <c r="S1840" s="6"/>
      <c r="T1840" s="6"/>
      <c r="U1840" s="6"/>
      <c r="V1840" s="6"/>
      <c r="W1840" s="6"/>
      <c r="X1840" s="6"/>
      <c r="Y1840" s="6"/>
      <c r="Z1840" s="6"/>
      <c r="AA1840" s="6"/>
      <c r="AB1840" s="6"/>
      <c r="AC1840" s="6"/>
      <c r="AD1840" s="6"/>
      <c r="AE1840" s="6"/>
    </row>
    <row r="1841" spans="1:31" ht="12.75" x14ac:dyDescent="0.2">
      <c r="A1841" s="6"/>
      <c r="B1841" s="6"/>
      <c r="C1841" s="20"/>
      <c r="D1841" s="6"/>
      <c r="E1841" s="6"/>
      <c r="F1841" s="6"/>
      <c r="G1841" s="6"/>
      <c r="H1841" s="6"/>
      <c r="I1841" s="6"/>
      <c r="J1841" s="6"/>
      <c r="K1841" s="6"/>
      <c r="L1841" s="6"/>
      <c r="M1841" s="6"/>
      <c r="N1841" s="6"/>
      <c r="O1841" s="6"/>
      <c r="P1841" s="6"/>
      <c r="Q1841" s="6"/>
      <c r="R1841" s="6"/>
      <c r="S1841" s="6"/>
      <c r="T1841" s="6"/>
      <c r="U1841" s="6"/>
      <c r="V1841" s="6"/>
      <c r="W1841" s="6"/>
      <c r="X1841" s="6"/>
      <c r="Y1841" s="6"/>
      <c r="Z1841" s="6"/>
      <c r="AA1841" s="6"/>
      <c r="AB1841" s="6"/>
      <c r="AC1841" s="6"/>
      <c r="AD1841" s="6"/>
      <c r="AE1841" s="6"/>
    </row>
    <row r="1842" spans="1:31" ht="12.75" x14ac:dyDescent="0.2">
      <c r="A1842" s="6"/>
      <c r="B1842" s="6"/>
      <c r="C1842" s="20"/>
      <c r="D1842" s="6"/>
      <c r="E1842" s="6"/>
      <c r="F1842" s="6"/>
      <c r="G1842" s="6"/>
      <c r="H1842" s="6"/>
      <c r="I1842" s="6"/>
      <c r="J1842" s="6"/>
      <c r="K1842" s="6"/>
      <c r="L1842" s="6"/>
      <c r="M1842" s="6"/>
      <c r="N1842" s="6"/>
      <c r="O1842" s="6"/>
      <c r="P1842" s="6"/>
      <c r="Q1842" s="6"/>
      <c r="R1842" s="6"/>
      <c r="S1842" s="6"/>
      <c r="T1842" s="6"/>
      <c r="U1842" s="6"/>
      <c r="V1842" s="6"/>
      <c r="W1842" s="6"/>
      <c r="X1842" s="6"/>
      <c r="Y1842" s="6"/>
      <c r="Z1842" s="6"/>
      <c r="AA1842" s="6"/>
      <c r="AB1842" s="6"/>
      <c r="AC1842" s="6"/>
      <c r="AD1842" s="6"/>
      <c r="AE1842" s="6"/>
    </row>
    <row r="1843" spans="1:31" ht="12.75" x14ac:dyDescent="0.2">
      <c r="A1843" s="6"/>
      <c r="B1843" s="6"/>
      <c r="C1843" s="20"/>
      <c r="D1843" s="6"/>
      <c r="E1843" s="6"/>
      <c r="F1843" s="6"/>
      <c r="G1843" s="6"/>
      <c r="H1843" s="6"/>
      <c r="I1843" s="6"/>
      <c r="J1843" s="6"/>
      <c r="K1843" s="6"/>
      <c r="L1843" s="6"/>
      <c r="M1843" s="6"/>
      <c r="N1843" s="6"/>
      <c r="O1843" s="6"/>
      <c r="P1843" s="6"/>
      <c r="Q1843" s="6"/>
      <c r="R1843" s="6"/>
      <c r="S1843" s="6"/>
      <c r="T1843" s="6"/>
      <c r="U1843" s="6"/>
      <c r="V1843" s="6"/>
      <c r="W1843" s="6"/>
      <c r="X1843" s="6"/>
      <c r="Y1843" s="6"/>
      <c r="Z1843" s="6"/>
      <c r="AA1843" s="6"/>
      <c r="AB1843" s="6"/>
      <c r="AC1843" s="6"/>
      <c r="AD1843" s="6"/>
      <c r="AE1843" s="6"/>
    </row>
    <row r="1844" spans="1:31" ht="12.75" x14ac:dyDescent="0.2">
      <c r="A1844" s="6"/>
      <c r="B1844" s="6"/>
      <c r="C1844" s="20"/>
      <c r="D1844" s="6"/>
      <c r="E1844" s="6"/>
      <c r="F1844" s="6"/>
      <c r="G1844" s="6"/>
      <c r="H1844" s="6"/>
      <c r="I1844" s="6"/>
      <c r="J1844" s="6"/>
      <c r="K1844" s="6"/>
      <c r="L1844" s="6"/>
      <c r="M1844" s="6"/>
      <c r="N1844" s="6"/>
      <c r="O1844" s="6"/>
      <c r="P1844" s="6"/>
      <c r="Q1844" s="6"/>
      <c r="R1844" s="6"/>
      <c r="S1844" s="6"/>
      <c r="T1844" s="6"/>
      <c r="U1844" s="6"/>
      <c r="V1844" s="6"/>
      <c r="W1844" s="6"/>
      <c r="X1844" s="6"/>
      <c r="Y1844" s="6"/>
      <c r="Z1844" s="6"/>
      <c r="AA1844" s="6"/>
      <c r="AB1844" s="6"/>
      <c r="AC1844" s="6"/>
      <c r="AD1844" s="6"/>
      <c r="AE1844" s="6"/>
    </row>
    <row r="1845" spans="1:31" ht="12.75" x14ac:dyDescent="0.2">
      <c r="A1845" s="6"/>
      <c r="B1845" s="6"/>
      <c r="C1845" s="20"/>
      <c r="D1845" s="6"/>
      <c r="E1845" s="6"/>
      <c r="F1845" s="6"/>
      <c r="G1845" s="6"/>
      <c r="H1845" s="6"/>
      <c r="I1845" s="6"/>
      <c r="J1845" s="6"/>
      <c r="K1845" s="6"/>
      <c r="L1845" s="6"/>
      <c r="M1845" s="6"/>
      <c r="N1845" s="6"/>
      <c r="O1845" s="6"/>
      <c r="P1845" s="6"/>
      <c r="Q1845" s="6"/>
      <c r="R1845" s="6"/>
      <c r="S1845" s="6"/>
      <c r="T1845" s="6"/>
      <c r="U1845" s="6"/>
      <c r="V1845" s="6"/>
      <c r="W1845" s="6"/>
      <c r="X1845" s="6"/>
      <c r="Y1845" s="6"/>
      <c r="Z1845" s="6"/>
      <c r="AA1845" s="6"/>
      <c r="AB1845" s="6"/>
      <c r="AC1845" s="6"/>
      <c r="AD1845" s="6"/>
      <c r="AE1845" s="6"/>
    </row>
    <row r="1846" spans="1:31" ht="12.75" x14ac:dyDescent="0.2">
      <c r="A1846" s="6"/>
      <c r="B1846" s="6"/>
      <c r="C1846" s="20"/>
      <c r="D1846" s="6"/>
      <c r="E1846" s="6"/>
      <c r="F1846" s="6"/>
      <c r="G1846" s="6"/>
      <c r="H1846" s="6"/>
      <c r="I1846" s="6"/>
      <c r="J1846" s="6"/>
      <c r="K1846" s="6"/>
      <c r="L1846" s="6"/>
      <c r="M1846" s="6"/>
      <c r="N1846" s="6"/>
      <c r="O1846" s="6"/>
      <c r="P1846" s="6"/>
      <c r="Q1846" s="6"/>
      <c r="R1846" s="6"/>
      <c r="S1846" s="6"/>
      <c r="T1846" s="6"/>
      <c r="U1846" s="6"/>
      <c r="V1846" s="6"/>
      <c r="W1846" s="6"/>
      <c r="X1846" s="6"/>
      <c r="Y1846" s="6"/>
      <c r="Z1846" s="6"/>
      <c r="AA1846" s="6"/>
      <c r="AB1846" s="6"/>
      <c r="AC1846" s="6"/>
      <c r="AD1846" s="6"/>
      <c r="AE1846" s="6"/>
    </row>
    <row r="1847" spans="1:31" ht="12.75" x14ac:dyDescent="0.2">
      <c r="A1847" s="6"/>
      <c r="B1847" s="6"/>
      <c r="C1847" s="20"/>
      <c r="D1847" s="6"/>
      <c r="E1847" s="6"/>
      <c r="F1847" s="6"/>
      <c r="G1847" s="6"/>
      <c r="H1847" s="6"/>
      <c r="I1847" s="6"/>
      <c r="J1847" s="6"/>
      <c r="K1847" s="6"/>
      <c r="L1847" s="6"/>
      <c r="M1847" s="6"/>
      <c r="N1847" s="6"/>
      <c r="O1847" s="6"/>
      <c r="P1847" s="6"/>
      <c r="Q1847" s="6"/>
      <c r="R1847" s="6"/>
      <c r="S1847" s="6"/>
      <c r="T1847" s="6"/>
      <c r="U1847" s="6"/>
      <c r="V1847" s="6"/>
      <c r="W1847" s="6"/>
      <c r="X1847" s="6"/>
      <c r="Y1847" s="6"/>
      <c r="Z1847" s="6"/>
      <c r="AA1847" s="6"/>
      <c r="AB1847" s="6"/>
      <c r="AC1847" s="6"/>
      <c r="AD1847" s="6"/>
      <c r="AE1847" s="6"/>
    </row>
    <row r="1848" spans="1:31" ht="12.75" x14ac:dyDescent="0.2">
      <c r="A1848" s="6"/>
      <c r="B1848" s="6"/>
      <c r="C1848" s="20"/>
      <c r="D1848" s="6"/>
      <c r="E1848" s="6"/>
      <c r="F1848" s="6"/>
      <c r="G1848" s="6"/>
      <c r="H1848" s="6"/>
      <c r="I1848" s="6"/>
      <c r="J1848" s="6"/>
      <c r="K1848" s="6"/>
      <c r="L1848" s="6"/>
      <c r="M1848" s="6"/>
      <c r="N1848" s="6"/>
      <c r="O1848" s="6"/>
      <c r="P1848" s="6"/>
      <c r="Q1848" s="6"/>
      <c r="R1848" s="6"/>
      <c r="S1848" s="6"/>
      <c r="T1848" s="6"/>
      <c r="U1848" s="6"/>
      <c r="V1848" s="6"/>
      <c r="W1848" s="6"/>
      <c r="X1848" s="6"/>
      <c r="Y1848" s="6"/>
      <c r="Z1848" s="6"/>
      <c r="AA1848" s="6"/>
      <c r="AB1848" s="6"/>
      <c r="AC1848" s="6"/>
      <c r="AD1848" s="6"/>
      <c r="AE1848" s="6"/>
    </row>
    <row r="1849" spans="1:31" ht="12.75" x14ac:dyDescent="0.2">
      <c r="A1849" s="6"/>
      <c r="B1849" s="6"/>
      <c r="C1849" s="20"/>
      <c r="D1849" s="6"/>
      <c r="E1849" s="6"/>
      <c r="F1849" s="6"/>
      <c r="G1849" s="6"/>
      <c r="H1849" s="6"/>
      <c r="I1849" s="6"/>
      <c r="J1849" s="6"/>
      <c r="K1849" s="6"/>
      <c r="L1849" s="6"/>
      <c r="M1849" s="6"/>
      <c r="N1849" s="6"/>
      <c r="O1849" s="6"/>
      <c r="P1849" s="6"/>
      <c r="Q1849" s="6"/>
      <c r="R1849" s="6"/>
      <c r="S1849" s="6"/>
      <c r="T1849" s="6"/>
      <c r="U1849" s="6"/>
      <c r="V1849" s="6"/>
      <c r="W1849" s="6"/>
      <c r="X1849" s="6"/>
      <c r="Y1849" s="6"/>
      <c r="Z1849" s="6"/>
      <c r="AA1849" s="6"/>
      <c r="AB1849" s="6"/>
      <c r="AC1849" s="6"/>
      <c r="AD1849" s="6"/>
      <c r="AE1849" s="6"/>
    </row>
    <row r="1850" spans="1:31" ht="12.75" x14ac:dyDescent="0.2">
      <c r="A1850" s="6"/>
      <c r="B1850" s="6"/>
      <c r="C1850" s="20"/>
      <c r="D1850" s="6"/>
      <c r="E1850" s="6"/>
      <c r="F1850" s="6"/>
      <c r="G1850" s="6"/>
      <c r="H1850" s="6"/>
      <c r="I1850" s="6"/>
      <c r="J1850" s="6"/>
      <c r="K1850" s="6"/>
      <c r="L1850" s="6"/>
      <c r="M1850" s="6"/>
      <c r="N1850" s="6"/>
      <c r="O1850" s="6"/>
      <c r="P1850" s="6"/>
      <c r="Q1850" s="6"/>
      <c r="R1850" s="6"/>
      <c r="S1850" s="6"/>
      <c r="T1850" s="6"/>
      <c r="U1850" s="6"/>
      <c r="V1850" s="6"/>
      <c r="W1850" s="6"/>
      <c r="X1850" s="6"/>
      <c r="Y1850" s="6"/>
      <c r="Z1850" s="6"/>
      <c r="AA1850" s="6"/>
      <c r="AB1850" s="6"/>
      <c r="AC1850" s="6"/>
      <c r="AD1850" s="6"/>
      <c r="AE1850" s="6"/>
    </row>
    <row r="1851" spans="1:31" ht="12.75" x14ac:dyDescent="0.2">
      <c r="A1851" s="6"/>
      <c r="B1851" s="6"/>
      <c r="C1851" s="20"/>
      <c r="D1851" s="6"/>
      <c r="E1851" s="6"/>
      <c r="F1851" s="6"/>
      <c r="G1851" s="6"/>
      <c r="H1851" s="6"/>
      <c r="I1851" s="6"/>
      <c r="J1851" s="6"/>
      <c r="K1851" s="6"/>
      <c r="L1851" s="6"/>
      <c r="M1851" s="6"/>
      <c r="N1851" s="6"/>
      <c r="O1851" s="6"/>
      <c r="P1851" s="6"/>
      <c r="Q1851" s="6"/>
      <c r="R1851" s="6"/>
      <c r="S1851" s="6"/>
      <c r="T1851" s="6"/>
      <c r="U1851" s="6"/>
      <c r="V1851" s="6"/>
      <c r="W1851" s="6"/>
      <c r="X1851" s="6"/>
      <c r="Y1851" s="6"/>
      <c r="Z1851" s="6"/>
      <c r="AA1851" s="6"/>
      <c r="AB1851" s="6"/>
      <c r="AC1851" s="6"/>
      <c r="AD1851" s="6"/>
      <c r="AE1851" s="6"/>
    </row>
    <row r="1852" spans="1:31" ht="12.75" x14ac:dyDescent="0.2">
      <c r="A1852" s="6"/>
      <c r="B1852" s="6"/>
      <c r="C1852" s="20"/>
      <c r="D1852" s="6"/>
      <c r="E1852" s="6"/>
      <c r="F1852" s="6"/>
      <c r="G1852" s="6"/>
      <c r="H1852" s="6"/>
      <c r="I1852" s="6"/>
      <c r="J1852" s="6"/>
      <c r="K1852" s="6"/>
      <c r="L1852" s="6"/>
      <c r="M1852" s="6"/>
      <c r="N1852" s="6"/>
      <c r="O1852" s="6"/>
      <c r="P1852" s="6"/>
      <c r="Q1852" s="6"/>
      <c r="R1852" s="6"/>
      <c r="S1852" s="6"/>
      <c r="T1852" s="6"/>
      <c r="U1852" s="6"/>
      <c r="V1852" s="6"/>
      <c r="W1852" s="6"/>
      <c r="X1852" s="6"/>
      <c r="Y1852" s="6"/>
      <c r="Z1852" s="6"/>
      <c r="AA1852" s="6"/>
      <c r="AB1852" s="6"/>
      <c r="AC1852" s="6"/>
      <c r="AD1852" s="6"/>
      <c r="AE1852" s="6"/>
    </row>
    <row r="1853" spans="1:31" ht="12.75" x14ac:dyDescent="0.2">
      <c r="A1853" s="6"/>
      <c r="B1853" s="6"/>
      <c r="C1853" s="20"/>
      <c r="D1853" s="6"/>
      <c r="E1853" s="6"/>
      <c r="F1853" s="6"/>
      <c r="G1853" s="6"/>
      <c r="H1853" s="6"/>
      <c r="I1853" s="6"/>
      <c r="J1853" s="6"/>
      <c r="K1853" s="6"/>
      <c r="L1853" s="6"/>
      <c r="M1853" s="6"/>
      <c r="N1853" s="6"/>
      <c r="O1853" s="6"/>
      <c r="P1853" s="6"/>
      <c r="Q1853" s="6"/>
      <c r="R1853" s="6"/>
      <c r="S1853" s="6"/>
      <c r="T1853" s="6"/>
      <c r="U1853" s="6"/>
      <c r="V1853" s="6"/>
      <c r="W1853" s="6"/>
      <c r="X1853" s="6"/>
      <c r="Y1853" s="6"/>
      <c r="Z1853" s="6"/>
      <c r="AA1853" s="6"/>
      <c r="AB1853" s="6"/>
      <c r="AC1853" s="6"/>
      <c r="AD1853" s="6"/>
      <c r="AE1853" s="6"/>
    </row>
    <row r="1854" spans="1:31" ht="12.75" x14ac:dyDescent="0.2">
      <c r="A1854" s="6"/>
      <c r="B1854" s="6"/>
      <c r="C1854" s="20"/>
      <c r="D1854" s="6"/>
      <c r="E1854" s="6"/>
      <c r="F1854" s="6"/>
      <c r="G1854" s="6"/>
      <c r="H1854" s="6"/>
      <c r="I1854" s="6"/>
      <c r="J1854" s="6"/>
      <c r="K1854" s="6"/>
      <c r="L1854" s="6"/>
      <c r="M1854" s="6"/>
      <c r="N1854" s="6"/>
      <c r="O1854" s="6"/>
      <c r="P1854" s="6"/>
      <c r="Q1854" s="6"/>
      <c r="R1854" s="6"/>
      <c r="S1854" s="6"/>
      <c r="T1854" s="6"/>
      <c r="U1854" s="6"/>
      <c r="V1854" s="6"/>
      <c r="W1854" s="6"/>
      <c r="X1854" s="6"/>
      <c r="Y1854" s="6"/>
      <c r="Z1854" s="6"/>
      <c r="AA1854" s="6"/>
      <c r="AB1854" s="6"/>
      <c r="AC1854" s="6"/>
      <c r="AD1854" s="6"/>
      <c r="AE1854" s="6"/>
    </row>
    <row r="1855" spans="1:31" ht="12.75" x14ac:dyDescent="0.2">
      <c r="A1855" s="6"/>
      <c r="B1855" s="6"/>
      <c r="C1855" s="20"/>
      <c r="D1855" s="6"/>
      <c r="E1855" s="6"/>
      <c r="F1855" s="6"/>
      <c r="G1855" s="6"/>
      <c r="H1855" s="6"/>
      <c r="I1855" s="6"/>
      <c r="J1855" s="6"/>
      <c r="K1855" s="6"/>
      <c r="L1855" s="6"/>
      <c r="M1855" s="6"/>
      <c r="N1855" s="6"/>
      <c r="O1855" s="6"/>
      <c r="P1855" s="6"/>
      <c r="Q1855" s="6"/>
      <c r="R1855" s="6"/>
      <c r="S1855" s="6"/>
      <c r="T1855" s="6"/>
      <c r="U1855" s="6"/>
      <c r="V1855" s="6"/>
      <c r="W1855" s="6"/>
      <c r="X1855" s="6"/>
      <c r="Y1855" s="6"/>
      <c r="Z1855" s="6"/>
      <c r="AA1855" s="6"/>
      <c r="AB1855" s="6"/>
      <c r="AC1855" s="6"/>
      <c r="AD1855" s="6"/>
      <c r="AE1855" s="6"/>
    </row>
    <row r="1856" spans="1:31" ht="12.75" x14ac:dyDescent="0.2">
      <c r="A1856" s="6"/>
      <c r="B1856" s="6"/>
      <c r="C1856" s="20"/>
      <c r="D1856" s="6"/>
      <c r="E1856" s="6"/>
      <c r="F1856" s="6"/>
      <c r="G1856" s="6"/>
      <c r="H1856" s="6"/>
      <c r="I1856" s="6"/>
      <c r="J1856" s="6"/>
      <c r="K1856" s="6"/>
      <c r="L1856" s="6"/>
      <c r="M1856" s="6"/>
      <c r="N1856" s="6"/>
      <c r="O1856" s="6"/>
      <c r="P1856" s="6"/>
      <c r="Q1856" s="6"/>
      <c r="R1856" s="6"/>
      <c r="S1856" s="6"/>
      <c r="T1856" s="6"/>
      <c r="U1856" s="6"/>
      <c r="V1856" s="6"/>
      <c r="W1856" s="6"/>
      <c r="X1856" s="6"/>
      <c r="Y1856" s="6"/>
      <c r="Z1856" s="6"/>
      <c r="AA1856" s="6"/>
      <c r="AB1856" s="6"/>
      <c r="AC1856" s="6"/>
      <c r="AD1856" s="6"/>
      <c r="AE1856" s="6"/>
    </row>
    <row r="1857" spans="1:31" ht="12.75" x14ac:dyDescent="0.2">
      <c r="A1857" s="6"/>
      <c r="B1857" s="6"/>
      <c r="C1857" s="20"/>
      <c r="D1857" s="6"/>
      <c r="E1857" s="6"/>
      <c r="F1857" s="6"/>
      <c r="G1857" s="6"/>
      <c r="H1857" s="6"/>
      <c r="I1857" s="6"/>
      <c r="J1857" s="6"/>
      <c r="K1857" s="6"/>
      <c r="L1857" s="6"/>
      <c r="M1857" s="6"/>
      <c r="N1857" s="6"/>
      <c r="O1857" s="6"/>
      <c r="P1857" s="6"/>
      <c r="Q1857" s="6"/>
      <c r="R1857" s="6"/>
      <c r="S1857" s="6"/>
      <c r="T1857" s="6"/>
      <c r="U1857" s="6"/>
      <c r="V1857" s="6"/>
      <c r="W1857" s="6"/>
      <c r="X1857" s="6"/>
      <c r="Y1857" s="6"/>
      <c r="Z1857" s="6"/>
      <c r="AA1857" s="6"/>
      <c r="AB1857" s="6"/>
      <c r="AC1857" s="6"/>
      <c r="AD1857" s="6"/>
      <c r="AE1857" s="6"/>
    </row>
    <row r="1858" spans="1:31" ht="12.75" x14ac:dyDescent="0.2">
      <c r="A1858" s="6"/>
      <c r="B1858" s="6"/>
      <c r="C1858" s="20"/>
      <c r="D1858" s="6"/>
      <c r="E1858" s="6"/>
      <c r="F1858" s="6"/>
      <c r="G1858" s="6"/>
      <c r="H1858" s="6"/>
      <c r="I1858" s="6"/>
      <c r="J1858" s="6"/>
      <c r="K1858" s="6"/>
      <c r="L1858" s="6"/>
      <c r="M1858" s="6"/>
      <c r="N1858" s="6"/>
      <c r="O1858" s="6"/>
      <c r="P1858" s="6"/>
      <c r="Q1858" s="6"/>
      <c r="R1858" s="6"/>
      <c r="S1858" s="6"/>
      <c r="T1858" s="6"/>
      <c r="U1858" s="6"/>
      <c r="V1858" s="6"/>
      <c r="W1858" s="6"/>
      <c r="X1858" s="6"/>
      <c r="Y1858" s="6"/>
      <c r="Z1858" s="6"/>
      <c r="AA1858" s="6"/>
      <c r="AB1858" s="6"/>
      <c r="AC1858" s="6"/>
      <c r="AD1858" s="6"/>
      <c r="AE1858" s="6"/>
    </row>
    <row r="1859" spans="1:31" ht="12.75" x14ac:dyDescent="0.2">
      <c r="A1859" s="6"/>
      <c r="B1859" s="6"/>
      <c r="C1859" s="20"/>
      <c r="D1859" s="6"/>
      <c r="E1859" s="6"/>
      <c r="F1859" s="6"/>
      <c r="G1859" s="6"/>
      <c r="H1859" s="6"/>
      <c r="I1859" s="6"/>
      <c r="J1859" s="6"/>
      <c r="K1859" s="6"/>
      <c r="L1859" s="6"/>
      <c r="M1859" s="6"/>
      <c r="N1859" s="6"/>
      <c r="O1859" s="6"/>
      <c r="P1859" s="6"/>
      <c r="Q1859" s="6"/>
      <c r="R1859" s="6"/>
      <c r="S1859" s="6"/>
      <c r="T1859" s="6"/>
      <c r="U1859" s="6"/>
      <c r="V1859" s="6"/>
      <c r="W1859" s="6"/>
      <c r="X1859" s="6"/>
      <c r="Y1859" s="6"/>
      <c r="Z1859" s="6"/>
      <c r="AA1859" s="6"/>
      <c r="AB1859" s="6"/>
      <c r="AC1859" s="6"/>
      <c r="AD1859" s="6"/>
      <c r="AE1859" s="6"/>
    </row>
    <row r="1860" spans="1:31" ht="12.75" x14ac:dyDescent="0.2">
      <c r="A1860" s="6"/>
      <c r="B1860" s="6"/>
      <c r="C1860" s="20"/>
      <c r="D1860" s="6"/>
      <c r="E1860" s="6"/>
      <c r="F1860" s="6"/>
      <c r="G1860" s="6"/>
      <c r="H1860" s="6"/>
      <c r="I1860" s="6"/>
      <c r="J1860" s="6"/>
      <c r="K1860" s="6"/>
      <c r="L1860" s="6"/>
      <c r="M1860" s="6"/>
      <c r="N1860" s="6"/>
      <c r="O1860" s="6"/>
      <c r="P1860" s="6"/>
      <c r="Q1860" s="6"/>
      <c r="R1860" s="6"/>
      <c r="S1860" s="6"/>
      <c r="T1860" s="6"/>
      <c r="U1860" s="6"/>
      <c r="V1860" s="6"/>
      <c r="W1860" s="6"/>
      <c r="X1860" s="6"/>
      <c r="Y1860" s="6"/>
      <c r="Z1860" s="6"/>
      <c r="AA1860" s="6"/>
      <c r="AB1860" s="6"/>
      <c r="AC1860" s="6"/>
      <c r="AD1860" s="6"/>
      <c r="AE1860" s="6"/>
    </row>
    <row r="1861" spans="1:31" ht="12.75" x14ac:dyDescent="0.2">
      <c r="A1861" s="6"/>
      <c r="B1861" s="6"/>
      <c r="C1861" s="20"/>
      <c r="D1861" s="6"/>
      <c r="E1861" s="6"/>
      <c r="F1861" s="6"/>
      <c r="G1861" s="6"/>
      <c r="H1861" s="6"/>
      <c r="I1861" s="6"/>
      <c r="J1861" s="6"/>
      <c r="K1861" s="6"/>
      <c r="L1861" s="6"/>
      <c r="M1861" s="6"/>
      <c r="N1861" s="6"/>
      <c r="O1861" s="6"/>
      <c r="P1861" s="6"/>
      <c r="Q1861" s="6"/>
      <c r="R1861" s="6"/>
      <c r="S1861" s="6"/>
      <c r="T1861" s="6"/>
      <c r="U1861" s="6"/>
      <c r="V1861" s="6"/>
      <c r="W1861" s="6"/>
      <c r="X1861" s="6"/>
      <c r="Y1861" s="6"/>
      <c r="Z1861" s="6"/>
      <c r="AA1861" s="6"/>
      <c r="AB1861" s="6"/>
      <c r="AC1861" s="6"/>
      <c r="AD1861" s="6"/>
      <c r="AE1861" s="6"/>
    </row>
    <row r="1862" spans="1:31" ht="12.75" x14ac:dyDescent="0.2">
      <c r="A1862" s="6"/>
      <c r="B1862" s="6"/>
      <c r="C1862" s="20"/>
      <c r="D1862" s="6"/>
      <c r="E1862" s="6"/>
      <c r="F1862" s="6"/>
      <c r="G1862" s="6"/>
      <c r="H1862" s="6"/>
      <c r="I1862" s="6"/>
      <c r="J1862" s="6"/>
      <c r="K1862" s="6"/>
      <c r="L1862" s="6"/>
      <c r="M1862" s="6"/>
      <c r="N1862" s="6"/>
      <c r="O1862" s="6"/>
      <c r="P1862" s="6"/>
      <c r="Q1862" s="6"/>
      <c r="R1862" s="6"/>
      <c r="S1862" s="6"/>
      <c r="T1862" s="6"/>
      <c r="U1862" s="6"/>
      <c r="V1862" s="6"/>
      <c r="W1862" s="6"/>
      <c r="X1862" s="6"/>
      <c r="Y1862" s="6"/>
      <c r="Z1862" s="6"/>
      <c r="AA1862" s="6"/>
      <c r="AB1862" s="6"/>
      <c r="AC1862" s="6"/>
      <c r="AD1862" s="6"/>
      <c r="AE1862" s="6"/>
    </row>
    <row r="1863" spans="1:31" ht="12.75" x14ac:dyDescent="0.2">
      <c r="A1863" s="6"/>
      <c r="B1863" s="6"/>
      <c r="C1863" s="20"/>
      <c r="D1863" s="6"/>
      <c r="E1863" s="6"/>
      <c r="F1863" s="6"/>
      <c r="G1863" s="6"/>
      <c r="H1863" s="6"/>
      <c r="I1863" s="6"/>
      <c r="J1863" s="6"/>
      <c r="K1863" s="6"/>
      <c r="L1863" s="6"/>
      <c r="M1863" s="6"/>
      <c r="N1863" s="6"/>
      <c r="O1863" s="6"/>
      <c r="P1863" s="6"/>
      <c r="Q1863" s="6"/>
      <c r="R1863" s="6"/>
      <c r="S1863" s="6"/>
      <c r="T1863" s="6"/>
      <c r="U1863" s="6"/>
      <c r="V1863" s="6"/>
      <c r="W1863" s="6"/>
      <c r="X1863" s="6"/>
      <c r="Y1863" s="6"/>
      <c r="Z1863" s="6"/>
      <c r="AA1863" s="6"/>
      <c r="AB1863" s="6"/>
      <c r="AC1863" s="6"/>
      <c r="AD1863" s="6"/>
      <c r="AE1863" s="6"/>
    </row>
    <row r="1864" spans="1:31" ht="12.75" x14ac:dyDescent="0.2">
      <c r="A1864" s="6"/>
      <c r="B1864" s="6"/>
      <c r="C1864" s="20"/>
      <c r="D1864" s="6"/>
      <c r="E1864" s="6"/>
      <c r="F1864" s="6"/>
      <c r="G1864" s="6"/>
      <c r="H1864" s="6"/>
      <c r="I1864" s="6"/>
      <c r="J1864" s="6"/>
      <c r="K1864" s="6"/>
      <c r="L1864" s="6"/>
      <c r="M1864" s="6"/>
      <c r="N1864" s="6"/>
      <c r="O1864" s="6"/>
      <c r="P1864" s="6"/>
      <c r="Q1864" s="6"/>
      <c r="R1864" s="6"/>
      <c r="S1864" s="6"/>
      <c r="T1864" s="6"/>
      <c r="U1864" s="6"/>
      <c r="V1864" s="6"/>
      <c r="W1864" s="6"/>
      <c r="X1864" s="6"/>
      <c r="Y1864" s="6"/>
      <c r="Z1864" s="6"/>
      <c r="AA1864" s="6"/>
      <c r="AB1864" s="6"/>
      <c r="AC1864" s="6"/>
      <c r="AD1864" s="6"/>
      <c r="AE1864" s="6"/>
    </row>
    <row r="1865" spans="1:31" ht="12.75" x14ac:dyDescent="0.2">
      <c r="A1865" s="6"/>
      <c r="B1865" s="6"/>
      <c r="C1865" s="20"/>
      <c r="D1865" s="6"/>
      <c r="E1865" s="6"/>
      <c r="F1865" s="6"/>
      <c r="G1865" s="6"/>
      <c r="H1865" s="6"/>
      <c r="I1865" s="6"/>
      <c r="J1865" s="6"/>
      <c r="K1865" s="6"/>
      <c r="L1865" s="6"/>
      <c r="M1865" s="6"/>
      <c r="N1865" s="6"/>
      <c r="O1865" s="6"/>
      <c r="P1865" s="6"/>
      <c r="Q1865" s="6"/>
      <c r="R1865" s="6"/>
      <c r="S1865" s="6"/>
      <c r="T1865" s="6"/>
      <c r="U1865" s="6"/>
      <c r="V1865" s="6"/>
      <c r="W1865" s="6"/>
      <c r="X1865" s="6"/>
      <c r="Y1865" s="6"/>
      <c r="Z1865" s="6"/>
      <c r="AA1865" s="6"/>
      <c r="AB1865" s="6"/>
      <c r="AC1865" s="6"/>
      <c r="AD1865" s="6"/>
      <c r="AE1865" s="6"/>
    </row>
    <row r="1866" spans="1:31" ht="12.75" x14ac:dyDescent="0.2">
      <c r="A1866" s="6"/>
      <c r="B1866" s="6"/>
      <c r="C1866" s="20"/>
      <c r="D1866" s="6"/>
      <c r="E1866" s="6"/>
      <c r="F1866" s="6"/>
      <c r="G1866" s="6"/>
      <c r="H1866" s="6"/>
      <c r="I1866" s="6"/>
      <c r="J1866" s="6"/>
      <c r="K1866" s="6"/>
      <c r="L1866" s="6"/>
      <c r="M1866" s="6"/>
      <c r="N1866" s="6"/>
      <c r="O1866" s="6"/>
      <c r="P1866" s="6"/>
      <c r="Q1866" s="6"/>
      <c r="R1866" s="6"/>
      <c r="S1866" s="6"/>
      <c r="T1866" s="6"/>
      <c r="U1866" s="6"/>
      <c r="V1866" s="6"/>
      <c r="W1866" s="6"/>
      <c r="X1866" s="6"/>
      <c r="Y1866" s="6"/>
      <c r="Z1866" s="6"/>
      <c r="AA1866" s="6"/>
      <c r="AB1866" s="6"/>
      <c r="AC1866" s="6"/>
      <c r="AD1866" s="6"/>
      <c r="AE1866" s="6"/>
    </row>
    <row r="1867" spans="1:31" ht="12.75" x14ac:dyDescent="0.2">
      <c r="A1867" s="6"/>
      <c r="B1867" s="6"/>
      <c r="C1867" s="20"/>
      <c r="D1867" s="6"/>
      <c r="E1867" s="6"/>
      <c r="F1867" s="6"/>
      <c r="G1867" s="6"/>
      <c r="H1867" s="6"/>
      <c r="I1867" s="6"/>
      <c r="J1867" s="6"/>
      <c r="K1867" s="6"/>
      <c r="L1867" s="6"/>
      <c r="M1867" s="6"/>
      <c r="N1867" s="6"/>
      <c r="O1867" s="6"/>
      <c r="P1867" s="6"/>
      <c r="Q1867" s="6"/>
      <c r="R1867" s="6"/>
      <c r="S1867" s="6"/>
      <c r="T1867" s="6"/>
      <c r="U1867" s="6"/>
      <c r="V1867" s="6"/>
      <c r="W1867" s="6"/>
      <c r="X1867" s="6"/>
      <c r="Y1867" s="6"/>
      <c r="Z1867" s="6"/>
      <c r="AA1867" s="6"/>
      <c r="AB1867" s="6"/>
      <c r="AC1867" s="6"/>
      <c r="AD1867" s="6"/>
      <c r="AE1867" s="6"/>
    </row>
    <row r="1868" spans="1:31" ht="12.75" x14ac:dyDescent="0.2">
      <c r="A1868" s="6"/>
      <c r="B1868" s="6"/>
      <c r="C1868" s="20"/>
      <c r="D1868" s="6"/>
      <c r="E1868" s="6"/>
      <c r="F1868" s="6"/>
      <c r="G1868" s="6"/>
      <c r="H1868" s="6"/>
      <c r="I1868" s="6"/>
      <c r="J1868" s="6"/>
      <c r="K1868" s="6"/>
      <c r="L1868" s="6"/>
      <c r="M1868" s="6"/>
      <c r="N1868" s="6"/>
      <c r="O1868" s="6"/>
      <c r="P1868" s="6"/>
      <c r="Q1868" s="6"/>
      <c r="R1868" s="6"/>
      <c r="S1868" s="6"/>
      <c r="T1868" s="6"/>
      <c r="U1868" s="6"/>
      <c r="V1868" s="6"/>
      <c r="W1868" s="6"/>
      <c r="X1868" s="6"/>
      <c r="Y1868" s="6"/>
      <c r="Z1868" s="6"/>
      <c r="AA1868" s="6"/>
      <c r="AB1868" s="6"/>
      <c r="AC1868" s="6"/>
      <c r="AD1868" s="6"/>
      <c r="AE1868" s="6"/>
    </row>
    <row r="1869" spans="1:31" ht="12.75" x14ac:dyDescent="0.2">
      <c r="A1869" s="6"/>
      <c r="B1869" s="6"/>
      <c r="C1869" s="20"/>
      <c r="D1869" s="6"/>
      <c r="E1869" s="6"/>
      <c r="F1869" s="6"/>
      <c r="G1869" s="6"/>
      <c r="H1869" s="6"/>
      <c r="I1869" s="6"/>
      <c r="J1869" s="6"/>
      <c r="K1869" s="6"/>
      <c r="L1869" s="6"/>
      <c r="M1869" s="6"/>
      <c r="N1869" s="6"/>
      <c r="O1869" s="6"/>
      <c r="P1869" s="6"/>
      <c r="Q1869" s="6"/>
      <c r="R1869" s="6"/>
      <c r="S1869" s="6"/>
      <c r="T1869" s="6"/>
      <c r="U1869" s="6"/>
      <c r="V1869" s="6"/>
      <c r="W1869" s="6"/>
      <c r="X1869" s="6"/>
      <c r="Y1869" s="6"/>
      <c r="Z1869" s="6"/>
      <c r="AA1869" s="6"/>
      <c r="AB1869" s="6"/>
      <c r="AC1869" s="6"/>
      <c r="AD1869" s="6"/>
      <c r="AE1869" s="6"/>
    </row>
    <row r="1870" spans="1:31" ht="12.75" x14ac:dyDescent="0.2">
      <c r="A1870" s="6"/>
      <c r="B1870" s="6"/>
      <c r="C1870" s="20"/>
      <c r="D1870" s="6"/>
      <c r="E1870" s="6"/>
      <c r="F1870" s="6"/>
      <c r="G1870" s="6"/>
      <c r="H1870" s="6"/>
      <c r="I1870" s="6"/>
      <c r="J1870" s="6"/>
      <c r="K1870" s="6"/>
      <c r="L1870" s="6"/>
      <c r="M1870" s="6"/>
      <c r="N1870" s="6"/>
      <c r="O1870" s="6"/>
      <c r="P1870" s="6"/>
      <c r="Q1870" s="6"/>
      <c r="R1870" s="6"/>
      <c r="S1870" s="6"/>
      <c r="T1870" s="6"/>
      <c r="U1870" s="6"/>
      <c r="V1870" s="6"/>
      <c r="W1870" s="6"/>
      <c r="X1870" s="6"/>
      <c r="Y1870" s="6"/>
      <c r="Z1870" s="6"/>
      <c r="AA1870" s="6"/>
      <c r="AB1870" s="6"/>
      <c r="AC1870" s="6"/>
      <c r="AD1870" s="6"/>
      <c r="AE1870" s="6"/>
    </row>
    <row r="1871" spans="1:31" ht="12.75" x14ac:dyDescent="0.2">
      <c r="A1871" s="6"/>
      <c r="B1871" s="6"/>
      <c r="C1871" s="20"/>
      <c r="D1871" s="6"/>
      <c r="E1871" s="6"/>
      <c r="F1871" s="6"/>
      <c r="G1871" s="6"/>
      <c r="H1871" s="6"/>
      <c r="I1871" s="6"/>
      <c r="J1871" s="6"/>
      <c r="K1871" s="6"/>
      <c r="L1871" s="6"/>
      <c r="M1871" s="6"/>
      <c r="N1871" s="6"/>
      <c r="O1871" s="6"/>
      <c r="P1871" s="6"/>
      <c r="Q1871" s="6"/>
      <c r="R1871" s="6"/>
      <c r="S1871" s="6"/>
      <c r="T1871" s="6"/>
      <c r="U1871" s="6"/>
      <c r="V1871" s="6"/>
      <c r="W1871" s="6"/>
      <c r="X1871" s="6"/>
      <c r="Y1871" s="6"/>
      <c r="Z1871" s="6"/>
      <c r="AA1871" s="6"/>
      <c r="AB1871" s="6"/>
      <c r="AC1871" s="6"/>
      <c r="AD1871" s="6"/>
      <c r="AE1871" s="6"/>
    </row>
    <row r="1872" spans="1:31" ht="12.75" x14ac:dyDescent="0.2">
      <c r="A1872" s="6"/>
      <c r="B1872" s="6"/>
      <c r="C1872" s="20"/>
      <c r="D1872" s="6"/>
      <c r="E1872" s="6"/>
      <c r="F1872" s="6"/>
      <c r="G1872" s="6"/>
      <c r="H1872" s="6"/>
      <c r="I1872" s="6"/>
      <c r="J1872" s="6"/>
      <c r="K1872" s="6"/>
      <c r="L1872" s="6"/>
      <c r="M1872" s="6"/>
      <c r="N1872" s="6"/>
      <c r="O1872" s="6"/>
      <c r="P1872" s="6"/>
      <c r="Q1872" s="6"/>
      <c r="R1872" s="6"/>
      <c r="S1872" s="6"/>
      <c r="T1872" s="6"/>
      <c r="U1872" s="6"/>
      <c r="V1872" s="6"/>
      <c r="W1872" s="6"/>
      <c r="X1872" s="6"/>
      <c r="Y1872" s="6"/>
      <c r="Z1872" s="6"/>
      <c r="AA1872" s="6"/>
      <c r="AB1872" s="6"/>
      <c r="AC1872" s="6"/>
      <c r="AD1872" s="6"/>
      <c r="AE1872" s="6"/>
    </row>
    <row r="1873" spans="1:31" ht="12.75" x14ac:dyDescent="0.2">
      <c r="A1873" s="6"/>
      <c r="B1873" s="6"/>
      <c r="C1873" s="20"/>
      <c r="D1873" s="6"/>
      <c r="E1873" s="6"/>
      <c r="F1873" s="6"/>
      <c r="G1873" s="6"/>
      <c r="H1873" s="6"/>
      <c r="I1873" s="6"/>
      <c r="J1873" s="6"/>
      <c r="K1873" s="6"/>
      <c r="L1873" s="6"/>
      <c r="M1873" s="6"/>
      <c r="N1873" s="6"/>
      <c r="O1873" s="6"/>
      <c r="P1873" s="6"/>
      <c r="Q1873" s="6"/>
      <c r="R1873" s="6"/>
      <c r="S1873" s="6"/>
      <c r="T1873" s="6"/>
      <c r="U1873" s="6"/>
      <c r="V1873" s="6"/>
      <c r="W1873" s="6"/>
      <c r="X1873" s="6"/>
      <c r="Y1873" s="6"/>
      <c r="Z1873" s="6"/>
      <c r="AA1873" s="6"/>
      <c r="AB1873" s="6"/>
      <c r="AC1873" s="6"/>
      <c r="AD1873" s="6"/>
      <c r="AE1873" s="6"/>
    </row>
    <row r="1874" spans="1:31" ht="12.75" x14ac:dyDescent="0.2">
      <c r="A1874" s="6"/>
      <c r="B1874" s="6"/>
      <c r="C1874" s="20"/>
      <c r="D1874" s="6"/>
      <c r="E1874" s="6"/>
      <c r="F1874" s="6"/>
      <c r="G1874" s="6"/>
      <c r="H1874" s="6"/>
      <c r="I1874" s="6"/>
      <c r="J1874" s="6"/>
      <c r="K1874" s="6"/>
      <c r="L1874" s="6"/>
      <c r="M1874" s="6"/>
      <c r="N1874" s="6"/>
      <c r="O1874" s="6"/>
      <c r="P1874" s="6"/>
      <c r="Q1874" s="6"/>
      <c r="R1874" s="6"/>
      <c r="S1874" s="6"/>
      <c r="T1874" s="6"/>
      <c r="U1874" s="6"/>
      <c r="V1874" s="6"/>
      <c r="W1874" s="6"/>
      <c r="X1874" s="6"/>
      <c r="Y1874" s="6"/>
      <c r="Z1874" s="6"/>
      <c r="AA1874" s="6"/>
      <c r="AB1874" s="6"/>
      <c r="AC1874" s="6"/>
      <c r="AD1874" s="6"/>
      <c r="AE1874" s="6"/>
    </row>
    <row r="1875" spans="1:31" ht="12.75" x14ac:dyDescent="0.2">
      <c r="A1875" s="6"/>
      <c r="B1875" s="6"/>
      <c r="C1875" s="20"/>
      <c r="D1875" s="6"/>
      <c r="E1875" s="6"/>
      <c r="F1875" s="6"/>
      <c r="G1875" s="6"/>
      <c r="H1875" s="6"/>
      <c r="I1875" s="6"/>
      <c r="J1875" s="6"/>
      <c r="K1875" s="6"/>
      <c r="L1875" s="6"/>
      <c r="M1875" s="6"/>
      <c r="N1875" s="6"/>
      <c r="O1875" s="6"/>
      <c r="P1875" s="6"/>
      <c r="Q1875" s="6"/>
      <c r="R1875" s="6"/>
      <c r="S1875" s="6"/>
      <c r="T1875" s="6"/>
      <c r="U1875" s="6"/>
      <c r="V1875" s="6"/>
      <c r="W1875" s="6"/>
      <c r="X1875" s="6"/>
      <c r="Y1875" s="6"/>
      <c r="Z1875" s="6"/>
      <c r="AA1875" s="6"/>
      <c r="AB1875" s="6"/>
      <c r="AC1875" s="6"/>
      <c r="AD1875" s="6"/>
      <c r="AE1875" s="6"/>
    </row>
    <row r="1876" spans="1:31" ht="12.75" x14ac:dyDescent="0.2">
      <c r="A1876" s="6"/>
      <c r="B1876" s="6"/>
      <c r="C1876" s="20"/>
      <c r="D1876" s="6"/>
      <c r="E1876" s="6"/>
      <c r="F1876" s="6"/>
      <c r="G1876" s="6"/>
      <c r="H1876" s="6"/>
      <c r="I1876" s="6"/>
      <c r="J1876" s="6"/>
      <c r="K1876" s="6"/>
      <c r="L1876" s="6"/>
      <c r="M1876" s="6"/>
      <c r="N1876" s="6"/>
      <c r="O1876" s="6"/>
      <c r="P1876" s="6"/>
      <c r="Q1876" s="6"/>
      <c r="R1876" s="6"/>
      <c r="S1876" s="6"/>
      <c r="T1876" s="6"/>
      <c r="U1876" s="6"/>
      <c r="V1876" s="6"/>
      <c r="W1876" s="6"/>
      <c r="X1876" s="6"/>
      <c r="Y1876" s="6"/>
      <c r="Z1876" s="6"/>
      <c r="AA1876" s="6"/>
      <c r="AB1876" s="6"/>
      <c r="AC1876" s="6"/>
      <c r="AD1876" s="6"/>
      <c r="AE1876" s="6"/>
    </row>
    <row r="1877" spans="1:31" ht="12.75" x14ac:dyDescent="0.2">
      <c r="A1877" s="6"/>
      <c r="B1877" s="6"/>
      <c r="C1877" s="20"/>
      <c r="D1877" s="6"/>
      <c r="E1877" s="6"/>
      <c r="F1877" s="6"/>
      <c r="G1877" s="6"/>
      <c r="H1877" s="6"/>
      <c r="I1877" s="6"/>
      <c r="J1877" s="6"/>
      <c r="K1877" s="6"/>
      <c r="L1877" s="6"/>
      <c r="M1877" s="6"/>
      <c r="N1877" s="6"/>
      <c r="O1877" s="6"/>
      <c r="P1877" s="6"/>
      <c r="Q1877" s="6"/>
      <c r="R1877" s="6"/>
      <c r="S1877" s="6"/>
      <c r="T1877" s="6"/>
      <c r="U1877" s="6"/>
      <c r="V1877" s="6"/>
      <c r="W1877" s="6"/>
      <c r="X1877" s="6"/>
      <c r="Y1877" s="6"/>
      <c r="Z1877" s="6"/>
      <c r="AA1877" s="6"/>
      <c r="AB1877" s="6"/>
      <c r="AC1877" s="6"/>
      <c r="AD1877" s="6"/>
      <c r="AE1877" s="6"/>
    </row>
    <row r="1878" spans="1:31" ht="12.75" x14ac:dyDescent="0.2">
      <c r="A1878" s="6"/>
      <c r="B1878" s="6"/>
      <c r="C1878" s="20"/>
      <c r="D1878" s="6"/>
      <c r="E1878" s="6"/>
      <c r="F1878" s="6"/>
      <c r="G1878" s="6"/>
      <c r="H1878" s="6"/>
      <c r="I1878" s="6"/>
      <c r="J1878" s="6"/>
      <c r="K1878" s="6"/>
      <c r="L1878" s="6"/>
      <c r="M1878" s="6"/>
      <c r="N1878" s="6"/>
      <c r="O1878" s="6"/>
      <c r="P1878" s="6"/>
      <c r="Q1878" s="6"/>
      <c r="R1878" s="6"/>
      <c r="S1878" s="6"/>
      <c r="T1878" s="6"/>
      <c r="U1878" s="6"/>
      <c r="V1878" s="6"/>
      <c r="W1878" s="6"/>
      <c r="X1878" s="6"/>
      <c r="Y1878" s="6"/>
      <c r="Z1878" s="6"/>
      <c r="AA1878" s="6"/>
      <c r="AB1878" s="6"/>
      <c r="AC1878" s="6"/>
      <c r="AD1878" s="6"/>
      <c r="AE1878" s="6"/>
    </row>
    <row r="1879" spans="1:31" ht="12.75" x14ac:dyDescent="0.2">
      <c r="A1879" s="6"/>
      <c r="B1879" s="6"/>
      <c r="C1879" s="20"/>
      <c r="D1879" s="6"/>
      <c r="E1879" s="6"/>
      <c r="F1879" s="6"/>
      <c r="G1879" s="6"/>
      <c r="H1879" s="6"/>
      <c r="I1879" s="6"/>
      <c r="J1879" s="6"/>
      <c r="K1879" s="6"/>
      <c r="L1879" s="6"/>
      <c r="M1879" s="6"/>
      <c r="N1879" s="6"/>
      <c r="O1879" s="6"/>
      <c r="P1879" s="6"/>
      <c r="Q1879" s="6"/>
      <c r="R1879" s="6"/>
      <c r="S1879" s="6"/>
      <c r="T1879" s="6"/>
      <c r="U1879" s="6"/>
      <c r="V1879" s="6"/>
      <c r="W1879" s="6"/>
      <c r="X1879" s="6"/>
      <c r="Y1879" s="6"/>
      <c r="Z1879" s="6"/>
      <c r="AA1879" s="6"/>
      <c r="AB1879" s="6"/>
      <c r="AC1879" s="6"/>
      <c r="AD1879" s="6"/>
      <c r="AE1879" s="6"/>
    </row>
    <row r="1880" spans="1:31" ht="12.75" x14ac:dyDescent="0.2">
      <c r="A1880" s="6"/>
      <c r="B1880" s="6"/>
      <c r="C1880" s="20"/>
      <c r="D1880" s="6"/>
      <c r="E1880" s="6"/>
      <c r="F1880" s="6"/>
      <c r="G1880" s="6"/>
      <c r="H1880" s="6"/>
      <c r="I1880" s="6"/>
      <c r="J1880" s="6"/>
      <c r="K1880" s="6"/>
      <c r="L1880" s="6"/>
      <c r="M1880" s="6"/>
      <c r="N1880" s="6"/>
      <c r="O1880" s="6"/>
      <c r="P1880" s="6"/>
      <c r="Q1880" s="6"/>
      <c r="R1880" s="6"/>
      <c r="S1880" s="6"/>
      <c r="T1880" s="6"/>
      <c r="U1880" s="6"/>
      <c r="V1880" s="6"/>
      <c r="W1880" s="6"/>
      <c r="X1880" s="6"/>
      <c r="Y1880" s="6"/>
      <c r="Z1880" s="6"/>
      <c r="AA1880" s="6"/>
      <c r="AB1880" s="6"/>
      <c r="AC1880" s="6"/>
      <c r="AD1880" s="6"/>
      <c r="AE1880" s="6"/>
    </row>
    <row r="1881" spans="1:31" ht="12.75" x14ac:dyDescent="0.2">
      <c r="A1881" s="6"/>
      <c r="B1881" s="6"/>
      <c r="C1881" s="20"/>
      <c r="D1881" s="6"/>
      <c r="E1881" s="6"/>
      <c r="F1881" s="6"/>
      <c r="G1881" s="6"/>
      <c r="H1881" s="6"/>
      <c r="I1881" s="6"/>
      <c r="J1881" s="6"/>
      <c r="K1881" s="6"/>
      <c r="L1881" s="6"/>
      <c r="M1881" s="6"/>
      <c r="N1881" s="6"/>
      <c r="O1881" s="6"/>
      <c r="P1881" s="6"/>
      <c r="Q1881" s="6"/>
      <c r="R1881" s="6"/>
      <c r="S1881" s="6"/>
      <c r="T1881" s="6"/>
      <c r="U1881" s="6"/>
      <c r="V1881" s="6"/>
      <c r="W1881" s="6"/>
      <c r="X1881" s="6"/>
      <c r="Y1881" s="6"/>
      <c r="Z1881" s="6"/>
      <c r="AA1881" s="6"/>
      <c r="AB1881" s="6"/>
      <c r="AC1881" s="6"/>
      <c r="AD1881" s="6"/>
      <c r="AE1881" s="6"/>
    </row>
    <row r="1882" spans="1:31" ht="12.75" x14ac:dyDescent="0.2">
      <c r="A1882" s="6"/>
      <c r="B1882" s="6"/>
      <c r="C1882" s="20"/>
      <c r="D1882" s="6"/>
      <c r="E1882" s="6"/>
      <c r="F1882" s="6"/>
      <c r="G1882" s="6"/>
      <c r="H1882" s="6"/>
      <c r="I1882" s="6"/>
      <c r="J1882" s="6"/>
      <c r="K1882" s="6"/>
      <c r="L1882" s="6"/>
      <c r="M1882" s="6"/>
      <c r="N1882" s="6"/>
      <c r="O1882" s="6"/>
      <c r="P1882" s="6"/>
      <c r="Q1882" s="6"/>
      <c r="R1882" s="6"/>
      <c r="S1882" s="6"/>
      <c r="T1882" s="6"/>
      <c r="U1882" s="6"/>
      <c r="V1882" s="6"/>
      <c r="W1882" s="6"/>
      <c r="X1882" s="6"/>
      <c r="Y1882" s="6"/>
      <c r="Z1882" s="6"/>
      <c r="AA1882" s="6"/>
      <c r="AB1882" s="6"/>
      <c r="AC1882" s="6"/>
      <c r="AD1882" s="6"/>
      <c r="AE1882" s="6"/>
    </row>
    <row r="1883" spans="1:31" ht="12.75" x14ac:dyDescent="0.2">
      <c r="A1883" s="6"/>
      <c r="B1883" s="6"/>
      <c r="C1883" s="20"/>
      <c r="D1883" s="6"/>
      <c r="E1883" s="6"/>
      <c r="F1883" s="6"/>
      <c r="G1883" s="6"/>
      <c r="H1883" s="6"/>
      <c r="I1883" s="6"/>
      <c r="J1883" s="6"/>
      <c r="K1883" s="6"/>
      <c r="L1883" s="6"/>
      <c r="M1883" s="6"/>
      <c r="N1883" s="6"/>
      <c r="O1883" s="6"/>
      <c r="P1883" s="6"/>
      <c r="Q1883" s="6"/>
      <c r="R1883" s="6"/>
      <c r="S1883" s="6"/>
      <c r="T1883" s="6"/>
      <c r="U1883" s="6"/>
      <c r="V1883" s="6"/>
      <c r="W1883" s="6"/>
      <c r="X1883" s="6"/>
      <c r="Y1883" s="6"/>
      <c r="Z1883" s="6"/>
      <c r="AA1883" s="6"/>
      <c r="AB1883" s="6"/>
      <c r="AC1883" s="6"/>
      <c r="AD1883" s="6"/>
      <c r="AE1883" s="6"/>
    </row>
    <row r="1884" spans="1:31" ht="12.75" x14ac:dyDescent="0.2">
      <c r="A1884" s="6"/>
      <c r="B1884" s="6"/>
      <c r="C1884" s="20"/>
      <c r="D1884" s="6"/>
      <c r="E1884" s="6"/>
      <c r="F1884" s="6"/>
      <c r="G1884" s="6"/>
      <c r="H1884" s="6"/>
      <c r="I1884" s="6"/>
      <c r="J1884" s="6"/>
      <c r="K1884" s="6"/>
      <c r="L1884" s="6"/>
      <c r="M1884" s="6"/>
      <c r="N1884" s="6"/>
      <c r="O1884" s="6"/>
      <c r="P1884" s="6"/>
      <c r="Q1884" s="6"/>
      <c r="R1884" s="6"/>
      <c r="S1884" s="6"/>
      <c r="T1884" s="6"/>
      <c r="U1884" s="6"/>
      <c r="V1884" s="6"/>
      <c r="W1884" s="6"/>
      <c r="X1884" s="6"/>
      <c r="Y1884" s="6"/>
      <c r="Z1884" s="6"/>
      <c r="AA1884" s="6"/>
      <c r="AB1884" s="6"/>
      <c r="AC1884" s="6"/>
      <c r="AD1884" s="6"/>
      <c r="AE1884" s="6"/>
    </row>
    <row r="1885" spans="1:31" ht="12.75" x14ac:dyDescent="0.2">
      <c r="A1885" s="6"/>
      <c r="B1885" s="6"/>
      <c r="C1885" s="20"/>
      <c r="D1885" s="6"/>
      <c r="E1885" s="6"/>
      <c r="F1885" s="6"/>
      <c r="G1885" s="6"/>
      <c r="H1885" s="6"/>
      <c r="I1885" s="6"/>
      <c r="J1885" s="6"/>
      <c r="K1885" s="6"/>
      <c r="L1885" s="6"/>
      <c r="M1885" s="6"/>
      <c r="N1885" s="6"/>
      <c r="O1885" s="6"/>
      <c r="P1885" s="6"/>
      <c r="Q1885" s="6"/>
      <c r="R1885" s="6"/>
      <c r="S1885" s="6"/>
      <c r="T1885" s="6"/>
      <c r="U1885" s="6"/>
      <c r="V1885" s="6"/>
      <c r="W1885" s="6"/>
      <c r="X1885" s="6"/>
      <c r="Y1885" s="6"/>
      <c r="Z1885" s="6"/>
      <c r="AA1885" s="6"/>
      <c r="AB1885" s="6"/>
      <c r="AC1885" s="6"/>
      <c r="AD1885" s="6"/>
      <c r="AE1885" s="6"/>
    </row>
    <row r="1886" spans="1:31" ht="12.75" x14ac:dyDescent="0.2">
      <c r="A1886" s="6"/>
      <c r="B1886" s="6"/>
      <c r="C1886" s="20"/>
      <c r="D1886" s="6"/>
      <c r="E1886" s="6"/>
      <c r="F1886" s="6"/>
      <c r="G1886" s="6"/>
      <c r="H1886" s="6"/>
      <c r="I1886" s="6"/>
      <c r="J1886" s="6"/>
      <c r="K1886" s="6"/>
      <c r="L1886" s="6"/>
      <c r="M1886" s="6"/>
      <c r="N1886" s="6"/>
      <c r="O1886" s="6"/>
      <c r="P1886" s="6"/>
      <c r="Q1886" s="6"/>
      <c r="R1886" s="6"/>
      <c r="S1886" s="6"/>
      <c r="T1886" s="6"/>
      <c r="U1886" s="6"/>
      <c r="V1886" s="6"/>
      <c r="W1886" s="6"/>
      <c r="X1886" s="6"/>
      <c r="Y1886" s="6"/>
      <c r="Z1886" s="6"/>
      <c r="AA1886" s="6"/>
      <c r="AB1886" s="6"/>
      <c r="AC1886" s="6"/>
      <c r="AD1886" s="6"/>
      <c r="AE1886" s="6"/>
    </row>
    <row r="1887" spans="1:31" ht="12.75" x14ac:dyDescent="0.2">
      <c r="A1887" s="6"/>
      <c r="B1887" s="6"/>
      <c r="C1887" s="20"/>
      <c r="D1887" s="6"/>
      <c r="E1887" s="6"/>
      <c r="F1887" s="6"/>
      <c r="G1887" s="6"/>
      <c r="H1887" s="6"/>
      <c r="I1887" s="6"/>
      <c r="J1887" s="6"/>
      <c r="K1887" s="6"/>
      <c r="L1887" s="6"/>
      <c r="M1887" s="6"/>
      <c r="N1887" s="6"/>
      <c r="O1887" s="6"/>
      <c r="P1887" s="6"/>
      <c r="Q1887" s="6"/>
      <c r="R1887" s="6"/>
      <c r="S1887" s="6"/>
      <c r="T1887" s="6"/>
      <c r="U1887" s="6"/>
      <c r="V1887" s="6"/>
      <c r="W1887" s="6"/>
      <c r="X1887" s="6"/>
      <c r="Y1887" s="6"/>
      <c r="Z1887" s="6"/>
      <c r="AA1887" s="6"/>
      <c r="AB1887" s="6"/>
      <c r="AC1887" s="6"/>
      <c r="AD1887" s="6"/>
      <c r="AE1887" s="6"/>
    </row>
    <row r="1888" spans="1:31" ht="12.75" x14ac:dyDescent="0.2">
      <c r="A1888" s="6"/>
      <c r="B1888" s="6"/>
      <c r="C1888" s="20"/>
      <c r="D1888" s="6"/>
      <c r="E1888" s="6"/>
      <c r="F1888" s="6"/>
      <c r="G1888" s="6"/>
      <c r="H1888" s="6"/>
      <c r="I1888" s="6"/>
      <c r="J1888" s="6"/>
      <c r="K1888" s="6"/>
      <c r="L1888" s="6"/>
      <c r="M1888" s="6"/>
      <c r="N1888" s="6"/>
      <c r="O1888" s="6"/>
      <c r="P1888" s="6"/>
      <c r="Q1888" s="6"/>
      <c r="R1888" s="6"/>
      <c r="S1888" s="6"/>
      <c r="T1888" s="6"/>
      <c r="U1888" s="6"/>
      <c r="V1888" s="6"/>
      <c r="W1888" s="6"/>
      <c r="X1888" s="6"/>
      <c r="Y1888" s="6"/>
      <c r="Z1888" s="6"/>
      <c r="AA1888" s="6"/>
      <c r="AB1888" s="6"/>
      <c r="AC1888" s="6"/>
      <c r="AD1888" s="6"/>
      <c r="AE1888" s="6"/>
    </row>
    <row r="1889" spans="1:31" ht="12.75" x14ac:dyDescent="0.2">
      <c r="A1889" s="6"/>
      <c r="B1889" s="6"/>
      <c r="C1889" s="20"/>
      <c r="D1889" s="6"/>
      <c r="E1889" s="6"/>
      <c r="F1889" s="6"/>
      <c r="G1889" s="6"/>
      <c r="H1889" s="6"/>
      <c r="I1889" s="6"/>
      <c r="J1889" s="6"/>
      <c r="K1889" s="6"/>
      <c r="L1889" s="6"/>
      <c r="M1889" s="6"/>
      <c r="N1889" s="6"/>
      <c r="O1889" s="6"/>
      <c r="P1889" s="6"/>
      <c r="Q1889" s="6"/>
      <c r="R1889" s="6"/>
      <c r="S1889" s="6"/>
      <c r="T1889" s="6"/>
      <c r="U1889" s="6"/>
      <c r="V1889" s="6"/>
      <c r="W1889" s="6"/>
      <c r="X1889" s="6"/>
      <c r="Y1889" s="6"/>
      <c r="Z1889" s="6"/>
      <c r="AA1889" s="6"/>
      <c r="AB1889" s="6"/>
      <c r="AC1889" s="6"/>
      <c r="AD1889" s="6"/>
      <c r="AE1889" s="6"/>
    </row>
    <row r="1890" spans="1:31" ht="12.75" x14ac:dyDescent="0.2">
      <c r="A1890" s="6"/>
      <c r="B1890" s="6"/>
      <c r="C1890" s="20"/>
      <c r="D1890" s="6"/>
      <c r="E1890" s="6"/>
      <c r="F1890" s="6"/>
      <c r="G1890" s="6"/>
      <c r="H1890" s="6"/>
      <c r="I1890" s="6"/>
      <c r="J1890" s="6"/>
      <c r="K1890" s="6"/>
      <c r="L1890" s="6"/>
      <c r="M1890" s="6"/>
      <c r="N1890" s="6"/>
      <c r="O1890" s="6"/>
      <c r="P1890" s="6"/>
      <c r="Q1890" s="6"/>
      <c r="R1890" s="6"/>
      <c r="S1890" s="6"/>
      <c r="T1890" s="6"/>
      <c r="U1890" s="6"/>
      <c r="V1890" s="6"/>
      <c r="W1890" s="6"/>
      <c r="X1890" s="6"/>
      <c r="Y1890" s="6"/>
      <c r="Z1890" s="6"/>
      <c r="AA1890" s="6"/>
      <c r="AB1890" s="6"/>
      <c r="AC1890" s="6"/>
      <c r="AD1890" s="6"/>
      <c r="AE1890" s="6"/>
    </row>
    <row r="1891" spans="1:31" ht="12.75" x14ac:dyDescent="0.2">
      <c r="A1891" s="6"/>
      <c r="B1891" s="6"/>
      <c r="C1891" s="20"/>
      <c r="D1891" s="6"/>
      <c r="E1891" s="6"/>
      <c r="F1891" s="6"/>
      <c r="G1891" s="6"/>
      <c r="H1891" s="6"/>
      <c r="I1891" s="6"/>
      <c r="J1891" s="6"/>
      <c r="K1891" s="6"/>
      <c r="L1891" s="6"/>
      <c r="M1891" s="6"/>
      <c r="N1891" s="6"/>
      <c r="O1891" s="6"/>
      <c r="P1891" s="6"/>
      <c r="Q1891" s="6"/>
      <c r="R1891" s="6"/>
      <c r="S1891" s="6"/>
      <c r="T1891" s="6"/>
      <c r="U1891" s="6"/>
      <c r="V1891" s="6"/>
      <c r="W1891" s="6"/>
      <c r="X1891" s="6"/>
      <c r="Y1891" s="6"/>
      <c r="Z1891" s="6"/>
      <c r="AA1891" s="6"/>
      <c r="AB1891" s="6"/>
      <c r="AC1891" s="6"/>
      <c r="AD1891" s="6"/>
      <c r="AE1891" s="6"/>
    </row>
    <row r="1892" spans="1:31" ht="12.75" x14ac:dyDescent="0.2">
      <c r="A1892" s="6"/>
      <c r="B1892" s="6"/>
      <c r="C1892" s="20"/>
      <c r="D1892" s="6"/>
      <c r="E1892" s="6"/>
      <c r="F1892" s="6"/>
      <c r="G1892" s="6"/>
      <c r="H1892" s="6"/>
      <c r="I1892" s="6"/>
      <c r="J1892" s="6"/>
      <c r="K1892" s="6"/>
      <c r="L1892" s="6"/>
      <c r="M1892" s="6"/>
      <c r="N1892" s="6"/>
      <c r="O1892" s="6"/>
      <c r="P1892" s="6"/>
      <c r="Q1892" s="6"/>
      <c r="R1892" s="6"/>
      <c r="S1892" s="6"/>
      <c r="T1892" s="6"/>
      <c r="U1892" s="6"/>
      <c r="V1892" s="6"/>
      <c r="W1892" s="6"/>
      <c r="X1892" s="6"/>
      <c r="Y1892" s="6"/>
      <c r="Z1892" s="6"/>
      <c r="AA1892" s="6"/>
      <c r="AB1892" s="6"/>
      <c r="AC1892" s="6"/>
      <c r="AD1892" s="6"/>
      <c r="AE1892" s="6"/>
    </row>
    <row r="1893" spans="1:31" ht="12.75" x14ac:dyDescent="0.2">
      <c r="A1893" s="6"/>
      <c r="B1893" s="6"/>
      <c r="C1893" s="20"/>
      <c r="D1893" s="6"/>
      <c r="E1893" s="6"/>
      <c r="F1893" s="6"/>
      <c r="G1893" s="6"/>
      <c r="H1893" s="6"/>
      <c r="I1893" s="6"/>
      <c r="J1893" s="6"/>
      <c r="K1893" s="6"/>
      <c r="L1893" s="6"/>
      <c r="M1893" s="6"/>
      <c r="N1893" s="6"/>
      <c r="O1893" s="6"/>
      <c r="P1893" s="6"/>
      <c r="Q1893" s="6"/>
      <c r="R1893" s="6"/>
      <c r="S1893" s="6"/>
      <c r="T1893" s="6"/>
      <c r="U1893" s="6"/>
      <c r="V1893" s="6"/>
      <c r="W1893" s="6"/>
      <c r="X1893" s="6"/>
      <c r="Y1893" s="6"/>
      <c r="Z1893" s="6"/>
      <c r="AA1893" s="6"/>
      <c r="AB1893" s="6"/>
      <c r="AC1893" s="6"/>
      <c r="AD1893" s="6"/>
      <c r="AE1893" s="6"/>
    </row>
    <row r="1894" spans="1:31" ht="12.75" x14ac:dyDescent="0.2">
      <c r="A1894" s="6"/>
      <c r="B1894" s="6"/>
      <c r="C1894" s="20"/>
      <c r="D1894" s="6"/>
      <c r="E1894" s="6"/>
      <c r="F1894" s="6"/>
      <c r="G1894" s="6"/>
      <c r="H1894" s="6"/>
      <c r="I1894" s="6"/>
      <c r="J1894" s="6"/>
      <c r="K1894" s="6"/>
      <c r="L1894" s="6"/>
      <c r="M1894" s="6"/>
      <c r="N1894" s="6"/>
      <c r="O1894" s="6"/>
      <c r="P1894" s="6"/>
      <c r="Q1894" s="6"/>
      <c r="R1894" s="6"/>
      <c r="S1894" s="6"/>
      <c r="T1894" s="6"/>
      <c r="U1894" s="6"/>
      <c r="V1894" s="6"/>
      <c r="W1894" s="6"/>
      <c r="X1894" s="6"/>
      <c r="Y1894" s="6"/>
      <c r="Z1894" s="6"/>
      <c r="AA1894" s="6"/>
      <c r="AB1894" s="6"/>
      <c r="AC1894" s="6"/>
      <c r="AD1894" s="6"/>
      <c r="AE1894" s="6"/>
    </row>
    <row r="1895" spans="1:31" ht="12.75" x14ac:dyDescent="0.2">
      <c r="A1895" s="6"/>
      <c r="B1895" s="6"/>
      <c r="C1895" s="20"/>
      <c r="D1895" s="6"/>
      <c r="E1895" s="6"/>
      <c r="F1895" s="6"/>
      <c r="G1895" s="6"/>
      <c r="H1895" s="6"/>
      <c r="I1895" s="6"/>
      <c r="J1895" s="6"/>
      <c r="K1895" s="6"/>
      <c r="L1895" s="6"/>
      <c r="M1895" s="6"/>
      <c r="N1895" s="6"/>
      <c r="O1895" s="6"/>
      <c r="P1895" s="6"/>
      <c r="Q1895" s="6"/>
      <c r="R1895" s="6"/>
      <c r="S1895" s="6"/>
      <c r="T1895" s="6"/>
      <c r="U1895" s="6"/>
      <c r="V1895" s="6"/>
      <c r="W1895" s="6"/>
      <c r="X1895" s="6"/>
      <c r="Y1895" s="6"/>
      <c r="Z1895" s="6"/>
      <c r="AA1895" s="6"/>
      <c r="AB1895" s="6"/>
      <c r="AC1895" s="6"/>
      <c r="AD1895" s="6"/>
      <c r="AE1895" s="6"/>
    </row>
    <row r="1896" spans="1:31" ht="12.75" x14ac:dyDescent="0.2">
      <c r="A1896" s="6"/>
      <c r="B1896" s="6"/>
      <c r="C1896" s="20"/>
      <c r="D1896" s="6"/>
      <c r="E1896" s="6"/>
      <c r="F1896" s="6"/>
      <c r="G1896" s="6"/>
      <c r="H1896" s="6"/>
      <c r="I1896" s="6"/>
      <c r="J1896" s="6"/>
      <c r="K1896" s="6"/>
      <c r="L1896" s="6"/>
      <c r="M1896" s="6"/>
      <c r="N1896" s="6"/>
      <c r="O1896" s="6"/>
      <c r="P1896" s="6"/>
      <c r="Q1896" s="6"/>
      <c r="R1896" s="6"/>
      <c r="S1896" s="6"/>
      <c r="T1896" s="6"/>
      <c r="U1896" s="6"/>
      <c r="V1896" s="6"/>
      <c r="W1896" s="6"/>
      <c r="X1896" s="6"/>
      <c r="Y1896" s="6"/>
      <c r="Z1896" s="6"/>
      <c r="AA1896" s="6"/>
      <c r="AB1896" s="6"/>
      <c r="AC1896" s="6"/>
      <c r="AD1896" s="6"/>
      <c r="AE1896" s="6"/>
    </row>
    <row r="1897" spans="1:31" ht="12.75" x14ac:dyDescent="0.2">
      <c r="A1897" s="6"/>
      <c r="B1897" s="6"/>
      <c r="C1897" s="20"/>
      <c r="D1897" s="6"/>
      <c r="E1897" s="6"/>
      <c r="F1897" s="6"/>
      <c r="G1897" s="6"/>
      <c r="H1897" s="6"/>
      <c r="I1897" s="6"/>
      <c r="J1897" s="6"/>
      <c r="K1897" s="6"/>
      <c r="L1897" s="6"/>
      <c r="M1897" s="6"/>
      <c r="N1897" s="6"/>
      <c r="O1897" s="6"/>
      <c r="P1897" s="6"/>
      <c r="Q1897" s="6"/>
      <c r="R1897" s="6"/>
      <c r="S1897" s="6"/>
      <c r="T1897" s="6"/>
      <c r="U1897" s="6"/>
      <c r="V1897" s="6"/>
      <c r="W1897" s="6"/>
      <c r="X1897" s="6"/>
      <c r="Y1897" s="6"/>
      <c r="Z1897" s="6"/>
      <c r="AA1897" s="6"/>
      <c r="AB1897" s="6"/>
      <c r="AC1897" s="6"/>
      <c r="AD1897" s="6"/>
      <c r="AE1897" s="6"/>
    </row>
    <row r="1898" spans="1:31" ht="12.75" x14ac:dyDescent="0.2">
      <c r="A1898" s="6"/>
      <c r="B1898" s="6"/>
      <c r="C1898" s="20"/>
      <c r="D1898" s="6"/>
      <c r="E1898" s="6"/>
      <c r="F1898" s="6"/>
      <c r="G1898" s="6"/>
      <c r="H1898" s="6"/>
      <c r="I1898" s="6"/>
      <c r="J1898" s="6"/>
      <c r="K1898" s="6"/>
      <c r="L1898" s="6"/>
      <c r="M1898" s="6"/>
      <c r="N1898" s="6"/>
      <c r="O1898" s="6"/>
      <c r="P1898" s="6"/>
      <c r="Q1898" s="6"/>
      <c r="R1898" s="6"/>
      <c r="S1898" s="6"/>
      <c r="T1898" s="6"/>
      <c r="U1898" s="6"/>
      <c r="V1898" s="6"/>
      <c r="W1898" s="6"/>
      <c r="X1898" s="6"/>
      <c r="Y1898" s="6"/>
      <c r="Z1898" s="6"/>
      <c r="AA1898" s="6"/>
      <c r="AB1898" s="6"/>
      <c r="AC1898" s="6"/>
      <c r="AD1898" s="6"/>
      <c r="AE1898" s="6"/>
    </row>
    <row r="1899" spans="1:31" ht="12.75" x14ac:dyDescent="0.2">
      <c r="A1899" s="6"/>
      <c r="B1899" s="6"/>
      <c r="C1899" s="20"/>
      <c r="D1899" s="6"/>
      <c r="E1899" s="6"/>
      <c r="F1899" s="6"/>
      <c r="G1899" s="6"/>
      <c r="H1899" s="6"/>
      <c r="I1899" s="6"/>
      <c r="J1899" s="6"/>
      <c r="K1899" s="6"/>
      <c r="L1899" s="6"/>
      <c r="M1899" s="6"/>
      <c r="N1899" s="6"/>
      <c r="O1899" s="6"/>
      <c r="P1899" s="6"/>
      <c r="Q1899" s="6"/>
      <c r="R1899" s="6"/>
      <c r="S1899" s="6"/>
      <c r="T1899" s="6"/>
      <c r="U1899" s="6"/>
      <c r="V1899" s="6"/>
      <c r="W1899" s="6"/>
      <c r="X1899" s="6"/>
      <c r="Y1899" s="6"/>
      <c r="Z1899" s="6"/>
      <c r="AA1899" s="6"/>
      <c r="AB1899" s="6"/>
      <c r="AC1899" s="6"/>
      <c r="AD1899" s="6"/>
      <c r="AE1899" s="6"/>
    </row>
    <row r="1900" spans="1:31" ht="12.75" x14ac:dyDescent="0.2">
      <c r="A1900" s="6"/>
      <c r="B1900" s="6"/>
      <c r="C1900" s="20"/>
      <c r="D1900" s="6"/>
      <c r="E1900" s="6"/>
      <c r="F1900" s="6"/>
      <c r="G1900" s="6"/>
      <c r="H1900" s="6"/>
      <c r="I1900" s="6"/>
      <c r="J1900" s="6"/>
      <c r="K1900" s="6"/>
      <c r="L1900" s="6"/>
      <c r="M1900" s="6"/>
      <c r="N1900" s="6"/>
      <c r="O1900" s="6"/>
      <c r="P1900" s="6"/>
      <c r="Q1900" s="6"/>
      <c r="R1900" s="6"/>
      <c r="S1900" s="6"/>
      <c r="T1900" s="6"/>
      <c r="U1900" s="6"/>
      <c r="V1900" s="6"/>
      <c r="W1900" s="6"/>
      <c r="X1900" s="6"/>
      <c r="Y1900" s="6"/>
      <c r="Z1900" s="6"/>
      <c r="AA1900" s="6"/>
      <c r="AB1900" s="6"/>
      <c r="AC1900" s="6"/>
      <c r="AD1900" s="6"/>
      <c r="AE1900" s="6"/>
    </row>
    <row r="1901" spans="1:31" ht="12.75" x14ac:dyDescent="0.2">
      <c r="A1901" s="6"/>
      <c r="B1901" s="6"/>
      <c r="C1901" s="20"/>
      <c r="D1901" s="6"/>
      <c r="E1901" s="6"/>
      <c r="F1901" s="6"/>
      <c r="G1901" s="6"/>
      <c r="H1901" s="6"/>
      <c r="I1901" s="6"/>
      <c r="J1901" s="6"/>
      <c r="K1901" s="6"/>
      <c r="L1901" s="6"/>
      <c r="M1901" s="6"/>
      <c r="N1901" s="6"/>
      <c r="O1901" s="6"/>
      <c r="P1901" s="6"/>
      <c r="Q1901" s="6"/>
      <c r="R1901" s="6"/>
      <c r="S1901" s="6"/>
      <c r="T1901" s="6"/>
      <c r="U1901" s="6"/>
      <c r="V1901" s="6"/>
      <c r="W1901" s="6"/>
      <c r="X1901" s="6"/>
      <c r="Y1901" s="6"/>
      <c r="Z1901" s="6"/>
      <c r="AA1901" s="6"/>
      <c r="AB1901" s="6"/>
      <c r="AC1901" s="6"/>
      <c r="AD1901" s="6"/>
      <c r="AE1901" s="6"/>
    </row>
    <row r="1902" spans="1:31" ht="12.75" x14ac:dyDescent="0.2">
      <c r="A1902" s="6"/>
      <c r="B1902" s="6"/>
      <c r="C1902" s="20"/>
      <c r="D1902" s="6"/>
      <c r="E1902" s="6"/>
      <c r="F1902" s="6"/>
      <c r="G1902" s="6"/>
      <c r="H1902" s="6"/>
      <c r="I1902" s="6"/>
      <c r="J1902" s="6"/>
      <c r="K1902" s="6"/>
      <c r="L1902" s="6"/>
      <c r="M1902" s="6"/>
      <c r="N1902" s="6"/>
      <c r="O1902" s="6"/>
      <c r="P1902" s="6"/>
      <c r="Q1902" s="6"/>
      <c r="R1902" s="6"/>
      <c r="S1902" s="6"/>
      <c r="T1902" s="6"/>
      <c r="U1902" s="6"/>
      <c r="V1902" s="6"/>
      <c r="W1902" s="6"/>
      <c r="X1902" s="6"/>
      <c r="Y1902" s="6"/>
      <c r="Z1902" s="6"/>
      <c r="AA1902" s="6"/>
      <c r="AB1902" s="6"/>
      <c r="AC1902" s="6"/>
      <c r="AD1902" s="6"/>
      <c r="AE1902" s="6"/>
    </row>
    <row r="1903" spans="1:31" ht="12.75" x14ac:dyDescent="0.2">
      <c r="A1903" s="6"/>
      <c r="B1903" s="6"/>
      <c r="C1903" s="20"/>
      <c r="D1903" s="6"/>
      <c r="E1903" s="6"/>
      <c r="F1903" s="6"/>
      <c r="G1903" s="6"/>
      <c r="H1903" s="6"/>
      <c r="I1903" s="6"/>
      <c r="J1903" s="6"/>
      <c r="K1903" s="6"/>
      <c r="L1903" s="6"/>
      <c r="M1903" s="6"/>
      <c r="N1903" s="6"/>
      <c r="O1903" s="6"/>
      <c r="P1903" s="6"/>
      <c r="Q1903" s="6"/>
      <c r="R1903" s="6"/>
      <c r="S1903" s="6"/>
      <c r="T1903" s="6"/>
      <c r="U1903" s="6"/>
      <c r="V1903" s="6"/>
      <c r="W1903" s="6"/>
      <c r="X1903" s="6"/>
      <c r="Y1903" s="6"/>
      <c r="Z1903" s="6"/>
      <c r="AA1903" s="6"/>
      <c r="AB1903" s="6"/>
      <c r="AC1903" s="6"/>
      <c r="AD1903" s="6"/>
      <c r="AE1903" s="6"/>
    </row>
    <row r="1904" spans="1:31" ht="12.75" x14ac:dyDescent="0.2">
      <c r="A1904" s="6"/>
      <c r="B1904" s="6"/>
      <c r="C1904" s="20"/>
      <c r="D1904" s="6"/>
      <c r="E1904" s="6"/>
      <c r="F1904" s="6"/>
      <c r="G1904" s="6"/>
      <c r="H1904" s="6"/>
      <c r="I1904" s="6"/>
      <c r="J1904" s="6"/>
      <c r="K1904" s="6"/>
      <c r="L1904" s="6"/>
      <c r="M1904" s="6"/>
      <c r="N1904" s="6"/>
      <c r="O1904" s="6"/>
      <c r="P1904" s="6"/>
      <c r="Q1904" s="6"/>
      <c r="R1904" s="6"/>
      <c r="S1904" s="6"/>
      <c r="T1904" s="6"/>
      <c r="U1904" s="6"/>
      <c r="V1904" s="6"/>
      <c r="W1904" s="6"/>
      <c r="X1904" s="6"/>
      <c r="Y1904" s="6"/>
      <c r="Z1904" s="6"/>
      <c r="AA1904" s="6"/>
      <c r="AB1904" s="6"/>
      <c r="AC1904" s="6"/>
      <c r="AD1904" s="6"/>
      <c r="AE1904" s="6"/>
    </row>
    <row r="1905" spans="1:31" ht="12.75" x14ac:dyDescent="0.2">
      <c r="A1905" s="6"/>
      <c r="B1905" s="6"/>
      <c r="C1905" s="20"/>
      <c r="D1905" s="6"/>
      <c r="E1905" s="6"/>
      <c r="F1905" s="6"/>
      <c r="G1905" s="6"/>
      <c r="H1905" s="6"/>
      <c r="I1905" s="6"/>
      <c r="J1905" s="6"/>
      <c r="K1905" s="6"/>
      <c r="L1905" s="6"/>
      <c r="M1905" s="6"/>
      <c r="N1905" s="6"/>
      <c r="O1905" s="6"/>
      <c r="P1905" s="6"/>
      <c r="Q1905" s="6"/>
      <c r="R1905" s="6"/>
      <c r="S1905" s="6"/>
      <c r="T1905" s="6"/>
      <c r="U1905" s="6"/>
      <c r="V1905" s="6"/>
      <c r="W1905" s="6"/>
      <c r="X1905" s="6"/>
      <c r="Y1905" s="6"/>
      <c r="Z1905" s="6"/>
      <c r="AA1905" s="6"/>
      <c r="AB1905" s="6"/>
      <c r="AC1905" s="6"/>
      <c r="AD1905" s="6"/>
      <c r="AE1905" s="6"/>
    </row>
    <row r="1906" spans="1:31" ht="12.75" x14ac:dyDescent="0.2">
      <c r="A1906" s="6"/>
      <c r="B1906" s="6"/>
      <c r="C1906" s="20"/>
      <c r="D1906" s="6"/>
      <c r="E1906" s="6"/>
      <c r="F1906" s="6"/>
      <c r="G1906" s="6"/>
      <c r="H1906" s="6"/>
      <c r="I1906" s="6"/>
      <c r="J1906" s="6"/>
      <c r="K1906" s="6"/>
      <c r="L1906" s="6"/>
      <c r="M1906" s="6"/>
      <c r="N1906" s="6"/>
      <c r="O1906" s="6"/>
      <c r="P1906" s="6"/>
      <c r="Q1906" s="6"/>
      <c r="R1906" s="6"/>
      <c r="S1906" s="6"/>
      <c r="T1906" s="6"/>
      <c r="U1906" s="6"/>
      <c r="V1906" s="6"/>
      <c r="W1906" s="6"/>
      <c r="X1906" s="6"/>
      <c r="Y1906" s="6"/>
      <c r="Z1906" s="6"/>
      <c r="AA1906" s="6"/>
      <c r="AB1906" s="6"/>
      <c r="AC1906" s="6"/>
      <c r="AD1906" s="6"/>
      <c r="AE1906" s="6"/>
    </row>
    <row r="1907" spans="1:31" ht="12.75" x14ac:dyDescent="0.2">
      <c r="A1907" s="6"/>
      <c r="B1907" s="6"/>
      <c r="C1907" s="20"/>
      <c r="D1907" s="6"/>
      <c r="E1907" s="6"/>
      <c r="F1907" s="6"/>
      <c r="G1907" s="6"/>
      <c r="H1907" s="6"/>
      <c r="I1907" s="6"/>
      <c r="J1907" s="6"/>
      <c r="K1907" s="6"/>
      <c r="L1907" s="6"/>
      <c r="M1907" s="6"/>
      <c r="N1907" s="6"/>
      <c r="O1907" s="6"/>
      <c r="P1907" s="6"/>
      <c r="Q1907" s="6"/>
      <c r="R1907" s="6"/>
      <c r="S1907" s="6"/>
      <c r="T1907" s="6"/>
      <c r="U1907" s="6"/>
      <c r="V1907" s="6"/>
      <c r="W1907" s="6"/>
      <c r="X1907" s="6"/>
      <c r="Y1907" s="6"/>
      <c r="Z1907" s="6"/>
      <c r="AA1907" s="6"/>
      <c r="AB1907" s="6"/>
      <c r="AC1907" s="6"/>
      <c r="AD1907" s="6"/>
      <c r="AE1907" s="6"/>
    </row>
    <row r="1908" spans="1:31" ht="12.75" x14ac:dyDescent="0.2">
      <c r="A1908" s="6"/>
      <c r="B1908" s="6"/>
      <c r="C1908" s="20"/>
      <c r="D1908" s="6"/>
      <c r="E1908" s="6"/>
      <c r="F1908" s="6"/>
      <c r="G1908" s="6"/>
      <c r="H1908" s="6"/>
      <c r="I1908" s="6"/>
      <c r="J1908" s="6"/>
      <c r="K1908" s="6"/>
      <c r="L1908" s="6"/>
      <c r="M1908" s="6"/>
      <c r="N1908" s="6"/>
      <c r="O1908" s="6"/>
      <c r="P1908" s="6"/>
      <c r="Q1908" s="6"/>
      <c r="R1908" s="6"/>
      <c r="S1908" s="6"/>
      <c r="T1908" s="6"/>
      <c r="U1908" s="6"/>
      <c r="V1908" s="6"/>
      <c r="W1908" s="6"/>
      <c r="X1908" s="6"/>
      <c r="Y1908" s="6"/>
      <c r="Z1908" s="6"/>
      <c r="AA1908" s="6"/>
      <c r="AB1908" s="6"/>
      <c r="AC1908" s="6"/>
      <c r="AD1908" s="6"/>
      <c r="AE1908" s="6"/>
    </row>
    <row r="1909" spans="1:31" ht="12.75" x14ac:dyDescent="0.2">
      <c r="A1909" s="6"/>
      <c r="B1909" s="6"/>
      <c r="C1909" s="20"/>
      <c r="D1909" s="6"/>
      <c r="E1909" s="6"/>
      <c r="F1909" s="6"/>
      <c r="G1909" s="6"/>
      <c r="H1909" s="6"/>
      <c r="I1909" s="6"/>
      <c r="J1909" s="6"/>
      <c r="K1909" s="6"/>
      <c r="L1909" s="6"/>
      <c r="M1909" s="6"/>
      <c r="N1909" s="6"/>
      <c r="O1909" s="6"/>
      <c r="P1909" s="6"/>
      <c r="Q1909" s="6"/>
      <c r="R1909" s="6"/>
      <c r="S1909" s="6"/>
      <c r="T1909" s="6"/>
      <c r="U1909" s="6"/>
      <c r="V1909" s="6"/>
      <c r="W1909" s="6"/>
      <c r="X1909" s="6"/>
      <c r="Y1909" s="6"/>
      <c r="Z1909" s="6"/>
      <c r="AA1909" s="6"/>
      <c r="AB1909" s="6"/>
      <c r="AC1909" s="6"/>
      <c r="AD1909" s="6"/>
      <c r="AE1909" s="6"/>
    </row>
    <row r="1910" spans="1:31" ht="12.75" x14ac:dyDescent="0.2">
      <c r="A1910" s="6"/>
      <c r="B1910" s="6"/>
      <c r="C1910" s="20"/>
      <c r="D1910" s="6"/>
      <c r="E1910" s="6"/>
      <c r="F1910" s="6"/>
      <c r="G1910" s="6"/>
      <c r="H1910" s="6"/>
      <c r="I1910" s="6"/>
      <c r="J1910" s="6"/>
      <c r="K1910" s="6"/>
      <c r="L1910" s="6"/>
      <c r="M1910" s="6"/>
      <c r="N1910" s="6"/>
      <c r="O1910" s="6"/>
      <c r="P1910" s="6"/>
      <c r="Q1910" s="6"/>
      <c r="R1910" s="6"/>
      <c r="S1910" s="6"/>
      <c r="T1910" s="6"/>
      <c r="U1910" s="6"/>
      <c r="V1910" s="6"/>
      <c r="W1910" s="6"/>
      <c r="X1910" s="6"/>
      <c r="Y1910" s="6"/>
      <c r="Z1910" s="6"/>
      <c r="AA1910" s="6"/>
      <c r="AB1910" s="6"/>
      <c r="AC1910" s="6"/>
      <c r="AD1910" s="6"/>
      <c r="AE1910" s="6"/>
    </row>
    <row r="1911" spans="1:31" ht="12.75" x14ac:dyDescent="0.2">
      <c r="A1911" s="6"/>
      <c r="B1911" s="6"/>
      <c r="C1911" s="20"/>
      <c r="D1911" s="6"/>
      <c r="E1911" s="6"/>
      <c r="F1911" s="6"/>
      <c r="G1911" s="6"/>
      <c r="H1911" s="6"/>
      <c r="I1911" s="6"/>
      <c r="J1911" s="6"/>
      <c r="K1911" s="6"/>
      <c r="L1911" s="6"/>
      <c r="M1911" s="6"/>
      <c r="N1911" s="6"/>
      <c r="O1911" s="6"/>
      <c r="P1911" s="6"/>
      <c r="Q1911" s="6"/>
      <c r="R1911" s="6"/>
      <c r="S1911" s="6"/>
      <c r="T1911" s="6"/>
      <c r="U1911" s="6"/>
      <c r="V1911" s="6"/>
      <c r="W1911" s="6"/>
      <c r="X1911" s="6"/>
      <c r="Y1911" s="6"/>
      <c r="Z1911" s="6"/>
      <c r="AA1911" s="6"/>
      <c r="AB1911" s="6"/>
      <c r="AC1911" s="6"/>
      <c r="AD1911" s="6"/>
      <c r="AE1911" s="6"/>
    </row>
    <row r="1912" spans="1:31" ht="12.75" x14ac:dyDescent="0.2">
      <c r="A1912" s="6"/>
      <c r="B1912" s="6"/>
      <c r="C1912" s="20"/>
      <c r="D1912" s="6"/>
      <c r="E1912" s="6"/>
      <c r="F1912" s="6"/>
      <c r="G1912" s="6"/>
      <c r="H1912" s="6"/>
      <c r="I1912" s="6"/>
      <c r="J1912" s="6"/>
      <c r="K1912" s="6"/>
      <c r="L1912" s="6"/>
      <c r="M1912" s="6"/>
      <c r="N1912" s="6"/>
      <c r="O1912" s="6"/>
      <c r="P1912" s="6"/>
      <c r="Q1912" s="6"/>
      <c r="R1912" s="6"/>
      <c r="S1912" s="6"/>
      <c r="T1912" s="6"/>
      <c r="U1912" s="6"/>
      <c r="V1912" s="6"/>
      <c r="W1912" s="6"/>
      <c r="X1912" s="6"/>
      <c r="Y1912" s="6"/>
      <c r="Z1912" s="6"/>
      <c r="AA1912" s="6"/>
      <c r="AB1912" s="6"/>
      <c r="AC1912" s="6"/>
      <c r="AD1912" s="6"/>
      <c r="AE1912" s="6"/>
    </row>
    <row r="1913" spans="1:31" ht="12.75" x14ac:dyDescent="0.2">
      <c r="A1913" s="6"/>
      <c r="B1913" s="6"/>
      <c r="C1913" s="20"/>
      <c r="D1913" s="6"/>
      <c r="E1913" s="6"/>
      <c r="F1913" s="6"/>
      <c r="G1913" s="6"/>
      <c r="H1913" s="6"/>
      <c r="I1913" s="6"/>
      <c r="J1913" s="6"/>
      <c r="K1913" s="6"/>
      <c r="L1913" s="6"/>
      <c r="M1913" s="6"/>
      <c r="N1913" s="6"/>
      <c r="O1913" s="6"/>
      <c r="P1913" s="6"/>
      <c r="Q1913" s="6"/>
      <c r="R1913" s="6"/>
      <c r="S1913" s="6"/>
      <c r="T1913" s="6"/>
      <c r="U1913" s="6"/>
      <c r="V1913" s="6"/>
      <c r="W1913" s="6"/>
      <c r="X1913" s="6"/>
      <c r="Y1913" s="6"/>
      <c r="Z1913" s="6"/>
      <c r="AA1913" s="6"/>
      <c r="AB1913" s="6"/>
      <c r="AC1913" s="6"/>
      <c r="AD1913" s="6"/>
      <c r="AE1913" s="6"/>
    </row>
    <row r="1914" spans="1:31" ht="12.75" x14ac:dyDescent="0.2">
      <c r="A1914" s="6"/>
      <c r="B1914" s="6"/>
      <c r="C1914" s="20"/>
      <c r="D1914" s="6"/>
      <c r="E1914" s="6"/>
      <c r="F1914" s="6"/>
      <c r="G1914" s="6"/>
      <c r="H1914" s="6"/>
      <c r="I1914" s="6"/>
      <c r="J1914" s="6"/>
      <c r="K1914" s="6"/>
      <c r="L1914" s="6"/>
      <c r="M1914" s="6"/>
      <c r="N1914" s="6"/>
      <c r="O1914" s="6"/>
      <c r="P1914" s="6"/>
      <c r="Q1914" s="6"/>
      <c r="R1914" s="6"/>
      <c r="S1914" s="6"/>
      <c r="T1914" s="6"/>
      <c r="U1914" s="6"/>
      <c r="V1914" s="6"/>
      <c r="W1914" s="6"/>
      <c r="X1914" s="6"/>
      <c r="Y1914" s="6"/>
      <c r="Z1914" s="6"/>
      <c r="AA1914" s="6"/>
      <c r="AB1914" s="6"/>
      <c r="AC1914" s="6"/>
      <c r="AD1914" s="6"/>
      <c r="AE1914" s="6"/>
    </row>
    <row r="1915" spans="1:31" ht="12.75" x14ac:dyDescent="0.2">
      <c r="A1915" s="6"/>
      <c r="B1915" s="6"/>
      <c r="C1915" s="20"/>
      <c r="D1915" s="6"/>
      <c r="E1915" s="6"/>
      <c r="F1915" s="6"/>
      <c r="G1915" s="6"/>
      <c r="H1915" s="6"/>
      <c r="I1915" s="6"/>
      <c r="J1915" s="6"/>
      <c r="K1915" s="6"/>
      <c r="L1915" s="6"/>
      <c r="M1915" s="6"/>
      <c r="N1915" s="6"/>
      <c r="O1915" s="6"/>
      <c r="P1915" s="6"/>
      <c r="Q1915" s="6"/>
      <c r="R1915" s="6"/>
      <c r="S1915" s="6"/>
      <c r="T1915" s="6"/>
      <c r="U1915" s="6"/>
      <c r="V1915" s="6"/>
      <c r="W1915" s="6"/>
      <c r="X1915" s="6"/>
      <c r="Y1915" s="6"/>
      <c r="Z1915" s="6"/>
      <c r="AA1915" s="6"/>
      <c r="AB1915" s="6"/>
      <c r="AC1915" s="6"/>
      <c r="AD1915" s="6"/>
      <c r="AE1915" s="6"/>
    </row>
    <row r="1916" spans="1:31" ht="12.75" x14ac:dyDescent="0.2">
      <c r="A1916" s="6"/>
      <c r="B1916" s="6"/>
      <c r="C1916" s="20"/>
      <c r="D1916" s="6"/>
      <c r="E1916" s="6"/>
      <c r="F1916" s="6"/>
      <c r="G1916" s="6"/>
      <c r="H1916" s="6"/>
      <c r="I1916" s="6"/>
      <c r="J1916" s="6"/>
      <c r="K1916" s="6"/>
      <c r="L1916" s="6"/>
      <c r="M1916" s="6"/>
      <c r="N1916" s="6"/>
      <c r="O1916" s="6"/>
      <c r="P1916" s="6"/>
      <c r="Q1916" s="6"/>
      <c r="R1916" s="6"/>
      <c r="S1916" s="6"/>
      <c r="T1916" s="6"/>
      <c r="U1916" s="6"/>
      <c r="V1916" s="6"/>
      <c r="W1916" s="6"/>
      <c r="X1916" s="6"/>
      <c r="Y1916" s="6"/>
      <c r="Z1916" s="6"/>
      <c r="AA1916" s="6"/>
      <c r="AB1916" s="6"/>
      <c r="AC1916" s="6"/>
      <c r="AD1916" s="6"/>
      <c r="AE1916" s="6"/>
    </row>
    <row r="1917" spans="1:31" ht="12.75" x14ac:dyDescent="0.2">
      <c r="A1917" s="6"/>
      <c r="B1917" s="6"/>
      <c r="C1917" s="20"/>
      <c r="D1917" s="6"/>
      <c r="E1917" s="6"/>
      <c r="F1917" s="6"/>
      <c r="G1917" s="6"/>
      <c r="H1917" s="6"/>
      <c r="I1917" s="6"/>
      <c r="J1917" s="6"/>
      <c r="K1917" s="6"/>
      <c r="L1917" s="6"/>
      <c r="M1917" s="6"/>
      <c r="N1917" s="6"/>
      <c r="O1917" s="6"/>
      <c r="P1917" s="6"/>
      <c r="Q1917" s="6"/>
      <c r="R1917" s="6"/>
      <c r="S1917" s="6"/>
      <c r="T1917" s="6"/>
      <c r="U1917" s="6"/>
      <c r="V1917" s="6"/>
      <c r="W1917" s="6"/>
      <c r="X1917" s="6"/>
      <c r="Y1917" s="6"/>
      <c r="Z1917" s="6"/>
      <c r="AA1917" s="6"/>
      <c r="AB1917" s="6"/>
      <c r="AC1917" s="6"/>
      <c r="AD1917" s="6"/>
      <c r="AE1917" s="6"/>
    </row>
    <row r="1918" spans="1:31" ht="12.75" x14ac:dyDescent="0.2">
      <c r="A1918" s="6"/>
      <c r="B1918" s="6"/>
      <c r="C1918" s="20"/>
      <c r="D1918" s="6"/>
      <c r="E1918" s="6"/>
      <c r="F1918" s="6"/>
      <c r="G1918" s="6"/>
      <c r="H1918" s="6"/>
      <c r="I1918" s="6"/>
      <c r="J1918" s="6"/>
      <c r="K1918" s="6"/>
      <c r="L1918" s="6"/>
      <c r="M1918" s="6"/>
      <c r="N1918" s="6"/>
      <c r="O1918" s="6"/>
      <c r="P1918" s="6"/>
      <c r="Q1918" s="6"/>
      <c r="R1918" s="6"/>
      <c r="S1918" s="6"/>
      <c r="T1918" s="6"/>
      <c r="U1918" s="6"/>
      <c r="V1918" s="6"/>
      <c r="W1918" s="6"/>
      <c r="X1918" s="6"/>
      <c r="Y1918" s="6"/>
      <c r="Z1918" s="6"/>
      <c r="AA1918" s="6"/>
      <c r="AB1918" s="6"/>
      <c r="AC1918" s="6"/>
      <c r="AD1918" s="6"/>
      <c r="AE1918" s="6"/>
    </row>
    <row r="1919" spans="1:31" ht="12.75" x14ac:dyDescent="0.2">
      <c r="A1919" s="6"/>
      <c r="B1919" s="6"/>
      <c r="C1919" s="20"/>
      <c r="D1919" s="6"/>
      <c r="E1919" s="6"/>
      <c r="F1919" s="6"/>
      <c r="G1919" s="6"/>
      <c r="H1919" s="6"/>
      <c r="I1919" s="6"/>
      <c r="J1919" s="6"/>
      <c r="K1919" s="6"/>
      <c r="L1919" s="6"/>
      <c r="M1919" s="6"/>
      <c r="N1919" s="6"/>
      <c r="O1919" s="6"/>
      <c r="P1919" s="6"/>
      <c r="Q1919" s="6"/>
      <c r="R1919" s="6"/>
      <c r="S1919" s="6"/>
      <c r="T1919" s="6"/>
      <c r="U1919" s="6"/>
      <c r="V1919" s="6"/>
      <c r="W1919" s="6"/>
      <c r="X1919" s="6"/>
      <c r="Y1919" s="6"/>
      <c r="Z1919" s="6"/>
      <c r="AA1919" s="6"/>
      <c r="AB1919" s="6"/>
      <c r="AC1919" s="6"/>
      <c r="AD1919" s="6"/>
      <c r="AE1919" s="6"/>
    </row>
    <row r="1920" spans="1:31" ht="12.75" x14ac:dyDescent="0.2">
      <c r="A1920" s="6"/>
      <c r="B1920" s="6"/>
      <c r="C1920" s="20"/>
      <c r="D1920" s="6"/>
      <c r="E1920" s="6"/>
      <c r="F1920" s="6"/>
      <c r="G1920" s="6"/>
      <c r="H1920" s="6"/>
      <c r="I1920" s="6"/>
      <c r="J1920" s="6"/>
      <c r="K1920" s="6"/>
      <c r="L1920" s="6"/>
      <c r="M1920" s="6"/>
      <c r="N1920" s="6"/>
      <c r="O1920" s="6"/>
      <c r="P1920" s="6"/>
      <c r="Q1920" s="6"/>
      <c r="R1920" s="6"/>
      <c r="S1920" s="6"/>
      <c r="T1920" s="6"/>
      <c r="U1920" s="6"/>
      <c r="V1920" s="6"/>
      <c r="W1920" s="6"/>
      <c r="X1920" s="6"/>
      <c r="Y1920" s="6"/>
      <c r="Z1920" s="6"/>
      <c r="AA1920" s="6"/>
      <c r="AB1920" s="6"/>
      <c r="AC1920" s="6"/>
      <c r="AD1920" s="6"/>
      <c r="AE1920" s="6"/>
    </row>
    <row r="1921" spans="1:31" ht="12.75" x14ac:dyDescent="0.2">
      <c r="A1921" s="6"/>
      <c r="B1921" s="6"/>
      <c r="C1921" s="20"/>
      <c r="D1921" s="6"/>
      <c r="E1921" s="6"/>
      <c r="F1921" s="6"/>
      <c r="G1921" s="6"/>
      <c r="H1921" s="6"/>
      <c r="I1921" s="6"/>
      <c r="J1921" s="6"/>
      <c r="K1921" s="6"/>
      <c r="L1921" s="6"/>
      <c r="M1921" s="6"/>
      <c r="N1921" s="6"/>
      <c r="O1921" s="6"/>
      <c r="P1921" s="6"/>
      <c r="Q1921" s="6"/>
      <c r="R1921" s="6"/>
      <c r="S1921" s="6"/>
      <c r="T1921" s="6"/>
      <c r="U1921" s="6"/>
      <c r="V1921" s="6"/>
      <c r="W1921" s="6"/>
      <c r="X1921" s="6"/>
      <c r="Y1921" s="6"/>
      <c r="Z1921" s="6"/>
      <c r="AA1921" s="6"/>
      <c r="AB1921" s="6"/>
      <c r="AC1921" s="6"/>
      <c r="AD1921" s="6"/>
      <c r="AE1921" s="6"/>
    </row>
    <row r="1922" spans="1:31" ht="12.75" x14ac:dyDescent="0.2">
      <c r="A1922" s="6"/>
      <c r="B1922" s="6"/>
      <c r="C1922" s="20"/>
      <c r="D1922" s="6"/>
      <c r="E1922" s="6"/>
      <c r="F1922" s="6"/>
      <c r="G1922" s="6"/>
      <c r="H1922" s="6"/>
      <c r="I1922" s="6"/>
      <c r="J1922" s="6"/>
      <c r="K1922" s="6"/>
      <c r="L1922" s="6"/>
      <c r="M1922" s="6"/>
      <c r="N1922" s="6"/>
      <c r="O1922" s="6"/>
      <c r="P1922" s="6"/>
      <c r="Q1922" s="6"/>
      <c r="R1922" s="6"/>
      <c r="S1922" s="6"/>
      <c r="T1922" s="6"/>
      <c r="U1922" s="6"/>
      <c r="V1922" s="6"/>
      <c r="W1922" s="6"/>
      <c r="X1922" s="6"/>
      <c r="Y1922" s="6"/>
      <c r="Z1922" s="6"/>
      <c r="AA1922" s="6"/>
      <c r="AB1922" s="6"/>
      <c r="AC1922" s="6"/>
      <c r="AD1922" s="6"/>
      <c r="AE1922" s="6"/>
    </row>
    <row r="1923" spans="1:31" ht="12.75" x14ac:dyDescent="0.2">
      <c r="A1923" s="6"/>
      <c r="B1923" s="6"/>
      <c r="C1923" s="20"/>
      <c r="D1923" s="6"/>
      <c r="E1923" s="6"/>
      <c r="F1923" s="6"/>
      <c r="G1923" s="6"/>
      <c r="H1923" s="6"/>
      <c r="I1923" s="6"/>
      <c r="J1923" s="6"/>
      <c r="K1923" s="6"/>
      <c r="L1923" s="6"/>
      <c r="M1923" s="6"/>
      <c r="N1923" s="6"/>
      <c r="O1923" s="6"/>
      <c r="P1923" s="6"/>
      <c r="Q1923" s="6"/>
      <c r="R1923" s="6"/>
      <c r="S1923" s="6"/>
      <c r="T1923" s="6"/>
      <c r="U1923" s="6"/>
      <c r="V1923" s="6"/>
      <c r="W1923" s="6"/>
      <c r="X1923" s="6"/>
      <c r="Y1923" s="6"/>
      <c r="Z1923" s="6"/>
      <c r="AA1923" s="6"/>
      <c r="AB1923" s="6"/>
      <c r="AC1923" s="6"/>
      <c r="AD1923" s="6"/>
      <c r="AE1923" s="6"/>
    </row>
    <row r="1924" spans="1:31" ht="12.75" x14ac:dyDescent="0.2">
      <c r="A1924" s="6"/>
      <c r="B1924" s="6"/>
      <c r="C1924" s="20"/>
      <c r="D1924" s="6"/>
      <c r="E1924" s="6"/>
      <c r="F1924" s="6"/>
      <c r="G1924" s="6"/>
      <c r="H1924" s="6"/>
      <c r="I1924" s="6"/>
      <c r="J1924" s="6"/>
      <c r="K1924" s="6"/>
      <c r="L1924" s="6"/>
      <c r="M1924" s="6"/>
      <c r="N1924" s="6"/>
      <c r="O1924" s="6"/>
      <c r="P1924" s="6"/>
      <c r="Q1924" s="6"/>
      <c r="R1924" s="6"/>
      <c r="S1924" s="6"/>
      <c r="T1924" s="6"/>
      <c r="U1924" s="6"/>
      <c r="V1924" s="6"/>
      <c r="W1924" s="6"/>
      <c r="X1924" s="6"/>
      <c r="Y1924" s="6"/>
      <c r="Z1924" s="6"/>
      <c r="AA1924" s="6"/>
      <c r="AB1924" s="6"/>
      <c r="AC1924" s="6"/>
      <c r="AD1924" s="6"/>
      <c r="AE1924" s="6"/>
    </row>
    <row r="1925" spans="1:31" ht="12.75" x14ac:dyDescent="0.2">
      <c r="A1925" s="6"/>
      <c r="B1925" s="6"/>
      <c r="C1925" s="20"/>
      <c r="D1925" s="6"/>
      <c r="E1925" s="6"/>
      <c r="F1925" s="6"/>
      <c r="G1925" s="6"/>
      <c r="H1925" s="6"/>
      <c r="I1925" s="6"/>
      <c r="J1925" s="6"/>
      <c r="K1925" s="6"/>
      <c r="L1925" s="6"/>
      <c r="M1925" s="6"/>
      <c r="N1925" s="6"/>
      <c r="O1925" s="6"/>
      <c r="P1925" s="6"/>
      <c r="Q1925" s="6"/>
      <c r="R1925" s="6"/>
      <c r="S1925" s="6"/>
      <c r="T1925" s="6"/>
      <c r="U1925" s="6"/>
      <c r="V1925" s="6"/>
      <c r="W1925" s="6"/>
      <c r="X1925" s="6"/>
      <c r="Y1925" s="6"/>
      <c r="Z1925" s="6"/>
      <c r="AA1925" s="6"/>
      <c r="AB1925" s="6"/>
      <c r="AC1925" s="6"/>
      <c r="AD1925" s="6"/>
      <c r="AE1925" s="6"/>
    </row>
    <row r="1926" spans="1:31" ht="12.75" x14ac:dyDescent="0.2">
      <c r="A1926" s="6"/>
      <c r="B1926" s="6"/>
      <c r="C1926" s="20"/>
      <c r="D1926" s="6"/>
      <c r="E1926" s="6"/>
      <c r="F1926" s="6"/>
      <c r="G1926" s="6"/>
      <c r="H1926" s="6"/>
      <c r="I1926" s="6"/>
      <c r="J1926" s="6"/>
      <c r="K1926" s="6"/>
      <c r="L1926" s="6"/>
      <c r="M1926" s="6"/>
      <c r="N1926" s="6"/>
      <c r="O1926" s="6"/>
      <c r="P1926" s="6"/>
      <c r="Q1926" s="6"/>
      <c r="R1926" s="6"/>
      <c r="S1926" s="6"/>
      <c r="T1926" s="6"/>
      <c r="U1926" s="6"/>
      <c r="V1926" s="6"/>
      <c r="W1926" s="6"/>
      <c r="X1926" s="6"/>
      <c r="Y1926" s="6"/>
      <c r="Z1926" s="6"/>
      <c r="AA1926" s="6"/>
      <c r="AB1926" s="6"/>
      <c r="AC1926" s="6"/>
      <c r="AD1926" s="6"/>
      <c r="AE1926" s="6"/>
    </row>
    <row r="1927" spans="1:31" ht="12.75" x14ac:dyDescent="0.2">
      <c r="A1927" s="6"/>
      <c r="B1927" s="6"/>
      <c r="C1927" s="20"/>
      <c r="D1927" s="6"/>
      <c r="E1927" s="6"/>
      <c r="F1927" s="6"/>
      <c r="G1927" s="6"/>
      <c r="H1927" s="6"/>
      <c r="I1927" s="6"/>
      <c r="J1927" s="6"/>
      <c r="K1927" s="6"/>
      <c r="L1927" s="6"/>
      <c r="M1927" s="6"/>
      <c r="N1927" s="6"/>
      <c r="O1927" s="6"/>
      <c r="P1927" s="6"/>
      <c r="Q1927" s="6"/>
      <c r="R1927" s="6"/>
      <c r="S1927" s="6"/>
      <c r="T1927" s="6"/>
      <c r="U1927" s="6"/>
      <c r="V1927" s="6"/>
      <c r="W1927" s="6"/>
      <c r="X1927" s="6"/>
      <c r="Y1927" s="6"/>
      <c r="Z1927" s="6"/>
      <c r="AA1927" s="6"/>
      <c r="AB1927" s="6"/>
      <c r="AC1927" s="6"/>
      <c r="AD1927" s="6"/>
      <c r="AE1927" s="6"/>
    </row>
    <row r="1928" spans="1:31" ht="12.75" x14ac:dyDescent="0.2">
      <c r="A1928" s="6"/>
      <c r="B1928" s="6"/>
      <c r="C1928" s="20"/>
      <c r="D1928" s="6"/>
      <c r="E1928" s="6"/>
      <c r="F1928" s="6"/>
      <c r="G1928" s="6"/>
      <c r="H1928" s="6"/>
      <c r="I1928" s="6"/>
      <c r="J1928" s="6"/>
      <c r="K1928" s="6"/>
      <c r="L1928" s="6"/>
      <c r="M1928" s="6"/>
      <c r="N1928" s="6"/>
      <c r="O1928" s="6"/>
      <c r="P1928" s="6"/>
      <c r="Q1928" s="6"/>
      <c r="R1928" s="6"/>
      <c r="S1928" s="6"/>
      <c r="T1928" s="6"/>
      <c r="U1928" s="6"/>
      <c r="V1928" s="6"/>
      <c r="W1928" s="6"/>
      <c r="X1928" s="6"/>
      <c r="Y1928" s="6"/>
      <c r="Z1928" s="6"/>
      <c r="AA1928" s="6"/>
      <c r="AB1928" s="6"/>
      <c r="AC1928" s="6"/>
      <c r="AD1928" s="6"/>
      <c r="AE1928" s="6"/>
    </row>
    <row r="1929" spans="1:31" ht="12.75" x14ac:dyDescent="0.2">
      <c r="A1929" s="6"/>
      <c r="B1929" s="6"/>
      <c r="C1929" s="20"/>
      <c r="D1929" s="6"/>
      <c r="E1929" s="6"/>
      <c r="F1929" s="6"/>
      <c r="G1929" s="6"/>
      <c r="H1929" s="6"/>
      <c r="I1929" s="6"/>
      <c r="J1929" s="6"/>
      <c r="K1929" s="6"/>
      <c r="L1929" s="6"/>
      <c r="M1929" s="6"/>
      <c r="N1929" s="6"/>
      <c r="O1929" s="6"/>
      <c r="P1929" s="6"/>
      <c r="Q1929" s="6"/>
      <c r="R1929" s="6"/>
      <c r="S1929" s="6"/>
      <c r="T1929" s="6"/>
      <c r="U1929" s="6"/>
      <c r="V1929" s="6"/>
      <c r="W1929" s="6"/>
      <c r="X1929" s="6"/>
      <c r="Y1929" s="6"/>
      <c r="Z1929" s="6"/>
      <c r="AA1929" s="6"/>
      <c r="AB1929" s="6"/>
      <c r="AC1929" s="6"/>
      <c r="AD1929" s="6"/>
      <c r="AE1929" s="6"/>
    </row>
    <row r="1930" spans="1:31" ht="12.75" x14ac:dyDescent="0.2">
      <c r="A1930" s="6"/>
      <c r="B1930" s="6"/>
      <c r="C1930" s="20"/>
      <c r="D1930" s="6"/>
      <c r="E1930" s="6"/>
      <c r="F1930" s="6"/>
      <c r="G1930" s="6"/>
      <c r="H1930" s="6"/>
      <c r="I1930" s="6"/>
      <c r="J1930" s="6"/>
      <c r="K1930" s="6"/>
      <c r="L1930" s="6"/>
      <c r="M1930" s="6"/>
      <c r="N1930" s="6"/>
      <c r="O1930" s="6"/>
      <c r="P1930" s="6"/>
      <c r="Q1930" s="6"/>
      <c r="R1930" s="6"/>
      <c r="S1930" s="6"/>
      <c r="T1930" s="6"/>
      <c r="U1930" s="6"/>
      <c r="V1930" s="6"/>
      <c r="W1930" s="6"/>
      <c r="X1930" s="6"/>
      <c r="Y1930" s="6"/>
      <c r="Z1930" s="6"/>
      <c r="AA1930" s="6"/>
      <c r="AB1930" s="6"/>
      <c r="AC1930" s="6"/>
      <c r="AD1930" s="6"/>
      <c r="AE1930" s="6"/>
    </row>
    <row r="1931" spans="1:31" ht="12.75" x14ac:dyDescent="0.2">
      <c r="A1931" s="6"/>
      <c r="B1931" s="6"/>
      <c r="C1931" s="20"/>
      <c r="D1931" s="6"/>
      <c r="E1931" s="6"/>
      <c r="F1931" s="6"/>
      <c r="G1931" s="6"/>
      <c r="H1931" s="6"/>
      <c r="I1931" s="6"/>
      <c r="J1931" s="6"/>
      <c r="K1931" s="6"/>
      <c r="L1931" s="6"/>
      <c r="M1931" s="6"/>
      <c r="N1931" s="6"/>
      <c r="O1931" s="6"/>
      <c r="P1931" s="6"/>
      <c r="Q1931" s="6"/>
      <c r="R1931" s="6"/>
      <c r="S1931" s="6"/>
      <c r="T1931" s="6"/>
      <c r="U1931" s="6"/>
      <c r="V1931" s="6"/>
      <c r="W1931" s="6"/>
      <c r="X1931" s="6"/>
      <c r="Y1931" s="6"/>
      <c r="Z1931" s="6"/>
      <c r="AA1931" s="6"/>
      <c r="AB1931" s="6"/>
      <c r="AC1931" s="6"/>
      <c r="AD1931" s="6"/>
      <c r="AE1931" s="6"/>
    </row>
    <row r="1932" spans="1:31" ht="12.75" x14ac:dyDescent="0.2">
      <c r="A1932" s="6"/>
      <c r="B1932" s="6"/>
      <c r="C1932" s="20"/>
      <c r="D1932" s="6"/>
      <c r="E1932" s="6"/>
      <c r="F1932" s="6"/>
      <c r="G1932" s="6"/>
      <c r="H1932" s="6"/>
      <c r="I1932" s="6"/>
      <c r="J1932" s="6"/>
      <c r="K1932" s="6"/>
      <c r="L1932" s="6"/>
      <c r="M1932" s="6"/>
      <c r="N1932" s="6"/>
      <c r="O1932" s="6"/>
      <c r="P1932" s="6"/>
      <c r="Q1932" s="6"/>
      <c r="R1932" s="6"/>
      <c r="S1932" s="6"/>
      <c r="T1932" s="6"/>
      <c r="U1932" s="6"/>
      <c r="V1932" s="6"/>
      <c r="W1932" s="6"/>
      <c r="X1932" s="6"/>
      <c r="Y1932" s="6"/>
      <c r="Z1932" s="6"/>
      <c r="AA1932" s="6"/>
      <c r="AB1932" s="6"/>
      <c r="AC1932" s="6"/>
      <c r="AD1932" s="6"/>
      <c r="AE1932" s="6"/>
    </row>
    <row r="1933" spans="1:31" ht="12.75" x14ac:dyDescent="0.2">
      <c r="A1933" s="6"/>
      <c r="B1933" s="6"/>
      <c r="C1933" s="20"/>
      <c r="D1933" s="6"/>
      <c r="E1933" s="6"/>
      <c r="F1933" s="6"/>
      <c r="G1933" s="6"/>
      <c r="H1933" s="6"/>
      <c r="I1933" s="6"/>
      <c r="J1933" s="6"/>
      <c r="K1933" s="6"/>
      <c r="L1933" s="6"/>
      <c r="M1933" s="6"/>
      <c r="N1933" s="6"/>
      <c r="O1933" s="6"/>
      <c r="P1933" s="6"/>
      <c r="Q1933" s="6"/>
      <c r="R1933" s="6"/>
      <c r="S1933" s="6"/>
      <c r="T1933" s="6"/>
      <c r="U1933" s="6"/>
      <c r="V1933" s="6"/>
      <c r="W1933" s="6"/>
      <c r="X1933" s="6"/>
      <c r="Y1933" s="6"/>
      <c r="Z1933" s="6"/>
      <c r="AA1933" s="6"/>
      <c r="AB1933" s="6"/>
      <c r="AC1933" s="6"/>
      <c r="AD1933" s="6"/>
      <c r="AE1933" s="6"/>
    </row>
    <row r="1934" spans="1:31" ht="12.75" x14ac:dyDescent="0.2">
      <c r="A1934" s="6"/>
      <c r="B1934" s="6"/>
      <c r="C1934" s="20"/>
      <c r="D1934" s="6"/>
      <c r="E1934" s="6"/>
      <c r="F1934" s="6"/>
      <c r="G1934" s="6"/>
      <c r="H1934" s="6"/>
      <c r="I1934" s="6"/>
      <c r="J1934" s="6"/>
      <c r="K1934" s="6"/>
      <c r="L1934" s="6"/>
      <c r="M1934" s="6"/>
      <c r="N1934" s="6"/>
      <c r="O1934" s="6"/>
      <c r="P1934" s="6"/>
      <c r="Q1934" s="6"/>
      <c r="R1934" s="6"/>
      <c r="S1934" s="6"/>
      <c r="T1934" s="6"/>
      <c r="U1934" s="6"/>
      <c r="V1934" s="6"/>
      <c r="W1934" s="6"/>
      <c r="X1934" s="6"/>
      <c r="Y1934" s="6"/>
      <c r="Z1934" s="6"/>
      <c r="AA1934" s="6"/>
      <c r="AB1934" s="6"/>
      <c r="AC1934" s="6"/>
      <c r="AD1934" s="6"/>
      <c r="AE1934" s="6"/>
    </row>
    <row r="1935" spans="1:31" ht="12.75" x14ac:dyDescent="0.2">
      <c r="A1935" s="6"/>
      <c r="B1935" s="6"/>
      <c r="C1935" s="20"/>
      <c r="D1935" s="6"/>
      <c r="E1935" s="6"/>
      <c r="F1935" s="6"/>
      <c r="G1935" s="6"/>
      <c r="H1935" s="6"/>
      <c r="I1935" s="6"/>
      <c r="J1935" s="6"/>
      <c r="K1935" s="6"/>
      <c r="L1935" s="6"/>
      <c r="M1935" s="6"/>
      <c r="N1935" s="6"/>
      <c r="O1935" s="6"/>
      <c r="P1935" s="6"/>
      <c r="Q1935" s="6"/>
      <c r="R1935" s="6"/>
      <c r="S1935" s="6"/>
      <c r="T1935" s="6"/>
      <c r="U1935" s="6"/>
      <c r="V1935" s="6"/>
      <c r="W1935" s="6"/>
      <c r="X1935" s="6"/>
      <c r="Y1935" s="6"/>
      <c r="Z1935" s="6"/>
      <c r="AA1935" s="6"/>
      <c r="AB1935" s="6"/>
      <c r="AC1935" s="6"/>
      <c r="AD1935" s="6"/>
      <c r="AE1935" s="6"/>
    </row>
    <row r="1936" spans="1:31" ht="12.75" x14ac:dyDescent="0.2">
      <c r="A1936" s="6"/>
      <c r="B1936" s="6"/>
      <c r="C1936" s="20"/>
      <c r="D1936" s="6"/>
      <c r="E1936" s="6"/>
      <c r="F1936" s="6"/>
      <c r="G1936" s="6"/>
      <c r="H1936" s="6"/>
      <c r="I1936" s="6"/>
      <c r="J1936" s="6"/>
      <c r="K1936" s="6"/>
      <c r="L1936" s="6"/>
      <c r="M1936" s="6"/>
      <c r="N1936" s="6"/>
      <c r="O1936" s="6"/>
      <c r="P1936" s="6"/>
      <c r="Q1936" s="6"/>
      <c r="R1936" s="6"/>
      <c r="S1936" s="6"/>
      <c r="T1936" s="6"/>
      <c r="U1936" s="6"/>
      <c r="V1936" s="6"/>
      <c r="W1936" s="6"/>
      <c r="X1936" s="6"/>
      <c r="Y1936" s="6"/>
      <c r="Z1936" s="6"/>
      <c r="AA1936" s="6"/>
      <c r="AB1936" s="6"/>
      <c r="AC1936" s="6"/>
      <c r="AD1936" s="6"/>
      <c r="AE1936" s="6"/>
    </row>
    <row r="1937" spans="1:31" ht="12.75" x14ac:dyDescent="0.2">
      <c r="A1937" s="6"/>
      <c r="B1937" s="6"/>
      <c r="C1937" s="20"/>
      <c r="D1937" s="6"/>
      <c r="E1937" s="6"/>
      <c r="F1937" s="6"/>
      <c r="G1937" s="6"/>
      <c r="H1937" s="6"/>
      <c r="I1937" s="6"/>
      <c r="J1937" s="6"/>
      <c r="K1937" s="6"/>
      <c r="L1937" s="6"/>
      <c r="M1937" s="6"/>
      <c r="N1937" s="6"/>
      <c r="O1937" s="6"/>
      <c r="P1937" s="6"/>
      <c r="Q1937" s="6"/>
      <c r="R1937" s="6"/>
      <c r="S1937" s="6"/>
      <c r="T1937" s="6"/>
      <c r="U1937" s="6"/>
      <c r="V1937" s="6"/>
      <c r="W1937" s="6"/>
      <c r="X1937" s="6"/>
      <c r="Y1937" s="6"/>
      <c r="Z1937" s="6"/>
      <c r="AA1937" s="6"/>
      <c r="AB1937" s="6"/>
      <c r="AC1937" s="6"/>
      <c r="AD1937" s="6"/>
      <c r="AE1937" s="6"/>
    </row>
    <row r="1938" spans="1:31" ht="12.75" x14ac:dyDescent="0.2">
      <c r="A1938" s="6"/>
      <c r="B1938" s="6"/>
      <c r="C1938" s="20"/>
      <c r="D1938" s="6"/>
      <c r="E1938" s="6"/>
      <c r="F1938" s="6"/>
      <c r="G1938" s="6"/>
      <c r="H1938" s="6"/>
      <c r="I1938" s="6"/>
      <c r="J1938" s="6"/>
      <c r="K1938" s="6"/>
      <c r="L1938" s="6"/>
      <c r="M1938" s="6"/>
      <c r="N1938" s="6"/>
      <c r="O1938" s="6"/>
      <c r="P1938" s="6"/>
      <c r="Q1938" s="6"/>
      <c r="R1938" s="6"/>
      <c r="S1938" s="6"/>
      <c r="T1938" s="6"/>
      <c r="U1938" s="6"/>
      <c r="V1938" s="6"/>
      <c r="W1938" s="6"/>
      <c r="X1938" s="6"/>
      <c r="Y1938" s="6"/>
      <c r="Z1938" s="6"/>
      <c r="AA1938" s="6"/>
      <c r="AB1938" s="6"/>
      <c r="AC1938" s="6"/>
      <c r="AD1938" s="6"/>
      <c r="AE1938" s="6"/>
    </row>
    <row r="1939" spans="1:31" ht="12.75" x14ac:dyDescent="0.2">
      <c r="A1939" s="6"/>
      <c r="B1939" s="6"/>
      <c r="C1939" s="20"/>
      <c r="D1939" s="6"/>
      <c r="E1939" s="6"/>
      <c r="F1939" s="6"/>
      <c r="G1939" s="6"/>
      <c r="H1939" s="6"/>
      <c r="I1939" s="6"/>
      <c r="J1939" s="6"/>
      <c r="K1939" s="6"/>
      <c r="L1939" s="6"/>
      <c r="M1939" s="6"/>
      <c r="N1939" s="6"/>
      <c r="O1939" s="6"/>
      <c r="P1939" s="6"/>
      <c r="Q1939" s="6"/>
      <c r="R1939" s="6"/>
      <c r="S1939" s="6"/>
      <c r="T1939" s="6"/>
      <c r="U1939" s="6"/>
      <c r="V1939" s="6"/>
      <c r="W1939" s="6"/>
      <c r="X1939" s="6"/>
      <c r="Y1939" s="6"/>
      <c r="Z1939" s="6"/>
      <c r="AA1939" s="6"/>
      <c r="AB1939" s="6"/>
      <c r="AC1939" s="6"/>
      <c r="AD1939" s="6"/>
      <c r="AE1939" s="6"/>
    </row>
    <row r="1940" spans="1:31" ht="12.75" x14ac:dyDescent="0.2">
      <c r="A1940" s="6"/>
      <c r="B1940" s="6"/>
      <c r="C1940" s="20"/>
      <c r="D1940" s="6"/>
      <c r="E1940" s="6"/>
      <c r="F1940" s="6"/>
      <c r="G1940" s="6"/>
      <c r="H1940" s="6"/>
      <c r="I1940" s="6"/>
      <c r="J1940" s="6"/>
      <c r="K1940" s="6"/>
      <c r="L1940" s="6"/>
      <c r="M1940" s="6"/>
      <c r="N1940" s="6"/>
      <c r="O1940" s="6"/>
      <c r="P1940" s="6"/>
      <c r="Q1940" s="6"/>
      <c r="R1940" s="6"/>
      <c r="S1940" s="6"/>
      <c r="T1940" s="6"/>
      <c r="U1940" s="6"/>
      <c r="V1940" s="6"/>
      <c r="W1940" s="6"/>
      <c r="X1940" s="6"/>
      <c r="Y1940" s="6"/>
      <c r="Z1940" s="6"/>
      <c r="AA1940" s="6"/>
      <c r="AB1940" s="6"/>
      <c r="AC1940" s="6"/>
      <c r="AD1940" s="6"/>
      <c r="AE1940" s="6"/>
    </row>
    <row r="1941" spans="1:31" ht="12.75" x14ac:dyDescent="0.2">
      <c r="A1941" s="6"/>
      <c r="B1941" s="6"/>
      <c r="C1941" s="20"/>
      <c r="D1941" s="6"/>
      <c r="E1941" s="6"/>
      <c r="F1941" s="6"/>
      <c r="G1941" s="6"/>
      <c r="H1941" s="6"/>
      <c r="I1941" s="6"/>
      <c r="J1941" s="6"/>
      <c r="K1941" s="6"/>
      <c r="L1941" s="6"/>
      <c r="M1941" s="6"/>
      <c r="N1941" s="6"/>
      <c r="O1941" s="6"/>
      <c r="P1941" s="6"/>
      <c r="Q1941" s="6"/>
      <c r="R1941" s="6"/>
      <c r="S1941" s="6"/>
      <c r="T1941" s="6"/>
      <c r="U1941" s="6"/>
      <c r="V1941" s="6"/>
      <c r="W1941" s="6"/>
      <c r="X1941" s="6"/>
      <c r="Y1941" s="6"/>
      <c r="Z1941" s="6"/>
      <c r="AA1941" s="6"/>
      <c r="AB1941" s="6"/>
      <c r="AC1941" s="6"/>
      <c r="AD1941" s="6"/>
      <c r="AE1941" s="6"/>
    </row>
    <row r="1942" spans="1:31" ht="12.75" x14ac:dyDescent="0.2">
      <c r="A1942" s="6"/>
      <c r="B1942" s="6"/>
      <c r="C1942" s="20"/>
      <c r="D1942" s="6"/>
      <c r="E1942" s="6"/>
      <c r="F1942" s="6"/>
      <c r="G1942" s="6"/>
      <c r="H1942" s="6"/>
      <c r="I1942" s="6"/>
      <c r="J1942" s="6"/>
      <c r="K1942" s="6"/>
      <c r="L1942" s="6"/>
      <c r="M1942" s="6"/>
      <c r="N1942" s="6"/>
      <c r="O1942" s="6"/>
      <c r="P1942" s="6"/>
      <c r="Q1942" s="6"/>
      <c r="R1942" s="6"/>
      <c r="S1942" s="6"/>
      <c r="T1942" s="6"/>
      <c r="U1942" s="6"/>
      <c r="V1942" s="6"/>
      <c r="W1942" s="6"/>
      <c r="X1942" s="6"/>
      <c r="Y1942" s="6"/>
      <c r="Z1942" s="6"/>
      <c r="AA1942" s="6"/>
      <c r="AB1942" s="6"/>
      <c r="AC1942" s="6"/>
      <c r="AD1942" s="6"/>
      <c r="AE1942" s="6"/>
    </row>
    <row r="1943" spans="1:31" ht="12.75" x14ac:dyDescent="0.2">
      <c r="A1943" s="6"/>
      <c r="B1943" s="6"/>
      <c r="C1943" s="20"/>
      <c r="D1943" s="6"/>
      <c r="E1943" s="6"/>
      <c r="F1943" s="6"/>
      <c r="G1943" s="6"/>
      <c r="H1943" s="6"/>
      <c r="I1943" s="6"/>
      <c r="J1943" s="6"/>
      <c r="K1943" s="6"/>
      <c r="L1943" s="6"/>
      <c r="M1943" s="6"/>
      <c r="N1943" s="6"/>
      <c r="O1943" s="6"/>
      <c r="P1943" s="6"/>
      <c r="Q1943" s="6"/>
      <c r="R1943" s="6"/>
      <c r="S1943" s="6"/>
      <c r="T1943" s="6"/>
      <c r="U1943" s="6"/>
      <c r="V1943" s="6"/>
      <c r="W1943" s="6"/>
      <c r="X1943" s="6"/>
      <c r="Y1943" s="6"/>
      <c r="Z1943" s="6"/>
      <c r="AA1943" s="6"/>
      <c r="AB1943" s="6"/>
      <c r="AC1943" s="6"/>
      <c r="AD1943" s="6"/>
      <c r="AE1943" s="6"/>
    </row>
    <row r="1944" spans="1:31" ht="12.75" x14ac:dyDescent="0.2">
      <c r="A1944" s="6"/>
      <c r="B1944" s="6"/>
      <c r="C1944" s="20"/>
      <c r="D1944" s="6"/>
      <c r="E1944" s="6"/>
      <c r="F1944" s="6"/>
      <c r="G1944" s="6"/>
      <c r="H1944" s="6"/>
      <c r="I1944" s="6"/>
      <c r="J1944" s="6"/>
      <c r="K1944" s="6"/>
      <c r="L1944" s="6"/>
      <c r="M1944" s="6"/>
      <c r="N1944" s="6"/>
      <c r="O1944" s="6"/>
      <c r="P1944" s="6"/>
      <c r="Q1944" s="6"/>
      <c r="R1944" s="6"/>
      <c r="S1944" s="6"/>
      <c r="T1944" s="6"/>
      <c r="U1944" s="6"/>
      <c r="V1944" s="6"/>
      <c r="W1944" s="6"/>
      <c r="X1944" s="6"/>
      <c r="Y1944" s="6"/>
      <c r="Z1944" s="6"/>
      <c r="AA1944" s="6"/>
      <c r="AB1944" s="6"/>
      <c r="AC1944" s="6"/>
      <c r="AD1944" s="6"/>
      <c r="AE1944" s="6"/>
    </row>
    <row r="1945" spans="1:31" ht="12.75" x14ac:dyDescent="0.2">
      <c r="A1945" s="6"/>
      <c r="B1945" s="6"/>
      <c r="C1945" s="20"/>
      <c r="D1945" s="6"/>
      <c r="E1945" s="6"/>
      <c r="F1945" s="6"/>
      <c r="G1945" s="6"/>
      <c r="H1945" s="6"/>
      <c r="I1945" s="6"/>
      <c r="J1945" s="6"/>
      <c r="K1945" s="6"/>
      <c r="L1945" s="6"/>
      <c r="M1945" s="6"/>
      <c r="N1945" s="6"/>
      <c r="O1945" s="6"/>
      <c r="P1945" s="6"/>
      <c r="Q1945" s="6"/>
      <c r="R1945" s="6"/>
      <c r="S1945" s="6"/>
      <c r="T1945" s="6"/>
      <c r="U1945" s="6"/>
      <c r="V1945" s="6"/>
      <c r="W1945" s="6"/>
      <c r="X1945" s="6"/>
      <c r="Y1945" s="6"/>
      <c r="Z1945" s="6"/>
      <c r="AA1945" s="6"/>
      <c r="AB1945" s="6"/>
      <c r="AC1945" s="6"/>
      <c r="AD1945" s="6"/>
      <c r="AE1945" s="6"/>
    </row>
    <row r="1946" spans="1:31" ht="12.75" x14ac:dyDescent="0.2">
      <c r="A1946" s="6"/>
      <c r="B1946" s="6"/>
      <c r="C1946" s="20"/>
      <c r="D1946" s="6"/>
      <c r="E1946" s="6"/>
      <c r="F1946" s="6"/>
      <c r="G1946" s="6"/>
      <c r="H1946" s="6"/>
      <c r="I1946" s="6"/>
      <c r="J1946" s="6"/>
      <c r="K1946" s="6"/>
      <c r="L1946" s="6"/>
      <c r="M1946" s="6"/>
      <c r="N1946" s="6"/>
      <c r="O1946" s="6"/>
      <c r="P1946" s="6"/>
      <c r="Q1946" s="6"/>
      <c r="R1946" s="6"/>
      <c r="S1946" s="6"/>
      <c r="T1946" s="6"/>
      <c r="U1946" s="6"/>
      <c r="V1946" s="6"/>
      <c r="W1946" s="6"/>
      <c r="X1946" s="6"/>
      <c r="Y1946" s="6"/>
      <c r="Z1946" s="6"/>
      <c r="AA1946" s="6"/>
      <c r="AB1946" s="6"/>
      <c r="AC1946" s="6"/>
      <c r="AD1946" s="6"/>
      <c r="AE1946" s="6"/>
    </row>
    <row r="1947" spans="1:31" ht="12.75" x14ac:dyDescent="0.2">
      <c r="A1947" s="6"/>
      <c r="B1947" s="6"/>
      <c r="C1947" s="20"/>
      <c r="D1947" s="6"/>
      <c r="E1947" s="6"/>
      <c r="F1947" s="6"/>
      <c r="G1947" s="6"/>
      <c r="H1947" s="6"/>
      <c r="I1947" s="6"/>
      <c r="J1947" s="6"/>
      <c r="K1947" s="6"/>
      <c r="L1947" s="6"/>
      <c r="M1947" s="6"/>
      <c r="N1947" s="6"/>
      <c r="O1947" s="6"/>
      <c r="P1947" s="6"/>
      <c r="Q1947" s="6"/>
      <c r="R1947" s="6"/>
      <c r="S1947" s="6"/>
      <c r="T1947" s="6"/>
      <c r="U1947" s="6"/>
      <c r="V1947" s="6"/>
      <c r="W1947" s="6"/>
      <c r="X1947" s="6"/>
      <c r="Y1947" s="6"/>
      <c r="Z1947" s="6"/>
      <c r="AA1947" s="6"/>
      <c r="AB1947" s="6"/>
      <c r="AC1947" s="6"/>
      <c r="AD1947" s="6"/>
      <c r="AE1947" s="6"/>
    </row>
    <row r="1948" spans="1:31" ht="12.75" x14ac:dyDescent="0.2">
      <c r="A1948" s="6"/>
      <c r="B1948" s="6"/>
      <c r="C1948" s="20"/>
      <c r="D1948" s="6"/>
      <c r="E1948" s="6"/>
      <c r="F1948" s="6"/>
      <c r="G1948" s="6"/>
      <c r="H1948" s="6"/>
      <c r="I1948" s="6"/>
      <c r="J1948" s="6"/>
      <c r="K1948" s="6"/>
      <c r="L1948" s="6"/>
      <c r="M1948" s="6"/>
      <c r="N1948" s="6"/>
      <c r="O1948" s="6"/>
      <c r="P1948" s="6"/>
      <c r="Q1948" s="6"/>
      <c r="R1948" s="6"/>
      <c r="S1948" s="6"/>
      <c r="T1948" s="6"/>
      <c r="U1948" s="6"/>
      <c r="V1948" s="6"/>
      <c r="W1948" s="6"/>
      <c r="X1948" s="6"/>
      <c r="Y1948" s="6"/>
      <c r="Z1948" s="6"/>
      <c r="AA1948" s="6"/>
      <c r="AB1948" s="6"/>
      <c r="AC1948" s="6"/>
      <c r="AD1948" s="6"/>
      <c r="AE1948" s="6"/>
    </row>
    <row r="1949" spans="1:31" ht="12.75" x14ac:dyDescent="0.2">
      <c r="A1949" s="6"/>
      <c r="B1949" s="6"/>
      <c r="C1949" s="20"/>
      <c r="D1949" s="6"/>
      <c r="E1949" s="6"/>
      <c r="F1949" s="6"/>
      <c r="G1949" s="6"/>
      <c r="H1949" s="6"/>
      <c r="I1949" s="6"/>
      <c r="J1949" s="6"/>
      <c r="K1949" s="6"/>
      <c r="L1949" s="6"/>
      <c r="M1949" s="6"/>
      <c r="N1949" s="6"/>
      <c r="O1949" s="6"/>
      <c r="P1949" s="6"/>
      <c r="Q1949" s="6"/>
      <c r="R1949" s="6"/>
      <c r="S1949" s="6"/>
      <c r="T1949" s="6"/>
      <c r="U1949" s="6"/>
      <c r="V1949" s="6"/>
      <c r="W1949" s="6"/>
      <c r="X1949" s="6"/>
      <c r="Y1949" s="6"/>
      <c r="Z1949" s="6"/>
      <c r="AA1949" s="6"/>
      <c r="AB1949" s="6"/>
      <c r="AC1949" s="6"/>
      <c r="AD1949" s="6"/>
      <c r="AE1949" s="6"/>
    </row>
    <row r="1950" spans="1:31" ht="12.75" x14ac:dyDescent="0.2">
      <c r="A1950" s="6"/>
      <c r="B1950" s="6"/>
      <c r="C1950" s="20"/>
      <c r="D1950" s="6"/>
      <c r="E1950" s="6"/>
      <c r="F1950" s="6"/>
      <c r="G1950" s="6"/>
      <c r="H1950" s="6"/>
      <c r="I1950" s="6"/>
      <c r="J1950" s="6"/>
      <c r="K1950" s="6"/>
      <c r="L1950" s="6"/>
      <c r="M1950" s="6"/>
      <c r="N1950" s="6"/>
      <c r="O1950" s="6"/>
      <c r="P1950" s="6"/>
      <c r="Q1950" s="6"/>
      <c r="R1950" s="6"/>
      <c r="S1950" s="6"/>
      <c r="T1950" s="6"/>
      <c r="U1950" s="6"/>
      <c r="V1950" s="6"/>
      <c r="W1950" s="6"/>
      <c r="X1950" s="6"/>
      <c r="Y1950" s="6"/>
      <c r="Z1950" s="6"/>
      <c r="AA1950" s="6"/>
      <c r="AB1950" s="6"/>
      <c r="AC1950" s="6"/>
      <c r="AD1950" s="6"/>
      <c r="AE1950" s="6"/>
    </row>
    <row r="1951" spans="1:31" ht="12.75" x14ac:dyDescent="0.2">
      <c r="A1951" s="6"/>
      <c r="B1951" s="6"/>
      <c r="C1951" s="20"/>
      <c r="D1951" s="6"/>
      <c r="E1951" s="6"/>
      <c r="F1951" s="6"/>
      <c r="G1951" s="6"/>
      <c r="H1951" s="6"/>
      <c r="I1951" s="6"/>
      <c r="J1951" s="6"/>
      <c r="K1951" s="6"/>
      <c r="L1951" s="6"/>
      <c r="M1951" s="6"/>
      <c r="N1951" s="6"/>
      <c r="O1951" s="6"/>
      <c r="P1951" s="6"/>
      <c r="Q1951" s="6"/>
      <c r="R1951" s="6"/>
      <c r="S1951" s="6"/>
      <c r="T1951" s="6"/>
      <c r="U1951" s="6"/>
      <c r="V1951" s="6"/>
      <c r="W1951" s="6"/>
      <c r="X1951" s="6"/>
      <c r="Y1951" s="6"/>
      <c r="Z1951" s="6"/>
      <c r="AA1951" s="6"/>
      <c r="AB1951" s="6"/>
      <c r="AC1951" s="6"/>
      <c r="AD1951" s="6"/>
      <c r="AE1951" s="6"/>
    </row>
    <row r="1952" spans="1:31" ht="12.75" x14ac:dyDescent="0.2">
      <c r="A1952" s="6"/>
      <c r="B1952" s="6"/>
      <c r="C1952" s="20"/>
      <c r="D1952" s="6"/>
      <c r="E1952" s="6"/>
      <c r="F1952" s="6"/>
      <c r="G1952" s="6"/>
      <c r="H1952" s="6"/>
      <c r="I1952" s="6"/>
      <c r="J1952" s="6"/>
      <c r="K1952" s="6"/>
      <c r="L1952" s="6"/>
      <c r="M1952" s="6"/>
      <c r="N1952" s="6"/>
      <c r="O1952" s="6"/>
      <c r="P1952" s="6"/>
      <c r="Q1952" s="6"/>
      <c r="R1952" s="6"/>
      <c r="S1952" s="6"/>
      <c r="T1952" s="6"/>
      <c r="U1952" s="6"/>
      <c r="V1952" s="6"/>
      <c r="W1952" s="6"/>
      <c r="X1952" s="6"/>
      <c r="Y1952" s="6"/>
      <c r="Z1952" s="6"/>
      <c r="AA1952" s="6"/>
      <c r="AB1952" s="6"/>
      <c r="AC1952" s="6"/>
      <c r="AD1952" s="6"/>
      <c r="AE1952" s="6"/>
    </row>
    <row r="1953" spans="1:31" ht="12.75" x14ac:dyDescent="0.2">
      <c r="A1953" s="6"/>
      <c r="B1953" s="6"/>
      <c r="C1953" s="20"/>
      <c r="D1953" s="6"/>
      <c r="E1953" s="6"/>
      <c r="F1953" s="6"/>
      <c r="G1953" s="6"/>
      <c r="H1953" s="6"/>
      <c r="I1953" s="6"/>
      <c r="J1953" s="6"/>
      <c r="K1953" s="6"/>
      <c r="L1953" s="6"/>
      <c r="M1953" s="6"/>
      <c r="N1953" s="6"/>
      <c r="O1953" s="6"/>
      <c r="P1953" s="6"/>
      <c r="Q1953" s="6"/>
      <c r="R1953" s="6"/>
      <c r="S1953" s="6"/>
      <c r="T1953" s="6"/>
      <c r="U1953" s="6"/>
      <c r="V1953" s="6"/>
      <c r="W1953" s="6"/>
      <c r="X1953" s="6"/>
      <c r="Y1953" s="6"/>
      <c r="Z1953" s="6"/>
      <c r="AA1953" s="6"/>
      <c r="AB1953" s="6"/>
      <c r="AC1953" s="6"/>
      <c r="AD1953" s="6"/>
      <c r="AE1953" s="6"/>
    </row>
    <row r="1954" spans="1:31" ht="12.75" x14ac:dyDescent="0.2">
      <c r="A1954" s="6"/>
      <c r="B1954" s="6"/>
      <c r="C1954" s="20"/>
      <c r="D1954" s="6"/>
      <c r="E1954" s="6"/>
      <c r="F1954" s="6"/>
      <c r="G1954" s="6"/>
      <c r="H1954" s="6"/>
      <c r="I1954" s="6"/>
      <c r="J1954" s="6"/>
      <c r="K1954" s="6"/>
      <c r="L1954" s="6"/>
      <c r="M1954" s="6"/>
      <c r="N1954" s="6"/>
      <c r="O1954" s="6"/>
      <c r="P1954" s="6"/>
      <c r="Q1954" s="6"/>
      <c r="R1954" s="6"/>
      <c r="S1954" s="6"/>
      <c r="T1954" s="6"/>
      <c r="U1954" s="6"/>
      <c r="V1954" s="6"/>
      <c r="W1954" s="6"/>
      <c r="X1954" s="6"/>
      <c r="Y1954" s="6"/>
      <c r="Z1954" s="6"/>
      <c r="AA1954" s="6"/>
      <c r="AB1954" s="6"/>
      <c r="AC1954" s="6"/>
      <c r="AD1954" s="6"/>
      <c r="AE1954" s="6"/>
    </row>
    <row r="1955" spans="1:31" ht="12.75" x14ac:dyDescent="0.2">
      <c r="A1955" s="6"/>
      <c r="B1955" s="6"/>
      <c r="C1955" s="20"/>
      <c r="D1955" s="6"/>
      <c r="E1955" s="6"/>
      <c r="F1955" s="6"/>
      <c r="G1955" s="6"/>
      <c r="H1955" s="6"/>
      <c r="I1955" s="6"/>
      <c r="J1955" s="6"/>
      <c r="K1955" s="6"/>
      <c r="L1955" s="6"/>
      <c r="M1955" s="6"/>
      <c r="N1955" s="6"/>
      <c r="O1955" s="6"/>
      <c r="P1955" s="6"/>
      <c r="Q1955" s="6"/>
      <c r="R1955" s="6"/>
      <c r="S1955" s="6"/>
      <c r="T1955" s="6"/>
      <c r="U1955" s="6"/>
      <c r="V1955" s="6"/>
      <c r="W1955" s="6"/>
      <c r="X1955" s="6"/>
      <c r="Y1955" s="6"/>
      <c r="Z1955" s="6"/>
      <c r="AA1955" s="6"/>
      <c r="AB1955" s="6"/>
      <c r="AC1955" s="6"/>
      <c r="AD1955" s="6"/>
      <c r="AE1955" s="6"/>
    </row>
    <row r="1956" spans="1:31" ht="12.75" x14ac:dyDescent="0.2">
      <c r="A1956" s="6"/>
      <c r="B1956" s="6"/>
      <c r="C1956" s="20"/>
      <c r="D1956" s="6"/>
      <c r="E1956" s="6"/>
      <c r="F1956" s="6"/>
      <c r="G1956" s="6"/>
      <c r="H1956" s="6"/>
      <c r="I1956" s="6"/>
      <c r="J1956" s="6"/>
      <c r="K1956" s="6"/>
      <c r="L1956" s="6"/>
      <c r="M1956" s="6"/>
      <c r="N1956" s="6"/>
      <c r="O1956" s="6"/>
      <c r="P1956" s="6"/>
      <c r="Q1956" s="6"/>
      <c r="R1956" s="6"/>
      <c r="S1956" s="6"/>
      <c r="T1956" s="6"/>
      <c r="U1956" s="6"/>
      <c r="V1956" s="6"/>
      <c r="W1956" s="6"/>
      <c r="X1956" s="6"/>
      <c r="Y1956" s="6"/>
      <c r="Z1956" s="6"/>
      <c r="AA1956" s="6"/>
      <c r="AB1956" s="6"/>
      <c r="AC1956" s="6"/>
      <c r="AD1956" s="6"/>
      <c r="AE1956" s="6"/>
    </row>
    <row r="1957" spans="1:31" ht="12.75" x14ac:dyDescent="0.2">
      <c r="A1957" s="6"/>
      <c r="B1957" s="6"/>
      <c r="C1957" s="20"/>
      <c r="D1957" s="6"/>
      <c r="E1957" s="6"/>
      <c r="F1957" s="6"/>
      <c r="G1957" s="6"/>
      <c r="H1957" s="6"/>
      <c r="I1957" s="6"/>
      <c r="J1957" s="6"/>
      <c r="K1957" s="6"/>
      <c r="L1957" s="6"/>
      <c r="M1957" s="6"/>
      <c r="N1957" s="6"/>
      <c r="O1957" s="6"/>
      <c r="P1957" s="6"/>
      <c r="Q1957" s="6"/>
      <c r="R1957" s="6"/>
      <c r="S1957" s="6"/>
      <c r="T1957" s="6"/>
      <c r="U1957" s="6"/>
      <c r="V1957" s="6"/>
      <c r="W1957" s="6"/>
      <c r="X1957" s="6"/>
      <c r="Y1957" s="6"/>
      <c r="Z1957" s="6"/>
      <c r="AA1957" s="6"/>
      <c r="AB1957" s="6"/>
      <c r="AC1957" s="6"/>
      <c r="AD1957" s="6"/>
      <c r="AE1957" s="6"/>
    </row>
    <row r="1958" spans="1:31" ht="12.75" x14ac:dyDescent="0.2">
      <c r="A1958" s="6"/>
      <c r="B1958" s="6"/>
      <c r="C1958" s="20"/>
      <c r="D1958" s="6"/>
      <c r="E1958" s="6"/>
      <c r="F1958" s="6"/>
      <c r="G1958" s="6"/>
      <c r="H1958" s="6"/>
      <c r="I1958" s="6"/>
      <c r="J1958" s="6"/>
      <c r="K1958" s="6"/>
      <c r="L1958" s="6"/>
      <c r="M1958" s="6"/>
      <c r="N1958" s="6"/>
      <c r="O1958" s="6"/>
      <c r="P1958" s="6"/>
      <c r="Q1958" s="6"/>
      <c r="R1958" s="6"/>
      <c r="S1958" s="6"/>
      <c r="T1958" s="6"/>
      <c r="U1958" s="6"/>
      <c r="V1958" s="6"/>
      <c r="W1958" s="6"/>
      <c r="X1958" s="6"/>
      <c r="Y1958" s="6"/>
      <c r="Z1958" s="6"/>
      <c r="AA1958" s="6"/>
      <c r="AB1958" s="6"/>
      <c r="AC1958" s="6"/>
      <c r="AD1958" s="6"/>
      <c r="AE1958" s="6"/>
    </row>
    <row r="1959" spans="1:31" ht="12.75" x14ac:dyDescent="0.2">
      <c r="A1959" s="6"/>
      <c r="B1959" s="6"/>
      <c r="C1959" s="20"/>
      <c r="D1959" s="6"/>
      <c r="E1959" s="6"/>
      <c r="F1959" s="6"/>
      <c r="G1959" s="6"/>
      <c r="H1959" s="6"/>
      <c r="I1959" s="6"/>
      <c r="J1959" s="6"/>
      <c r="K1959" s="6"/>
      <c r="L1959" s="6"/>
      <c r="M1959" s="6"/>
      <c r="N1959" s="6"/>
      <c r="O1959" s="6"/>
      <c r="P1959" s="6"/>
      <c r="Q1959" s="6"/>
      <c r="R1959" s="6"/>
      <c r="S1959" s="6"/>
      <c r="T1959" s="6"/>
      <c r="U1959" s="6"/>
      <c r="V1959" s="6"/>
      <c r="W1959" s="6"/>
      <c r="X1959" s="6"/>
      <c r="Y1959" s="6"/>
      <c r="Z1959" s="6"/>
      <c r="AA1959" s="6"/>
      <c r="AB1959" s="6"/>
      <c r="AC1959" s="6"/>
      <c r="AD1959" s="6"/>
      <c r="AE1959" s="6"/>
    </row>
    <row r="1960" spans="1:31" ht="12.75" x14ac:dyDescent="0.2">
      <c r="A1960" s="6"/>
      <c r="B1960" s="6"/>
      <c r="C1960" s="20"/>
      <c r="D1960" s="6"/>
      <c r="E1960" s="6"/>
      <c r="F1960" s="6"/>
      <c r="G1960" s="6"/>
      <c r="H1960" s="6"/>
      <c r="I1960" s="6"/>
      <c r="J1960" s="6"/>
      <c r="K1960" s="6"/>
      <c r="L1960" s="6"/>
      <c r="M1960" s="6"/>
      <c r="N1960" s="6"/>
      <c r="O1960" s="6"/>
      <c r="P1960" s="6"/>
      <c r="Q1960" s="6"/>
      <c r="R1960" s="6"/>
      <c r="S1960" s="6"/>
      <c r="T1960" s="6"/>
      <c r="U1960" s="6"/>
      <c r="V1960" s="6"/>
      <c r="W1960" s="6"/>
      <c r="X1960" s="6"/>
      <c r="Y1960" s="6"/>
      <c r="Z1960" s="6"/>
      <c r="AA1960" s="6"/>
      <c r="AB1960" s="6"/>
      <c r="AC1960" s="6"/>
      <c r="AD1960" s="6"/>
      <c r="AE1960" s="6"/>
    </row>
    <row r="1961" spans="1:31" ht="12.75" x14ac:dyDescent="0.2">
      <c r="A1961" s="6"/>
      <c r="B1961" s="6"/>
      <c r="C1961" s="20"/>
      <c r="D1961" s="6"/>
      <c r="E1961" s="6"/>
      <c r="F1961" s="6"/>
      <c r="G1961" s="6"/>
      <c r="H1961" s="6"/>
      <c r="I1961" s="6"/>
      <c r="J1961" s="6"/>
      <c r="K1961" s="6"/>
      <c r="L1961" s="6"/>
      <c r="M1961" s="6"/>
      <c r="N1961" s="6"/>
      <c r="O1961" s="6"/>
      <c r="P1961" s="6"/>
      <c r="Q1961" s="6"/>
      <c r="R1961" s="6"/>
      <c r="S1961" s="6"/>
      <c r="T1961" s="6"/>
      <c r="U1961" s="6"/>
      <c r="V1961" s="6"/>
      <c r="W1961" s="6"/>
      <c r="X1961" s="6"/>
      <c r="Y1961" s="6"/>
      <c r="Z1961" s="6"/>
      <c r="AA1961" s="6"/>
      <c r="AB1961" s="6"/>
      <c r="AC1961" s="6"/>
      <c r="AD1961" s="6"/>
      <c r="AE1961" s="6"/>
    </row>
    <row r="1962" spans="1:31" ht="12.75" x14ac:dyDescent="0.2">
      <c r="A1962" s="6"/>
      <c r="B1962" s="6"/>
      <c r="C1962" s="20"/>
      <c r="D1962" s="6"/>
      <c r="E1962" s="6"/>
      <c r="F1962" s="6"/>
      <c r="G1962" s="6"/>
      <c r="H1962" s="6"/>
      <c r="I1962" s="6"/>
      <c r="J1962" s="6"/>
      <c r="K1962" s="6"/>
      <c r="L1962" s="6"/>
      <c r="M1962" s="6"/>
      <c r="N1962" s="6"/>
      <c r="O1962" s="6"/>
      <c r="P1962" s="6"/>
      <c r="Q1962" s="6"/>
      <c r="R1962" s="6"/>
      <c r="S1962" s="6"/>
      <c r="T1962" s="6"/>
      <c r="U1962" s="6"/>
      <c r="V1962" s="6"/>
      <c r="W1962" s="6"/>
      <c r="X1962" s="6"/>
      <c r="Y1962" s="6"/>
      <c r="Z1962" s="6"/>
      <c r="AA1962" s="6"/>
      <c r="AB1962" s="6"/>
      <c r="AC1962" s="6"/>
      <c r="AD1962" s="6"/>
      <c r="AE1962" s="6"/>
    </row>
    <row r="1963" spans="1:31" ht="12.75" x14ac:dyDescent="0.2">
      <c r="A1963" s="6"/>
      <c r="B1963" s="6"/>
      <c r="C1963" s="20"/>
      <c r="D1963" s="6"/>
      <c r="E1963" s="6"/>
      <c r="F1963" s="6"/>
      <c r="G1963" s="6"/>
      <c r="H1963" s="6"/>
      <c r="I1963" s="6"/>
      <c r="J1963" s="6"/>
      <c r="K1963" s="6"/>
      <c r="L1963" s="6"/>
      <c r="M1963" s="6"/>
      <c r="N1963" s="6"/>
      <c r="O1963" s="6"/>
      <c r="P1963" s="6"/>
      <c r="Q1963" s="6"/>
      <c r="R1963" s="6"/>
      <c r="S1963" s="6"/>
      <c r="T1963" s="6"/>
      <c r="U1963" s="6"/>
      <c r="V1963" s="6"/>
      <c r="W1963" s="6"/>
      <c r="X1963" s="6"/>
      <c r="Y1963" s="6"/>
      <c r="Z1963" s="6"/>
      <c r="AA1963" s="6"/>
      <c r="AB1963" s="6"/>
      <c r="AC1963" s="6"/>
      <c r="AD1963" s="6"/>
      <c r="AE1963" s="6"/>
    </row>
    <row r="1964" spans="1:31" ht="12.75" x14ac:dyDescent="0.2">
      <c r="A1964" s="6"/>
      <c r="B1964" s="6"/>
      <c r="C1964" s="20"/>
      <c r="D1964" s="6"/>
      <c r="E1964" s="6"/>
      <c r="F1964" s="6"/>
      <c r="G1964" s="6"/>
      <c r="H1964" s="6"/>
      <c r="I1964" s="6"/>
      <c r="J1964" s="6"/>
      <c r="K1964" s="6"/>
      <c r="L1964" s="6"/>
      <c r="M1964" s="6"/>
      <c r="N1964" s="6"/>
      <c r="O1964" s="6"/>
      <c r="P1964" s="6"/>
      <c r="Q1964" s="6"/>
      <c r="R1964" s="6"/>
      <c r="S1964" s="6"/>
      <c r="T1964" s="6"/>
      <c r="U1964" s="6"/>
      <c r="V1964" s="6"/>
      <c r="W1964" s="6"/>
      <c r="X1964" s="6"/>
      <c r="Y1964" s="6"/>
      <c r="Z1964" s="6"/>
      <c r="AA1964" s="6"/>
      <c r="AB1964" s="6"/>
      <c r="AC1964" s="6"/>
      <c r="AD1964" s="6"/>
      <c r="AE1964" s="6"/>
    </row>
    <row r="1965" spans="1:31" ht="12.75" x14ac:dyDescent="0.2">
      <c r="A1965" s="6"/>
      <c r="B1965" s="6"/>
      <c r="C1965" s="20"/>
      <c r="D1965" s="6"/>
      <c r="E1965" s="6"/>
      <c r="F1965" s="6"/>
      <c r="G1965" s="6"/>
      <c r="H1965" s="6"/>
      <c r="I1965" s="6"/>
      <c r="J1965" s="6"/>
      <c r="K1965" s="6"/>
      <c r="L1965" s="6"/>
      <c r="M1965" s="6"/>
      <c r="N1965" s="6"/>
      <c r="O1965" s="6"/>
      <c r="P1965" s="6"/>
      <c r="Q1965" s="6"/>
      <c r="R1965" s="6"/>
      <c r="S1965" s="6"/>
      <c r="T1965" s="6"/>
      <c r="U1965" s="6"/>
      <c r="V1965" s="6"/>
      <c r="W1965" s="6"/>
      <c r="X1965" s="6"/>
      <c r="Y1965" s="6"/>
      <c r="Z1965" s="6"/>
      <c r="AA1965" s="6"/>
      <c r="AB1965" s="6"/>
      <c r="AC1965" s="6"/>
      <c r="AD1965" s="6"/>
      <c r="AE1965" s="6"/>
    </row>
    <row r="1966" spans="1:31" ht="12.75" x14ac:dyDescent="0.2">
      <c r="A1966" s="6"/>
      <c r="B1966" s="6"/>
      <c r="C1966" s="20"/>
      <c r="D1966" s="6"/>
      <c r="E1966" s="6"/>
      <c r="F1966" s="6"/>
      <c r="G1966" s="6"/>
      <c r="H1966" s="6"/>
      <c r="I1966" s="6"/>
      <c r="J1966" s="6"/>
      <c r="K1966" s="6"/>
      <c r="L1966" s="6"/>
      <c r="M1966" s="6"/>
      <c r="N1966" s="6"/>
      <c r="O1966" s="6"/>
      <c r="P1966" s="6"/>
      <c r="Q1966" s="6"/>
      <c r="R1966" s="6"/>
      <c r="S1966" s="6"/>
      <c r="T1966" s="6"/>
      <c r="U1966" s="6"/>
      <c r="V1966" s="6"/>
      <c r="W1966" s="6"/>
      <c r="X1966" s="6"/>
      <c r="Y1966" s="6"/>
      <c r="Z1966" s="6"/>
      <c r="AA1966" s="6"/>
      <c r="AB1966" s="6"/>
      <c r="AC1966" s="6"/>
      <c r="AD1966" s="6"/>
      <c r="AE1966" s="6"/>
    </row>
    <row r="1967" spans="1:31" ht="12.75" x14ac:dyDescent="0.2">
      <c r="A1967" s="6"/>
      <c r="B1967" s="6"/>
      <c r="C1967" s="20"/>
      <c r="D1967" s="6"/>
      <c r="E1967" s="6"/>
      <c r="F1967" s="6"/>
      <c r="G1967" s="6"/>
      <c r="H1967" s="6"/>
      <c r="I1967" s="6"/>
      <c r="J1967" s="6"/>
      <c r="K1967" s="6"/>
      <c r="L1967" s="6"/>
      <c r="M1967" s="6"/>
      <c r="N1967" s="6"/>
      <c r="O1967" s="6"/>
      <c r="P1967" s="6"/>
      <c r="Q1967" s="6"/>
      <c r="R1967" s="6"/>
      <c r="S1967" s="6"/>
      <c r="T1967" s="6"/>
      <c r="U1967" s="6"/>
      <c r="V1967" s="6"/>
      <c r="W1967" s="6"/>
      <c r="X1967" s="6"/>
      <c r="Y1967" s="6"/>
      <c r="Z1967" s="6"/>
      <c r="AA1967" s="6"/>
      <c r="AB1967" s="6"/>
      <c r="AC1967" s="6"/>
      <c r="AD1967" s="6"/>
      <c r="AE1967" s="6"/>
    </row>
    <row r="1968" spans="1:31" ht="12.75" x14ac:dyDescent="0.2">
      <c r="A1968" s="6"/>
      <c r="B1968" s="6"/>
      <c r="C1968" s="20"/>
      <c r="D1968" s="6"/>
      <c r="E1968" s="6"/>
      <c r="F1968" s="6"/>
      <c r="G1968" s="6"/>
      <c r="H1968" s="6"/>
      <c r="I1968" s="6"/>
      <c r="J1968" s="6"/>
      <c r="K1968" s="6"/>
      <c r="L1968" s="6"/>
      <c r="M1968" s="6"/>
      <c r="N1968" s="6"/>
      <c r="O1968" s="6"/>
      <c r="P1968" s="6"/>
      <c r="Q1968" s="6"/>
      <c r="R1968" s="6"/>
      <c r="S1968" s="6"/>
      <c r="T1968" s="6"/>
      <c r="U1968" s="6"/>
      <c r="V1968" s="6"/>
      <c r="W1968" s="6"/>
      <c r="X1968" s="6"/>
      <c r="Y1968" s="6"/>
      <c r="Z1968" s="6"/>
      <c r="AA1968" s="6"/>
      <c r="AB1968" s="6"/>
      <c r="AC1968" s="6"/>
      <c r="AD1968" s="6"/>
      <c r="AE1968" s="6"/>
    </row>
    <row r="1969" spans="1:31" ht="12.75" x14ac:dyDescent="0.2">
      <c r="A1969" s="6"/>
      <c r="B1969" s="6"/>
      <c r="C1969" s="20"/>
      <c r="D1969" s="6"/>
      <c r="E1969" s="6"/>
      <c r="F1969" s="6"/>
      <c r="G1969" s="6"/>
      <c r="H1969" s="6"/>
      <c r="I1969" s="6"/>
      <c r="J1969" s="6"/>
      <c r="K1969" s="6"/>
      <c r="L1969" s="6"/>
      <c r="M1969" s="6"/>
      <c r="N1969" s="6"/>
      <c r="O1969" s="6"/>
      <c r="P1969" s="6"/>
      <c r="Q1969" s="6"/>
      <c r="R1969" s="6"/>
      <c r="S1969" s="6"/>
      <c r="T1969" s="6"/>
      <c r="U1969" s="6"/>
      <c r="V1969" s="6"/>
      <c r="W1969" s="6"/>
      <c r="X1969" s="6"/>
      <c r="Y1969" s="6"/>
      <c r="Z1969" s="6"/>
      <c r="AA1969" s="6"/>
      <c r="AB1969" s="6"/>
      <c r="AC1969" s="6"/>
      <c r="AD1969" s="6"/>
      <c r="AE1969" s="6"/>
    </row>
    <row r="1970" spans="1:31" ht="12.75" x14ac:dyDescent="0.2">
      <c r="A1970" s="6"/>
      <c r="B1970" s="6"/>
      <c r="C1970" s="20"/>
      <c r="D1970" s="6"/>
      <c r="E1970" s="6"/>
      <c r="F1970" s="6"/>
      <c r="G1970" s="6"/>
      <c r="H1970" s="6"/>
      <c r="I1970" s="6"/>
      <c r="J1970" s="6"/>
      <c r="K1970" s="6"/>
      <c r="L1970" s="6"/>
      <c r="M1970" s="6"/>
      <c r="N1970" s="6"/>
      <c r="O1970" s="6"/>
      <c r="P1970" s="6"/>
      <c r="Q1970" s="6"/>
      <c r="R1970" s="6"/>
      <c r="S1970" s="6"/>
      <c r="T1970" s="6"/>
      <c r="U1970" s="6"/>
      <c r="V1970" s="6"/>
      <c r="W1970" s="6"/>
      <c r="X1970" s="6"/>
      <c r="Y1970" s="6"/>
      <c r="Z1970" s="6"/>
      <c r="AA1970" s="6"/>
      <c r="AB1970" s="6"/>
      <c r="AC1970" s="6"/>
      <c r="AD1970" s="6"/>
      <c r="AE1970" s="6"/>
    </row>
    <row r="1971" spans="1:31" ht="12.75" x14ac:dyDescent="0.2">
      <c r="A1971" s="6"/>
      <c r="B1971" s="6"/>
      <c r="C1971" s="20"/>
      <c r="D1971" s="6"/>
      <c r="E1971" s="6"/>
      <c r="F1971" s="6"/>
      <c r="G1971" s="6"/>
      <c r="H1971" s="6"/>
      <c r="I1971" s="6"/>
      <c r="J1971" s="6"/>
      <c r="K1971" s="6"/>
      <c r="L1971" s="6"/>
      <c r="M1971" s="6"/>
      <c r="N1971" s="6"/>
      <c r="O1971" s="6"/>
      <c r="P1971" s="6"/>
      <c r="Q1971" s="6"/>
      <c r="R1971" s="6"/>
      <c r="S1971" s="6"/>
      <c r="T1971" s="6"/>
      <c r="U1971" s="6"/>
      <c r="V1971" s="6"/>
      <c r="W1971" s="6"/>
      <c r="X1971" s="6"/>
      <c r="Y1971" s="6"/>
      <c r="Z1971" s="6"/>
      <c r="AA1971" s="6"/>
      <c r="AB1971" s="6"/>
      <c r="AC1971" s="6"/>
      <c r="AD1971" s="6"/>
      <c r="AE1971" s="6"/>
    </row>
    <row r="1972" spans="1:31" ht="12.75" x14ac:dyDescent="0.2">
      <c r="A1972" s="6"/>
      <c r="B1972" s="6"/>
      <c r="C1972" s="20"/>
      <c r="D1972" s="6"/>
      <c r="E1972" s="6"/>
      <c r="F1972" s="6"/>
      <c r="G1972" s="6"/>
      <c r="H1972" s="6"/>
      <c r="I1972" s="6"/>
      <c r="J1972" s="6"/>
      <c r="K1972" s="6"/>
      <c r="L1972" s="6"/>
      <c r="M1972" s="6"/>
      <c r="N1972" s="6"/>
      <c r="O1972" s="6"/>
      <c r="P1972" s="6"/>
      <c r="Q1972" s="6"/>
      <c r="R1972" s="6"/>
      <c r="S1972" s="6"/>
      <c r="T1972" s="6"/>
      <c r="U1972" s="6"/>
      <c r="V1972" s="6"/>
      <c r="W1972" s="6"/>
      <c r="X1972" s="6"/>
      <c r="Y1972" s="6"/>
      <c r="Z1972" s="6"/>
      <c r="AA1972" s="6"/>
      <c r="AB1972" s="6"/>
      <c r="AC1972" s="6"/>
      <c r="AD1972" s="6"/>
      <c r="AE1972" s="6"/>
    </row>
    <row r="1973" spans="1:31" ht="12.75" x14ac:dyDescent="0.2">
      <c r="A1973" s="6"/>
      <c r="B1973" s="6"/>
      <c r="C1973" s="20"/>
      <c r="D1973" s="6"/>
      <c r="E1973" s="6"/>
      <c r="F1973" s="6"/>
      <c r="G1973" s="6"/>
      <c r="H1973" s="6"/>
      <c r="I1973" s="6"/>
      <c r="J1973" s="6"/>
      <c r="K1973" s="6"/>
      <c r="L1973" s="6"/>
      <c r="M1973" s="6"/>
      <c r="N1973" s="6"/>
      <c r="O1973" s="6"/>
      <c r="P1973" s="6"/>
      <c r="Q1973" s="6"/>
      <c r="R1973" s="6"/>
      <c r="S1973" s="6"/>
      <c r="T1973" s="6"/>
      <c r="U1973" s="6"/>
      <c r="V1973" s="6"/>
      <c r="W1973" s="6"/>
      <c r="X1973" s="6"/>
      <c r="Y1973" s="6"/>
      <c r="Z1973" s="6"/>
      <c r="AA1973" s="6"/>
      <c r="AB1973" s="6"/>
      <c r="AC1973" s="6"/>
      <c r="AD1973" s="6"/>
      <c r="AE1973" s="6"/>
    </row>
    <row r="1974" spans="1:31" ht="12.75" x14ac:dyDescent="0.2">
      <c r="A1974" s="6"/>
      <c r="B1974" s="6"/>
      <c r="C1974" s="20"/>
      <c r="D1974" s="6"/>
      <c r="E1974" s="6"/>
      <c r="F1974" s="6"/>
      <c r="G1974" s="6"/>
      <c r="H1974" s="6"/>
      <c r="I1974" s="6"/>
      <c r="J1974" s="6"/>
      <c r="K1974" s="6"/>
      <c r="L1974" s="6"/>
      <c r="M1974" s="6"/>
      <c r="N1974" s="6"/>
      <c r="O1974" s="6"/>
      <c r="P1974" s="6"/>
      <c r="Q1974" s="6"/>
      <c r="R1974" s="6"/>
      <c r="S1974" s="6"/>
      <c r="T1974" s="6"/>
      <c r="U1974" s="6"/>
      <c r="V1974" s="6"/>
      <c r="W1974" s="6"/>
      <c r="X1974" s="6"/>
      <c r="Y1974" s="6"/>
      <c r="Z1974" s="6"/>
      <c r="AA1974" s="6"/>
      <c r="AB1974" s="6"/>
      <c r="AC1974" s="6"/>
      <c r="AD1974" s="6"/>
      <c r="AE1974" s="6"/>
    </row>
    <row r="1975" spans="1:31" ht="12.75" x14ac:dyDescent="0.2">
      <c r="A1975" s="6"/>
      <c r="B1975" s="6"/>
      <c r="C1975" s="20"/>
      <c r="D1975" s="6"/>
      <c r="E1975" s="6"/>
      <c r="F1975" s="6"/>
      <c r="G1975" s="6"/>
      <c r="H1975" s="6"/>
      <c r="I1975" s="6"/>
      <c r="J1975" s="6"/>
      <c r="K1975" s="6"/>
      <c r="L1975" s="6"/>
      <c r="M1975" s="6"/>
      <c r="N1975" s="6"/>
      <c r="O1975" s="6"/>
      <c r="P1975" s="6"/>
      <c r="Q1975" s="6"/>
      <c r="R1975" s="6"/>
      <c r="S1975" s="6"/>
      <c r="T1975" s="6"/>
      <c r="U1975" s="6"/>
      <c r="V1975" s="6"/>
      <c r="W1975" s="6"/>
      <c r="X1975" s="6"/>
      <c r="Y1975" s="6"/>
      <c r="Z1975" s="6"/>
      <c r="AA1975" s="6"/>
      <c r="AB1975" s="6"/>
      <c r="AC1975" s="6"/>
      <c r="AD1975" s="6"/>
      <c r="AE1975" s="6"/>
    </row>
    <row r="1976" spans="1:31" ht="12.75" x14ac:dyDescent="0.2">
      <c r="A1976" s="6"/>
      <c r="B1976" s="6"/>
      <c r="C1976" s="20"/>
      <c r="D1976" s="6"/>
      <c r="E1976" s="6"/>
      <c r="F1976" s="6"/>
      <c r="G1976" s="6"/>
      <c r="H1976" s="6"/>
      <c r="I1976" s="6"/>
      <c r="J1976" s="6"/>
      <c r="K1976" s="6"/>
      <c r="L1976" s="6"/>
      <c r="M1976" s="6"/>
      <c r="N1976" s="6"/>
      <c r="O1976" s="6"/>
      <c r="P1976" s="6"/>
      <c r="Q1976" s="6"/>
      <c r="R1976" s="6"/>
      <c r="S1976" s="6"/>
      <c r="T1976" s="6"/>
      <c r="U1976" s="6"/>
      <c r="V1976" s="6"/>
      <c r="W1976" s="6"/>
      <c r="X1976" s="6"/>
      <c r="Y1976" s="6"/>
      <c r="Z1976" s="6"/>
      <c r="AA1976" s="6"/>
      <c r="AB1976" s="6"/>
      <c r="AC1976" s="6"/>
      <c r="AD1976" s="6"/>
      <c r="AE1976" s="6"/>
    </row>
    <row r="1977" spans="1:31" ht="12.75" x14ac:dyDescent="0.2">
      <c r="A1977" s="6"/>
      <c r="B1977" s="6"/>
      <c r="C1977" s="20"/>
      <c r="D1977" s="6"/>
      <c r="E1977" s="6"/>
      <c r="F1977" s="6"/>
      <c r="G1977" s="6"/>
      <c r="H1977" s="6"/>
      <c r="I1977" s="6"/>
      <c r="J1977" s="6"/>
      <c r="K1977" s="6"/>
      <c r="L1977" s="6"/>
      <c r="M1977" s="6"/>
      <c r="N1977" s="6"/>
      <c r="O1977" s="6"/>
      <c r="P1977" s="6"/>
      <c r="Q1977" s="6"/>
      <c r="R1977" s="6"/>
      <c r="S1977" s="6"/>
      <c r="T1977" s="6"/>
      <c r="U1977" s="6"/>
      <c r="V1977" s="6"/>
      <c r="W1977" s="6"/>
      <c r="X1977" s="6"/>
      <c r="Y1977" s="6"/>
      <c r="Z1977" s="6"/>
      <c r="AA1977" s="6"/>
      <c r="AB1977" s="6"/>
      <c r="AC1977" s="6"/>
      <c r="AD1977" s="6"/>
      <c r="AE1977" s="6"/>
    </row>
    <row r="1978" spans="1:31" ht="12.75" x14ac:dyDescent="0.2">
      <c r="A1978" s="6"/>
      <c r="B1978" s="6"/>
      <c r="C1978" s="20"/>
      <c r="D1978" s="6"/>
      <c r="E1978" s="6"/>
      <c r="F1978" s="6"/>
      <c r="G1978" s="6"/>
      <c r="H1978" s="6"/>
      <c r="I1978" s="6"/>
      <c r="J1978" s="6"/>
      <c r="K1978" s="6"/>
      <c r="L1978" s="6"/>
      <c r="M1978" s="6"/>
      <c r="N1978" s="6"/>
      <c r="O1978" s="6"/>
      <c r="P1978" s="6"/>
      <c r="Q1978" s="6"/>
      <c r="R1978" s="6"/>
      <c r="S1978" s="6"/>
      <c r="T1978" s="6"/>
      <c r="U1978" s="6"/>
      <c r="V1978" s="6"/>
      <c r="W1978" s="6"/>
      <c r="X1978" s="6"/>
      <c r="Y1978" s="6"/>
      <c r="Z1978" s="6"/>
      <c r="AA1978" s="6"/>
      <c r="AB1978" s="6"/>
      <c r="AC1978" s="6"/>
      <c r="AD1978" s="6"/>
      <c r="AE1978" s="6"/>
    </row>
    <row r="1979" spans="1:31" ht="12.75" x14ac:dyDescent="0.2">
      <c r="A1979" s="6"/>
      <c r="B1979" s="6"/>
      <c r="C1979" s="20"/>
      <c r="D1979" s="6"/>
      <c r="E1979" s="6"/>
      <c r="F1979" s="6"/>
      <c r="G1979" s="6"/>
      <c r="H1979" s="6"/>
      <c r="I1979" s="6"/>
      <c r="J1979" s="6"/>
      <c r="K1979" s="6"/>
      <c r="L1979" s="6"/>
      <c r="M1979" s="6"/>
      <c r="N1979" s="6"/>
      <c r="O1979" s="6"/>
      <c r="P1979" s="6"/>
      <c r="Q1979" s="6"/>
      <c r="R1979" s="6"/>
      <c r="S1979" s="6"/>
      <c r="T1979" s="6"/>
      <c r="U1979" s="6"/>
      <c r="V1979" s="6"/>
      <c r="W1979" s="6"/>
      <c r="X1979" s="6"/>
      <c r="Y1979" s="6"/>
      <c r="Z1979" s="6"/>
      <c r="AA1979" s="6"/>
      <c r="AB1979" s="6"/>
      <c r="AC1979" s="6"/>
      <c r="AD1979" s="6"/>
      <c r="AE1979" s="6"/>
    </row>
    <row r="1980" spans="1:31" ht="12.75" x14ac:dyDescent="0.2">
      <c r="A1980" s="6"/>
      <c r="B1980" s="6"/>
      <c r="C1980" s="20"/>
      <c r="D1980" s="6"/>
      <c r="E1980" s="6"/>
      <c r="F1980" s="6"/>
      <c r="G1980" s="6"/>
      <c r="H1980" s="6"/>
      <c r="I1980" s="6"/>
      <c r="J1980" s="6"/>
      <c r="K1980" s="6"/>
      <c r="L1980" s="6"/>
      <c r="M1980" s="6"/>
      <c r="N1980" s="6"/>
      <c r="O1980" s="6"/>
      <c r="P1980" s="6"/>
      <c r="Q1980" s="6"/>
      <c r="R1980" s="6"/>
      <c r="S1980" s="6"/>
      <c r="T1980" s="6"/>
      <c r="U1980" s="6"/>
      <c r="V1980" s="6"/>
      <c r="W1980" s="6"/>
      <c r="X1980" s="6"/>
      <c r="Y1980" s="6"/>
      <c r="Z1980" s="6"/>
      <c r="AA1980" s="6"/>
      <c r="AB1980" s="6"/>
      <c r="AC1980" s="6"/>
      <c r="AD1980" s="6"/>
      <c r="AE1980" s="6"/>
    </row>
    <row r="1981" spans="1:31" ht="12.75" x14ac:dyDescent="0.2">
      <c r="A1981" s="6"/>
      <c r="B1981" s="6"/>
      <c r="C1981" s="20"/>
      <c r="D1981" s="6"/>
      <c r="E1981" s="6"/>
      <c r="F1981" s="6"/>
      <c r="G1981" s="6"/>
      <c r="H1981" s="6"/>
      <c r="I1981" s="6"/>
      <c r="J1981" s="6"/>
      <c r="K1981" s="6"/>
      <c r="L1981" s="6"/>
      <c r="M1981" s="6"/>
      <c r="N1981" s="6"/>
      <c r="O1981" s="6"/>
      <c r="P1981" s="6"/>
      <c r="Q1981" s="6"/>
      <c r="R1981" s="6"/>
      <c r="S1981" s="6"/>
      <c r="T1981" s="6"/>
      <c r="U1981" s="6"/>
      <c r="V1981" s="6"/>
      <c r="W1981" s="6"/>
      <c r="X1981" s="6"/>
      <c r="Y1981" s="6"/>
      <c r="Z1981" s="6"/>
      <c r="AA1981" s="6"/>
      <c r="AB1981" s="6"/>
      <c r="AC1981" s="6"/>
      <c r="AD1981" s="6"/>
      <c r="AE1981" s="6"/>
    </row>
    <row r="1982" spans="1:31" ht="12.75" x14ac:dyDescent="0.2">
      <c r="A1982" s="6"/>
      <c r="B1982" s="6"/>
      <c r="C1982" s="20"/>
      <c r="D1982" s="6"/>
      <c r="E1982" s="6"/>
      <c r="F1982" s="6"/>
      <c r="G1982" s="6"/>
      <c r="H1982" s="6"/>
      <c r="I1982" s="6"/>
      <c r="J1982" s="6"/>
      <c r="K1982" s="6"/>
      <c r="L1982" s="6"/>
      <c r="M1982" s="6"/>
      <c r="N1982" s="6"/>
      <c r="O1982" s="6"/>
      <c r="P1982" s="6"/>
      <c r="Q1982" s="6"/>
      <c r="R1982" s="6"/>
      <c r="S1982" s="6"/>
      <c r="T1982" s="6"/>
      <c r="U1982" s="6"/>
      <c r="V1982" s="6"/>
      <c r="W1982" s="6"/>
      <c r="X1982" s="6"/>
      <c r="Y1982" s="6"/>
      <c r="Z1982" s="6"/>
      <c r="AA1982" s="6"/>
      <c r="AB1982" s="6"/>
      <c r="AC1982" s="6"/>
      <c r="AD1982" s="6"/>
      <c r="AE1982" s="6"/>
    </row>
    <row r="1983" spans="1:31" ht="12.75" x14ac:dyDescent="0.2">
      <c r="A1983" s="6"/>
      <c r="B1983" s="6"/>
      <c r="C1983" s="20"/>
      <c r="D1983" s="6"/>
      <c r="E1983" s="6"/>
      <c r="F1983" s="6"/>
      <c r="G1983" s="6"/>
      <c r="H1983" s="6"/>
      <c r="I1983" s="6"/>
      <c r="J1983" s="6"/>
      <c r="K1983" s="6"/>
      <c r="L1983" s="6"/>
      <c r="M1983" s="6"/>
      <c r="N1983" s="6"/>
      <c r="O1983" s="6"/>
      <c r="P1983" s="6"/>
      <c r="Q1983" s="6"/>
      <c r="R1983" s="6"/>
      <c r="S1983" s="6"/>
      <c r="T1983" s="6"/>
      <c r="U1983" s="6"/>
      <c r="V1983" s="6"/>
      <c r="W1983" s="6"/>
      <c r="X1983" s="6"/>
      <c r="Y1983" s="6"/>
      <c r="Z1983" s="6"/>
      <c r="AA1983" s="6"/>
      <c r="AB1983" s="6"/>
      <c r="AC1983" s="6"/>
      <c r="AD1983" s="6"/>
      <c r="AE1983" s="6"/>
    </row>
    <row r="1984" spans="1:31" ht="12.75" x14ac:dyDescent="0.2">
      <c r="A1984" s="6"/>
      <c r="B1984" s="6"/>
      <c r="C1984" s="20"/>
      <c r="D1984" s="6"/>
      <c r="E1984" s="6"/>
      <c r="F1984" s="6"/>
      <c r="G1984" s="6"/>
      <c r="H1984" s="6"/>
      <c r="I1984" s="6"/>
      <c r="J1984" s="6"/>
      <c r="K1984" s="6"/>
      <c r="L1984" s="6"/>
      <c r="M1984" s="6"/>
      <c r="N1984" s="6"/>
      <c r="O1984" s="6"/>
      <c r="P1984" s="6"/>
      <c r="Q1984" s="6"/>
      <c r="R1984" s="6"/>
      <c r="S1984" s="6"/>
      <c r="T1984" s="6"/>
      <c r="U1984" s="6"/>
      <c r="V1984" s="6"/>
      <c r="W1984" s="6"/>
      <c r="X1984" s="6"/>
      <c r="Y1984" s="6"/>
      <c r="Z1984" s="6"/>
      <c r="AA1984" s="6"/>
      <c r="AB1984" s="6"/>
      <c r="AC1984" s="6"/>
      <c r="AD1984" s="6"/>
      <c r="AE1984" s="6"/>
    </row>
    <row r="1985" spans="1:31" ht="12.75" x14ac:dyDescent="0.2">
      <c r="A1985" s="6"/>
      <c r="B1985" s="6"/>
      <c r="C1985" s="20"/>
      <c r="D1985" s="6"/>
      <c r="E1985" s="6"/>
      <c r="F1985" s="6"/>
      <c r="G1985" s="6"/>
      <c r="H1985" s="6"/>
      <c r="I1985" s="6"/>
      <c r="J1985" s="6"/>
      <c r="K1985" s="6"/>
      <c r="L1985" s="6"/>
      <c r="M1985" s="6"/>
      <c r="N1985" s="6"/>
      <c r="O1985" s="6"/>
      <c r="P1985" s="6"/>
      <c r="Q1985" s="6"/>
      <c r="R1985" s="6"/>
      <c r="S1985" s="6"/>
      <c r="T1985" s="6"/>
      <c r="U1985" s="6"/>
      <c r="V1985" s="6"/>
      <c r="W1985" s="6"/>
      <c r="X1985" s="6"/>
      <c r="Y1985" s="6"/>
      <c r="Z1985" s="6"/>
      <c r="AA1985" s="6"/>
      <c r="AB1985" s="6"/>
      <c r="AC1985" s="6"/>
      <c r="AD1985" s="6"/>
      <c r="AE1985" s="6"/>
    </row>
    <row r="1986" spans="1:31" ht="12.75" x14ac:dyDescent="0.2">
      <c r="A1986" s="6"/>
      <c r="B1986" s="6"/>
      <c r="C1986" s="20"/>
      <c r="D1986" s="6"/>
      <c r="E1986" s="6"/>
      <c r="F1986" s="6"/>
      <c r="G1986" s="6"/>
      <c r="H1986" s="6"/>
      <c r="I1986" s="6"/>
      <c r="J1986" s="6"/>
      <c r="K1986" s="6"/>
      <c r="L1986" s="6"/>
      <c r="M1986" s="6"/>
      <c r="N1986" s="6"/>
      <c r="O1986" s="6"/>
      <c r="P1986" s="6"/>
      <c r="Q1986" s="6"/>
      <c r="R1986" s="6"/>
      <c r="S1986" s="6"/>
      <c r="T1986" s="6"/>
      <c r="U1986" s="6"/>
      <c r="V1986" s="6"/>
      <c r="W1986" s="6"/>
      <c r="X1986" s="6"/>
      <c r="Y1986" s="6"/>
      <c r="Z1986" s="6"/>
      <c r="AA1986" s="6"/>
      <c r="AB1986" s="6"/>
      <c r="AC1986" s="6"/>
      <c r="AD1986" s="6"/>
      <c r="AE1986" s="6"/>
    </row>
    <row r="1987" spans="1:31" ht="12.75" x14ac:dyDescent="0.2">
      <c r="A1987" s="6"/>
      <c r="B1987" s="6"/>
      <c r="C1987" s="20"/>
      <c r="D1987" s="6"/>
      <c r="E1987" s="6"/>
      <c r="F1987" s="6"/>
      <c r="G1987" s="6"/>
      <c r="H1987" s="6"/>
      <c r="I1987" s="6"/>
      <c r="J1987" s="6"/>
      <c r="K1987" s="6"/>
      <c r="L1987" s="6"/>
      <c r="M1987" s="6"/>
      <c r="N1987" s="6"/>
      <c r="O1987" s="6"/>
      <c r="P1987" s="6"/>
      <c r="Q1987" s="6"/>
      <c r="R1987" s="6"/>
      <c r="S1987" s="6"/>
      <c r="T1987" s="6"/>
      <c r="U1987" s="6"/>
      <c r="V1987" s="6"/>
      <c r="W1987" s="6"/>
      <c r="X1987" s="6"/>
      <c r="Y1987" s="6"/>
      <c r="Z1987" s="6"/>
      <c r="AA1987" s="6"/>
      <c r="AB1987" s="6"/>
      <c r="AC1987" s="6"/>
      <c r="AD1987" s="6"/>
      <c r="AE1987" s="6"/>
    </row>
    <row r="1988" spans="1:31" ht="12.75" x14ac:dyDescent="0.2">
      <c r="A1988" s="6"/>
      <c r="B1988" s="6"/>
      <c r="C1988" s="20"/>
      <c r="D1988" s="6"/>
      <c r="E1988" s="6"/>
      <c r="F1988" s="6"/>
      <c r="G1988" s="6"/>
      <c r="H1988" s="6"/>
      <c r="I1988" s="6"/>
      <c r="J1988" s="6"/>
      <c r="K1988" s="6"/>
      <c r="L1988" s="6"/>
      <c r="M1988" s="6"/>
      <c r="N1988" s="6"/>
      <c r="O1988" s="6"/>
      <c r="P1988" s="6"/>
      <c r="Q1988" s="6"/>
      <c r="R1988" s="6"/>
      <c r="S1988" s="6"/>
      <c r="T1988" s="6"/>
      <c r="U1988" s="6"/>
      <c r="V1988" s="6"/>
      <c r="W1988" s="6"/>
      <c r="X1988" s="6"/>
      <c r="Y1988" s="6"/>
      <c r="Z1988" s="6"/>
      <c r="AA1988" s="6"/>
      <c r="AB1988" s="6"/>
      <c r="AC1988" s="6"/>
      <c r="AD1988" s="6"/>
      <c r="AE1988" s="6"/>
    </row>
    <row r="1989" spans="1:31" ht="12.75" x14ac:dyDescent="0.2">
      <c r="A1989" s="6"/>
      <c r="B1989" s="6"/>
      <c r="C1989" s="20"/>
      <c r="D1989" s="6"/>
      <c r="E1989" s="6"/>
      <c r="F1989" s="6"/>
      <c r="G1989" s="6"/>
      <c r="H1989" s="6"/>
      <c r="I1989" s="6"/>
      <c r="J1989" s="6"/>
      <c r="K1989" s="6"/>
      <c r="L1989" s="6"/>
      <c r="M1989" s="6"/>
      <c r="N1989" s="6"/>
      <c r="O1989" s="6"/>
      <c r="P1989" s="6"/>
      <c r="Q1989" s="6"/>
      <c r="R1989" s="6"/>
      <c r="S1989" s="6"/>
      <c r="T1989" s="6"/>
      <c r="U1989" s="6"/>
      <c r="V1989" s="6"/>
      <c r="W1989" s="6"/>
      <c r="X1989" s="6"/>
      <c r="Y1989" s="6"/>
      <c r="Z1989" s="6"/>
      <c r="AA1989" s="6"/>
      <c r="AB1989" s="6"/>
      <c r="AC1989" s="6"/>
      <c r="AD1989" s="6"/>
      <c r="AE1989" s="6"/>
    </row>
    <row r="1990" spans="1:31" ht="12.75" x14ac:dyDescent="0.2">
      <c r="A1990" s="6"/>
      <c r="B1990" s="6"/>
      <c r="C1990" s="20"/>
      <c r="D1990" s="6"/>
      <c r="E1990" s="6"/>
      <c r="F1990" s="6"/>
      <c r="G1990" s="6"/>
      <c r="H1990" s="6"/>
      <c r="I1990" s="6"/>
      <c r="J1990" s="6"/>
      <c r="K1990" s="6"/>
      <c r="L1990" s="6"/>
      <c r="M1990" s="6"/>
      <c r="N1990" s="6"/>
      <c r="O1990" s="6"/>
      <c r="P1990" s="6"/>
      <c r="Q1990" s="6"/>
      <c r="R1990" s="6"/>
      <c r="S1990" s="6"/>
      <c r="T1990" s="6"/>
      <c r="U1990" s="6"/>
      <c r="V1990" s="6"/>
      <c r="W1990" s="6"/>
      <c r="X1990" s="6"/>
      <c r="Y1990" s="6"/>
      <c r="Z1990" s="6"/>
      <c r="AA1990" s="6"/>
      <c r="AB1990" s="6"/>
      <c r="AC1990" s="6"/>
      <c r="AD1990" s="6"/>
      <c r="AE1990" s="6"/>
    </row>
    <row r="1991" spans="1:31" ht="12.75" x14ac:dyDescent="0.2">
      <c r="A1991" s="6"/>
      <c r="B1991" s="6"/>
      <c r="C1991" s="20"/>
      <c r="D1991" s="6"/>
      <c r="E1991" s="6"/>
      <c r="F1991" s="6"/>
      <c r="G1991" s="6"/>
      <c r="H1991" s="6"/>
      <c r="I1991" s="6"/>
      <c r="J1991" s="6"/>
      <c r="K1991" s="6"/>
      <c r="L1991" s="6"/>
      <c r="M1991" s="6"/>
      <c r="N1991" s="6"/>
      <c r="O1991" s="6"/>
      <c r="P1991" s="6"/>
      <c r="Q1991" s="6"/>
      <c r="R1991" s="6"/>
      <c r="S1991" s="6"/>
      <c r="T1991" s="6"/>
      <c r="U1991" s="6"/>
      <c r="V1991" s="6"/>
      <c r="W1991" s="6"/>
      <c r="X1991" s="6"/>
      <c r="Y1991" s="6"/>
      <c r="Z1991" s="6"/>
      <c r="AA1991" s="6"/>
      <c r="AB1991" s="6"/>
      <c r="AC1991" s="6"/>
      <c r="AD1991" s="6"/>
      <c r="AE1991" s="6"/>
    </row>
    <row r="1992" spans="1:31" ht="12.75" x14ac:dyDescent="0.2">
      <c r="A1992" s="6"/>
      <c r="B1992" s="6"/>
      <c r="C1992" s="20"/>
      <c r="D1992" s="6"/>
      <c r="E1992" s="6"/>
      <c r="F1992" s="6"/>
      <c r="G1992" s="6"/>
      <c r="H1992" s="6"/>
      <c r="I1992" s="6"/>
      <c r="J1992" s="6"/>
      <c r="K1992" s="6"/>
      <c r="L1992" s="6"/>
      <c r="M1992" s="6"/>
      <c r="N1992" s="6"/>
      <c r="O1992" s="6"/>
      <c r="P1992" s="6"/>
      <c r="Q1992" s="6"/>
      <c r="R1992" s="6"/>
      <c r="S1992" s="6"/>
      <c r="T1992" s="6"/>
      <c r="U1992" s="6"/>
      <c r="V1992" s="6"/>
      <c r="W1992" s="6"/>
      <c r="X1992" s="6"/>
      <c r="Y1992" s="6"/>
      <c r="Z1992" s="6"/>
      <c r="AA1992" s="6"/>
      <c r="AB1992" s="6"/>
      <c r="AC1992" s="6"/>
      <c r="AD1992" s="6"/>
      <c r="AE1992" s="6"/>
    </row>
    <row r="1993" spans="1:31" ht="12.75" x14ac:dyDescent="0.2">
      <c r="A1993" s="6"/>
      <c r="B1993" s="6"/>
      <c r="C1993" s="20"/>
      <c r="D1993" s="6"/>
      <c r="E1993" s="6"/>
      <c r="F1993" s="6"/>
      <c r="G1993" s="6"/>
      <c r="H1993" s="6"/>
      <c r="I1993" s="6"/>
      <c r="J1993" s="6"/>
      <c r="K1993" s="6"/>
      <c r="L1993" s="6"/>
      <c r="M1993" s="6"/>
      <c r="N1993" s="6"/>
      <c r="O1993" s="6"/>
      <c r="P1993" s="6"/>
      <c r="Q1993" s="6"/>
      <c r="R1993" s="6"/>
      <c r="S1993" s="6"/>
      <c r="T1993" s="6"/>
      <c r="U1993" s="6"/>
      <c r="V1993" s="6"/>
      <c r="W1993" s="6"/>
      <c r="X1993" s="6"/>
      <c r="Y1993" s="6"/>
      <c r="Z1993" s="6"/>
      <c r="AA1993" s="6"/>
      <c r="AB1993" s="6"/>
      <c r="AC1993" s="6"/>
      <c r="AD1993" s="6"/>
      <c r="AE1993" s="6"/>
    </row>
    <row r="1994" spans="1:31" ht="12.75" x14ac:dyDescent="0.2">
      <c r="A1994" s="6"/>
      <c r="B1994" s="6"/>
      <c r="C1994" s="20"/>
      <c r="D1994" s="6"/>
      <c r="E1994" s="6"/>
      <c r="F1994" s="6"/>
      <c r="G1994" s="6"/>
      <c r="H1994" s="6"/>
      <c r="I1994" s="6"/>
      <c r="J1994" s="6"/>
      <c r="K1994" s="6"/>
      <c r="L1994" s="6"/>
      <c r="M1994" s="6"/>
      <c r="N1994" s="6"/>
      <c r="O1994" s="6"/>
      <c r="P1994" s="6"/>
      <c r="Q1994" s="6"/>
      <c r="R1994" s="6"/>
      <c r="S1994" s="6"/>
      <c r="T1994" s="6"/>
      <c r="U1994" s="6"/>
      <c r="V1994" s="6"/>
      <c r="W1994" s="6"/>
      <c r="X1994" s="6"/>
      <c r="Y1994" s="6"/>
      <c r="Z1994" s="6"/>
      <c r="AA1994" s="6"/>
      <c r="AB1994" s="6"/>
      <c r="AC1994" s="6"/>
      <c r="AD1994" s="6"/>
      <c r="AE1994" s="6"/>
    </row>
    <row r="1995" spans="1:31" ht="12.75" x14ac:dyDescent="0.2">
      <c r="A1995" s="6"/>
      <c r="B1995" s="6"/>
      <c r="C1995" s="20"/>
      <c r="D1995" s="6"/>
      <c r="E1995" s="6"/>
      <c r="F1995" s="6"/>
      <c r="G1995" s="6"/>
      <c r="H1995" s="6"/>
      <c r="I1995" s="6"/>
      <c r="J1995" s="6"/>
      <c r="K1995" s="6"/>
      <c r="L1995" s="6"/>
      <c r="M1995" s="6"/>
      <c r="N1995" s="6"/>
      <c r="O1995" s="6"/>
      <c r="P1995" s="6"/>
      <c r="Q1995" s="6"/>
      <c r="R1995" s="6"/>
      <c r="S1995" s="6"/>
      <c r="T1995" s="6"/>
      <c r="U1995" s="6"/>
      <c r="V1995" s="6"/>
      <c r="W1995" s="6"/>
      <c r="X1995" s="6"/>
      <c r="Y1995" s="6"/>
      <c r="Z1995" s="6"/>
      <c r="AA1995" s="6"/>
      <c r="AB1995" s="6"/>
      <c r="AC1995" s="6"/>
      <c r="AD1995" s="6"/>
      <c r="AE1995" s="6"/>
    </row>
    <row r="1996" spans="1:31" ht="12.75" x14ac:dyDescent="0.2">
      <c r="A1996" s="6"/>
      <c r="B1996" s="6"/>
      <c r="C1996" s="20"/>
      <c r="D1996" s="6"/>
      <c r="E1996" s="6"/>
      <c r="F1996" s="6"/>
      <c r="G1996" s="6"/>
      <c r="H1996" s="6"/>
      <c r="I1996" s="6"/>
      <c r="J1996" s="6"/>
      <c r="K1996" s="6"/>
      <c r="L1996" s="6"/>
      <c r="M1996" s="6"/>
      <c r="N1996" s="6"/>
      <c r="O1996" s="6"/>
      <c r="P1996" s="6"/>
      <c r="Q1996" s="6"/>
      <c r="R1996" s="6"/>
      <c r="S1996" s="6"/>
      <c r="T1996" s="6"/>
      <c r="U1996" s="6"/>
      <c r="V1996" s="6"/>
      <c r="W1996" s="6"/>
      <c r="X1996" s="6"/>
      <c r="Y1996" s="6"/>
      <c r="Z1996" s="6"/>
      <c r="AA1996" s="6"/>
      <c r="AB1996" s="6"/>
      <c r="AC1996" s="6"/>
      <c r="AD1996" s="6"/>
      <c r="AE1996" s="6"/>
    </row>
    <row r="1997" spans="1:31" ht="12.75" x14ac:dyDescent="0.2">
      <c r="A1997" s="6"/>
      <c r="B1997" s="6"/>
      <c r="C1997" s="20"/>
      <c r="D1997" s="6"/>
      <c r="E1997" s="6"/>
      <c r="F1997" s="6"/>
      <c r="G1997" s="6"/>
      <c r="H1997" s="6"/>
      <c r="I1997" s="6"/>
      <c r="J1997" s="6"/>
      <c r="K1997" s="6"/>
      <c r="L1997" s="6"/>
      <c r="M1997" s="6"/>
      <c r="N1997" s="6"/>
      <c r="O1997" s="6"/>
      <c r="P1997" s="6"/>
      <c r="Q1997" s="6"/>
      <c r="R1997" s="6"/>
      <c r="S1997" s="6"/>
      <c r="T1997" s="6"/>
      <c r="U1997" s="6"/>
      <c r="V1997" s="6"/>
      <c r="W1997" s="6"/>
      <c r="X1997" s="6"/>
      <c r="Y1997" s="6"/>
      <c r="Z1997" s="6"/>
      <c r="AA1997" s="6"/>
      <c r="AB1997" s="6"/>
      <c r="AC1997" s="6"/>
      <c r="AD1997" s="6"/>
      <c r="AE1997" s="6"/>
    </row>
    <row r="1998" spans="1:31" ht="12.75" x14ac:dyDescent="0.2">
      <c r="A1998" s="6"/>
      <c r="B1998" s="6"/>
      <c r="C1998" s="20"/>
      <c r="D1998" s="6"/>
      <c r="E1998" s="6"/>
      <c r="F1998" s="6"/>
      <c r="G1998" s="6"/>
      <c r="H1998" s="6"/>
      <c r="I1998" s="6"/>
      <c r="J1998" s="6"/>
      <c r="K1998" s="6"/>
      <c r="L1998" s="6"/>
      <c r="M1998" s="6"/>
      <c r="N1998" s="6"/>
      <c r="O1998" s="6"/>
      <c r="P1998" s="6"/>
      <c r="Q1998" s="6"/>
      <c r="R1998" s="6"/>
      <c r="S1998" s="6"/>
      <c r="T1998" s="6"/>
      <c r="U1998" s="6"/>
      <c r="V1998" s="6"/>
      <c r="W1998" s="6"/>
      <c r="X1998" s="6"/>
      <c r="Y1998" s="6"/>
      <c r="Z1998" s="6"/>
      <c r="AA1998" s="6"/>
      <c r="AB1998" s="6"/>
      <c r="AC1998" s="6"/>
      <c r="AD1998" s="6"/>
      <c r="AE1998" s="6"/>
    </row>
    <row r="1999" spans="1:31" ht="12.75" x14ac:dyDescent="0.2">
      <c r="A1999" s="6"/>
      <c r="B1999" s="6"/>
      <c r="C1999" s="20"/>
      <c r="D1999" s="6"/>
      <c r="E1999" s="6"/>
      <c r="F1999" s="6"/>
      <c r="G1999" s="6"/>
      <c r="H1999" s="6"/>
      <c r="I1999" s="6"/>
      <c r="J1999" s="6"/>
      <c r="K1999" s="6"/>
      <c r="L1999" s="6"/>
      <c r="M1999" s="6"/>
      <c r="N1999" s="6"/>
      <c r="O1999" s="6"/>
      <c r="P1999" s="6"/>
      <c r="Q1999" s="6"/>
      <c r="R1999" s="6"/>
      <c r="S1999" s="6"/>
      <c r="T1999" s="6"/>
      <c r="U1999" s="6"/>
      <c r="V1999" s="6"/>
      <c r="W1999" s="6"/>
      <c r="X1999" s="6"/>
      <c r="Y1999" s="6"/>
      <c r="Z1999" s="6"/>
      <c r="AA1999" s="6"/>
      <c r="AB1999" s="6"/>
      <c r="AC1999" s="6"/>
      <c r="AD1999" s="6"/>
      <c r="AE1999" s="6"/>
    </row>
    <row r="2000" spans="1:31" ht="12.75" x14ac:dyDescent="0.2">
      <c r="A2000" s="6"/>
      <c r="B2000" s="6"/>
      <c r="C2000" s="20"/>
      <c r="D2000" s="6"/>
      <c r="E2000" s="6"/>
      <c r="F2000" s="6"/>
      <c r="G2000" s="6"/>
      <c r="H2000" s="6"/>
      <c r="I2000" s="6"/>
      <c r="J2000" s="6"/>
      <c r="K2000" s="6"/>
      <c r="L2000" s="6"/>
      <c r="M2000" s="6"/>
      <c r="N2000" s="6"/>
      <c r="O2000" s="6"/>
      <c r="P2000" s="6"/>
      <c r="Q2000" s="6"/>
      <c r="R2000" s="6"/>
      <c r="S2000" s="6"/>
      <c r="T2000" s="6"/>
      <c r="U2000" s="6"/>
      <c r="V2000" s="6"/>
      <c r="W2000" s="6"/>
      <c r="X2000" s="6"/>
      <c r="Y2000" s="6"/>
      <c r="Z2000" s="6"/>
      <c r="AA2000" s="6"/>
      <c r="AB2000" s="6"/>
      <c r="AC2000" s="6"/>
      <c r="AD2000" s="6"/>
      <c r="AE2000" s="6"/>
    </row>
    <row r="2001" spans="1:31" ht="12.75" x14ac:dyDescent="0.2">
      <c r="A2001" s="6"/>
      <c r="B2001" s="6"/>
      <c r="C2001" s="20"/>
      <c r="D2001" s="6"/>
      <c r="E2001" s="6"/>
      <c r="F2001" s="6"/>
      <c r="G2001" s="6"/>
      <c r="H2001" s="6"/>
      <c r="I2001" s="6"/>
      <c r="J2001" s="6"/>
      <c r="K2001" s="6"/>
      <c r="L2001" s="6"/>
      <c r="M2001" s="6"/>
      <c r="N2001" s="6"/>
      <c r="O2001" s="6"/>
      <c r="P2001" s="6"/>
      <c r="Q2001" s="6"/>
      <c r="R2001" s="6"/>
      <c r="S2001" s="6"/>
      <c r="T2001" s="6"/>
      <c r="U2001" s="6"/>
      <c r="V2001" s="6"/>
      <c r="W2001" s="6"/>
      <c r="X2001" s="6"/>
      <c r="Y2001" s="6"/>
      <c r="Z2001" s="6"/>
      <c r="AA2001" s="6"/>
      <c r="AB2001" s="6"/>
      <c r="AC2001" s="6"/>
      <c r="AD2001" s="6"/>
      <c r="AE2001" s="6"/>
    </row>
    <row r="2002" spans="1:31" ht="12.75" x14ac:dyDescent="0.2">
      <c r="A2002" s="6"/>
      <c r="B2002" s="6"/>
      <c r="C2002" s="20"/>
      <c r="D2002" s="6"/>
      <c r="E2002" s="6"/>
      <c r="F2002" s="6"/>
      <c r="G2002" s="6"/>
      <c r="H2002" s="6"/>
      <c r="I2002" s="6"/>
      <c r="J2002" s="6"/>
      <c r="K2002" s="6"/>
      <c r="L2002" s="6"/>
      <c r="M2002" s="6"/>
      <c r="N2002" s="6"/>
      <c r="O2002" s="6"/>
      <c r="P2002" s="6"/>
      <c r="Q2002" s="6"/>
      <c r="R2002" s="6"/>
      <c r="S2002" s="6"/>
      <c r="T2002" s="6"/>
      <c r="U2002" s="6"/>
      <c r="V2002" s="6"/>
      <c r="W2002" s="6"/>
      <c r="X2002" s="6"/>
      <c r="Y2002" s="6"/>
      <c r="Z2002" s="6"/>
      <c r="AA2002" s="6"/>
      <c r="AB2002" s="6"/>
      <c r="AC2002" s="6"/>
      <c r="AD2002" s="6"/>
      <c r="AE2002" s="6"/>
    </row>
    <row r="2003" spans="1:31" ht="12.75" x14ac:dyDescent="0.2">
      <c r="A2003" s="6"/>
      <c r="B2003" s="6"/>
      <c r="C2003" s="20"/>
      <c r="D2003" s="6"/>
      <c r="E2003" s="6"/>
      <c r="F2003" s="6"/>
      <c r="G2003" s="6"/>
      <c r="H2003" s="6"/>
      <c r="I2003" s="6"/>
      <c r="J2003" s="6"/>
      <c r="K2003" s="6"/>
      <c r="L2003" s="6"/>
      <c r="M2003" s="6"/>
      <c r="N2003" s="6"/>
      <c r="O2003" s="6"/>
      <c r="P2003" s="6"/>
      <c r="Q2003" s="6"/>
      <c r="R2003" s="6"/>
      <c r="S2003" s="6"/>
      <c r="T2003" s="6"/>
      <c r="U2003" s="6"/>
      <c r="V2003" s="6"/>
      <c r="W2003" s="6"/>
      <c r="X2003" s="6"/>
      <c r="Y2003" s="6"/>
      <c r="Z2003" s="6"/>
      <c r="AA2003" s="6"/>
      <c r="AB2003" s="6"/>
      <c r="AC2003" s="6"/>
      <c r="AD2003" s="6"/>
      <c r="AE2003" s="6"/>
    </row>
    <row r="2004" spans="1:31" ht="12.75" x14ac:dyDescent="0.2">
      <c r="A2004" s="6"/>
      <c r="B2004" s="6"/>
      <c r="C2004" s="20"/>
      <c r="D2004" s="6"/>
      <c r="E2004" s="6"/>
      <c r="F2004" s="6"/>
      <c r="G2004" s="6"/>
      <c r="H2004" s="6"/>
      <c r="I2004" s="6"/>
      <c r="J2004" s="6"/>
      <c r="K2004" s="6"/>
      <c r="L2004" s="6"/>
      <c r="M2004" s="6"/>
      <c r="N2004" s="6"/>
      <c r="O2004" s="6"/>
      <c r="P2004" s="6"/>
      <c r="Q2004" s="6"/>
      <c r="R2004" s="6"/>
      <c r="S2004" s="6"/>
      <c r="T2004" s="6"/>
      <c r="U2004" s="6"/>
      <c r="V2004" s="6"/>
      <c r="W2004" s="6"/>
      <c r="X2004" s="6"/>
      <c r="Y2004" s="6"/>
      <c r="Z2004" s="6"/>
      <c r="AA2004" s="6"/>
      <c r="AB2004" s="6"/>
      <c r="AC2004" s="6"/>
      <c r="AD2004" s="6"/>
      <c r="AE2004" s="6"/>
    </row>
    <row r="2005" spans="1:31" ht="12.75" x14ac:dyDescent="0.2">
      <c r="A2005" s="6"/>
      <c r="B2005" s="6"/>
      <c r="C2005" s="20"/>
      <c r="D2005" s="6"/>
      <c r="E2005" s="6"/>
      <c r="F2005" s="6"/>
      <c r="G2005" s="6"/>
      <c r="H2005" s="6"/>
      <c r="I2005" s="6"/>
      <c r="J2005" s="6"/>
      <c r="K2005" s="6"/>
      <c r="L2005" s="6"/>
      <c r="M2005" s="6"/>
      <c r="N2005" s="6"/>
      <c r="O2005" s="6"/>
      <c r="P2005" s="6"/>
      <c r="Q2005" s="6"/>
      <c r="R2005" s="6"/>
      <c r="S2005" s="6"/>
      <c r="T2005" s="6"/>
      <c r="U2005" s="6"/>
      <c r="V2005" s="6"/>
      <c r="W2005" s="6"/>
      <c r="X2005" s="6"/>
      <c r="Y2005" s="6"/>
      <c r="Z2005" s="6"/>
      <c r="AA2005" s="6"/>
      <c r="AB2005" s="6"/>
      <c r="AC2005" s="6"/>
      <c r="AD2005" s="6"/>
      <c r="AE2005" s="6"/>
    </row>
    <row r="2006" spans="1:31" ht="12.75" x14ac:dyDescent="0.2">
      <c r="A2006" s="6"/>
      <c r="B2006" s="6"/>
      <c r="C2006" s="20"/>
      <c r="D2006" s="6"/>
      <c r="E2006" s="6"/>
      <c r="F2006" s="6"/>
      <c r="G2006" s="6"/>
      <c r="H2006" s="6"/>
      <c r="I2006" s="6"/>
      <c r="J2006" s="6"/>
      <c r="K2006" s="6"/>
      <c r="L2006" s="6"/>
      <c r="M2006" s="6"/>
      <c r="N2006" s="6"/>
      <c r="O2006" s="6"/>
      <c r="P2006" s="6"/>
      <c r="Q2006" s="6"/>
      <c r="R2006" s="6"/>
      <c r="S2006" s="6"/>
      <c r="T2006" s="6"/>
      <c r="U2006" s="6"/>
      <c r="V2006" s="6"/>
      <c r="W2006" s="6"/>
      <c r="X2006" s="6"/>
      <c r="Y2006" s="6"/>
      <c r="Z2006" s="6"/>
      <c r="AA2006" s="6"/>
      <c r="AB2006" s="6"/>
      <c r="AC2006" s="6"/>
      <c r="AD2006" s="6"/>
      <c r="AE2006" s="6"/>
    </row>
    <row r="2007" spans="1:31" ht="12.75" x14ac:dyDescent="0.2">
      <c r="A2007" s="6"/>
      <c r="B2007" s="6"/>
      <c r="C2007" s="20"/>
      <c r="D2007" s="6"/>
      <c r="E2007" s="6"/>
      <c r="F2007" s="6"/>
      <c r="G2007" s="6"/>
      <c r="H2007" s="6"/>
      <c r="I2007" s="6"/>
      <c r="J2007" s="6"/>
      <c r="K2007" s="6"/>
      <c r="L2007" s="6"/>
      <c r="M2007" s="6"/>
      <c r="N2007" s="6"/>
      <c r="O2007" s="6"/>
      <c r="P2007" s="6"/>
      <c r="Q2007" s="6"/>
      <c r="R2007" s="6"/>
      <c r="S2007" s="6"/>
      <c r="T2007" s="6"/>
      <c r="U2007" s="6"/>
      <c r="V2007" s="6"/>
      <c r="W2007" s="6"/>
      <c r="X2007" s="6"/>
      <c r="Y2007" s="6"/>
      <c r="Z2007" s="6"/>
      <c r="AA2007" s="6"/>
      <c r="AB2007" s="6"/>
      <c r="AC2007" s="6"/>
      <c r="AD2007" s="6"/>
      <c r="AE2007" s="6"/>
    </row>
    <row r="2008" spans="1:31" ht="12.75" x14ac:dyDescent="0.2">
      <c r="A2008" s="6"/>
      <c r="B2008" s="6"/>
      <c r="C2008" s="20"/>
      <c r="D2008" s="6"/>
      <c r="E2008" s="6"/>
      <c r="F2008" s="6"/>
      <c r="G2008" s="6"/>
      <c r="H2008" s="6"/>
      <c r="I2008" s="6"/>
      <c r="J2008" s="6"/>
      <c r="K2008" s="6"/>
      <c r="L2008" s="6"/>
      <c r="M2008" s="6"/>
      <c r="N2008" s="6"/>
      <c r="O2008" s="6"/>
      <c r="P2008" s="6"/>
      <c r="Q2008" s="6"/>
      <c r="R2008" s="6"/>
      <c r="S2008" s="6"/>
      <c r="T2008" s="6"/>
      <c r="U2008" s="6"/>
      <c r="V2008" s="6"/>
      <c r="W2008" s="6"/>
      <c r="X2008" s="6"/>
      <c r="Y2008" s="6"/>
      <c r="Z2008" s="6"/>
      <c r="AA2008" s="6"/>
      <c r="AB2008" s="6"/>
      <c r="AC2008" s="6"/>
      <c r="AD2008" s="6"/>
      <c r="AE2008" s="6"/>
    </row>
    <row r="2009" spans="1:31" ht="12.75" x14ac:dyDescent="0.2">
      <c r="A2009" s="6"/>
      <c r="B2009" s="6"/>
      <c r="C2009" s="20"/>
      <c r="D2009" s="6"/>
      <c r="E2009" s="6"/>
      <c r="F2009" s="6"/>
      <c r="G2009" s="6"/>
      <c r="H2009" s="6"/>
      <c r="I2009" s="6"/>
      <c r="J2009" s="6"/>
      <c r="K2009" s="6"/>
      <c r="L2009" s="6"/>
      <c r="M2009" s="6"/>
      <c r="N2009" s="6"/>
      <c r="O2009" s="6"/>
      <c r="P2009" s="6"/>
      <c r="Q2009" s="6"/>
      <c r="R2009" s="6"/>
      <c r="S2009" s="6"/>
      <c r="T2009" s="6"/>
      <c r="U2009" s="6"/>
      <c r="V2009" s="6"/>
      <c r="W2009" s="6"/>
      <c r="X2009" s="6"/>
      <c r="Y2009" s="6"/>
      <c r="Z2009" s="6"/>
      <c r="AA2009" s="6"/>
      <c r="AB2009" s="6"/>
      <c r="AC2009" s="6"/>
      <c r="AD2009" s="6"/>
      <c r="AE2009" s="6"/>
    </row>
    <row r="2010" spans="1:31" ht="12.75" x14ac:dyDescent="0.2">
      <c r="A2010" s="6"/>
      <c r="B2010" s="6"/>
      <c r="C2010" s="20"/>
      <c r="D2010" s="6"/>
      <c r="E2010" s="6"/>
      <c r="F2010" s="6"/>
      <c r="G2010" s="6"/>
      <c r="H2010" s="6"/>
      <c r="I2010" s="6"/>
      <c r="J2010" s="6"/>
      <c r="K2010" s="6"/>
      <c r="L2010" s="6"/>
      <c r="M2010" s="6"/>
      <c r="N2010" s="6"/>
      <c r="O2010" s="6"/>
      <c r="P2010" s="6"/>
      <c r="Q2010" s="6"/>
      <c r="R2010" s="6"/>
      <c r="S2010" s="6"/>
      <c r="T2010" s="6"/>
      <c r="U2010" s="6"/>
      <c r="V2010" s="6"/>
      <c r="W2010" s="6"/>
      <c r="X2010" s="6"/>
      <c r="Y2010" s="6"/>
      <c r="Z2010" s="6"/>
      <c r="AA2010" s="6"/>
      <c r="AB2010" s="6"/>
      <c r="AC2010" s="6"/>
      <c r="AD2010" s="6"/>
      <c r="AE2010" s="6"/>
    </row>
    <row r="2011" spans="1:31" ht="12.75" x14ac:dyDescent="0.2">
      <c r="A2011" s="6"/>
      <c r="B2011" s="6"/>
      <c r="C2011" s="20"/>
      <c r="D2011" s="6"/>
      <c r="E2011" s="6"/>
      <c r="F2011" s="6"/>
      <c r="G2011" s="6"/>
      <c r="H2011" s="6"/>
      <c r="I2011" s="6"/>
      <c r="J2011" s="6"/>
      <c r="K2011" s="6"/>
      <c r="L2011" s="6"/>
      <c r="M2011" s="6"/>
      <c r="N2011" s="6"/>
      <c r="O2011" s="6"/>
      <c r="P2011" s="6"/>
      <c r="Q2011" s="6"/>
      <c r="R2011" s="6"/>
      <c r="S2011" s="6"/>
      <c r="T2011" s="6"/>
      <c r="U2011" s="6"/>
      <c r="V2011" s="6"/>
      <c r="W2011" s="6"/>
      <c r="X2011" s="6"/>
      <c r="Y2011" s="6"/>
      <c r="Z2011" s="6"/>
      <c r="AA2011" s="6"/>
      <c r="AB2011" s="6"/>
      <c r="AC2011" s="6"/>
      <c r="AD2011" s="6"/>
      <c r="AE2011" s="6"/>
    </row>
    <row r="2012" spans="1:31" ht="12.75" x14ac:dyDescent="0.2">
      <c r="A2012" s="6"/>
      <c r="B2012" s="6"/>
      <c r="C2012" s="20"/>
      <c r="D2012" s="6"/>
      <c r="E2012" s="6"/>
      <c r="F2012" s="6"/>
      <c r="G2012" s="6"/>
      <c r="H2012" s="6"/>
      <c r="I2012" s="6"/>
      <c r="J2012" s="6"/>
      <c r="K2012" s="6"/>
      <c r="L2012" s="6"/>
      <c r="M2012" s="6"/>
      <c r="N2012" s="6"/>
      <c r="O2012" s="6"/>
      <c r="P2012" s="6"/>
      <c r="Q2012" s="6"/>
      <c r="R2012" s="6"/>
      <c r="S2012" s="6"/>
      <c r="T2012" s="6"/>
      <c r="U2012" s="6"/>
      <c r="V2012" s="6"/>
      <c r="W2012" s="6"/>
      <c r="X2012" s="6"/>
      <c r="Y2012" s="6"/>
      <c r="Z2012" s="6"/>
      <c r="AA2012" s="6"/>
      <c r="AB2012" s="6"/>
      <c r="AC2012" s="6"/>
      <c r="AD2012" s="6"/>
      <c r="AE2012" s="6"/>
    </row>
    <row r="2013" spans="1:31" ht="12.75" x14ac:dyDescent="0.2">
      <c r="A2013" s="6"/>
      <c r="B2013" s="6"/>
      <c r="C2013" s="20"/>
      <c r="D2013" s="6"/>
      <c r="E2013" s="6"/>
      <c r="F2013" s="6"/>
      <c r="G2013" s="6"/>
      <c r="H2013" s="6"/>
      <c r="I2013" s="6"/>
      <c r="J2013" s="6"/>
      <c r="K2013" s="6"/>
      <c r="L2013" s="6"/>
      <c r="M2013" s="6"/>
      <c r="N2013" s="6"/>
      <c r="O2013" s="6"/>
      <c r="P2013" s="6"/>
      <c r="Q2013" s="6"/>
      <c r="R2013" s="6"/>
      <c r="S2013" s="6"/>
      <c r="T2013" s="6"/>
      <c r="U2013" s="6"/>
      <c r="V2013" s="6"/>
      <c r="W2013" s="6"/>
      <c r="X2013" s="6"/>
      <c r="Y2013" s="6"/>
      <c r="Z2013" s="6"/>
      <c r="AA2013" s="6"/>
      <c r="AB2013" s="6"/>
      <c r="AC2013" s="6"/>
      <c r="AD2013" s="6"/>
      <c r="AE2013" s="6"/>
    </row>
    <row r="2014" spans="1:31" ht="12.75" x14ac:dyDescent="0.2">
      <c r="A2014" s="6"/>
      <c r="B2014" s="6"/>
      <c r="C2014" s="20"/>
      <c r="D2014" s="6"/>
      <c r="E2014" s="6"/>
      <c r="F2014" s="6"/>
      <c r="G2014" s="6"/>
      <c r="H2014" s="6"/>
      <c r="I2014" s="6"/>
      <c r="J2014" s="6"/>
      <c r="K2014" s="6"/>
      <c r="L2014" s="6"/>
      <c r="M2014" s="6"/>
      <c r="N2014" s="6"/>
      <c r="O2014" s="6"/>
      <c r="P2014" s="6"/>
      <c r="Q2014" s="6"/>
      <c r="R2014" s="6"/>
      <c r="S2014" s="6"/>
      <c r="T2014" s="6"/>
      <c r="U2014" s="6"/>
      <c r="V2014" s="6"/>
      <c r="W2014" s="6"/>
      <c r="X2014" s="6"/>
      <c r="Y2014" s="6"/>
      <c r="Z2014" s="6"/>
      <c r="AA2014" s="6"/>
      <c r="AB2014" s="6"/>
      <c r="AC2014" s="6"/>
      <c r="AD2014" s="6"/>
      <c r="AE2014" s="6"/>
    </row>
    <row r="2015" spans="1:31" ht="12.75" x14ac:dyDescent="0.2">
      <c r="A2015" s="6"/>
      <c r="B2015" s="6"/>
      <c r="C2015" s="20"/>
      <c r="D2015" s="6"/>
      <c r="E2015" s="6"/>
      <c r="F2015" s="6"/>
      <c r="G2015" s="6"/>
      <c r="H2015" s="6"/>
      <c r="I2015" s="6"/>
      <c r="J2015" s="6"/>
      <c r="K2015" s="6"/>
      <c r="L2015" s="6"/>
      <c r="M2015" s="6"/>
      <c r="N2015" s="6"/>
      <c r="O2015" s="6"/>
      <c r="P2015" s="6"/>
      <c r="Q2015" s="6"/>
      <c r="R2015" s="6"/>
      <c r="S2015" s="6"/>
      <c r="T2015" s="6"/>
      <c r="U2015" s="6"/>
      <c r="V2015" s="6"/>
      <c r="W2015" s="6"/>
      <c r="X2015" s="6"/>
      <c r="Y2015" s="6"/>
      <c r="Z2015" s="6"/>
      <c r="AA2015" s="6"/>
      <c r="AB2015" s="6"/>
      <c r="AC2015" s="6"/>
      <c r="AD2015" s="6"/>
      <c r="AE2015" s="6"/>
    </row>
    <row r="2016" spans="1:31" ht="12.75" x14ac:dyDescent="0.2">
      <c r="A2016" s="6"/>
      <c r="B2016" s="6"/>
      <c r="C2016" s="20"/>
      <c r="D2016" s="6"/>
      <c r="E2016" s="6"/>
      <c r="F2016" s="6"/>
      <c r="G2016" s="6"/>
      <c r="H2016" s="6"/>
      <c r="I2016" s="6"/>
      <c r="J2016" s="6"/>
      <c r="K2016" s="6"/>
      <c r="L2016" s="6"/>
      <c r="M2016" s="6"/>
      <c r="N2016" s="6"/>
      <c r="O2016" s="6"/>
      <c r="P2016" s="6"/>
      <c r="Q2016" s="6"/>
      <c r="R2016" s="6"/>
      <c r="S2016" s="6"/>
      <c r="T2016" s="6"/>
      <c r="U2016" s="6"/>
      <c r="V2016" s="6"/>
      <c r="W2016" s="6"/>
      <c r="X2016" s="6"/>
      <c r="Y2016" s="6"/>
      <c r="Z2016" s="6"/>
      <c r="AA2016" s="6"/>
      <c r="AB2016" s="6"/>
      <c r="AC2016" s="6"/>
      <c r="AD2016" s="6"/>
      <c r="AE2016" s="6"/>
    </row>
    <row r="2017" spans="1:31" ht="12.75" x14ac:dyDescent="0.2">
      <c r="A2017" s="6"/>
      <c r="B2017" s="6"/>
      <c r="C2017" s="20"/>
      <c r="D2017" s="6"/>
      <c r="E2017" s="6"/>
      <c r="F2017" s="6"/>
      <c r="G2017" s="6"/>
      <c r="H2017" s="6"/>
      <c r="I2017" s="6"/>
      <c r="J2017" s="6"/>
      <c r="K2017" s="6"/>
      <c r="L2017" s="6"/>
      <c r="M2017" s="6"/>
      <c r="N2017" s="6"/>
      <c r="O2017" s="6"/>
      <c r="P2017" s="6"/>
      <c r="Q2017" s="6"/>
      <c r="R2017" s="6"/>
      <c r="S2017" s="6"/>
      <c r="T2017" s="6"/>
      <c r="U2017" s="6"/>
      <c r="V2017" s="6"/>
      <c r="W2017" s="6"/>
      <c r="X2017" s="6"/>
      <c r="Y2017" s="6"/>
      <c r="Z2017" s="6"/>
      <c r="AA2017" s="6"/>
      <c r="AB2017" s="6"/>
      <c r="AC2017" s="6"/>
      <c r="AD2017" s="6"/>
      <c r="AE2017" s="6"/>
    </row>
    <row r="2018" spans="1:31" ht="12.75" x14ac:dyDescent="0.2">
      <c r="A2018" s="6"/>
      <c r="B2018" s="6"/>
      <c r="C2018" s="20"/>
      <c r="D2018" s="6"/>
      <c r="E2018" s="6"/>
      <c r="F2018" s="6"/>
      <c r="G2018" s="6"/>
      <c r="H2018" s="6"/>
      <c r="I2018" s="6"/>
      <c r="J2018" s="6"/>
      <c r="K2018" s="6"/>
      <c r="L2018" s="6"/>
      <c r="M2018" s="6"/>
      <c r="N2018" s="6"/>
      <c r="O2018" s="6"/>
      <c r="P2018" s="6"/>
      <c r="Q2018" s="6"/>
      <c r="R2018" s="6"/>
      <c r="S2018" s="6"/>
      <c r="T2018" s="6"/>
      <c r="U2018" s="6"/>
      <c r="V2018" s="6"/>
      <c r="W2018" s="6"/>
      <c r="X2018" s="6"/>
      <c r="Y2018" s="6"/>
      <c r="Z2018" s="6"/>
      <c r="AA2018" s="6"/>
      <c r="AB2018" s="6"/>
      <c r="AC2018" s="6"/>
      <c r="AD2018" s="6"/>
      <c r="AE2018" s="6"/>
    </row>
    <row r="2019" spans="1:31" ht="12.75" x14ac:dyDescent="0.2">
      <c r="A2019" s="6"/>
      <c r="B2019" s="6"/>
      <c r="C2019" s="20"/>
      <c r="D2019" s="6"/>
      <c r="E2019" s="6"/>
      <c r="F2019" s="6"/>
      <c r="G2019" s="6"/>
      <c r="H2019" s="6"/>
      <c r="I2019" s="6"/>
      <c r="J2019" s="6"/>
      <c r="K2019" s="6"/>
      <c r="L2019" s="6"/>
      <c r="M2019" s="6"/>
      <c r="N2019" s="6"/>
      <c r="O2019" s="6"/>
      <c r="P2019" s="6"/>
      <c r="Q2019" s="6"/>
      <c r="R2019" s="6"/>
      <c r="S2019" s="6"/>
      <c r="T2019" s="6"/>
      <c r="U2019" s="6"/>
      <c r="V2019" s="6"/>
      <c r="W2019" s="6"/>
      <c r="X2019" s="6"/>
      <c r="Y2019" s="6"/>
      <c r="Z2019" s="6"/>
      <c r="AA2019" s="6"/>
      <c r="AB2019" s="6"/>
      <c r="AC2019" s="6"/>
      <c r="AD2019" s="6"/>
      <c r="AE2019" s="6"/>
    </row>
    <row r="2020" spans="1:31" ht="12.75" x14ac:dyDescent="0.2">
      <c r="A2020" s="6"/>
      <c r="B2020" s="6"/>
      <c r="C2020" s="20"/>
      <c r="D2020" s="6"/>
      <c r="E2020" s="6"/>
      <c r="F2020" s="6"/>
      <c r="G2020" s="6"/>
      <c r="H2020" s="6"/>
      <c r="I2020" s="6"/>
      <c r="J2020" s="6"/>
      <c r="K2020" s="6"/>
      <c r="L2020" s="6"/>
      <c r="M2020" s="6"/>
      <c r="N2020" s="6"/>
      <c r="O2020" s="6"/>
      <c r="P2020" s="6"/>
      <c r="Q2020" s="6"/>
      <c r="R2020" s="6"/>
      <c r="S2020" s="6"/>
      <c r="T2020" s="6"/>
      <c r="U2020" s="6"/>
      <c r="V2020" s="6"/>
      <c r="W2020" s="6"/>
      <c r="X2020" s="6"/>
      <c r="Y2020" s="6"/>
      <c r="Z2020" s="6"/>
      <c r="AA2020" s="6"/>
      <c r="AB2020" s="6"/>
      <c r="AC2020" s="6"/>
      <c r="AD2020" s="6"/>
      <c r="AE2020" s="6"/>
    </row>
    <row r="2021" spans="1:31" ht="12.75" x14ac:dyDescent="0.2">
      <c r="A2021" s="6"/>
      <c r="B2021" s="6"/>
      <c r="C2021" s="20"/>
      <c r="D2021" s="6"/>
      <c r="E2021" s="6"/>
      <c r="F2021" s="6"/>
      <c r="G2021" s="6"/>
      <c r="H2021" s="6"/>
      <c r="I2021" s="6"/>
      <c r="J2021" s="6"/>
      <c r="K2021" s="6"/>
      <c r="L2021" s="6"/>
      <c r="M2021" s="6"/>
      <c r="N2021" s="6"/>
      <c r="O2021" s="6"/>
      <c r="P2021" s="6"/>
      <c r="Q2021" s="6"/>
      <c r="R2021" s="6"/>
      <c r="S2021" s="6"/>
      <c r="T2021" s="6"/>
      <c r="U2021" s="6"/>
      <c r="V2021" s="6"/>
      <c r="W2021" s="6"/>
      <c r="X2021" s="6"/>
      <c r="Y2021" s="6"/>
      <c r="Z2021" s="6"/>
      <c r="AA2021" s="6"/>
      <c r="AB2021" s="6"/>
      <c r="AC2021" s="6"/>
      <c r="AD2021" s="6"/>
      <c r="AE2021" s="6"/>
    </row>
    <row r="2022" spans="1:31" ht="12.75" x14ac:dyDescent="0.2">
      <c r="A2022" s="6"/>
      <c r="B2022" s="6"/>
      <c r="C2022" s="20"/>
      <c r="D2022" s="6"/>
      <c r="E2022" s="6"/>
      <c r="F2022" s="6"/>
      <c r="G2022" s="6"/>
      <c r="H2022" s="6"/>
      <c r="I2022" s="6"/>
      <c r="J2022" s="6"/>
      <c r="K2022" s="6"/>
      <c r="L2022" s="6"/>
      <c r="M2022" s="6"/>
      <c r="N2022" s="6"/>
      <c r="O2022" s="6"/>
      <c r="P2022" s="6"/>
      <c r="Q2022" s="6"/>
      <c r="R2022" s="6"/>
      <c r="S2022" s="6"/>
      <c r="T2022" s="6"/>
      <c r="U2022" s="6"/>
      <c r="V2022" s="6"/>
      <c r="W2022" s="6"/>
      <c r="X2022" s="6"/>
      <c r="Y2022" s="6"/>
      <c r="Z2022" s="6"/>
      <c r="AA2022" s="6"/>
      <c r="AB2022" s="6"/>
      <c r="AC2022" s="6"/>
      <c r="AD2022" s="6"/>
      <c r="AE2022" s="6"/>
    </row>
    <row r="2023" spans="1:31" ht="12.75" x14ac:dyDescent="0.2">
      <c r="A2023" s="6"/>
      <c r="B2023" s="6"/>
      <c r="C2023" s="20"/>
      <c r="D2023" s="6"/>
      <c r="E2023" s="6"/>
      <c r="F2023" s="6"/>
      <c r="G2023" s="6"/>
      <c r="H2023" s="6"/>
      <c r="I2023" s="6"/>
      <c r="J2023" s="6"/>
      <c r="K2023" s="6"/>
      <c r="L2023" s="6"/>
      <c r="M2023" s="6"/>
      <c r="N2023" s="6"/>
      <c r="O2023" s="6"/>
      <c r="P2023" s="6"/>
      <c r="Q2023" s="6"/>
      <c r="R2023" s="6"/>
      <c r="S2023" s="6"/>
      <c r="T2023" s="6"/>
      <c r="U2023" s="6"/>
      <c r="V2023" s="6"/>
      <c r="W2023" s="6"/>
      <c r="X2023" s="6"/>
      <c r="Y2023" s="6"/>
      <c r="Z2023" s="6"/>
      <c r="AA2023" s="6"/>
      <c r="AB2023" s="6"/>
      <c r="AC2023" s="6"/>
      <c r="AD2023" s="6"/>
      <c r="AE2023" s="6"/>
    </row>
    <row r="2024" spans="1:31" ht="12.75" x14ac:dyDescent="0.2">
      <c r="A2024" s="6"/>
      <c r="B2024" s="6"/>
      <c r="C2024" s="20"/>
      <c r="D2024" s="6"/>
      <c r="E2024" s="6"/>
      <c r="F2024" s="6"/>
      <c r="G2024" s="6"/>
      <c r="H2024" s="6"/>
      <c r="I2024" s="6"/>
      <c r="J2024" s="6"/>
      <c r="K2024" s="6"/>
      <c r="L2024" s="6"/>
      <c r="M2024" s="6"/>
      <c r="N2024" s="6"/>
      <c r="O2024" s="6"/>
      <c r="P2024" s="6"/>
      <c r="Q2024" s="6"/>
      <c r="R2024" s="6"/>
      <c r="S2024" s="6"/>
      <c r="T2024" s="6"/>
      <c r="U2024" s="6"/>
      <c r="V2024" s="6"/>
      <c r="W2024" s="6"/>
      <c r="X2024" s="6"/>
      <c r="Y2024" s="6"/>
      <c r="Z2024" s="6"/>
      <c r="AA2024" s="6"/>
      <c r="AB2024" s="6"/>
      <c r="AC2024" s="6"/>
      <c r="AD2024" s="6"/>
      <c r="AE2024" s="6"/>
    </row>
    <row r="2025" spans="1:31" ht="12.75" x14ac:dyDescent="0.2">
      <c r="A2025" s="6"/>
      <c r="B2025" s="6"/>
      <c r="C2025" s="20"/>
      <c r="D2025" s="6"/>
      <c r="E2025" s="6"/>
      <c r="F2025" s="6"/>
      <c r="G2025" s="6"/>
      <c r="H2025" s="6"/>
      <c r="I2025" s="6"/>
      <c r="J2025" s="6"/>
      <c r="K2025" s="6"/>
      <c r="L2025" s="6"/>
      <c r="M2025" s="6"/>
      <c r="N2025" s="6"/>
      <c r="O2025" s="6"/>
      <c r="P2025" s="6"/>
      <c r="Q2025" s="6"/>
      <c r="R2025" s="6"/>
      <c r="S2025" s="6"/>
      <c r="T2025" s="6"/>
      <c r="U2025" s="6"/>
      <c r="V2025" s="6"/>
      <c r="W2025" s="6"/>
      <c r="X2025" s="6"/>
      <c r="Y2025" s="6"/>
      <c r="Z2025" s="6"/>
      <c r="AA2025" s="6"/>
      <c r="AB2025" s="6"/>
      <c r="AC2025" s="6"/>
      <c r="AD2025" s="6"/>
      <c r="AE2025" s="6"/>
    </row>
    <row r="2026" spans="1:31" ht="12.75" x14ac:dyDescent="0.2">
      <c r="A2026" s="6"/>
      <c r="B2026" s="6"/>
      <c r="C2026" s="20"/>
      <c r="D2026" s="6"/>
      <c r="E2026" s="6"/>
      <c r="F2026" s="6"/>
      <c r="G2026" s="6"/>
      <c r="H2026" s="6"/>
      <c r="I2026" s="6"/>
      <c r="J2026" s="6"/>
      <c r="K2026" s="6"/>
      <c r="L2026" s="6"/>
      <c r="M2026" s="6"/>
      <c r="N2026" s="6"/>
      <c r="O2026" s="6"/>
      <c r="P2026" s="6"/>
      <c r="Q2026" s="6"/>
      <c r="R2026" s="6"/>
      <c r="S2026" s="6"/>
      <c r="T2026" s="6"/>
      <c r="U2026" s="6"/>
      <c r="V2026" s="6"/>
      <c r="W2026" s="6"/>
      <c r="X2026" s="6"/>
      <c r="Y2026" s="6"/>
      <c r="Z2026" s="6"/>
      <c r="AA2026" s="6"/>
      <c r="AB2026" s="6"/>
      <c r="AC2026" s="6"/>
      <c r="AD2026" s="6"/>
      <c r="AE2026" s="6"/>
    </row>
    <row r="2027" spans="1:31" ht="12.75" x14ac:dyDescent="0.2">
      <c r="A2027" s="6"/>
      <c r="B2027" s="6"/>
      <c r="C2027" s="20"/>
      <c r="D2027" s="6"/>
      <c r="E2027" s="6"/>
      <c r="F2027" s="6"/>
      <c r="G2027" s="6"/>
      <c r="H2027" s="6"/>
      <c r="I2027" s="6"/>
      <c r="J2027" s="6"/>
      <c r="K2027" s="6"/>
      <c r="L2027" s="6"/>
      <c r="M2027" s="6"/>
      <c r="N2027" s="6"/>
      <c r="O2027" s="6"/>
      <c r="P2027" s="6"/>
      <c r="Q2027" s="6"/>
      <c r="R2027" s="6"/>
      <c r="S2027" s="6"/>
      <c r="T2027" s="6"/>
      <c r="U2027" s="6"/>
      <c r="V2027" s="6"/>
      <c r="W2027" s="6"/>
      <c r="X2027" s="6"/>
      <c r="Y2027" s="6"/>
      <c r="Z2027" s="6"/>
      <c r="AA2027" s="6"/>
      <c r="AB2027" s="6"/>
      <c r="AC2027" s="6"/>
      <c r="AD2027" s="6"/>
      <c r="AE2027" s="6"/>
    </row>
    <row r="2028" spans="1:31" ht="12.75" x14ac:dyDescent="0.2">
      <c r="A2028" s="6"/>
      <c r="B2028" s="6"/>
      <c r="C2028" s="20"/>
      <c r="D2028" s="6"/>
      <c r="E2028" s="6"/>
      <c r="F2028" s="6"/>
      <c r="G2028" s="6"/>
      <c r="H2028" s="6"/>
      <c r="I2028" s="6"/>
      <c r="J2028" s="6"/>
      <c r="K2028" s="6"/>
      <c r="L2028" s="6"/>
      <c r="M2028" s="6"/>
      <c r="N2028" s="6"/>
      <c r="O2028" s="6"/>
      <c r="P2028" s="6"/>
      <c r="Q2028" s="6"/>
      <c r="R2028" s="6"/>
      <c r="S2028" s="6"/>
      <c r="T2028" s="6"/>
      <c r="U2028" s="6"/>
      <c r="V2028" s="6"/>
      <c r="W2028" s="6"/>
      <c r="X2028" s="6"/>
      <c r="Y2028" s="6"/>
      <c r="Z2028" s="6"/>
      <c r="AA2028" s="6"/>
      <c r="AB2028" s="6"/>
      <c r="AC2028" s="6"/>
      <c r="AD2028" s="6"/>
      <c r="AE2028" s="6"/>
    </row>
    <row r="2029" spans="1:31" ht="12.75" x14ac:dyDescent="0.2">
      <c r="A2029" s="6"/>
      <c r="B2029" s="6"/>
      <c r="C2029" s="20"/>
      <c r="D2029" s="6"/>
      <c r="E2029" s="6"/>
      <c r="F2029" s="6"/>
      <c r="G2029" s="6"/>
      <c r="H2029" s="6"/>
      <c r="I2029" s="6"/>
      <c r="J2029" s="6"/>
      <c r="K2029" s="6"/>
      <c r="L2029" s="6"/>
      <c r="M2029" s="6"/>
      <c r="N2029" s="6"/>
      <c r="O2029" s="6"/>
      <c r="P2029" s="6"/>
      <c r="Q2029" s="6"/>
      <c r="R2029" s="6"/>
      <c r="S2029" s="6"/>
      <c r="T2029" s="6"/>
      <c r="U2029" s="6"/>
      <c r="V2029" s="6"/>
      <c r="W2029" s="6"/>
      <c r="X2029" s="6"/>
      <c r="Y2029" s="6"/>
      <c r="Z2029" s="6"/>
      <c r="AA2029" s="6"/>
      <c r="AB2029" s="6"/>
      <c r="AC2029" s="6"/>
      <c r="AD2029" s="6"/>
      <c r="AE2029" s="6"/>
    </row>
    <row r="2030" spans="1:31" ht="12.75" x14ac:dyDescent="0.2">
      <c r="A2030" s="6"/>
      <c r="B2030" s="6"/>
      <c r="C2030" s="20"/>
      <c r="D2030" s="6"/>
      <c r="E2030" s="6"/>
      <c r="F2030" s="6"/>
      <c r="G2030" s="6"/>
      <c r="H2030" s="6"/>
      <c r="I2030" s="6"/>
      <c r="J2030" s="6"/>
      <c r="K2030" s="6"/>
      <c r="L2030" s="6"/>
      <c r="M2030" s="6"/>
      <c r="N2030" s="6"/>
      <c r="O2030" s="6"/>
      <c r="P2030" s="6"/>
      <c r="Q2030" s="6"/>
      <c r="R2030" s="6"/>
      <c r="S2030" s="6"/>
      <c r="T2030" s="6"/>
      <c r="U2030" s="6"/>
      <c r="V2030" s="6"/>
      <c r="W2030" s="6"/>
      <c r="X2030" s="6"/>
      <c r="Y2030" s="6"/>
      <c r="Z2030" s="6"/>
      <c r="AA2030" s="6"/>
      <c r="AB2030" s="6"/>
      <c r="AC2030" s="6"/>
      <c r="AD2030" s="6"/>
      <c r="AE2030" s="6"/>
    </row>
  </sheetData>
  <pageMargins left="0.7" right="0.7" top="0.75" bottom="0.75" header="0.3" footer="0.3"/>
  <ignoredErrors>
    <ignoredError sqref="I1" listDataValidation="1"/>
  </ignoredErrors>
  <legacyDrawing r:id="rId1"/>
  <tableParts count="2">
    <tablePart r:id="rId2"/>
    <tablePart r:id="rId3"/>
  </tableParts>
  <extLst>
    <ext xmlns:x14="http://schemas.microsoft.com/office/spreadsheetml/2009/9/main" uri="{CCE6A557-97BC-4b89-ADB6-D9C93CAAB3DF}">
      <x14:dataValidations xmlns:xm="http://schemas.microsoft.com/office/excel/2006/main" count="1">
        <x14:dataValidation type="list" allowBlank="1" showErrorMessage="1" xr:uid="{A2C61906-9E24-49FE-9627-F6AAA69B5183}">
          <x14:formula1>
            <xm:f>LookUp!$B$2:$B$200</xm:f>
          </x14:formula1>
          <xm:sqref>I1:I1048576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Y1213"/>
  <sheetViews>
    <sheetView workbookViewId="0"/>
  </sheetViews>
  <sheetFormatPr defaultColWidth="12.6640625" defaultRowHeight="15.75" customHeight="1" x14ac:dyDescent="0.2"/>
  <cols>
    <col min="1" max="1" width="14.109375" customWidth="1"/>
    <col min="2" max="2" width="16.44140625" customWidth="1"/>
    <col min="3" max="3" width="17.33203125" customWidth="1"/>
    <col min="4" max="4" width="29.77734375" customWidth="1"/>
    <col min="5" max="5" width="20.109375" hidden="1" customWidth="1"/>
    <col min="6" max="6" width="15.44140625" customWidth="1"/>
    <col min="7" max="7" width="26.109375" customWidth="1"/>
    <col min="8" max="8" width="50" customWidth="1"/>
  </cols>
  <sheetData>
    <row r="1" spans="1:25" x14ac:dyDescent="0.2">
      <c r="A1" s="5" t="s">
        <v>0</v>
      </c>
      <c r="B1" s="5" t="s">
        <v>5</v>
      </c>
      <c r="C1" s="5" t="s">
        <v>12</v>
      </c>
      <c r="D1" s="5" t="s">
        <v>17</v>
      </c>
      <c r="E1" s="5" t="s">
        <v>3</v>
      </c>
      <c r="F1" s="5" t="s">
        <v>20</v>
      </c>
      <c r="G1" s="5" t="s">
        <v>21</v>
      </c>
      <c r="H1" s="9" t="s">
        <v>16</v>
      </c>
      <c r="I1" s="10"/>
      <c r="J1" s="10"/>
      <c r="K1" s="10"/>
      <c r="L1" s="10"/>
      <c r="M1" s="10"/>
      <c r="N1" s="10"/>
      <c r="O1" s="10"/>
      <c r="P1" s="10"/>
      <c r="Q1" s="10"/>
      <c r="R1" s="10"/>
      <c r="S1" s="10"/>
      <c r="T1" s="10"/>
      <c r="U1" s="10"/>
      <c r="V1" s="10"/>
      <c r="W1" s="10"/>
      <c r="X1" s="10"/>
      <c r="Y1" s="10"/>
    </row>
    <row r="2" spans="1:25" x14ac:dyDescent="0.2">
      <c r="A2" s="14" t="s">
        <v>28</v>
      </c>
      <c r="B2" s="15" t="s">
        <v>29</v>
      </c>
      <c r="C2" s="15" t="s">
        <v>35</v>
      </c>
      <c r="D2" s="16" t="s">
        <v>37</v>
      </c>
      <c r="E2" s="15" t="s">
        <v>38</v>
      </c>
      <c r="F2" s="17" t="s">
        <v>40</v>
      </c>
      <c r="G2" s="15" t="str">
        <f>VLOOKUP(F2, GLOSSARY!$A:$C, 2, FALSE)</f>
        <v>SILVIA</v>
      </c>
      <c r="H2" s="17" t="s">
        <v>36</v>
      </c>
      <c r="I2" s="17"/>
      <c r="J2" s="17"/>
      <c r="K2" s="17"/>
      <c r="L2" s="17"/>
      <c r="M2" s="17"/>
      <c r="N2" s="17"/>
      <c r="O2" s="17"/>
      <c r="P2" s="17"/>
      <c r="Q2" s="17"/>
      <c r="R2" s="17"/>
      <c r="S2" s="17"/>
      <c r="T2" s="17"/>
      <c r="U2" s="17"/>
      <c r="V2" s="17"/>
      <c r="W2" s="17"/>
      <c r="X2" s="17"/>
      <c r="Y2" s="17"/>
    </row>
    <row r="3" spans="1:25" x14ac:dyDescent="0.2">
      <c r="A3" s="14" t="s">
        <v>28</v>
      </c>
      <c r="B3" s="15" t="s">
        <v>29</v>
      </c>
      <c r="C3" s="15" t="s">
        <v>35</v>
      </c>
      <c r="D3" s="16" t="s">
        <v>56</v>
      </c>
      <c r="E3" s="6" t="s">
        <v>57</v>
      </c>
      <c r="F3" s="16" t="s">
        <v>58</v>
      </c>
      <c r="G3" s="15" t="str">
        <f>VLOOKUP(F3, GLOSSARY!$A:$C, 2, FALSE)</f>
        <v>PEGGY</v>
      </c>
      <c r="H3" s="16"/>
      <c r="I3" s="16"/>
      <c r="J3" s="16"/>
      <c r="K3" s="16"/>
      <c r="L3" s="16"/>
      <c r="M3" s="16"/>
      <c r="N3" s="16"/>
      <c r="O3" s="16"/>
      <c r="P3" s="16"/>
      <c r="Q3" s="16"/>
      <c r="R3" s="16"/>
      <c r="S3" s="16"/>
      <c r="T3" s="16"/>
      <c r="U3" s="16"/>
      <c r="V3" s="16"/>
      <c r="W3" s="16"/>
      <c r="X3" s="16"/>
      <c r="Y3" s="16"/>
    </row>
    <row r="4" spans="1:25" x14ac:dyDescent="0.2">
      <c r="A4" s="14" t="s">
        <v>28</v>
      </c>
      <c r="B4" s="15" t="s">
        <v>29</v>
      </c>
      <c r="C4" s="15" t="s">
        <v>35</v>
      </c>
      <c r="D4" s="16" t="s">
        <v>71</v>
      </c>
      <c r="E4" s="6" t="s">
        <v>72</v>
      </c>
      <c r="F4" s="16" t="s">
        <v>73</v>
      </c>
      <c r="G4" s="15" t="str">
        <f>VLOOKUP(F4, GLOSSARY!$A:$C, 2, FALSE)</f>
        <v>SHIPMATE</v>
      </c>
      <c r="H4" s="16"/>
      <c r="I4" s="16"/>
      <c r="J4" s="16"/>
      <c r="K4" s="16"/>
      <c r="L4" s="16"/>
      <c r="M4" s="16"/>
      <c r="N4" s="16"/>
      <c r="O4" s="16"/>
      <c r="P4" s="16"/>
      <c r="Q4" s="16"/>
      <c r="R4" s="16"/>
      <c r="S4" s="16"/>
      <c r="T4" s="16"/>
      <c r="U4" s="16"/>
      <c r="V4" s="16"/>
      <c r="W4" s="16"/>
      <c r="X4" s="16"/>
      <c r="Y4" s="16"/>
    </row>
    <row r="5" spans="1:25" x14ac:dyDescent="0.2">
      <c r="A5" s="14" t="s">
        <v>28</v>
      </c>
      <c r="B5" s="15" t="s">
        <v>29</v>
      </c>
      <c r="C5" s="15" t="s">
        <v>35</v>
      </c>
      <c r="D5" s="16" t="s">
        <v>86</v>
      </c>
      <c r="E5" s="6" t="s">
        <v>87</v>
      </c>
      <c r="F5" s="16" t="s">
        <v>88</v>
      </c>
      <c r="G5" s="15" t="str">
        <f>VLOOKUP(F5, GLOSSARY!$A:$C, 2, FALSE)</f>
        <v>OGO</v>
      </c>
      <c r="H5" s="16"/>
      <c r="I5" s="16"/>
      <c r="J5" s="16"/>
      <c r="K5" s="16"/>
      <c r="L5" s="16"/>
      <c r="M5" s="16"/>
      <c r="N5" s="16"/>
      <c r="O5" s="16"/>
      <c r="P5" s="16"/>
      <c r="Q5" s="16"/>
      <c r="R5" s="16"/>
      <c r="S5" s="16"/>
      <c r="T5" s="16"/>
      <c r="U5" s="16"/>
      <c r="V5" s="16"/>
      <c r="W5" s="16"/>
      <c r="X5" s="16"/>
      <c r="Y5" s="16"/>
    </row>
    <row r="6" spans="1:25" x14ac:dyDescent="0.2">
      <c r="A6" s="14" t="s">
        <v>28</v>
      </c>
      <c r="B6" s="15" t="s">
        <v>29</v>
      </c>
      <c r="C6" s="15" t="s">
        <v>35</v>
      </c>
      <c r="D6" s="16" t="s">
        <v>98</v>
      </c>
      <c r="E6" s="6" t="s">
        <v>90</v>
      </c>
      <c r="F6" s="16" t="s">
        <v>89</v>
      </c>
      <c r="G6" s="15" t="str">
        <f>VLOOKUP(F6, GLOSSARY!$A:$C, 2, FALSE)</f>
        <v>ABBA</v>
      </c>
      <c r="H6" s="16"/>
      <c r="I6" s="16"/>
      <c r="J6" s="16"/>
      <c r="K6" s="16"/>
      <c r="L6" s="16"/>
      <c r="M6" s="16"/>
      <c r="N6" s="16"/>
      <c r="O6" s="16"/>
      <c r="P6" s="16"/>
      <c r="Q6" s="16"/>
      <c r="R6" s="16"/>
      <c r="S6" s="16"/>
      <c r="T6" s="16"/>
      <c r="U6" s="16"/>
      <c r="V6" s="16"/>
      <c r="W6" s="16"/>
      <c r="X6" s="16"/>
      <c r="Y6" s="16"/>
    </row>
    <row r="7" spans="1:25" x14ac:dyDescent="0.2">
      <c r="A7" s="14" t="s">
        <v>28</v>
      </c>
      <c r="B7" s="15" t="s">
        <v>29</v>
      </c>
      <c r="C7" s="15" t="s">
        <v>35</v>
      </c>
      <c r="D7" s="16" t="s">
        <v>115</v>
      </c>
      <c r="E7" s="6"/>
      <c r="F7" s="16"/>
      <c r="G7" s="15" t="e">
        <f>VLOOKUP(F7, GLOSSARY!$A:$C, 2, FALSE)</f>
        <v>#N/A</v>
      </c>
      <c r="H7" s="16"/>
      <c r="I7" s="16"/>
      <c r="J7" s="16"/>
      <c r="K7" s="16"/>
      <c r="L7" s="16"/>
      <c r="M7" s="16"/>
      <c r="N7" s="16"/>
      <c r="O7" s="16"/>
      <c r="P7" s="16"/>
      <c r="Q7" s="16"/>
      <c r="R7" s="16"/>
      <c r="S7" s="16"/>
      <c r="T7" s="16"/>
      <c r="U7" s="16"/>
      <c r="V7" s="16"/>
      <c r="W7" s="16"/>
      <c r="X7" s="16"/>
      <c r="Y7" s="16"/>
    </row>
    <row r="8" spans="1:25" x14ac:dyDescent="0.2">
      <c r="A8" s="14" t="s">
        <v>28</v>
      </c>
      <c r="B8" s="15" t="s">
        <v>29</v>
      </c>
      <c r="C8" s="15" t="s">
        <v>35</v>
      </c>
      <c r="D8" s="16" t="s">
        <v>134</v>
      </c>
      <c r="E8" s="6"/>
      <c r="F8" s="16" t="s">
        <v>137</v>
      </c>
      <c r="G8" s="15" t="str">
        <f>VLOOKUP(F8, GLOSSARY!$A:$C, 2, FALSE)</f>
        <v>WANGA</v>
      </c>
      <c r="H8" s="16"/>
      <c r="I8" s="16"/>
      <c r="J8" s="16"/>
      <c r="K8" s="16"/>
      <c r="L8" s="16"/>
      <c r="M8" s="16"/>
      <c r="N8" s="16"/>
      <c r="O8" s="16"/>
      <c r="P8" s="16"/>
      <c r="Q8" s="16"/>
      <c r="R8" s="16"/>
      <c r="S8" s="16"/>
      <c r="T8" s="16"/>
      <c r="U8" s="16"/>
      <c r="V8" s="16"/>
      <c r="W8" s="16"/>
      <c r="X8" s="16"/>
      <c r="Y8" s="16"/>
    </row>
    <row r="9" spans="1:25" x14ac:dyDescent="0.2">
      <c r="A9" s="21"/>
      <c r="B9" s="22"/>
      <c r="C9" s="22"/>
      <c r="D9" s="23"/>
      <c r="E9" s="22"/>
      <c r="F9" s="23"/>
      <c r="G9" s="24"/>
      <c r="H9" s="23"/>
      <c r="I9" s="23"/>
      <c r="J9" s="23"/>
      <c r="K9" s="23"/>
      <c r="L9" s="23"/>
      <c r="M9" s="23"/>
      <c r="N9" s="23"/>
      <c r="O9" s="23"/>
      <c r="P9" s="23"/>
      <c r="Q9" s="23"/>
      <c r="R9" s="23"/>
      <c r="S9" s="23"/>
      <c r="T9" s="23"/>
      <c r="U9" s="23"/>
      <c r="V9" s="23"/>
      <c r="W9" s="23"/>
      <c r="X9" s="23"/>
      <c r="Y9" s="23"/>
    </row>
    <row r="10" spans="1:25" x14ac:dyDescent="0.2">
      <c r="A10" s="14" t="s">
        <v>40</v>
      </c>
      <c r="B10" s="6" t="s">
        <v>38</v>
      </c>
      <c r="C10" s="6"/>
      <c r="D10" s="16" t="s">
        <v>161</v>
      </c>
      <c r="E10" s="6" t="s">
        <v>29</v>
      </c>
      <c r="F10" s="16" t="s">
        <v>28</v>
      </c>
      <c r="G10" s="15" t="str">
        <f>VLOOKUP(F10, GLOSSARY!$A:$C, 2, FALSE)</f>
        <v>MOLIA</v>
      </c>
      <c r="H10" s="16" t="s">
        <v>165</v>
      </c>
      <c r="I10" s="16"/>
      <c r="J10" s="16"/>
      <c r="K10" s="16"/>
      <c r="L10" s="16"/>
      <c r="M10" s="16"/>
      <c r="N10" s="16"/>
      <c r="O10" s="16"/>
      <c r="P10" s="16"/>
      <c r="Q10" s="16"/>
      <c r="R10" s="16"/>
      <c r="S10" s="16"/>
      <c r="T10" s="16"/>
      <c r="U10" s="16"/>
      <c r="V10" s="16"/>
      <c r="W10" s="16"/>
      <c r="X10" s="16"/>
      <c r="Y10" s="16"/>
    </row>
    <row r="11" spans="1:25" x14ac:dyDescent="0.2">
      <c r="A11" s="21"/>
      <c r="B11" s="22"/>
      <c r="C11" s="22"/>
      <c r="D11" s="23"/>
      <c r="E11" s="22"/>
      <c r="F11" s="23"/>
      <c r="G11" s="24"/>
      <c r="H11" s="23"/>
      <c r="I11" s="23"/>
      <c r="J11" s="23"/>
      <c r="K11" s="23"/>
      <c r="L11" s="23"/>
      <c r="M11" s="23"/>
      <c r="N11" s="23"/>
      <c r="O11" s="23"/>
      <c r="P11" s="23"/>
      <c r="Q11" s="23"/>
      <c r="R11" s="23"/>
      <c r="S11" s="23"/>
      <c r="T11" s="23"/>
      <c r="U11" s="23"/>
      <c r="V11" s="23"/>
      <c r="W11" s="23"/>
      <c r="X11" s="23"/>
      <c r="Y11" s="23"/>
    </row>
    <row r="12" spans="1:25" x14ac:dyDescent="0.2">
      <c r="A12" s="14" t="s">
        <v>51</v>
      </c>
      <c r="B12" s="6" t="s">
        <v>52</v>
      </c>
      <c r="C12" s="6"/>
      <c r="D12" s="16" t="s">
        <v>37</v>
      </c>
      <c r="E12" s="6" t="s">
        <v>185</v>
      </c>
      <c r="F12" s="16" t="s">
        <v>64</v>
      </c>
      <c r="G12" s="15" t="str">
        <f>VLOOKUP(F12, GLOSSARY!$A:$C, 2, FALSE)</f>
        <v>JULINA</v>
      </c>
      <c r="H12" s="16" t="s">
        <v>59</v>
      </c>
      <c r="I12" s="16"/>
      <c r="J12" s="16"/>
      <c r="K12" s="16"/>
      <c r="L12" s="16"/>
      <c r="M12" s="16"/>
      <c r="N12" s="16"/>
      <c r="O12" s="16"/>
      <c r="P12" s="16"/>
      <c r="Q12" s="16"/>
      <c r="R12" s="16"/>
      <c r="S12" s="16"/>
      <c r="T12" s="16"/>
      <c r="U12" s="16"/>
      <c r="V12" s="16"/>
      <c r="W12" s="16"/>
      <c r="X12" s="16"/>
      <c r="Y12" s="16"/>
    </row>
    <row r="13" spans="1:25" x14ac:dyDescent="0.2">
      <c r="A13" s="14" t="s">
        <v>51</v>
      </c>
      <c r="B13" s="6" t="s">
        <v>52</v>
      </c>
      <c r="C13" s="6"/>
      <c r="D13" s="16" t="s">
        <v>37</v>
      </c>
      <c r="E13" s="6" t="s">
        <v>75</v>
      </c>
      <c r="F13" s="16" t="s">
        <v>74</v>
      </c>
      <c r="G13" s="15" t="str">
        <f>VLOOKUP(F13, GLOSSARY!$A:$C, 2, FALSE)</f>
        <v>LITTLE QUASHE</v>
      </c>
      <c r="H13" s="16"/>
      <c r="I13" s="16"/>
      <c r="J13" s="16"/>
      <c r="K13" s="16"/>
      <c r="L13" s="16"/>
      <c r="M13" s="16"/>
      <c r="N13" s="16"/>
      <c r="O13" s="16"/>
      <c r="P13" s="16"/>
      <c r="Q13" s="16"/>
      <c r="R13" s="16"/>
      <c r="S13" s="16"/>
      <c r="T13" s="16"/>
      <c r="U13" s="16"/>
      <c r="V13" s="16"/>
      <c r="W13" s="16"/>
      <c r="X13" s="16"/>
      <c r="Y13" s="16"/>
    </row>
    <row r="14" spans="1:25" x14ac:dyDescent="0.2">
      <c r="A14" s="14" t="s">
        <v>51</v>
      </c>
      <c r="B14" s="6" t="s">
        <v>52</v>
      </c>
      <c r="C14" s="6"/>
      <c r="D14" s="16" t="s">
        <v>211</v>
      </c>
      <c r="E14" s="6" t="s">
        <v>101</v>
      </c>
      <c r="F14" s="16" t="s">
        <v>100</v>
      </c>
      <c r="G14" s="15" t="str">
        <f>VLOOKUP(F14, GLOSSARY!$A:$C, 2, FALSE)</f>
        <v>PHIBBAH</v>
      </c>
      <c r="H14" s="16"/>
      <c r="I14" s="16"/>
      <c r="J14" s="16"/>
      <c r="K14" s="16"/>
      <c r="L14" s="16"/>
      <c r="M14" s="16"/>
      <c r="N14" s="16"/>
      <c r="O14" s="16"/>
      <c r="P14" s="16"/>
      <c r="Q14" s="16"/>
      <c r="R14" s="16"/>
      <c r="S14" s="16"/>
      <c r="T14" s="16"/>
      <c r="U14" s="16"/>
      <c r="V14" s="16"/>
      <c r="W14" s="16"/>
      <c r="X14" s="16"/>
      <c r="Y14" s="16"/>
    </row>
    <row r="15" spans="1:25" x14ac:dyDescent="0.2">
      <c r="A15" s="14" t="s">
        <v>51</v>
      </c>
      <c r="B15" s="6" t="s">
        <v>52</v>
      </c>
      <c r="C15" s="6"/>
      <c r="D15" s="16" t="s">
        <v>211</v>
      </c>
      <c r="E15" s="6" t="s">
        <v>114</v>
      </c>
      <c r="F15" s="16" t="s">
        <v>113</v>
      </c>
      <c r="G15" s="15" t="str">
        <f>VLOOKUP(F15, GLOSSARY!$A:$C, 2, FALSE)</f>
        <v>NANCY</v>
      </c>
      <c r="H15" s="16"/>
      <c r="I15" s="16"/>
      <c r="J15" s="16"/>
      <c r="K15" s="16"/>
      <c r="L15" s="16"/>
      <c r="M15" s="16"/>
      <c r="N15" s="16"/>
      <c r="O15" s="16"/>
      <c r="P15" s="16"/>
      <c r="Q15" s="16"/>
      <c r="R15" s="16"/>
      <c r="S15" s="16"/>
      <c r="T15" s="16"/>
      <c r="U15" s="16"/>
      <c r="V15" s="16"/>
      <c r="W15" s="16"/>
      <c r="X15" s="16"/>
      <c r="Y15" s="16"/>
    </row>
    <row r="16" spans="1:25" x14ac:dyDescent="0.2">
      <c r="A16" s="14" t="s">
        <v>51</v>
      </c>
      <c r="B16" s="6" t="s">
        <v>52</v>
      </c>
      <c r="C16" s="6"/>
      <c r="D16" s="16" t="s">
        <v>211</v>
      </c>
      <c r="E16" s="6" t="s">
        <v>138</v>
      </c>
      <c r="F16" s="16" t="s">
        <v>135</v>
      </c>
      <c r="G16" s="15" t="str">
        <f>VLOOKUP(F16, GLOSSARY!$A:$C, 2, FALSE)</f>
        <v>HOUSE FRANKE</v>
      </c>
      <c r="H16" s="16"/>
      <c r="I16" s="16"/>
      <c r="J16" s="16"/>
      <c r="K16" s="16"/>
      <c r="L16" s="16"/>
      <c r="M16" s="16"/>
      <c r="N16" s="16"/>
      <c r="O16" s="16"/>
      <c r="P16" s="16"/>
      <c r="Q16" s="16"/>
      <c r="R16" s="16"/>
      <c r="S16" s="16"/>
      <c r="T16" s="16"/>
      <c r="U16" s="16"/>
      <c r="V16" s="16"/>
      <c r="W16" s="16"/>
      <c r="X16" s="16"/>
      <c r="Y16" s="16"/>
    </row>
    <row r="17" spans="1:25" x14ac:dyDescent="0.2">
      <c r="A17" s="14" t="s">
        <v>51</v>
      </c>
      <c r="B17" s="6" t="s">
        <v>52</v>
      </c>
      <c r="C17" s="6"/>
      <c r="D17" s="16" t="s">
        <v>211</v>
      </c>
      <c r="E17" s="6" t="s">
        <v>151</v>
      </c>
      <c r="F17" s="16" t="s">
        <v>150</v>
      </c>
      <c r="G17" s="15" t="str">
        <f>VLOOKUP(F17, GLOSSARY!$A:$C, 2, FALSE)</f>
        <v>VINE</v>
      </c>
      <c r="H17" s="16"/>
      <c r="I17" s="16"/>
      <c r="J17" s="16"/>
      <c r="K17" s="16"/>
      <c r="L17" s="16"/>
      <c r="M17" s="16"/>
      <c r="N17" s="16"/>
      <c r="O17" s="16"/>
      <c r="P17" s="16"/>
      <c r="Q17" s="16"/>
      <c r="R17" s="16"/>
      <c r="S17" s="16"/>
      <c r="T17" s="16"/>
      <c r="U17" s="16"/>
      <c r="V17" s="16"/>
      <c r="W17" s="16"/>
      <c r="X17" s="16"/>
      <c r="Y17" s="16"/>
    </row>
    <row r="18" spans="1:25" x14ac:dyDescent="0.2">
      <c r="A18" s="14" t="s">
        <v>51</v>
      </c>
      <c r="B18" s="6" t="s">
        <v>52</v>
      </c>
      <c r="C18" s="6"/>
      <c r="D18" s="16" t="s">
        <v>247</v>
      </c>
      <c r="E18" s="6" t="s">
        <v>101</v>
      </c>
      <c r="F18" s="16" t="s">
        <v>100</v>
      </c>
      <c r="G18" s="15" t="str">
        <f>VLOOKUP(F18, GLOSSARY!$A:$C, 2, FALSE)</f>
        <v>PHIBBAH</v>
      </c>
      <c r="H18" s="16"/>
      <c r="I18" s="16"/>
      <c r="J18" s="16"/>
      <c r="K18" s="16"/>
      <c r="L18" s="16"/>
      <c r="M18" s="16"/>
      <c r="N18" s="16"/>
      <c r="O18" s="16"/>
      <c r="P18" s="16"/>
      <c r="Q18" s="16"/>
      <c r="R18" s="16"/>
      <c r="S18" s="16"/>
      <c r="T18" s="16"/>
      <c r="U18" s="16"/>
      <c r="V18" s="16"/>
      <c r="W18" s="16"/>
      <c r="X18" s="16"/>
      <c r="Y18" s="16"/>
    </row>
    <row r="19" spans="1:25" x14ac:dyDescent="0.2">
      <c r="A19" s="14" t="s">
        <v>51</v>
      </c>
      <c r="B19" s="6" t="s">
        <v>52</v>
      </c>
      <c r="C19" s="6"/>
      <c r="D19" s="16" t="s">
        <v>247</v>
      </c>
      <c r="E19" s="6" t="s">
        <v>138</v>
      </c>
      <c r="F19" s="16" t="s">
        <v>135</v>
      </c>
      <c r="G19" s="15" t="str">
        <f>VLOOKUP(F19, GLOSSARY!$A:$C, 2, FALSE)</f>
        <v>HOUSE FRANKE</v>
      </c>
      <c r="H19" s="16"/>
      <c r="I19" s="16"/>
      <c r="J19" s="16"/>
      <c r="K19" s="16"/>
      <c r="L19" s="16"/>
      <c r="M19" s="16"/>
      <c r="N19" s="16"/>
      <c r="O19" s="16"/>
      <c r="P19" s="16"/>
      <c r="Q19" s="16"/>
      <c r="R19" s="16"/>
      <c r="S19" s="16"/>
      <c r="T19" s="16"/>
      <c r="U19" s="16"/>
      <c r="V19" s="16"/>
      <c r="W19" s="16"/>
      <c r="X19" s="16"/>
      <c r="Y19" s="16"/>
    </row>
    <row r="20" spans="1:25" x14ac:dyDescent="0.2">
      <c r="A20" s="14" t="s">
        <v>51</v>
      </c>
      <c r="B20" s="6" t="s">
        <v>52</v>
      </c>
      <c r="C20" s="6"/>
      <c r="D20" s="16" t="s">
        <v>247</v>
      </c>
      <c r="E20" s="6" t="s">
        <v>114</v>
      </c>
      <c r="F20" s="16" t="s">
        <v>113</v>
      </c>
      <c r="G20" s="15" t="str">
        <f>VLOOKUP(F20, GLOSSARY!$A:$C, 2, FALSE)</f>
        <v>NANCY</v>
      </c>
      <c r="H20" s="16"/>
      <c r="I20" s="16"/>
      <c r="J20" s="16"/>
      <c r="K20" s="16"/>
      <c r="L20" s="16"/>
      <c r="M20" s="16"/>
      <c r="N20" s="16"/>
      <c r="O20" s="16"/>
      <c r="P20" s="16"/>
      <c r="Q20" s="16"/>
      <c r="R20" s="16"/>
      <c r="S20" s="16"/>
      <c r="T20" s="16"/>
      <c r="U20" s="16"/>
      <c r="V20" s="16"/>
      <c r="W20" s="16"/>
      <c r="X20" s="16"/>
      <c r="Y20" s="16"/>
    </row>
    <row r="21" spans="1:25" x14ac:dyDescent="0.2">
      <c r="A21" s="14" t="s">
        <v>51</v>
      </c>
      <c r="B21" s="6" t="s">
        <v>52</v>
      </c>
      <c r="C21" s="6"/>
      <c r="D21" s="16" t="s">
        <v>247</v>
      </c>
      <c r="E21" s="6" t="s">
        <v>35</v>
      </c>
      <c r="F21" s="16" t="s">
        <v>191</v>
      </c>
      <c r="G21" s="15" t="str">
        <f>VLOOKUP(F21, GLOSSARY!$A:$C, 2, FALSE)</f>
        <v>COOBAH</v>
      </c>
      <c r="H21" s="16"/>
      <c r="I21" s="16"/>
      <c r="J21" s="16"/>
      <c r="K21" s="16"/>
      <c r="L21" s="16"/>
      <c r="M21" s="16"/>
      <c r="N21" s="16"/>
      <c r="O21" s="16"/>
      <c r="P21" s="16"/>
      <c r="Q21" s="16"/>
      <c r="R21" s="16"/>
      <c r="S21" s="16"/>
      <c r="T21" s="16"/>
      <c r="U21" s="16"/>
      <c r="V21" s="16"/>
      <c r="W21" s="16"/>
      <c r="X21" s="16"/>
      <c r="Y21" s="16"/>
    </row>
    <row r="22" spans="1:25" x14ac:dyDescent="0.2">
      <c r="A22" s="14" t="s">
        <v>51</v>
      </c>
      <c r="B22" s="6" t="s">
        <v>52</v>
      </c>
      <c r="C22" s="6"/>
      <c r="D22" s="16" t="s">
        <v>279</v>
      </c>
      <c r="E22" s="6" t="s">
        <v>119</v>
      </c>
      <c r="F22" s="16" t="s">
        <v>118</v>
      </c>
      <c r="G22" s="15" t="str">
        <f>VLOOKUP(F22, GLOSSARY!$A:$C, 2, FALSE)</f>
        <v>JOHN</v>
      </c>
      <c r="H22" s="16"/>
      <c r="I22" s="16"/>
      <c r="J22" s="16"/>
      <c r="K22" s="16"/>
      <c r="L22" s="16"/>
      <c r="M22" s="16"/>
      <c r="N22" s="16"/>
      <c r="O22" s="16"/>
      <c r="P22" s="16"/>
      <c r="Q22" s="16"/>
      <c r="R22" s="16"/>
      <c r="S22" s="16"/>
      <c r="T22" s="16"/>
      <c r="U22" s="16"/>
      <c r="V22" s="16"/>
      <c r="W22" s="16"/>
      <c r="X22" s="16"/>
      <c r="Y22" s="16"/>
    </row>
    <row r="23" spans="1:25" x14ac:dyDescent="0.2">
      <c r="A23" s="14" t="s">
        <v>51</v>
      </c>
      <c r="B23" s="6" t="s">
        <v>52</v>
      </c>
      <c r="C23" s="6"/>
      <c r="D23" s="16" t="s">
        <v>98</v>
      </c>
      <c r="E23" s="6" t="s">
        <v>119</v>
      </c>
      <c r="F23" s="16" t="s">
        <v>118</v>
      </c>
      <c r="G23" s="15" t="str">
        <f>VLOOKUP(F23, GLOSSARY!$A:$C, 2, FALSE)</f>
        <v>JOHN</v>
      </c>
      <c r="H23" s="16"/>
      <c r="I23" s="16"/>
      <c r="J23" s="16"/>
      <c r="K23" s="16"/>
      <c r="L23" s="16"/>
      <c r="M23" s="16"/>
      <c r="N23" s="16"/>
      <c r="O23" s="16"/>
      <c r="P23" s="16"/>
      <c r="Q23" s="16"/>
      <c r="R23" s="16"/>
      <c r="S23" s="16"/>
      <c r="T23" s="16"/>
      <c r="U23" s="16"/>
      <c r="V23" s="16"/>
      <c r="W23" s="16"/>
      <c r="X23" s="16"/>
      <c r="Y23" s="16"/>
    </row>
    <row r="24" spans="1:25" x14ac:dyDescent="0.2">
      <c r="A24" s="14" t="s">
        <v>51</v>
      </c>
      <c r="B24" s="6" t="s">
        <v>52</v>
      </c>
      <c r="C24" s="6"/>
      <c r="D24" s="16" t="s">
        <v>115</v>
      </c>
      <c r="E24" s="6"/>
      <c r="F24" s="16"/>
      <c r="G24" s="15"/>
      <c r="H24" s="16"/>
      <c r="I24" s="16"/>
      <c r="J24" s="16"/>
      <c r="K24" s="16"/>
      <c r="L24" s="16"/>
      <c r="M24" s="16"/>
      <c r="N24" s="16"/>
      <c r="O24" s="16"/>
      <c r="P24" s="16"/>
      <c r="Q24" s="16"/>
      <c r="R24" s="16"/>
      <c r="S24" s="16"/>
      <c r="T24" s="16"/>
      <c r="U24" s="16"/>
      <c r="V24" s="16"/>
      <c r="W24" s="16"/>
      <c r="X24" s="16"/>
      <c r="Y24" s="16"/>
    </row>
    <row r="25" spans="1:25" x14ac:dyDescent="0.2">
      <c r="A25" s="14" t="s">
        <v>51</v>
      </c>
      <c r="B25" s="6" t="s">
        <v>52</v>
      </c>
      <c r="C25" s="6"/>
      <c r="D25" s="16" t="s">
        <v>298</v>
      </c>
      <c r="E25" s="6" t="s">
        <v>87</v>
      </c>
      <c r="F25" s="16" t="s">
        <v>88</v>
      </c>
      <c r="G25" s="15" t="str">
        <f>VLOOKUP(F25, GLOSSARY!$A:$C, 2, FALSE)</f>
        <v>OGO</v>
      </c>
      <c r="H25" s="16"/>
      <c r="I25" s="16"/>
      <c r="J25" s="16"/>
      <c r="K25" s="16"/>
      <c r="L25" s="16"/>
      <c r="M25" s="16"/>
      <c r="N25" s="16"/>
      <c r="O25" s="16"/>
      <c r="P25" s="16"/>
      <c r="Q25" s="16"/>
      <c r="R25" s="16"/>
      <c r="S25" s="16"/>
      <c r="T25" s="16"/>
      <c r="U25" s="16"/>
      <c r="V25" s="16"/>
      <c r="W25" s="16"/>
      <c r="X25" s="16"/>
      <c r="Y25" s="16"/>
    </row>
    <row r="26" spans="1:25" x14ac:dyDescent="0.2">
      <c r="A26" s="14" t="s">
        <v>51</v>
      </c>
      <c r="B26" s="6" t="s">
        <v>52</v>
      </c>
      <c r="C26" s="6"/>
      <c r="D26" s="16" t="s">
        <v>306</v>
      </c>
      <c r="E26" s="6" t="s">
        <v>273</v>
      </c>
      <c r="F26" s="16" t="s">
        <v>272</v>
      </c>
      <c r="G26" s="15" t="str">
        <f>VLOOKUP(F26, GLOSSARY!$A:$C, 2, FALSE)</f>
        <v>MASON QUASHE</v>
      </c>
      <c r="H26" s="16"/>
      <c r="I26" s="16"/>
      <c r="J26" s="16"/>
      <c r="K26" s="16"/>
      <c r="L26" s="16"/>
      <c r="M26" s="16"/>
      <c r="N26" s="16"/>
      <c r="O26" s="16"/>
      <c r="P26" s="16"/>
      <c r="Q26" s="16"/>
      <c r="R26" s="16"/>
      <c r="S26" s="16"/>
      <c r="T26" s="16"/>
      <c r="U26" s="16"/>
      <c r="V26" s="16"/>
      <c r="W26" s="16"/>
      <c r="X26" s="16"/>
      <c r="Y26" s="16"/>
    </row>
    <row r="27" spans="1:25" x14ac:dyDescent="0.2">
      <c r="A27" s="14" t="s">
        <v>51</v>
      </c>
      <c r="B27" s="6" t="s">
        <v>52</v>
      </c>
      <c r="C27" s="6"/>
      <c r="D27" s="16" t="s">
        <v>306</v>
      </c>
      <c r="E27" s="6" t="s">
        <v>309</v>
      </c>
      <c r="F27" s="16" t="s">
        <v>310</v>
      </c>
      <c r="G27" s="15" t="str">
        <f>VLOOKUP(F27, GLOSSARY!$A:$C, 2, FALSE)</f>
        <v>DANIEL</v>
      </c>
      <c r="H27" s="16"/>
      <c r="I27" s="16"/>
      <c r="J27" s="16"/>
      <c r="K27" s="16"/>
      <c r="L27" s="16"/>
      <c r="M27" s="16"/>
      <c r="N27" s="16"/>
      <c r="O27" s="16"/>
      <c r="P27" s="16"/>
      <c r="Q27" s="16"/>
      <c r="R27" s="16"/>
      <c r="S27" s="16"/>
      <c r="T27" s="16"/>
      <c r="U27" s="16"/>
      <c r="V27" s="16"/>
      <c r="W27" s="16"/>
      <c r="X27" s="16"/>
      <c r="Y27" s="16"/>
    </row>
    <row r="28" spans="1:25" x14ac:dyDescent="0.2">
      <c r="A28" s="14" t="s">
        <v>51</v>
      </c>
      <c r="B28" s="6" t="s">
        <v>52</v>
      </c>
      <c r="C28" s="6"/>
      <c r="D28" s="16" t="s">
        <v>37</v>
      </c>
      <c r="E28" s="6"/>
      <c r="F28" s="16" t="s">
        <v>319</v>
      </c>
      <c r="G28" s="15" t="str">
        <f>VLOOKUP(F28, GLOSSARY!$A:$C, 2, FALSE)</f>
        <v>EGYPT LUCY'S CHILD #3</v>
      </c>
      <c r="H28" s="16"/>
      <c r="I28" s="16"/>
      <c r="J28" s="16"/>
      <c r="K28" s="16"/>
      <c r="L28" s="16"/>
      <c r="M28" s="16"/>
      <c r="N28" s="16"/>
      <c r="O28" s="16"/>
      <c r="P28" s="16"/>
      <c r="Q28" s="16"/>
      <c r="R28" s="16"/>
      <c r="S28" s="16"/>
      <c r="T28" s="16"/>
      <c r="U28" s="16"/>
      <c r="V28" s="16"/>
      <c r="W28" s="16"/>
      <c r="X28" s="16"/>
      <c r="Y28" s="16"/>
    </row>
    <row r="29" spans="1:25" x14ac:dyDescent="0.2">
      <c r="A29" s="14" t="s">
        <v>51</v>
      </c>
      <c r="B29" s="6" t="s">
        <v>52</v>
      </c>
      <c r="C29" s="6"/>
      <c r="D29" s="16" t="s">
        <v>327</v>
      </c>
      <c r="E29" s="6"/>
      <c r="F29" s="16" t="s">
        <v>330</v>
      </c>
      <c r="G29" s="15" t="s">
        <v>332</v>
      </c>
      <c r="H29" s="16"/>
      <c r="I29" s="16"/>
      <c r="J29" s="16"/>
      <c r="K29" s="16"/>
      <c r="L29" s="16"/>
      <c r="M29" s="16"/>
      <c r="N29" s="16"/>
      <c r="O29" s="16"/>
      <c r="P29" s="16"/>
      <c r="Q29" s="16"/>
      <c r="R29" s="16"/>
      <c r="S29" s="16"/>
      <c r="T29" s="16"/>
      <c r="U29" s="16"/>
      <c r="V29" s="16"/>
      <c r="W29" s="16"/>
      <c r="X29" s="16"/>
      <c r="Y29" s="16"/>
    </row>
    <row r="30" spans="1:25" x14ac:dyDescent="0.2">
      <c r="A30" s="14" t="s">
        <v>51</v>
      </c>
      <c r="B30" s="6" t="s">
        <v>52</v>
      </c>
      <c r="C30" s="6"/>
      <c r="D30" s="16" t="s">
        <v>327</v>
      </c>
      <c r="E30" s="6"/>
      <c r="F30" s="16" t="s">
        <v>339</v>
      </c>
      <c r="G30" s="15" t="s">
        <v>340</v>
      </c>
      <c r="H30" s="16"/>
      <c r="I30" s="16"/>
      <c r="J30" s="16"/>
      <c r="K30" s="16"/>
      <c r="L30" s="16"/>
      <c r="M30" s="16"/>
      <c r="N30" s="16"/>
      <c r="O30" s="16"/>
      <c r="P30" s="16"/>
      <c r="Q30" s="16"/>
      <c r="R30" s="16"/>
      <c r="S30" s="16"/>
      <c r="T30" s="16"/>
      <c r="U30" s="16"/>
      <c r="V30" s="16"/>
      <c r="W30" s="16"/>
      <c r="X30" s="16"/>
      <c r="Y30" s="16"/>
    </row>
    <row r="31" spans="1:25" x14ac:dyDescent="0.2">
      <c r="A31" s="14" t="s">
        <v>51</v>
      </c>
      <c r="B31" s="6" t="s">
        <v>52</v>
      </c>
      <c r="C31" s="6"/>
      <c r="D31" s="16" t="s">
        <v>327</v>
      </c>
      <c r="E31" s="6"/>
      <c r="F31" s="16" t="s">
        <v>137</v>
      </c>
      <c r="G31" s="15" t="s">
        <v>280</v>
      </c>
      <c r="H31" s="16"/>
      <c r="I31" s="16"/>
      <c r="J31" s="16"/>
      <c r="K31" s="16"/>
      <c r="L31" s="16"/>
      <c r="M31" s="16"/>
      <c r="N31" s="16"/>
      <c r="O31" s="16"/>
      <c r="P31" s="16"/>
      <c r="Q31" s="16"/>
      <c r="R31" s="16"/>
      <c r="S31" s="16"/>
      <c r="T31" s="16"/>
      <c r="U31" s="16"/>
      <c r="V31" s="16"/>
      <c r="W31" s="16"/>
      <c r="X31" s="16"/>
      <c r="Y31" s="16"/>
    </row>
    <row r="32" spans="1:25" x14ac:dyDescent="0.2">
      <c r="A32" s="14" t="s">
        <v>51</v>
      </c>
      <c r="B32" s="6" t="s">
        <v>52</v>
      </c>
      <c r="C32" s="6"/>
      <c r="D32" s="16" t="s">
        <v>327</v>
      </c>
      <c r="E32" s="6"/>
      <c r="F32" s="16" t="s">
        <v>322</v>
      </c>
      <c r="G32" s="15" t="s">
        <v>324</v>
      </c>
      <c r="H32" s="16"/>
      <c r="I32" s="16"/>
      <c r="J32" s="16"/>
      <c r="K32" s="16"/>
      <c r="L32" s="16"/>
      <c r="M32" s="16"/>
      <c r="N32" s="16"/>
      <c r="O32" s="16"/>
      <c r="P32" s="16"/>
      <c r="Q32" s="16"/>
      <c r="R32" s="16"/>
      <c r="S32" s="16"/>
      <c r="T32" s="16"/>
      <c r="U32" s="16"/>
      <c r="V32" s="16"/>
      <c r="W32" s="16"/>
      <c r="X32" s="16"/>
      <c r="Y32" s="16"/>
    </row>
    <row r="33" spans="1:25" x14ac:dyDescent="0.2">
      <c r="A33" s="14" t="s">
        <v>51</v>
      </c>
      <c r="B33" s="6" t="s">
        <v>52</v>
      </c>
      <c r="C33" s="6"/>
      <c r="D33" s="16" t="s">
        <v>327</v>
      </c>
      <c r="E33" s="6"/>
      <c r="F33" s="16" t="s">
        <v>299</v>
      </c>
      <c r="G33" s="15" t="s">
        <v>300</v>
      </c>
      <c r="H33" s="16"/>
      <c r="I33" s="16"/>
      <c r="J33" s="16"/>
      <c r="K33" s="16"/>
      <c r="L33" s="16"/>
      <c r="M33" s="16"/>
      <c r="N33" s="16"/>
      <c r="O33" s="16"/>
      <c r="P33" s="16"/>
      <c r="Q33" s="16"/>
      <c r="R33" s="16"/>
      <c r="S33" s="16"/>
      <c r="T33" s="16"/>
      <c r="U33" s="16"/>
      <c r="V33" s="16"/>
      <c r="W33" s="16"/>
      <c r="X33" s="16"/>
      <c r="Y33" s="16"/>
    </row>
    <row r="34" spans="1:25" x14ac:dyDescent="0.2">
      <c r="A34" s="14" t="s">
        <v>51</v>
      </c>
      <c r="B34" s="6" t="s">
        <v>52</v>
      </c>
      <c r="C34" s="6"/>
      <c r="D34" s="16" t="s">
        <v>327</v>
      </c>
      <c r="E34" s="6"/>
      <c r="F34" s="16" t="s">
        <v>358</v>
      </c>
      <c r="G34" s="15" t="s">
        <v>360</v>
      </c>
      <c r="H34" s="16"/>
      <c r="I34" s="16"/>
      <c r="J34" s="16"/>
      <c r="K34" s="16"/>
      <c r="L34" s="16"/>
      <c r="M34" s="16"/>
      <c r="N34" s="16"/>
      <c r="O34" s="16"/>
      <c r="P34" s="16"/>
      <c r="Q34" s="16"/>
      <c r="R34" s="16"/>
      <c r="S34" s="16"/>
      <c r="T34" s="16"/>
      <c r="U34" s="16"/>
      <c r="V34" s="16"/>
      <c r="W34" s="16"/>
      <c r="X34" s="16"/>
      <c r="Y34" s="16"/>
    </row>
    <row r="35" spans="1:25" x14ac:dyDescent="0.2">
      <c r="A35" s="21"/>
      <c r="B35" s="22"/>
      <c r="C35" s="22"/>
      <c r="D35" s="23"/>
      <c r="E35" s="22"/>
      <c r="F35" s="23"/>
      <c r="G35" s="30"/>
      <c r="H35" s="23"/>
      <c r="I35" s="23"/>
      <c r="J35" s="23"/>
      <c r="K35" s="23"/>
      <c r="L35" s="23"/>
      <c r="M35" s="23"/>
      <c r="N35" s="23"/>
      <c r="O35" s="23"/>
      <c r="P35" s="23"/>
      <c r="Q35" s="23"/>
      <c r="R35" s="23"/>
      <c r="S35" s="23"/>
      <c r="T35" s="23"/>
      <c r="U35" s="23"/>
      <c r="V35" s="23"/>
      <c r="W35" s="23"/>
      <c r="X35" s="23"/>
      <c r="Y35" s="23"/>
    </row>
    <row r="36" spans="1:25" x14ac:dyDescent="0.2">
      <c r="A36" s="14" t="s">
        <v>64</v>
      </c>
      <c r="B36" s="6" t="s">
        <v>65</v>
      </c>
      <c r="C36" s="6"/>
      <c r="D36" s="16" t="s">
        <v>161</v>
      </c>
      <c r="E36" s="6" t="s">
        <v>52</v>
      </c>
      <c r="F36" s="16" t="s">
        <v>51</v>
      </c>
      <c r="G36" s="15" t="str">
        <f>VLOOKUP(F36, GLOSSARY!$A:$C, 2, FALSE)</f>
        <v>EGYPT LUCY</v>
      </c>
      <c r="H36" s="16" t="s">
        <v>67</v>
      </c>
      <c r="I36" s="16"/>
      <c r="J36" s="16"/>
      <c r="K36" s="16"/>
      <c r="L36" s="16"/>
      <c r="M36" s="16"/>
      <c r="N36" s="16"/>
      <c r="O36" s="16"/>
      <c r="P36" s="16"/>
      <c r="Q36" s="16"/>
      <c r="R36" s="16"/>
      <c r="S36" s="16"/>
      <c r="T36" s="16"/>
      <c r="U36" s="16"/>
      <c r="V36" s="16"/>
      <c r="W36" s="16"/>
      <c r="X36" s="16"/>
      <c r="Y36" s="16"/>
    </row>
    <row r="37" spans="1:25" x14ac:dyDescent="0.2">
      <c r="A37" s="14" t="s">
        <v>64</v>
      </c>
      <c r="B37" s="6" t="s">
        <v>65</v>
      </c>
      <c r="C37" s="6"/>
      <c r="D37" s="16" t="s">
        <v>391</v>
      </c>
      <c r="E37" s="6" t="s">
        <v>75</v>
      </c>
      <c r="F37" s="16" t="s">
        <v>74</v>
      </c>
      <c r="G37" s="15" t="str">
        <f>VLOOKUP(F37, GLOSSARY!$A:$C, 2, FALSE)</f>
        <v>LITTLE QUASHE</v>
      </c>
      <c r="H37" s="16"/>
      <c r="I37" s="16"/>
      <c r="J37" s="16"/>
      <c r="K37" s="16"/>
      <c r="L37" s="16"/>
      <c r="M37" s="16"/>
      <c r="N37" s="16"/>
      <c r="O37" s="16"/>
      <c r="P37" s="16"/>
      <c r="Q37" s="16"/>
      <c r="R37" s="16"/>
      <c r="S37" s="16"/>
      <c r="T37" s="16"/>
      <c r="U37" s="16"/>
      <c r="V37" s="16"/>
      <c r="W37" s="16"/>
      <c r="X37" s="16"/>
      <c r="Y37" s="16"/>
    </row>
    <row r="38" spans="1:25" x14ac:dyDescent="0.2">
      <c r="A38" s="14" t="s">
        <v>64</v>
      </c>
      <c r="B38" s="6" t="s">
        <v>65</v>
      </c>
      <c r="C38" s="6"/>
      <c r="D38" s="16" t="s">
        <v>98</v>
      </c>
      <c r="E38" s="6" t="s">
        <v>29</v>
      </c>
      <c r="F38" s="16" t="s">
        <v>28</v>
      </c>
      <c r="G38" s="15" t="str">
        <f>VLOOKUP(F38, GLOSSARY!$A:$C, 2, FALSE)</f>
        <v>MOLIA</v>
      </c>
      <c r="H38" s="16"/>
      <c r="I38" s="16"/>
      <c r="J38" s="16"/>
      <c r="K38" s="16"/>
      <c r="L38" s="16"/>
      <c r="M38" s="16"/>
      <c r="N38" s="16"/>
      <c r="O38" s="16"/>
      <c r="P38" s="16"/>
      <c r="Q38" s="16"/>
      <c r="R38" s="16"/>
      <c r="S38" s="16"/>
      <c r="T38" s="16"/>
      <c r="U38" s="16"/>
      <c r="V38" s="16"/>
      <c r="W38" s="16"/>
      <c r="X38" s="16"/>
      <c r="Y38" s="16"/>
    </row>
    <row r="39" spans="1:25" x14ac:dyDescent="0.2">
      <c r="A39" s="14" t="s">
        <v>64</v>
      </c>
      <c r="B39" s="6" t="s">
        <v>65</v>
      </c>
      <c r="C39" s="6"/>
      <c r="D39" s="16" t="s">
        <v>306</v>
      </c>
      <c r="E39" s="6"/>
      <c r="F39" s="16" t="s">
        <v>416</v>
      </c>
      <c r="G39" s="33" t="s">
        <v>418</v>
      </c>
      <c r="H39" s="16"/>
      <c r="I39" s="16"/>
      <c r="J39" s="16"/>
      <c r="K39" s="16"/>
      <c r="L39" s="16"/>
      <c r="M39" s="16"/>
      <c r="N39" s="16"/>
      <c r="O39" s="16"/>
      <c r="P39" s="16"/>
      <c r="Q39" s="16"/>
      <c r="R39" s="16"/>
      <c r="S39" s="16"/>
      <c r="T39" s="16"/>
      <c r="U39" s="16"/>
      <c r="V39" s="16"/>
      <c r="W39" s="16"/>
      <c r="X39" s="16"/>
      <c r="Y39" s="16"/>
    </row>
    <row r="40" spans="1:25" x14ac:dyDescent="0.2">
      <c r="A40" s="21"/>
      <c r="B40" s="22"/>
      <c r="C40" s="22"/>
      <c r="D40" s="23"/>
      <c r="E40" s="22"/>
      <c r="F40" s="23"/>
      <c r="G40" s="15"/>
      <c r="H40" s="23"/>
      <c r="I40" s="23"/>
      <c r="J40" s="23"/>
      <c r="K40" s="23"/>
      <c r="L40" s="23"/>
      <c r="M40" s="23"/>
      <c r="N40" s="23"/>
      <c r="O40" s="23"/>
      <c r="P40" s="23"/>
      <c r="Q40" s="23"/>
      <c r="R40" s="23"/>
      <c r="S40" s="23"/>
      <c r="T40" s="23"/>
      <c r="U40" s="23"/>
      <c r="V40" s="23"/>
      <c r="W40" s="23"/>
      <c r="X40" s="23"/>
      <c r="Y40" s="23"/>
    </row>
    <row r="41" spans="1:25" x14ac:dyDescent="0.2">
      <c r="A41" s="14" t="s">
        <v>74</v>
      </c>
      <c r="B41" s="6" t="s">
        <v>75</v>
      </c>
      <c r="C41" s="6"/>
      <c r="D41" s="16" t="s">
        <v>430</v>
      </c>
      <c r="E41" s="6" t="s">
        <v>52</v>
      </c>
      <c r="F41" s="16" t="s">
        <v>51</v>
      </c>
      <c r="G41" s="15" t="str">
        <f>VLOOKUP(F41, GLOSSARY!$A:$C, 2, FALSE)</f>
        <v>EGYPT LUCY</v>
      </c>
      <c r="H41" s="16" t="s">
        <v>79</v>
      </c>
      <c r="I41" s="16"/>
      <c r="J41" s="16"/>
      <c r="K41" s="16"/>
      <c r="L41" s="16"/>
      <c r="M41" s="16"/>
      <c r="N41" s="16"/>
      <c r="O41" s="16"/>
      <c r="P41" s="16"/>
      <c r="Q41" s="16"/>
      <c r="R41" s="16"/>
      <c r="S41" s="16"/>
      <c r="T41" s="16"/>
      <c r="U41" s="16"/>
      <c r="V41" s="16"/>
      <c r="W41" s="16"/>
      <c r="X41" s="16"/>
      <c r="Y41" s="16"/>
    </row>
    <row r="42" spans="1:25" x14ac:dyDescent="0.2">
      <c r="A42" s="14" t="s">
        <v>74</v>
      </c>
      <c r="B42" s="6" t="s">
        <v>75</v>
      </c>
      <c r="C42" s="6"/>
      <c r="D42" s="16" t="s">
        <v>430</v>
      </c>
      <c r="E42" s="6"/>
      <c r="F42" s="16" t="s">
        <v>272</v>
      </c>
      <c r="G42" s="15" t="str">
        <f>VLOOKUP(F42, GLOSSARY!$A:$C, 2, FALSE)</f>
        <v>MASON QUASHE</v>
      </c>
      <c r="H42" s="16"/>
      <c r="I42" s="16"/>
      <c r="J42" s="16"/>
      <c r="K42" s="16"/>
      <c r="L42" s="16"/>
      <c r="M42" s="16"/>
      <c r="N42" s="16"/>
      <c r="O42" s="16"/>
      <c r="P42" s="16"/>
      <c r="Q42" s="16"/>
      <c r="R42" s="16"/>
      <c r="S42" s="16"/>
      <c r="T42" s="16"/>
      <c r="U42" s="16"/>
      <c r="V42" s="16"/>
      <c r="W42" s="16"/>
      <c r="X42" s="16"/>
      <c r="Y42" s="16"/>
    </row>
    <row r="43" spans="1:25" x14ac:dyDescent="0.2">
      <c r="A43" s="14" t="s">
        <v>74</v>
      </c>
      <c r="B43" s="6" t="s">
        <v>75</v>
      </c>
      <c r="C43" s="6"/>
      <c r="D43" s="16" t="s">
        <v>454</v>
      </c>
      <c r="E43" s="6" t="s">
        <v>65</v>
      </c>
      <c r="F43" s="16" t="s">
        <v>64</v>
      </c>
      <c r="G43" s="15" t="str">
        <f>VLOOKUP(F43, GLOSSARY!$A:$C, 2, FALSE)</f>
        <v>JULINA</v>
      </c>
      <c r="H43" s="16"/>
      <c r="I43" s="16"/>
      <c r="J43" s="16"/>
      <c r="K43" s="16"/>
      <c r="L43" s="16"/>
      <c r="M43" s="16"/>
      <c r="N43" s="16"/>
      <c r="O43" s="16"/>
      <c r="P43" s="16"/>
      <c r="Q43" s="16"/>
      <c r="R43" s="16"/>
      <c r="S43" s="16"/>
      <c r="T43" s="16"/>
      <c r="U43" s="16"/>
      <c r="V43" s="16"/>
      <c r="W43" s="16"/>
      <c r="X43" s="16"/>
      <c r="Y43" s="16"/>
    </row>
    <row r="44" spans="1:25" x14ac:dyDescent="0.2">
      <c r="A44" s="21"/>
      <c r="B44" s="22"/>
      <c r="C44" s="22"/>
      <c r="D44" s="23"/>
      <c r="E44" s="22"/>
      <c r="F44" s="23"/>
      <c r="G44" s="15"/>
      <c r="H44" s="23"/>
      <c r="I44" s="23"/>
      <c r="J44" s="23"/>
      <c r="K44" s="23"/>
      <c r="L44" s="23"/>
      <c r="M44" s="23"/>
      <c r="N44" s="23"/>
      <c r="O44" s="23"/>
      <c r="P44" s="23"/>
      <c r="Q44" s="23"/>
      <c r="R44" s="23"/>
      <c r="S44" s="23"/>
      <c r="T44" s="23"/>
      <c r="U44" s="23"/>
      <c r="V44" s="23"/>
      <c r="W44" s="23"/>
      <c r="X44" s="23"/>
      <c r="Y44" s="23"/>
    </row>
    <row r="45" spans="1:25" x14ac:dyDescent="0.2">
      <c r="A45" s="14" t="s">
        <v>89</v>
      </c>
      <c r="B45" s="6" t="s">
        <v>90</v>
      </c>
      <c r="C45" s="6"/>
      <c r="D45" s="16" t="s">
        <v>37</v>
      </c>
      <c r="E45" s="6" t="s">
        <v>470</v>
      </c>
      <c r="F45" s="16" t="s">
        <v>233</v>
      </c>
      <c r="G45" s="15" t="str">
        <f>VLOOKUP(F45, GLOSSARY!$A:$C, 2, FALSE)</f>
        <v>ABBA'S JOHNIE</v>
      </c>
      <c r="H45" s="16" t="s">
        <v>475</v>
      </c>
      <c r="I45" s="16"/>
      <c r="J45" s="16"/>
      <c r="K45" s="16"/>
      <c r="L45" s="16"/>
      <c r="M45" s="16"/>
      <c r="N45" s="16"/>
      <c r="O45" s="16"/>
      <c r="P45" s="16"/>
      <c r="Q45" s="16"/>
      <c r="R45" s="16"/>
      <c r="S45" s="16"/>
      <c r="T45" s="16"/>
      <c r="U45" s="16"/>
      <c r="V45" s="16"/>
      <c r="W45" s="16"/>
      <c r="X45" s="16"/>
      <c r="Y45" s="16"/>
    </row>
    <row r="46" spans="1:25" x14ac:dyDescent="0.2">
      <c r="A46" s="14" t="s">
        <v>89</v>
      </c>
      <c r="B46" s="6" t="s">
        <v>90</v>
      </c>
      <c r="C46" s="6"/>
      <c r="D46" s="16" t="s">
        <v>37</v>
      </c>
      <c r="E46" s="6" t="s">
        <v>481</v>
      </c>
      <c r="F46" s="16" t="s">
        <v>242</v>
      </c>
      <c r="G46" s="15" t="str">
        <f>VLOOKUP(F46, GLOSSARY!$A:$C, 2, FALSE)</f>
        <v>ABBA'S MARY</v>
      </c>
      <c r="H46" s="16"/>
      <c r="I46" s="16"/>
      <c r="J46" s="16"/>
      <c r="K46" s="16"/>
      <c r="L46" s="16"/>
      <c r="M46" s="16"/>
      <c r="N46" s="16"/>
      <c r="O46" s="16"/>
      <c r="P46" s="16"/>
      <c r="Q46" s="16"/>
      <c r="R46" s="16"/>
      <c r="S46" s="16"/>
      <c r="T46" s="16"/>
      <c r="U46" s="16"/>
      <c r="V46" s="16"/>
      <c r="W46" s="16"/>
      <c r="X46" s="16"/>
      <c r="Y46" s="16"/>
    </row>
    <row r="47" spans="1:25" x14ac:dyDescent="0.2">
      <c r="A47" s="14" t="s">
        <v>89</v>
      </c>
      <c r="B47" s="6" t="s">
        <v>90</v>
      </c>
      <c r="C47" s="6"/>
      <c r="D47" s="16" t="s">
        <v>37</v>
      </c>
      <c r="E47" s="6"/>
      <c r="F47" s="16" t="s">
        <v>487</v>
      </c>
      <c r="G47" s="15" t="str">
        <f>VLOOKUP(F47, GLOSSARY!$A:$C, 2, FALSE)</f>
        <v>JENNY [ABBA'S DAUGHTER]</v>
      </c>
      <c r="H47" s="16"/>
      <c r="I47" s="16"/>
      <c r="J47" s="16"/>
      <c r="K47" s="16"/>
      <c r="L47" s="16"/>
      <c r="M47" s="16"/>
      <c r="N47" s="16"/>
      <c r="O47" s="16"/>
      <c r="P47" s="16"/>
      <c r="Q47" s="16"/>
      <c r="R47" s="16"/>
      <c r="S47" s="16"/>
      <c r="T47" s="16"/>
      <c r="U47" s="16"/>
      <c r="V47" s="16"/>
      <c r="W47" s="16"/>
      <c r="X47" s="16"/>
      <c r="Y47" s="16"/>
    </row>
    <row r="48" spans="1:25" x14ac:dyDescent="0.2">
      <c r="A48" s="14" t="s">
        <v>89</v>
      </c>
      <c r="B48" s="6" t="s">
        <v>90</v>
      </c>
      <c r="C48" s="6"/>
      <c r="D48" s="16" t="s">
        <v>37</v>
      </c>
      <c r="E48" s="6"/>
      <c r="F48" s="16" t="s">
        <v>496</v>
      </c>
      <c r="G48" s="15" t="str">
        <f>VLOOKUP(F48, GLOSSARY!$A:$C, 2, FALSE)</f>
        <v>NEPTUNE [ABBA'S SON]</v>
      </c>
      <c r="H48" s="16"/>
      <c r="I48" s="16"/>
      <c r="J48" s="16"/>
      <c r="K48" s="16"/>
      <c r="L48" s="16"/>
      <c r="M48" s="16"/>
      <c r="N48" s="16"/>
      <c r="O48" s="16"/>
      <c r="P48" s="16"/>
      <c r="Q48" s="16"/>
      <c r="R48" s="16"/>
      <c r="S48" s="16"/>
      <c r="T48" s="16"/>
      <c r="U48" s="16"/>
      <c r="V48" s="16"/>
      <c r="W48" s="16"/>
      <c r="X48" s="16"/>
      <c r="Y48" s="16"/>
    </row>
    <row r="49" spans="1:25" x14ac:dyDescent="0.2">
      <c r="A49" s="14" t="s">
        <v>89</v>
      </c>
      <c r="B49" s="6" t="s">
        <v>90</v>
      </c>
      <c r="C49" s="6"/>
      <c r="D49" s="16" t="s">
        <v>56</v>
      </c>
      <c r="E49" s="6" t="s">
        <v>202</v>
      </c>
      <c r="F49" s="16" t="s">
        <v>201</v>
      </c>
      <c r="G49" s="15" t="str">
        <f>VLOOKUP(F49, GLOSSARY!$A:$C, 2, FALSE)</f>
        <v>SALLY</v>
      </c>
      <c r="H49" s="16"/>
      <c r="I49" s="16"/>
      <c r="J49" s="16"/>
      <c r="K49" s="16"/>
      <c r="L49" s="16"/>
      <c r="M49" s="16"/>
      <c r="N49" s="16"/>
      <c r="O49" s="16"/>
      <c r="P49" s="16"/>
      <c r="Q49" s="16"/>
      <c r="R49" s="16"/>
      <c r="S49" s="16"/>
      <c r="T49" s="16"/>
      <c r="U49" s="16"/>
      <c r="V49" s="16"/>
      <c r="W49" s="16"/>
      <c r="X49" s="16"/>
      <c r="Y49" s="16"/>
    </row>
    <row r="50" spans="1:25" x14ac:dyDescent="0.2">
      <c r="A50" s="14" t="s">
        <v>89</v>
      </c>
      <c r="B50" s="6" t="s">
        <v>90</v>
      </c>
      <c r="C50" s="6"/>
      <c r="D50" s="16" t="s">
        <v>306</v>
      </c>
      <c r="E50" s="6"/>
      <c r="F50" s="16" t="s">
        <v>511</v>
      </c>
      <c r="G50" s="15" t="str">
        <f>VLOOKUP(F50, GLOSSARY!$A:$C, 2, FALSE)</f>
        <v>HAZAT</v>
      </c>
      <c r="H50" s="16"/>
      <c r="I50" s="16"/>
      <c r="J50" s="16"/>
      <c r="K50" s="16"/>
      <c r="L50" s="16"/>
      <c r="M50" s="16"/>
      <c r="N50" s="16"/>
      <c r="O50" s="16"/>
      <c r="P50" s="16"/>
      <c r="Q50" s="16"/>
      <c r="R50" s="16"/>
      <c r="S50" s="16"/>
      <c r="T50" s="16"/>
      <c r="U50" s="16"/>
      <c r="V50" s="16"/>
      <c r="W50" s="16"/>
      <c r="X50" s="16"/>
      <c r="Y50" s="16"/>
    </row>
    <row r="51" spans="1:25" x14ac:dyDescent="0.2">
      <c r="A51" s="14" t="s">
        <v>89</v>
      </c>
      <c r="B51" s="6" t="s">
        <v>90</v>
      </c>
      <c r="C51" s="6"/>
      <c r="D51" s="16" t="s">
        <v>306</v>
      </c>
      <c r="E51" s="6"/>
      <c r="F51" s="16" t="s">
        <v>268</v>
      </c>
      <c r="G51" s="15" t="str">
        <f>VLOOKUP(F51, GLOSSARY!$A:$C, 2, FALSE)</f>
        <v>LINCOLN</v>
      </c>
      <c r="H51" s="16"/>
      <c r="I51" s="16"/>
      <c r="J51" s="16"/>
      <c r="K51" s="16"/>
      <c r="L51" s="16"/>
      <c r="M51" s="16"/>
      <c r="N51" s="16"/>
      <c r="O51" s="16"/>
      <c r="P51" s="16"/>
      <c r="Q51" s="16"/>
      <c r="R51" s="16"/>
      <c r="S51" s="16"/>
      <c r="T51" s="16"/>
      <c r="U51" s="16"/>
      <c r="V51" s="16"/>
      <c r="W51" s="16"/>
      <c r="X51" s="16"/>
      <c r="Y51" s="16"/>
    </row>
    <row r="52" spans="1:25" x14ac:dyDescent="0.2">
      <c r="A52" s="14" t="s">
        <v>89</v>
      </c>
      <c r="B52" s="6" t="s">
        <v>90</v>
      </c>
      <c r="C52" s="6"/>
      <c r="D52" s="16" t="s">
        <v>306</v>
      </c>
      <c r="E52" s="6"/>
      <c r="F52" s="16" t="s">
        <v>532</v>
      </c>
      <c r="G52" s="15" t="str">
        <f>VLOOKUP(F52, GLOSSARY!$A:$C, 2, FALSE)</f>
        <v>CUDJOE [JOHN RICKETT'S]</v>
      </c>
      <c r="H52" s="16"/>
      <c r="I52" s="16"/>
      <c r="J52" s="16"/>
      <c r="K52" s="16"/>
      <c r="L52" s="16"/>
      <c r="M52" s="16"/>
      <c r="N52" s="16"/>
      <c r="O52" s="16"/>
      <c r="P52" s="16"/>
      <c r="Q52" s="16"/>
      <c r="R52" s="16"/>
      <c r="S52" s="16"/>
      <c r="T52" s="16"/>
      <c r="U52" s="16"/>
      <c r="V52" s="16"/>
      <c r="W52" s="16"/>
      <c r="X52" s="16"/>
      <c r="Y52" s="16"/>
    </row>
    <row r="53" spans="1:25" x14ac:dyDescent="0.2">
      <c r="A53" s="14" t="s">
        <v>89</v>
      </c>
      <c r="B53" s="6" t="s">
        <v>90</v>
      </c>
      <c r="C53" s="6"/>
      <c r="D53" s="16" t="s">
        <v>306</v>
      </c>
      <c r="E53" s="6"/>
      <c r="F53" s="16" t="s">
        <v>537</v>
      </c>
      <c r="G53" s="15" t="str">
        <f>VLOOKUP(F53, GLOSSARY!$A:$C, 2, FALSE)</f>
        <v>NEPTUNE [THOMAS EMOTSON'S]</v>
      </c>
      <c r="H53" s="16"/>
      <c r="I53" s="16"/>
      <c r="J53" s="16"/>
      <c r="K53" s="16"/>
      <c r="L53" s="16"/>
      <c r="M53" s="16"/>
      <c r="N53" s="16"/>
      <c r="O53" s="16"/>
      <c r="P53" s="16"/>
      <c r="Q53" s="16"/>
      <c r="R53" s="16"/>
      <c r="S53" s="16"/>
      <c r="T53" s="16"/>
      <c r="U53" s="16"/>
      <c r="V53" s="16"/>
      <c r="W53" s="16"/>
      <c r="X53" s="16"/>
      <c r="Y53" s="16"/>
    </row>
    <row r="54" spans="1:25" x14ac:dyDescent="0.2">
      <c r="A54" s="14" t="s">
        <v>89</v>
      </c>
      <c r="B54" s="6" t="s">
        <v>90</v>
      </c>
      <c r="C54" s="6"/>
      <c r="D54" s="16" t="s">
        <v>91</v>
      </c>
      <c r="E54" s="6"/>
      <c r="F54" s="16"/>
      <c r="G54" s="15" t="e">
        <f>VLOOKUP(F54, GLOSSARY!$A:$C, 2, FALSE)</f>
        <v>#N/A</v>
      </c>
      <c r="H54" s="16"/>
      <c r="I54" s="16"/>
      <c r="J54" s="16"/>
      <c r="K54" s="16"/>
      <c r="L54" s="16"/>
      <c r="M54" s="16"/>
      <c r="N54" s="16"/>
      <c r="O54" s="16"/>
      <c r="P54" s="16"/>
      <c r="Q54" s="16"/>
      <c r="R54" s="16"/>
      <c r="S54" s="16"/>
      <c r="T54" s="16"/>
      <c r="U54" s="16"/>
      <c r="V54" s="16"/>
      <c r="W54" s="16"/>
      <c r="X54" s="16"/>
      <c r="Y54" s="16"/>
    </row>
    <row r="55" spans="1:25" x14ac:dyDescent="0.2">
      <c r="A55" s="14" t="s">
        <v>89</v>
      </c>
      <c r="B55" s="6" t="s">
        <v>90</v>
      </c>
      <c r="C55" s="6"/>
      <c r="D55" s="16" t="s">
        <v>554</v>
      </c>
      <c r="E55" s="6"/>
      <c r="F55" s="16" t="s">
        <v>150</v>
      </c>
      <c r="G55" s="15" t="str">
        <f>VLOOKUP(F55, GLOSSARY!$A:$C, 2, FALSE)</f>
        <v>VINE</v>
      </c>
      <c r="H55" s="16"/>
      <c r="I55" s="16"/>
      <c r="J55" s="16"/>
      <c r="K55" s="16"/>
      <c r="L55" s="16"/>
      <c r="M55" s="16"/>
      <c r="N55" s="16"/>
      <c r="O55" s="16"/>
      <c r="P55" s="16"/>
      <c r="Q55" s="16"/>
      <c r="R55" s="16"/>
      <c r="S55" s="16"/>
      <c r="T55" s="16"/>
      <c r="U55" s="16"/>
      <c r="V55" s="16"/>
      <c r="W55" s="16"/>
      <c r="X55" s="16"/>
      <c r="Y55" s="16"/>
    </row>
    <row r="56" spans="1:25" x14ac:dyDescent="0.2">
      <c r="A56" s="21"/>
      <c r="B56" s="22"/>
      <c r="C56" s="22"/>
      <c r="D56" s="23"/>
      <c r="E56" s="22"/>
      <c r="F56" s="23"/>
      <c r="G56" s="15" t="e">
        <f>VLOOKUP(F56, GLOSSARY!$A:$C, 2, FALSE)</f>
        <v>#N/A</v>
      </c>
      <c r="H56" s="23"/>
      <c r="I56" s="23"/>
      <c r="J56" s="23"/>
      <c r="K56" s="23"/>
      <c r="L56" s="23"/>
      <c r="M56" s="23"/>
      <c r="N56" s="23"/>
      <c r="O56" s="23"/>
      <c r="P56" s="23"/>
      <c r="Q56" s="23"/>
      <c r="R56" s="23"/>
      <c r="S56" s="23"/>
      <c r="T56" s="23"/>
      <c r="U56" s="23"/>
      <c r="V56" s="23"/>
      <c r="W56" s="23"/>
      <c r="X56" s="23"/>
      <c r="Y56" s="23"/>
    </row>
    <row r="57" spans="1:25" x14ac:dyDescent="0.2">
      <c r="A57" s="14" t="s">
        <v>100</v>
      </c>
      <c r="B57" s="6" t="s">
        <v>101</v>
      </c>
      <c r="C57" s="6" t="s">
        <v>567</v>
      </c>
      <c r="D57" s="16" t="s">
        <v>37</v>
      </c>
      <c r="E57" s="6" t="s">
        <v>119</v>
      </c>
      <c r="F57" s="16" t="s">
        <v>118</v>
      </c>
      <c r="G57" s="15" t="str">
        <f>VLOOKUP(F57, GLOSSARY!$A:$C, 2, FALSE)</f>
        <v>JOHN</v>
      </c>
      <c r="H57" s="16" t="s">
        <v>107</v>
      </c>
      <c r="I57" s="16"/>
      <c r="J57" s="16"/>
      <c r="K57" s="16"/>
      <c r="L57" s="16"/>
      <c r="M57" s="16"/>
      <c r="N57" s="16"/>
      <c r="O57" s="16"/>
      <c r="P57" s="16"/>
      <c r="Q57" s="16"/>
      <c r="R57" s="16"/>
      <c r="S57" s="16"/>
      <c r="T57" s="16"/>
      <c r="U57" s="16"/>
      <c r="V57" s="16"/>
      <c r="W57" s="16"/>
      <c r="X57" s="16"/>
      <c r="Y57" s="16"/>
    </row>
    <row r="58" spans="1:25" x14ac:dyDescent="0.2">
      <c r="A58" s="14" t="s">
        <v>100</v>
      </c>
      <c r="B58" s="6" t="s">
        <v>101</v>
      </c>
      <c r="C58" s="6" t="s">
        <v>567</v>
      </c>
      <c r="D58" s="16" t="s">
        <v>37</v>
      </c>
      <c r="E58" s="6" t="s">
        <v>35</v>
      </c>
      <c r="F58" s="16" t="s">
        <v>191</v>
      </c>
      <c r="G58" s="15" t="str">
        <f>VLOOKUP(F58, GLOSSARY!$A:$C, 2, FALSE)</f>
        <v>COOBAH</v>
      </c>
      <c r="H58" s="16"/>
      <c r="I58" s="16"/>
      <c r="J58" s="16"/>
      <c r="K58" s="16"/>
      <c r="L58" s="16"/>
      <c r="M58" s="16"/>
      <c r="N58" s="16"/>
      <c r="O58" s="16"/>
      <c r="P58" s="16"/>
      <c r="Q58" s="16"/>
      <c r="R58" s="16"/>
      <c r="S58" s="16"/>
      <c r="T58" s="16"/>
      <c r="U58" s="16"/>
      <c r="V58" s="16"/>
      <c r="W58" s="16"/>
      <c r="X58" s="16"/>
      <c r="Y58" s="16"/>
    </row>
    <row r="59" spans="1:25" x14ac:dyDescent="0.2">
      <c r="A59" s="14" t="s">
        <v>100</v>
      </c>
      <c r="B59" s="6" t="s">
        <v>101</v>
      </c>
      <c r="C59" s="6" t="s">
        <v>567</v>
      </c>
      <c r="D59" s="16" t="s">
        <v>391</v>
      </c>
      <c r="E59" s="6" t="s">
        <v>114</v>
      </c>
      <c r="F59" s="16" t="s">
        <v>113</v>
      </c>
      <c r="G59" s="15" t="str">
        <f>VLOOKUP(F59, GLOSSARY!$A:$C, 2, FALSE)</f>
        <v>NANCY</v>
      </c>
      <c r="H59" s="16"/>
      <c r="I59" s="16"/>
      <c r="J59" s="16"/>
      <c r="K59" s="16"/>
      <c r="L59" s="16"/>
      <c r="M59" s="16"/>
      <c r="N59" s="16"/>
      <c r="O59" s="16"/>
      <c r="P59" s="16"/>
      <c r="Q59" s="16"/>
      <c r="R59" s="16"/>
      <c r="S59" s="16"/>
      <c r="T59" s="16"/>
      <c r="U59" s="16"/>
      <c r="V59" s="16"/>
      <c r="W59" s="16"/>
      <c r="X59" s="16"/>
      <c r="Y59" s="16"/>
    </row>
    <row r="60" spans="1:25" x14ac:dyDescent="0.2">
      <c r="A60" s="14" t="s">
        <v>100</v>
      </c>
      <c r="B60" s="6" t="s">
        <v>101</v>
      </c>
      <c r="C60" s="6" t="s">
        <v>567</v>
      </c>
      <c r="D60" s="16" t="s">
        <v>587</v>
      </c>
      <c r="E60" s="6"/>
      <c r="F60" s="16" t="s">
        <v>591</v>
      </c>
      <c r="G60" s="15" t="str">
        <f>VLOOKUP(F60, GLOSSARY!$A:$C, 2, FALSE)</f>
        <v>DAVIE [NANCY'S SON]</v>
      </c>
      <c r="H60" s="16"/>
      <c r="I60" s="16"/>
      <c r="J60" s="16"/>
      <c r="K60" s="16"/>
      <c r="L60" s="16"/>
      <c r="M60" s="16"/>
      <c r="N60" s="16"/>
      <c r="O60" s="16"/>
      <c r="P60" s="16"/>
      <c r="Q60" s="16"/>
      <c r="R60" s="16"/>
      <c r="S60" s="16"/>
      <c r="T60" s="16"/>
      <c r="U60" s="16"/>
      <c r="V60" s="16"/>
      <c r="W60" s="16"/>
      <c r="X60" s="16"/>
      <c r="Y60" s="16"/>
    </row>
    <row r="61" spans="1:25" x14ac:dyDescent="0.2">
      <c r="A61" s="14" t="s">
        <v>100</v>
      </c>
      <c r="B61" s="6" t="s">
        <v>101</v>
      </c>
      <c r="C61" s="6" t="s">
        <v>567</v>
      </c>
      <c r="D61" s="16" t="s">
        <v>587</v>
      </c>
      <c r="E61" s="6"/>
      <c r="F61" s="16" t="s">
        <v>595</v>
      </c>
      <c r="G61" s="15" t="str">
        <f>VLOOKUP(F61, GLOSSARY!$A:$C, 2, FALSE)</f>
        <v>NANCY'S DAUGHTER</v>
      </c>
      <c r="H61" s="16"/>
      <c r="I61" s="16"/>
      <c r="J61" s="16"/>
      <c r="K61" s="16"/>
      <c r="L61" s="16"/>
      <c r="M61" s="16"/>
      <c r="N61" s="16"/>
      <c r="O61" s="16"/>
      <c r="P61" s="16"/>
      <c r="Q61" s="16"/>
      <c r="R61" s="16"/>
      <c r="S61" s="16"/>
      <c r="T61" s="16"/>
      <c r="U61" s="16"/>
      <c r="V61" s="16"/>
      <c r="W61" s="16"/>
      <c r="X61" s="16"/>
      <c r="Y61" s="16"/>
    </row>
    <row r="62" spans="1:25" x14ac:dyDescent="0.2">
      <c r="A62" s="14" t="s">
        <v>100</v>
      </c>
      <c r="B62" s="6" t="s">
        <v>101</v>
      </c>
      <c r="C62" s="6" t="s">
        <v>567</v>
      </c>
      <c r="D62" s="16" t="s">
        <v>306</v>
      </c>
      <c r="E62" s="6"/>
      <c r="F62" s="16" t="s">
        <v>605</v>
      </c>
      <c r="G62" s="15" t="str">
        <f>VLOOKUP(F62, GLOSSARY!$A:$C, 2, FALSE)</f>
        <v>PHIBBAH'S HUSBAND</v>
      </c>
      <c r="H62" s="16"/>
      <c r="I62" s="16"/>
      <c r="J62" s="16"/>
      <c r="K62" s="16"/>
      <c r="L62" s="16"/>
      <c r="M62" s="16"/>
      <c r="N62" s="16"/>
      <c r="O62" s="16"/>
      <c r="P62" s="16"/>
      <c r="Q62" s="16"/>
      <c r="R62" s="16"/>
      <c r="S62" s="16"/>
      <c r="T62" s="16"/>
      <c r="U62" s="16"/>
      <c r="V62" s="16"/>
      <c r="W62" s="16"/>
      <c r="X62" s="16"/>
      <c r="Y62" s="16"/>
    </row>
    <row r="63" spans="1:25" x14ac:dyDescent="0.2">
      <c r="A63" s="14" t="s">
        <v>100</v>
      </c>
      <c r="B63" s="6" t="s">
        <v>101</v>
      </c>
      <c r="C63" s="6" t="s">
        <v>567</v>
      </c>
      <c r="D63" s="16" t="s">
        <v>211</v>
      </c>
      <c r="E63" s="6" t="s">
        <v>138</v>
      </c>
      <c r="F63" s="16" t="s">
        <v>135</v>
      </c>
      <c r="G63" s="15" t="str">
        <f>VLOOKUP(F63, GLOSSARY!$A:$C, 2, FALSE)</f>
        <v>HOUSE FRANKE</v>
      </c>
      <c r="H63" s="16"/>
      <c r="I63" s="16"/>
      <c r="J63" s="16"/>
      <c r="K63" s="16"/>
      <c r="L63" s="16"/>
      <c r="M63" s="16"/>
      <c r="N63" s="16"/>
      <c r="O63" s="16"/>
      <c r="P63" s="16"/>
      <c r="Q63" s="16"/>
      <c r="R63" s="16"/>
      <c r="S63" s="16"/>
      <c r="T63" s="16"/>
      <c r="U63" s="16"/>
      <c r="V63" s="16"/>
      <c r="W63" s="16"/>
      <c r="X63" s="16"/>
      <c r="Y63" s="16"/>
    </row>
    <row r="64" spans="1:25" x14ac:dyDescent="0.2">
      <c r="A64" s="14" t="s">
        <v>100</v>
      </c>
      <c r="B64" s="6" t="s">
        <v>101</v>
      </c>
      <c r="C64" s="6" t="s">
        <v>567</v>
      </c>
      <c r="D64" s="16" t="s">
        <v>211</v>
      </c>
      <c r="E64" s="6" t="s">
        <v>151</v>
      </c>
      <c r="F64" s="16" t="s">
        <v>150</v>
      </c>
      <c r="G64" s="15" t="str">
        <f>VLOOKUP(F64, GLOSSARY!$A:$C, 2, FALSE)</f>
        <v>VINE</v>
      </c>
      <c r="H64" s="16"/>
      <c r="I64" s="16"/>
      <c r="J64" s="16"/>
      <c r="K64" s="16"/>
      <c r="L64" s="16"/>
      <c r="M64" s="16"/>
      <c r="N64" s="16"/>
      <c r="O64" s="16"/>
      <c r="P64" s="16"/>
      <c r="Q64" s="16"/>
      <c r="R64" s="16"/>
      <c r="S64" s="16"/>
      <c r="T64" s="16"/>
      <c r="U64" s="16"/>
      <c r="V64" s="16"/>
      <c r="W64" s="16"/>
      <c r="X64" s="16"/>
      <c r="Y64" s="16"/>
    </row>
    <row r="65" spans="1:25" x14ac:dyDescent="0.2">
      <c r="A65" s="14" t="s">
        <v>100</v>
      </c>
      <c r="B65" s="6" t="s">
        <v>101</v>
      </c>
      <c r="C65" s="6" t="s">
        <v>567</v>
      </c>
      <c r="D65" s="16" t="s">
        <v>211</v>
      </c>
      <c r="E65" s="6" t="s">
        <v>114</v>
      </c>
      <c r="F65" s="16" t="s">
        <v>113</v>
      </c>
      <c r="G65" s="15" t="str">
        <f>VLOOKUP(F65, GLOSSARY!$A:$C, 2, FALSE)</f>
        <v>NANCY</v>
      </c>
      <c r="H65" s="16"/>
      <c r="I65" s="16"/>
      <c r="J65" s="16"/>
      <c r="K65" s="16"/>
      <c r="L65" s="16"/>
      <c r="M65" s="16"/>
      <c r="N65" s="16"/>
      <c r="O65" s="16"/>
      <c r="P65" s="16"/>
      <c r="Q65" s="16"/>
      <c r="R65" s="16"/>
      <c r="S65" s="16"/>
      <c r="T65" s="16"/>
      <c r="U65" s="16"/>
      <c r="V65" s="16"/>
      <c r="W65" s="16"/>
      <c r="X65" s="16"/>
      <c r="Y65" s="16"/>
    </row>
    <row r="66" spans="1:25" x14ac:dyDescent="0.2">
      <c r="A66" s="14" t="s">
        <v>100</v>
      </c>
      <c r="B66" s="6" t="s">
        <v>101</v>
      </c>
      <c r="C66" s="6" t="s">
        <v>567</v>
      </c>
      <c r="D66" s="17" t="s">
        <v>247</v>
      </c>
      <c r="E66" s="37" t="s">
        <v>138</v>
      </c>
      <c r="F66" s="38" t="s">
        <v>135</v>
      </c>
      <c r="G66" s="15" t="str">
        <f>VLOOKUP(F66, GLOSSARY!$A:$C, 2, FALSE)</f>
        <v>HOUSE FRANKE</v>
      </c>
      <c r="H66" s="16"/>
      <c r="I66" s="16"/>
      <c r="J66" s="16"/>
      <c r="K66" s="16"/>
      <c r="L66" s="16"/>
      <c r="M66" s="16"/>
      <c r="N66" s="16"/>
      <c r="O66" s="16"/>
      <c r="P66" s="16"/>
      <c r="Q66" s="16"/>
      <c r="R66" s="16"/>
      <c r="S66" s="16"/>
      <c r="T66" s="16"/>
      <c r="U66" s="16"/>
      <c r="V66" s="16"/>
      <c r="W66" s="16"/>
      <c r="X66" s="16"/>
      <c r="Y66" s="16"/>
    </row>
    <row r="67" spans="1:25" x14ac:dyDescent="0.2">
      <c r="A67" s="14" t="s">
        <v>100</v>
      </c>
      <c r="B67" s="6" t="s">
        <v>101</v>
      </c>
      <c r="C67" s="6" t="s">
        <v>567</v>
      </c>
      <c r="D67" s="17" t="s">
        <v>247</v>
      </c>
      <c r="E67" s="39" t="s">
        <v>114</v>
      </c>
      <c r="F67" s="36" t="s">
        <v>113</v>
      </c>
      <c r="G67" s="15" t="str">
        <f>VLOOKUP(F67, GLOSSARY!$A:$C, 2, FALSE)</f>
        <v>NANCY</v>
      </c>
      <c r="H67" s="16"/>
      <c r="I67" s="16"/>
      <c r="J67" s="16"/>
      <c r="K67" s="16"/>
      <c r="L67" s="16"/>
      <c r="M67" s="16"/>
      <c r="N67" s="16"/>
      <c r="O67" s="16"/>
      <c r="P67" s="16"/>
      <c r="Q67" s="16"/>
      <c r="R67" s="16"/>
      <c r="S67" s="16"/>
      <c r="T67" s="16"/>
      <c r="U67" s="16"/>
      <c r="V67" s="16"/>
      <c r="W67" s="16"/>
      <c r="X67" s="16"/>
      <c r="Y67" s="16"/>
    </row>
    <row r="68" spans="1:25" x14ac:dyDescent="0.2">
      <c r="A68" s="14" t="s">
        <v>100</v>
      </c>
      <c r="B68" s="6" t="s">
        <v>101</v>
      </c>
      <c r="C68" s="6" t="s">
        <v>567</v>
      </c>
      <c r="D68" s="17" t="s">
        <v>247</v>
      </c>
      <c r="E68" s="37" t="s">
        <v>35</v>
      </c>
      <c r="F68" s="38" t="s">
        <v>191</v>
      </c>
      <c r="G68" s="15" t="str">
        <f>VLOOKUP(F68, GLOSSARY!$A:$C, 2, FALSE)</f>
        <v>COOBAH</v>
      </c>
      <c r="H68" s="16"/>
      <c r="I68" s="16"/>
      <c r="J68" s="16"/>
      <c r="K68" s="16"/>
      <c r="L68" s="16"/>
      <c r="M68" s="16"/>
      <c r="N68" s="16"/>
      <c r="O68" s="16"/>
      <c r="P68" s="16"/>
      <c r="Q68" s="16"/>
      <c r="R68" s="16"/>
      <c r="S68" s="16"/>
      <c r="T68" s="16"/>
      <c r="U68" s="16"/>
      <c r="V68" s="16"/>
      <c r="W68" s="16"/>
      <c r="X68" s="16"/>
      <c r="Y68" s="16"/>
    </row>
    <row r="69" spans="1:25" x14ac:dyDescent="0.2">
      <c r="A69" s="14" t="s">
        <v>100</v>
      </c>
      <c r="B69" s="6" t="s">
        <v>101</v>
      </c>
      <c r="C69" s="6" t="s">
        <v>567</v>
      </c>
      <c r="D69" s="16" t="s">
        <v>655</v>
      </c>
      <c r="E69" s="6" t="s">
        <v>75</v>
      </c>
      <c r="F69" s="16" t="s">
        <v>74</v>
      </c>
      <c r="G69" s="15" t="str">
        <f>VLOOKUP(F69, GLOSSARY!$A:$C, 2, FALSE)</f>
        <v>LITTLE QUASHE</v>
      </c>
      <c r="H69" s="16"/>
      <c r="I69" s="16"/>
      <c r="J69" s="16"/>
      <c r="K69" s="16"/>
      <c r="L69" s="16"/>
      <c r="M69" s="16"/>
      <c r="N69" s="16"/>
      <c r="O69" s="16"/>
      <c r="P69" s="16"/>
      <c r="Q69" s="16"/>
      <c r="R69" s="16"/>
      <c r="S69" s="16"/>
      <c r="T69" s="16"/>
      <c r="U69" s="16"/>
      <c r="V69" s="16"/>
      <c r="W69" s="16"/>
      <c r="X69" s="16"/>
      <c r="Y69" s="16"/>
    </row>
    <row r="70" spans="1:25" x14ac:dyDescent="0.2">
      <c r="A70" s="14" t="s">
        <v>100</v>
      </c>
      <c r="B70" s="6" t="s">
        <v>101</v>
      </c>
      <c r="C70" s="6" t="s">
        <v>567</v>
      </c>
      <c r="D70" s="16" t="s">
        <v>655</v>
      </c>
      <c r="E70" s="6" t="s">
        <v>52</v>
      </c>
      <c r="F70" s="16" t="s">
        <v>51</v>
      </c>
      <c r="G70" s="15" t="str">
        <f>VLOOKUP(F70, GLOSSARY!$A:$C, 2, FALSE)</f>
        <v>EGYPT LUCY</v>
      </c>
      <c r="H70" s="16"/>
      <c r="I70" s="16"/>
      <c r="J70" s="16"/>
      <c r="K70" s="16"/>
      <c r="L70" s="16"/>
      <c r="M70" s="16"/>
      <c r="N70" s="16"/>
      <c r="O70" s="16"/>
      <c r="P70" s="16"/>
      <c r="Q70" s="16"/>
      <c r="R70" s="16"/>
      <c r="S70" s="16"/>
      <c r="T70" s="16"/>
      <c r="U70" s="16"/>
      <c r="V70" s="16"/>
      <c r="W70" s="16"/>
      <c r="X70" s="16"/>
      <c r="Y70" s="16"/>
    </row>
    <row r="71" spans="1:25" x14ac:dyDescent="0.2">
      <c r="A71" s="21"/>
      <c r="B71" s="22"/>
      <c r="C71" s="22"/>
      <c r="D71" s="23"/>
      <c r="E71" s="22"/>
      <c r="F71" s="23"/>
      <c r="G71" s="24" t="e">
        <f>VLOOKUP(F71, GLOSSARY!$A:$C, 2, FALSE)</f>
        <v>#N/A</v>
      </c>
      <c r="H71" s="23"/>
      <c r="I71" s="23"/>
      <c r="J71" s="23"/>
      <c r="K71" s="23"/>
      <c r="L71" s="23"/>
      <c r="M71" s="23"/>
      <c r="N71" s="23"/>
      <c r="O71" s="23"/>
      <c r="P71" s="23"/>
      <c r="Q71" s="23"/>
      <c r="R71" s="23"/>
      <c r="S71" s="23"/>
      <c r="T71" s="23"/>
      <c r="U71" s="23"/>
      <c r="V71" s="23"/>
      <c r="W71" s="23"/>
      <c r="X71" s="23"/>
      <c r="Y71" s="23"/>
    </row>
    <row r="72" spans="1:25" x14ac:dyDescent="0.2">
      <c r="A72" s="14" t="s">
        <v>113</v>
      </c>
      <c r="B72" s="6" t="s">
        <v>114</v>
      </c>
      <c r="C72" s="6"/>
      <c r="D72" s="16" t="s">
        <v>391</v>
      </c>
      <c r="E72" s="6" t="s">
        <v>101</v>
      </c>
      <c r="F72" s="16" t="s">
        <v>100</v>
      </c>
      <c r="G72" s="15" t="str">
        <f>VLOOKUP(F72, GLOSSARY!$A:$C, 2, FALSE)</f>
        <v>PHIBBAH</v>
      </c>
      <c r="H72" s="16" t="s">
        <v>117</v>
      </c>
      <c r="I72" s="16"/>
      <c r="J72" s="16"/>
      <c r="K72" s="16"/>
      <c r="L72" s="16"/>
      <c r="M72" s="16"/>
      <c r="N72" s="16"/>
      <c r="O72" s="16"/>
      <c r="P72" s="16"/>
      <c r="Q72" s="16"/>
      <c r="R72" s="16"/>
      <c r="S72" s="16"/>
      <c r="T72" s="16"/>
      <c r="U72" s="16"/>
      <c r="V72" s="16"/>
      <c r="W72" s="16"/>
      <c r="X72" s="16"/>
      <c r="Y72" s="16"/>
    </row>
    <row r="73" spans="1:25" x14ac:dyDescent="0.2">
      <c r="A73" s="14" t="s">
        <v>113</v>
      </c>
      <c r="B73" s="6" t="s">
        <v>114</v>
      </c>
      <c r="C73" s="6"/>
      <c r="D73" s="16" t="s">
        <v>247</v>
      </c>
      <c r="E73" s="6" t="s">
        <v>101</v>
      </c>
      <c r="F73" s="16" t="s">
        <v>100</v>
      </c>
      <c r="G73" s="15" t="str">
        <f>VLOOKUP(F73, GLOSSARY!$A:$C, 2, FALSE)</f>
        <v>PHIBBAH</v>
      </c>
      <c r="H73" s="16"/>
      <c r="I73" s="16"/>
      <c r="J73" s="16"/>
      <c r="K73" s="16"/>
      <c r="L73" s="16"/>
      <c r="M73" s="16"/>
      <c r="N73" s="16"/>
      <c r="O73" s="16"/>
      <c r="P73" s="16"/>
      <c r="Q73" s="16"/>
      <c r="R73" s="16"/>
      <c r="S73" s="16"/>
      <c r="T73" s="16"/>
      <c r="U73" s="16"/>
      <c r="V73" s="16"/>
      <c r="W73" s="16"/>
      <c r="X73" s="16"/>
      <c r="Y73" s="16"/>
    </row>
    <row r="74" spans="1:25" x14ac:dyDescent="0.2">
      <c r="A74" s="14" t="s">
        <v>113</v>
      </c>
      <c r="B74" s="6" t="s">
        <v>114</v>
      </c>
      <c r="C74" s="6"/>
      <c r="D74" s="16" t="s">
        <v>247</v>
      </c>
      <c r="E74" s="6" t="s">
        <v>138</v>
      </c>
      <c r="F74" s="16" t="s">
        <v>135</v>
      </c>
      <c r="G74" s="15" t="str">
        <f>VLOOKUP(F74, GLOSSARY!$A:$C, 2, FALSE)</f>
        <v>HOUSE FRANKE</v>
      </c>
      <c r="H74" s="16"/>
      <c r="I74" s="16"/>
      <c r="J74" s="16"/>
      <c r="K74" s="16"/>
      <c r="L74" s="16"/>
      <c r="M74" s="16"/>
      <c r="N74" s="16"/>
      <c r="O74" s="16"/>
      <c r="P74" s="16"/>
      <c r="Q74" s="16"/>
      <c r="R74" s="16"/>
      <c r="S74" s="16"/>
      <c r="T74" s="16"/>
      <c r="U74" s="16"/>
      <c r="V74" s="16"/>
      <c r="W74" s="16"/>
      <c r="X74" s="16"/>
      <c r="Y74" s="16"/>
    </row>
    <row r="75" spans="1:25" x14ac:dyDescent="0.2">
      <c r="A75" s="14" t="s">
        <v>113</v>
      </c>
      <c r="B75" s="6" t="s">
        <v>114</v>
      </c>
      <c r="C75" s="6"/>
      <c r="D75" s="16" t="s">
        <v>247</v>
      </c>
      <c r="E75" s="6" t="s">
        <v>35</v>
      </c>
      <c r="F75" s="16" t="s">
        <v>191</v>
      </c>
      <c r="G75" s="15" t="str">
        <f>VLOOKUP(F75, GLOSSARY!$A:$C, 2, FALSE)</f>
        <v>COOBAH</v>
      </c>
      <c r="H75" s="16"/>
      <c r="I75" s="16"/>
      <c r="J75" s="16"/>
      <c r="K75" s="16"/>
      <c r="L75" s="16"/>
      <c r="M75" s="16"/>
      <c r="N75" s="16"/>
      <c r="O75" s="16"/>
      <c r="P75" s="16"/>
      <c r="Q75" s="16"/>
      <c r="R75" s="16"/>
      <c r="S75" s="16"/>
      <c r="T75" s="16"/>
      <c r="U75" s="16"/>
      <c r="V75" s="16"/>
      <c r="W75" s="16"/>
      <c r="X75" s="16"/>
      <c r="Y75" s="16"/>
    </row>
    <row r="76" spans="1:25" x14ac:dyDescent="0.2">
      <c r="A76" s="14" t="s">
        <v>113</v>
      </c>
      <c r="B76" s="6" t="s">
        <v>114</v>
      </c>
      <c r="C76" s="6"/>
      <c r="D76" s="16" t="s">
        <v>247</v>
      </c>
      <c r="E76" s="6" t="s">
        <v>52</v>
      </c>
      <c r="F76" s="16" t="s">
        <v>51</v>
      </c>
      <c r="G76" s="15" t="str">
        <f>VLOOKUP(F76, GLOSSARY!$A:$C, 2, FALSE)</f>
        <v>EGYPT LUCY</v>
      </c>
      <c r="H76" s="16"/>
      <c r="I76" s="16"/>
      <c r="J76" s="16"/>
      <c r="K76" s="16"/>
      <c r="L76" s="16"/>
      <c r="M76" s="16"/>
      <c r="N76" s="16"/>
      <c r="O76" s="16"/>
      <c r="P76" s="16"/>
      <c r="Q76" s="16"/>
      <c r="R76" s="16"/>
      <c r="S76" s="16"/>
      <c r="T76" s="16"/>
      <c r="U76" s="16"/>
      <c r="V76" s="16"/>
      <c r="W76" s="16"/>
      <c r="X76" s="16"/>
      <c r="Y76" s="16"/>
    </row>
    <row r="77" spans="1:25" x14ac:dyDescent="0.2">
      <c r="A77" s="14" t="s">
        <v>113</v>
      </c>
      <c r="B77" s="6" t="s">
        <v>114</v>
      </c>
      <c r="C77" s="6"/>
      <c r="D77" s="16" t="s">
        <v>211</v>
      </c>
      <c r="E77" s="6" t="s">
        <v>101</v>
      </c>
      <c r="F77" s="16" t="s">
        <v>100</v>
      </c>
      <c r="G77" s="15" t="str">
        <f>VLOOKUP(F77, GLOSSARY!$A:$C, 2, FALSE)</f>
        <v>PHIBBAH</v>
      </c>
      <c r="H77" s="16"/>
      <c r="I77" s="16"/>
      <c r="J77" s="16"/>
      <c r="K77" s="16"/>
      <c r="L77" s="16"/>
      <c r="M77" s="16"/>
      <c r="N77" s="16"/>
      <c r="O77" s="16"/>
      <c r="P77" s="16"/>
      <c r="Q77" s="16"/>
      <c r="R77" s="16"/>
      <c r="S77" s="16"/>
      <c r="T77" s="16"/>
      <c r="U77" s="16"/>
      <c r="V77" s="16"/>
      <c r="W77" s="16"/>
      <c r="X77" s="16"/>
      <c r="Y77" s="16"/>
    </row>
    <row r="78" spans="1:25" x14ac:dyDescent="0.2">
      <c r="A78" s="14" t="s">
        <v>113</v>
      </c>
      <c r="B78" s="6" t="s">
        <v>114</v>
      </c>
      <c r="C78" s="6"/>
      <c r="D78" s="16" t="s">
        <v>211</v>
      </c>
      <c r="E78" s="6" t="s">
        <v>138</v>
      </c>
      <c r="F78" s="16" t="s">
        <v>135</v>
      </c>
      <c r="G78" s="15" t="str">
        <f>VLOOKUP(F78, GLOSSARY!$A:$C, 2, FALSE)</f>
        <v>HOUSE FRANKE</v>
      </c>
      <c r="H78" s="16"/>
      <c r="I78" s="16"/>
      <c r="J78" s="16"/>
      <c r="K78" s="16"/>
      <c r="L78" s="16"/>
      <c r="M78" s="16"/>
      <c r="N78" s="16"/>
      <c r="O78" s="16"/>
      <c r="P78" s="16"/>
      <c r="Q78" s="16"/>
      <c r="R78" s="16"/>
      <c r="S78" s="16"/>
      <c r="T78" s="16"/>
      <c r="U78" s="16"/>
      <c r="V78" s="16"/>
      <c r="W78" s="16"/>
      <c r="X78" s="16"/>
      <c r="Y78" s="16"/>
    </row>
    <row r="79" spans="1:25" x14ac:dyDescent="0.2">
      <c r="A79" s="14" t="s">
        <v>113</v>
      </c>
      <c r="B79" s="6" t="s">
        <v>114</v>
      </c>
      <c r="C79" s="6"/>
      <c r="D79" s="16" t="s">
        <v>211</v>
      </c>
      <c r="E79" s="6" t="s">
        <v>151</v>
      </c>
      <c r="F79" s="16" t="s">
        <v>150</v>
      </c>
      <c r="G79" s="15" t="str">
        <f>VLOOKUP(F79, GLOSSARY!$A:$C, 2, FALSE)</f>
        <v>VINE</v>
      </c>
      <c r="H79" s="16"/>
      <c r="I79" s="16"/>
      <c r="J79" s="16"/>
      <c r="K79" s="16"/>
      <c r="L79" s="16"/>
      <c r="M79" s="16"/>
      <c r="N79" s="16"/>
      <c r="O79" s="16"/>
      <c r="P79" s="16"/>
      <c r="Q79" s="16"/>
      <c r="R79" s="16"/>
      <c r="S79" s="16"/>
      <c r="T79" s="16"/>
      <c r="U79" s="16"/>
      <c r="V79" s="16"/>
      <c r="W79" s="16"/>
      <c r="X79" s="16"/>
      <c r="Y79" s="16"/>
    </row>
    <row r="80" spans="1:25" x14ac:dyDescent="0.2">
      <c r="A80" s="14" t="s">
        <v>113</v>
      </c>
      <c r="B80" s="6" t="s">
        <v>114</v>
      </c>
      <c r="C80" s="6"/>
      <c r="D80" s="16" t="s">
        <v>211</v>
      </c>
      <c r="E80" s="6" t="s">
        <v>52</v>
      </c>
      <c r="F80" s="16" t="s">
        <v>51</v>
      </c>
      <c r="G80" s="15" t="str">
        <f>VLOOKUP(F80, GLOSSARY!$A:$C, 2, FALSE)</f>
        <v>EGYPT LUCY</v>
      </c>
      <c r="H80" s="16"/>
      <c r="I80" s="16"/>
      <c r="J80" s="16"/>
      <c r="K80" s="16"/>
      <c r="L80" s="16"/>
      <c r="M80" s="16"/>
      <c r="N80" s="16"/>
      <c r="O80" s="16"/>
      <c r="P80" s="16"/>
      <c r="Q80" s="16"/>
      <c r="R80" s="16"/>
      <c r="S80" s="16"/>
      <c r="T80" s="16"/>
      <c r="U80" s="16"/>
      <c r="V80" s="16"/>
      <c r="W80" s="16"/>
      <c r="X80" s="16"/>
      <c r="Y80" s="16"/>
    </row>
    <row r="81" spans="1:25" x14ac:dyDescent="0.2">
      <c r="A81" s="14" t="s">
        <v>113</v>
      </c>
      <c r="B81" s="6" t="s">
        <v>114</v>
      </c>
      <c r="C81" s="6"/>
      <c r="D81" s="16" t="s">
        <v>587</v>
      </c>
      <c r="E81" s="6" t="s">
        <v>35</v>
      </c>
      <c r="F81" s="16" t="s">
        <v>191</v>
      </c>
      <c r="G81" s="15" t="str">
        <f>VLOOKUP(F81, GLOSSARY!$A:$C, 2, FALSE)</f>
        <v>COOBAH</v>
      </c>
      <c r="H81" s="16"/>
      <c r="I81" s="16"/>
      <c r="J81" s="16"/>
      <c r="K81" s="16"/>
      <c r="L81" s="16"/>
      <c r="M81" s="16"/>
      <c r="N81" s="16"/>
      <c r="O81" s="16"/>
      <c r="P81" s="16"/>
      <c r="Q81" s="16"/>
      <c r="R81" s="16"/>
      <c r="S81" s="16"/>
      <c r="T81" s="16"/>
      <c r="U81" s="16"/>
      <c r="V81" s="16"/>
      <c r="W81" s="16"/>
      <c r="X81" s="16"/>
      <c r="Y81" s="16"/>
    </row>
    <row r="82" spans="1:25" x14ac:dyDescent="0.2">
      <c r="A82" s="14" t="s">
        <v>113</v>
      </c>
      <c r="B82" s="6" t="s">
        <v>114</v>
      </c>
      <c r="C82" s="6"/>
      <c r="D82" s="16" t="s">
        <v>587</v>
      </c>
      <c r="E82" s="6" t="s">
        <v>119</v>
      </c>
      <c r="F82" s="16" t="s">
        <v>118</v>
      </c>
      <c r="G82" s="15" t="str">
        <f>VLOOKUP(F82, GLOSSARY!$A:$C, 2, FALSE)</f>
        <v>JOHN</v>
      </c>
      <c r="H82" s="16"/>
      <c r="I82" s="16"/>
      <c r="J82" s="16"/>
      <c r="K82" s="16"/>
      <c r="L82" s="16"/>
      <c r="M82" s="16"/>
      <c r="N82" s="16"/>
      <c r="O82" s="16"/>
      <c r="P82" s="16"/>
      <c r="Q82" s="16"/>
      <c r="R82" s="16"/>
      <c r="S82" s="16"/>
      <c r="T82" s="16"/>
      <c r="U82" s="16"/>
      <c r="V82" s="16"/>
      <c r="W82" s="16"/>
      <c r="X82" s="16"/>
      <c r="Y82" s="16"/>
    </row>
    <row r="83" spans="1:25" x14ac:dyDescent="0.2">
      <c r="A83" s="14" t="s">
        <v>113</v>
      </c>
      <c r="B83" s="6" t="s">
        <v>114</v>
      </c>
      <c r="C83" s="6"/>
      <c r="D83" s="16" t="s">
        <v>37</v>
      </c>
      <c r="E83" s="6"/>
      <c r="F83" s="16" t="s">
        <v>591</v>
      </c>
      <c r="G83" s="15" t="str">
        <f>VLOOKUP(F83, GLOSSARY!$A:$C, 2, FALSE)</f>
        <v>DAVIE [NANCY'S SON]</v>
      </c>
      <c r="H83" s="16"/>
      <c r="I83" s="16"/>
      <c r="J83" s="16"/>
      <c r="K83" s="16"/>
      <c r="L83" s="16"/>
      <c r="M83" s="16"/>
      <c r="N83" s="16"/>
      <c r="O83" s="16"/>
      <c r="P83" s="16"/>
      <c r="Q83" s="16"/>
      <c r="R83" s="16"/>
      <c r="S83" s="16"/>
      <c r="T83" s="16"/>
      <c r="U83" s="16"/>
      <c r="V83" s="16"/>
      <c r="W83" s="16"/>
      <c r="X83" s="16"/>
      <c r="Y83" s="16"/>
    </row>
    <row r="84" spans="1:25" x14ac:dyDescent="0.2">
      <c r="A84" s="14" t="s">
        <v>113</v>
      </c>
      <c r="B84" s="6" t="s">
        <v>114</v>
      </c>
      <c r="C84" s="6"/>
      <c r="D84" s="16" t="s">
        <v>37</v>
      </c>
      <c r="E84" s="6"/>
      <c r="F84" s="16" t="s">
        <v>595</v>
      </c>
      <c r="G84" s="15" t="str">
        <f>VLOOKUP(F84, GLOSSARY!$A:$C, 2, FALSE)</f>
        <v>NANCY'S DAUGHTER</v>
      </c>
      <c r="H84" s="16"/>
      <c r="I84" s="16"/>
      <c r="J84" s="16"/>
      <c r="K84" s="16"/>
      <c r="L84" s="16"/>
      <c r="M84" s="16"/>
      <c r="N84" s="16"/>
      <c r="O84" s="16"/>
      <c r="P84" s="16"/>
      <c r="Q84" s="16"/>
      <c r="R84" s="16"/>
      <c r="S84" s="16"/>
      <c r="T84" s="16"/>
      <c r="U84" s="16"/>
      <c r="V84" s="16"/>
      <c r="W84" s="16"/>
      <c r="X84" s="16"/>
      <c r="Y84" s="16"/>
    </row>
    <row r="85" spans="1:25" x14ac:dyDescent="0.2">
      <c r="A85" s="21"/>
      <c r="B85" s="22"/>
      <c r="C85" s="22"/>
      <c r="D85" s="23"/>
      <c r="E85" s="22"/>
      <c r="F85" s="23"/>
      <c r="G85" s="15" t="e">
        <f>VLOOKUP(F85, GLOSSARY!$A:$C, 2, FALSE)</f>
        <v>#N/A</v>
      </c>
      <c r="H85" s="23"/>
      <c r="I85" s="23"/>
      <c r="J85" s="23"/>
      <c r="K85" s="23"/>
      <c r="L85" s="23"/>
      <c r="M85" s="23"/>
      <c r="N85" s="23"/>
      <c r="O85" s="23"/>
      <c r="P85" s="23"/>
      <c r="Q85" s="23"/>
      <c r="R85" s="23"/>
      <c r="S85" s="23"/>
      <c r="T85" s="23"/>
      <c r="U85" s="23"/>
      <c r="V85" s="23"/>
      <c r="W85" s="23"/>
      <c r="X85" s="23"/>
      <c r="Y85" s="23"/>
    </row>
    <row r="86" spans="1:25" x14ac:dyDescent="0.2">
      <c r="A86" s="14" t="s">
        <v>118</v>
      </c>
      <c r="B86" s="6" t="s">
        <v>119</v>
      </c>
      <c r="C86" s="6" t="s">
        <v>754</v>
      </c>
      <c r="D86" s="16" t="s">
        <v>430</v>
      </c>
      <c r="E86" s="6" t="s">
        <v>101</v>
      </c>
      <c r="F86" s="16" t="s">
        <v>100</v>
      </c>
      <c r="G86" s="15" t="str">
        <f>VLOOKUP(F86, GLOSSARY!$A:$C, 2, FALSE)</f>
        <v>PHIBBAH</v>
      </c>
      <c r="H86" s="16" t="s">
        <v>761</v>
      </c>
      <c r="I86" s="16"/>
      <c r="J86" s="16"/>
      <c r="K86" s="16"/>
      <c r="L86" s="16"/>
      <c r="M86" s="16"/>
      <c r="N86" s="16"/>
      <c r="O86" s="16"/>
      <c r="P86" s="16"/>
      <c r="Q86" s="16"/>
      <c r="R86" s="16"/>
      <c r="S86" s="16"/>
      <c r="T86" s="16"/>
      <c r="U86" s="16"/>
      <c r="V86" s="16"/>
      <c r="W86" s="16"/>
      <c r="X86" s="16"/>
      <c r="Y86" s="16"/>
    </row>
    <row r="87" spans="1:25" x14ac:dyDescent="0.2">
      <c r="A87" s="14" t="s">
        <v>118</v>
      </c>
      <c r="B87" s="6" t="s">
        <v>119</v>
      </c>
      <c r="C87" s="6" t="s">
        <v>754</v>
      </c>
      <c r="D87" s="16" t="s">
        <v>454</v>
      </c>
      <c r="E87" s="6" t="s">
        <v>35</v>
      </c>
      <c r="F87" s="16" t="s">
        <v>191</v>
      </c>
      <c r="G87" s="15" t="str">
        <f>VLOOKUP(F87, GLOSSARY!$A:$C, 2, FALSE)</f>
        <v>COOBAH</v>
      </c>
      <c r="H87" s="16"/>
      <c r="I87" s="16"/>
      <c r="J87" s="16"/>
      <c r="K87" s="16"/>
      <c r="L87" s="16"/>
      <c r="M87" s="16"/>
      <c r="N87" s="16"/>
      <c r="O87" s="16"/>
      <c r="P87" s="16"/>
      <c r="Q87" s="16"/>
      <c r="R87" s="16"/>
      <c r="S87" s="16"/>
      <c r="T87" s="16"/>
      <c r="U87" s="16"/>
      <c r="V87" s="16"/>
      <c r="W87" s="16"/>
      <c r="X87" s="16"/>
      <c r="Y87" s="16"/>
    </row>
    <row r="88" spans="1:25" x14ac:dyDescent="0.2">
      <c r="A88" s="14" t="s">
        <v>118</v>
      </c>
      <c r="B88" s="6" t="s">
        <v>119</v>
      </c>
      <c r="C88" s="6" t="s">
        <v>754</v>
      </c>
      <c r="D88" s="16" t="s">
        <v>211</v>
      </c>
      <c r="E88" s="6"/>
      <c r="F88" s="16" t="s">
        <v>774</v>
      </c>
      <c r="G88" s="15" t="str">
        <f>VLOOKUP(F88, GLOSSARY!$A:$C, 2, FALSE)</f>
        <v>JAMES [LITTLE MIMBER'S SON]</v>
      </c>
      <c r="H88" s="16"/>
      <c r="I88" s="16"/>
      <c r="J88" s="16"/>
      <c r="K88" s="16"/>
      <c r="L88" s="16"/>
      <c r="M88" s="16"/>
      <c r="N88" s="16"/>
      <c r="O88" s="16"/>
      <c r="P88" s="16"/>
      <c r="Q88" s="16"/>
      <c r="R88" s="16"/>
      <c r="S88" s="16"/>
      <c r="T88" s="16"/>
      <c r="U88" s="16"/>
      <c r="V88" s="16"/>
      <c r="W88" s="16"/>
      <c r="X88" s="16"/>
      <c r="Y88" s="16"/>
    </row>
    <row r="89" spans="1:25" x14ac:dyDescent="0.2">
      <c r="A89" s="14" t="s">
        <v>118</v>
      </c>
      <c r="B89" s="6" t="s">
        <v>119</v>
      </c>
      <c r="C89" s="6" t="s">
        <v>754</v>
      </c>
      <c r="D89" s="16" t="s">
        <v>783</v>
      </c>
      <c r="E89" s="6"/>
      <c r="F89" s="16" t="s">
        <v>113</v>
      </c>
      <c r="G89" s="15" t="str">
        <f>VLOOKUP(F89, GLOSSARY!$A:$C, 2, FALSE)</f>
        <v>NANCY</v>
      </c>
      <c r="H89" s="16"/>
      <c r="I89" s="16"/>
      <c r="J89" s="16"/>
      <c r="K89" s="16"/>
      <c r="L89" s="16"/>
      <c r="M89" s="16"/>
      <c r="N89" s="16"/>
      <c r="O89" s="16"/>
      <c r="P89" s="16"/>
      <c r="Q89" s="16"/>
      <c r="R89" s="16"/>
      <c r="S89" s="16"/>
      <c r="T89" s="16"/>
      <c r="U89" s="16"/>
      <c r="V89" s="16"/>
      <c r="W89" s="16"/>
      <c r="X89" s="16"/>
      <c r="Y89" s="16"/>
    </row>
    <row r="90" spans="1:25" x14ac:dyDescent="0.2">
      <c r="A90" s="14" t="s">
        <v>118</v>
      </c>
      <c r="B90" s="6" t="s">
        <v>119</v>
      </c>
      <c r="C90" s="6" t="s">
        <v>754</v>
      </c>
      <c r="D90" s="16" t="s">
        <v>306</v>
      </c>
      <c r="E90" s="6"/>
      <c r="F90" s="16"/>
      <c r="G90" s="15"/>
      <c r="H90" s="16"/>
      <c r="I90" s="16"/>
      <c r="J90" s="16"/>
      <c r="K90" s="16"/>
      <c r="L90" s="16"/>
      <c r="M90" s="16"/>
      <c r="N90" s="16"/>
      <c r="O90" s="16"/>
      <c r="P90" s="16"/>
      <c r="Q90" s="16"/>
      <c r="R90" s="16"/>
      <c r="S90" s="16"/>
      <c r="T90" s="16"/>
      <c r="U90" s="16"/>
      <c r="V90" s="16"/>
      <c r="W90" s="16"/>
      <c r="X90" s="16"/>
      <c r="Y90" s="16"/>
    </row>
    <row r="91" spans="1:25" x14ac:dyDescent="0.2">
      <c r="A91" s="23"/>
      <c r="B91" s="22"/>
      <c r="C91" s="22"/>
      <c r="D91" s="23"/>
      <c r="E91" s="22"/>
      <c r="F91" s="23"/>
      <c r="G91" s="15" t="e">
        <f>VLOOKUP(F91, GLOSSARY!$A:$C, 2, FALSE)</f>
        <v>#N/A</v>
      </c>
      <c r="H91" s="23"/>
      <c r="I91" s="23"/>
      <c r="J91" s="23"/>
      <c r="K91" s="23"/>
      <c r="L91" s="23"/>
      <c r="M91" s="23"/>
      <c r="N91" s="23"/>
      <c r="O91" s="23"/>
      <c r="P91" s="23"/>
      <c r="Q91" s="23"/>
      <c r="R91" s="23"/>
      <c r="S91" s="23"/>
      <c r="T91" s="23"/>
      <c r="U91" s="23"/>
      <c r="V91" s="23"/>
      <c r="W91" s="23"/>
      <c r="X91" s="23"/>
      <c r="Y91" s="23"/>
    </row>
    <row r="92" spans="1:25" x14ac:dyDescent="0.2">
      <c r="A92" s="16" t="s">
        <v>135</v>
      </c>
      <c r="B92" s="6" t="s">
        <v>138</v>
      </c>
      <c r="C92" s="6"/>
      <c r="D92" s="16" t="s">
        <v>211</v>
      </c>
      <c r="E92" s="6" t="s">
        <v>101</v>
      </c>
      <c r="F92" s="16" t="s">
        <v>100</v>
      </c>
      <c r="G92" s="15" t="str">
        <f>VLOOKUP(F92, GLOSSARY!$A:$C, 2, FALSE)</f>
        <v>PHIBBAH</v>
      </c>
      <c r="H92" s="16" t="s">
        <v>142</v>
      </c>
      <c r="I92" s="16"/>
      <c r="J92" s="16"/>
      <c r="K92" s="16"/>
      <c r="L92" s="16"/>
      <c r="M92" s="16"/>
      <c r="N92" s="16"/>
      <c r="O92" s="16"/>
      <c r="P92" s="16"/>
      <c r="Q92" s="16"/>
      <c r="R92" s="16"/>
      <c r="S92" s="16"/>
      <c r="T92" s="16"/>
      <c r="U92" s="16"/>
      <c r="V92" s="16"/>
      <c r="W92" s="16"/>
      <c r="X92" s="16"/>
      <c r="Y92" s="16"/>
    </row>
    <row r="93" spans="1:25" x14ac:dyDescent="0.2">
      <c r="A93" s="16" t="s">
        <v>135</v>
      </c>
      <c r="B93" s="6" t="s">
        <v>138</v>
      </c>
      <c r="C93" s="6"/>
      <c r="D93" s="16" t="s">
        <v>211</v>
      </c>
      <c r="E93" s="6" t="s">
        <v>52</v>
      </c>
      <c r="F93" s="16" t="s">
        <v>51</v>
      </c>
      <c r="G93" s="15" t="str">
        <f>VLOOKUP(F93, GLOSSARY!$A:$C, 2, FALSE)</f>
        <v>EGYPT LUCY</v>
      </c>
      <c r="H93" s="16"/>
      <c r="I93" s="16"/>
      <c r="J93" s="16"/>
      <c r="K93" s="16"/>
      <c r="L93" s="16"/>
      <c r="M93" s="16"/>
      <c r="N93" s="16"/>
      <c r="O93" s="16"/>
      <c r="P93" s="16"/>
      <c r="Q93" s="16"/>
      <c r="R93" s="16"/>
      <c r="S93" s="16"/>
      <c r="T93" s="16"/>
      <c r="U93" s="16"/>
      <c r="V93" s="16"/>
      <c r="W93" s="16"/>
      <c r="X93" s="16"/>
      <c r="Y93" s="16"/>
    </row>
    <row r="94" spans="1:25" x14ac:dyDescent="0.2">
      <c r="A94" s="16" t="s">
        <v>135</v>
      </c>
      <c r="B94" s="6" t="s">
        <v>138</v>
      </c>
      <c r="C94" s="6"/>
      <c r="D94" s="16" t="s">
        <v>211</v>
      </c>
      <c r="E94" s="6" t="s">
        <v>114</v>
      </c>
      <c r="F94" s="16" t="s">
        <v>113</v>
      </c>
      <c r="G94" s="15" t="str">
        <f>VLOOKUP(F94, GLOSSARY!$A:$C, 2, FALSE)</f>
        <v>NANCY</v>
      </c>
      <c r="H94" s="16"/>
      <c r="I94" s="16"/>
      <c r="J94" s="16"/>
      <c r="K94" s="16"/>
      <c r="L94" s="16"/>
      <c r="M94" s="16"/>
      <c r="N94" s="16"/>
      <c r="O94" s="16"/>
      <c r="P94" s="16"/>
      <c r="Q94" s="16"/>
      <c r="R94" s="16"/>
      <c r="S94" s="16"/>
      <c r="T94" s="16"/>
      <c r="U94" s="16"/>
      <c r="V94" s="16"/>
      <c r="W94" s="16"/>
      <c r="X94" s="16"/>
      <c r="Y94" s="16"/>
    </row>
    <row r="95" spans="1:25" x14ac:dyDescent="0.2">
      <c r="A95" s="16" t="s">
        <v>135</v>
      </c>
      <c r="B95" s="6" t="s">
        <v>138</v>
      </c>
      <c r="C95" s="6"/>
      <c r="D95" s="16" t="s">
        <v>211</v>
      </c>
      <c r="E95" s="6" t="s">
        <v>151</v>
      </c>
      <c r="F95" s="16" t="s">
        <v>150</v>
      </c>
      <c r="G95" s="15" t="str">
        <f>VLOOKUP(F95, GLOSSARY!$A:$C, 2, FALSE)</f>
        <v>VINE</v>
      </c>
      <c r="H95" s="16"/>
      <c r="I95" s="16"/>
      <c r="J95" s="16"/>
      <c r="K95" s="16"/>
      <c r="L95" s="16"/>
      <c r="M95" s="16"/>
      <c r="N95" s="16"/>
      <c r="O95" s="16"/>
      <c r="P95" s="16"/>
      <c r="Q95" s="16"/>
      <c r="R95" s="16"/>
      <c r="S95" s="16"/>
      <c r="T95" s="16"/>
      <c r="U95" s="16"/>
      <c r="V95" s="16"/>
      <c r="W95" s="16"/>
      <c r="X95" s="16"/>
      <c r="Y95" s="16"/>
    </row>
    <row r="96" spans="1:25" x14ac:dyDescent="0.2">
      <c r="A96" s="16" t="s">
        <v>135</v>
      </c>
      <c r="B96" s="6" t="s">
        <v>138</v>
      </c>
      <c r="C96" s="6"/>
      <c r="D96" s="16" t="s">
        <v>247</v>
      </c>
      <c r="E96" s="6" t="s">
        <v>101</v>
      </c>
      <c r="F96" s="16" t="s">
        <v>100</v>
      </c>
      <c r="G96" s="15" t="str">
        <f>VLOOKUP(F96, GLOSSARY!$A:$C, 2, FALSE)</f>
        <v>PHIBBAH</v>
      </c>
      <c r="H96" s="16"/>
      <c r="I96" s="16"/>
      <c r="J96" s="16"/>
      <c r="K96" s="16"/>
      <c r="L96" s="16"/>
      <c r="M96" s="16"/>
      <c r="N96" s="16"/>
      <c r="O96" s="16"/>
      <c r="P96" s="16"/>
      <c r="Q96" s="16"/>
      <c r="R96" s="16"/>
      <c r="S96" s="16"/>
      <c r="T96" s="16"/>
      <c r="U96" s="16"/>
      <c r="V96" s="16"/>
      <c r="W96" s="16"/>
      <c r="X96" s="16"/>
      <c r="Y96" s="16"/>
    </row>
    <row r="97" spans="1:25" x14ac:dyDescent="0.2">
      <c r="A97" s="16" t="s">
        <v>135</v>
      </c>
      <c r="B97" s="6" t="s">
        <v>138</v>
      </c>
      <c r="C97" s="6"/>
      <c r="D97" s="16" t="s">
        <v>247</v>
      </c>
      <c r="E97" s="6" t="s">
        <v>35</v>
      </c>
      <c r="F97" s="16" t="s">
        <v>150</v>
      </c>
      <c r="G97" s="15" t="str">
        <f>VLOOKUP(F97, GLOSSARY!$A:$C, 2, FALSE)</f>
        <v>VINE</v>
      </c>
      <c r="H97" s="16"/>
      <c r="I97" s="16"/>
      <c r="J97" s="16"/>
      <c r="K97" s="16"/>
      <c r="L97" s="16"/>
      <c r="M97" s="16"/>
      <c r="N97" s="16"/>
      <c r="O97" s="16"/>
      <c r="P97" s="16"/>
      <c r="Q97" s="16"/>
      <c r="R97" s="16"/>
      <c r="S97" s="16"/>
      <c r="T97" s="16"/>
      <c r="U97" s="16"/>
      <c r="V97" s="16"/>
      <c r="W97" s="16"/>
      <c r="X97" s="16"/>
      <c r="Y97" s="16"/>
    </row>
    <row r="98" spans="1:25" x14ac:dyDescent="0.2">
      <c r="A98" s="16" t="s">
        <v>135</v>
      </c>
      <c r="B98" s="6" t="s">
        <v>138</v>
      </c>
      <c r="C98" s="6"/>
      <c r="D98" s="16" t="s">
        <v>247</v>
      </c>
      <c r="E98" s="6" t="s">
        <v>114</v>
      </c>
      <c r="F98" s="16" t="s">
        <v>113</v>
      </c>
      <c r="G98" s="15" t="str">
        <f>VLOOKUP(F98, GLOSSARY!$A:$C, 2, FALSE)</f>
        <v>NANCY</v>
      </c>
      <c r="H98" s="16"/>
      <c r="I98" s="16"/>
      <c r="J98" s="16"/>
      <c r="K98" s="16"/>
      <c r="L98" s="16"/>
      <c r="M98" s="16"/>
      <c r="N98" s="16"/>
      <c r="O98" s="16"/>
      <c r="P98" s="16"/>
      <c r="Q98" s="16"/>
      <c r="R98" s="16"/>
      <c r="S98" s="16"/>
      <c r="T98" s="16"/>
      <c r="U98" s="16"/>
      <c r="V98" s="16"/>
      <c r="W98" s="16"/>
      <c r="X98" s="16"/>
      <c r="Y98" s="16"/>
    </row>
    <row r="99" spans="1:25" x14ac:dyDescent="0.2">
      <c r="A99" s="16" t="s">
        <v>135</v>
      </c>
      <c r="B99" s="6" t="s">
        <v>138</v>
      </c>
      <c r="C99" s="6"/>
      <c r="D99" s="16" t="s">
        <v>247</v>
      </c>
      <c r="E99" s="6" t="s">
        <v>52</v>
      </c>
      <c r="F99" s="16" t="s">
        <v>51</v>
      </c>
      <c r="G99" s="15" t="str">
        <f>VLOOKUP(F99, GLOSSARY!$A:$C, 2, FALSE)</f>
        <v>EGYPT LUCY</v>
      </c>
      <c r="H99" s="16"/>
      <c r="I99" s="16"/>
      <c r="J99" s="16"/>
      <c r="K99" s="16"/>
      <c r="L99" s="16"/>
      <c r="M99" s="16"/>
      <c r="N99" s="16"/>
      <c r="O99" s="16"/>
      <c r="P99" s="16"/>
      <c r="Q99" s="16"/>
      <c r="R99" s="16"/>
      <c r="S99" s="16"/>
      <c r="T99" s="16"/>
      <c r="U99" s="16"/>
      <c r="V99" s="16"/>
      <c r="W99" s="16"/>
      <c r="X99" s="16"/>
      <c r="Y99" s="16"/>
    </row>
    <row r="100" spans="1:25" x14ac:dyDescent="0.2">
      <c r="A100" s="16" t="s">
        <v>135</v>
      </c>
      <c r="B100" s="6" t="s">
        <v>138</v>
      </c>
      <c r="C100" s="6"/>
      <c r="D100" s="16" t="s">
        <v>655</v>
      </c>
      <c r="E100" s="6" t="s">
        <v>101</v>
      </c>
      <c r="F100" s="16" t="s">
        <v>100</v>
      </c>
      <c r="G100" s="15" t="str">
        <f>VLOOKUP(F100, GLOSSARY!$A:$C, 2, FALSE)</f>
        <v>PHIBBAH</v>
      </c>
      <c r="H100" s="16"/>
      <c r="I100" s="16"/>
      <c r="J100" s="16"/>
      <c r="K100" s="16"/>
      <c r="L100" s="16"/>
      <c r="M100" s="16"/>
      <c r="N100" s="16"/>
      <c r="O100" s="16"/>
      <c r="P100" s="16"/>
      <c r="Q100" s="16"/>
      <c r="R100" s="16"/>
      <c r="S100" s="16"/>
      <c r="T100" s="16"/>
      <c r="U100" s="16"/>
      <c r="V100" s="16"/>
      <c r="W100" s="16"/>
      <c r="X100" s="16"/>
      <c r="Y100" s="16"/>
    </row>
    <row r="101" spans="1:25" x14ac:dyDescent="0.2">
      <c r="A101" s="16" t="s">
        <v>135</v>
      </c>
      <c r="B101" s="6" t="s">
        <v>138</v>
      </c>
      <c r="C101" s="6"/>
      <c r="D101" s="16" t="s">
        <v>306</v>
      </c>
      <c r="E101" s="6"/>
      <c r="F101" s="16" t="s">
        <v>338</v>
      </c>
      <c r="G101" s="15" t="str">
        <f>VLOOKUP(F101, GLOSSARY!$A:$C, 2, FALSE)</f>
        <v>PARADISE JACK</v>
      </c>
      <c r="H101" s="16"/>
      <c r="I101" s="16"/>
      <c r="J101" s="16"/>
      <c r="K101" s="16"/>
      <c r="L101" s="16"/>
      <c r="M101" s="16"/>
      <c r="N101" s="16"/>
      <c r="O101" s="16"/>
      <c r="P101" s="16"/>
      <c r="Q101" s="16"/>
      <c r="R101" s="16"/>
      <c r="S101" s="16"/>
      <c r="T101" s="16"/>
      <c r="U101" s="16"/>
      <c r="V101" s="16"/>
      <c r="W101" s="16"/>
      <c r="X101" s="16"/>
      <c r="Y101" s="16"/>
    </row>
    <row r="102" spans="1:25" x14ac:dyDescent="0.2">
      <c r="A102" s="23"/>
      <c r="B102" s="22"/>
      <c r="C102" s="22"/>
      <c r="D102" s="23"/>
      <c r="E102" s="22"/>
      <c r="F102" s="23"/>
      <c r="G102" s="15" t="e">
        <f>VLOOKUP(F102, GLOSSARY!$A:$C, 2, FALSE)</f>
        <v>#N/A</v>
      </c>
      <c r="H102" s="23"/>
      <c r="I102" s="23"/>
      <c r="J102" s="23"/>
      <c r="K102" s="23"/>
      <c r="L102" s="23"/>
      <c r="M102" s="23"/>
      <c r="N102" s="23"/>
      <c r="O102" s="23"/>
      <c r="P102" s="23"/>
      <c r="Q102" s="23"/>
      <c r="R102" s="23"/>
      <c r="S102" s="23"/>
      <c r="T102" s="23"/>
      <c r="U102" s="23"/>
      <c r="V102" s="23"/>
      <c r="W102" s="23"/>
      <c r="X102" s="23"/>
      <c r="Y102" s="23"/>
    </row>
    <row r="103" spans="1:25" x14ac:dyDescent="0.2">
      <c r="A103" s="14" t="s">
        <v>143</v>
      </c>
      <c r="B103" s="6" t="s">
        <v>144</v>
      </c>
      <c r="C103" s="6"/>
      <c r="D103" s="16" t="s">
        <v>882</v>
      </c>
      <c r="E103" s="6" t="s">
        <v>101</v>
      </c>
      <c r="F103" s="16" t="s">
        <v>100</v>
      </c>
      <c r="G103" s="15" t="str">
        <f>VLOOKUP(F103, GLOSSARY!$A:$C, 2, FALSE)</f>
        <v>PHIBBAH</v>
      </c>
      <c r="H103" s="16" t="s">
        <v>145</v>
      </c>
      <c r="I103" s="16"/>
      <c r="J103" s="16"/>
      <c r="K103" s="16"/>
      <c r="L103" s="16"/>
      <c r="M103" s="16"/>
      <c r="N103" s="16"/>
      <c r="O103" s="16"/>
      <c r="P103" s="16"/>
      <c r="Q103" s="16"/>
      <c r="R103" s="16"/>
      <c r="S103" s="16"/>
      <c r="T103" s="16"/>
      <c r="U103" s="16"/>
      <c r="V103" s="16"/>
      <c r="W103" s="16"/>
      <c r="X103" s="16"/>
      <c r="Y103" s="16"/>
    </row>
    <row r="104" spans="1:25" x14ac:dyDescent="0.2">
      <c r="A104" s="14" t="s">
        <v>143</v>
      </c>
      <c r="B104" s="6" t="s">
        <v>144</v>
      </c>
      <c r="C104" s="6"/>
      <c r="D104" s="16" t="s">
        <v>882</v>
      </c>
      <c r="E104" s="6"/>
      <c r="F104" s="16" t="s">
        <v>712</v>
      </c>
      <c r="G104" s="15" t="str">
        <f>VLOOKUP(F104, GLOSSARY!$A:$C, 2, FALSE)</f>
        <v>JENNY</v>
      </c>
      <c r="H104" s="16"/>
      <c r="I104" s="16"/>
      <c r="J104" s="16"/>
      <c r="K104" s="16"/>
      <c r="L104" s="16"/>
      <c r="M104" s="16"/>
      <c r="N104" s="16"/>
      <c r="O104" s="16"/>
      <c r="P104" s="16"/>
      <c r="Q104" s="16"/>
      <c r="R104" s="16"/>
      <c r="S104" s="16"/>
      <c r="T104" s="16"/>
      <c r="U104" s="16"/>
      <c r="V104" s="16"/>
      <c r="W104" s="16"/>
      <c r="X104" s="16"/>
      <c r="Y104" s="16"/>
    </row>
    <row r="105" spans="1:25" x14ac:dyDescent="0.2">
      <c r="A105" s="14" t="s">
        <v>143</v>
      </c>
      <c r="B105" s="6" t="s">
        <v>144</v>
      </c>
      <c r="C105" s="6"/>
      <c r="D105" s="16" t="s">
        <v>882</v>
      </c>
      <c r="E105" s="6"/>
      <c r="F105" s="16" t="s">
        <v>902</v>
      </c>
      <c r="G105" s="15" t="str">
        <f>VLOOKUP(F105, GLOSSARY!$A:$C, 2, FALSE)</f>
        <v>ANJAW</v>
      </c>
      <c r="H105" s="16"/>
      <c r="I105" s="16"/>
      <c r="J105" s="16"/>
      <c r="K105" s="16"/>
      <c r="L105" s="16"/>
      <c r="M105" s="16"/>
      <c r="N105" s="16"/>
      <c r="O105" s="16"/>
      <c r="P105" s="16"/>
      <c r="Q105" s="16"/>
      <c r="R105" s="16"/>
      <c r="S105" s="16"/>
      <c r="T105" s="16"/>
      <c r="U105" s="16"/>
      <c r="V105" s="16"/>
      <c r="W105" s="16"/>
      <c r="X105" s="16"/>
      <c r="Y105" s="16"/>
    </row>
    <row r="106" spans="1:25" x14ac:dyDescent="0.2">
      <c r="A106" s="14" t="s">
        <v>143</v>
      </c>
      <c r="B106" s="6" t="s">
        <v>144</v>
      </c>
      <c r="C106" s="6"/>
      <c r="D106" s="16" t="s">
        <v>882</v>
      </c>
      <c r="E106" s="6"/>
      <c r="F106" s="16" t="s">
        <v>299</v>
      </c>
      <c r="G106" s="15" t="str">
        <f>VLOOKUP(F106, GLOSSARY!$A:$C, 2, FALSE)</f>
        <v>MOUNTAIN LUCY</v>
      </c>
      <c r="H106" s="16"/>
      <c r="I106" s="16"/>
      <c r="J106" s="16"/>
      <c r="K106" s="16"/>
      <c r="L106" s="16"/>
      <c r="M106" s="16"/>
      <c r="N106" s="16"/>
      <c r="O106" s="16"/>
      <c r="P106" s="16"/>
      <c r="Q106" s="16"/>
      <c r="R106" s="16"/>
      <c r="S106" s="16"/>
      <c r="T106" s="16"/>
      <c r="U106" s="16"/>
      <c r="V106" s="16"/>
      <c r="W106" s="16"/>
      <c r="X106" s="16"/>
      <c r="Y106" s="16"/>
    </row>
    <row r="107" spans="1:25" x14ac:dyDescent="0.2">
      <c r="A107" s="14" t="s">
        <v>143</v>
      </c>
      <c r="B107" s="6" t="s">
        <v>144</v>
      </c>
      <c r="C107" s="6"/>
      <c r="D107" s="16" t="s">
        <v>882</v>
      </c>
      <c r="E107" s="6"/>
      <c r="F107" s="16" t="s">
        <v>358</v>
      </c>
      <c r="G107" s="15" t="str">
        <f>VLOOKUP(F107, GLOSSARY!$A:$C, 2, FALSE)</f>
        <v>SARAH</v>
      </c>
      <c r="H107" s="16"/>
      <c r="I107" s="16"/>
      <c r="J107" s="16"/>
      <c r="K107" s="16"/>
      <c r="L107" s="16"/>
      <c r="M107" s="16"/>
      <c r="N107" s="16"/>
      <c r="O107" s="16"/>
      <c r="P107" s="16"/>
      <c r="Q107" s="16"/>
      <c r="R107" s="16"/>
      <c r="S107" s="16"/>
      <c r="T107" s="16"/>
      <c r="U107" s="16"/>
      <c r="V107" s="16"/>
      <c r="W107" s="16"/>
      <c r="X107" s="16"/>
      <c r="Y107" s="16"/>
    </row>
    <row r="108" spans="1:25" x14ac:dyDescent="0.2">
      <c r="A108" s="21"/>
      <c r="B108" s="22"/>
      <c r="C108" s="22"/>
      <c r="D108" s="23"/>
      <c r="E108" s="22"/>
      <c r="F108" s="23"/>
      <c r="G108" s="15" t="e">
        <f>VLOOKUP(F108, GLOSSARY!$A:$C, 2, FALSE)</f>
        <v>#N/A</v>
      </c>
      <c r="H108" s="23"/>
      <c r="I108" s="23"/>
      <c r="J108" s="23"/>
      <c r="K108" s="23"/>
      <c r="L108" s="23"/>
      <c r="M108" s="23"/>
      <c r="N108" s="23"/>
      <c r="O108" s="23"/>
      <c r="P108" s="23"/>
      <c r="Q108" s="23"/>
      <c r="R108" s="23"/>
      <c r="S108" s="23"/>
      <c r="T108" s="23"/>
      <c r="U108" s="23"/>
      <c r="V108" s="23"/>
      <c r="W108" s="23"/>
      <c r="X108" s="23"/>
      <c r="Y108" s="23"/>
    </row>
    <row r="109" spans="1:25" x14ac:dyDescent="0.2">
      <c r="A109" s="14" t="s">
        <v>150</v>
      </c>
      <c r="B109" s="6" t="s">
        <v>151</v>
      </c>
      <c r="C109" s="6"/>
      <c r="D109" s="16" t="s">
        <v>655</v>
      </c>
      <c r="E109" s="6" t="s">
        <v>101</v>
      </c>
      <c r="F109" s="16" t="s">
        <v>100</v>
      </c>
      <c r="G109" s="15" t="str">
        <f>VLOOKUP(F109, GLOSSARY!$A:$C, 2, FALSE)</f>
        <v>PHIBBAH</v>
      </c>
      <c r="H109" s="16" t="s">
        <v>941</v>
      </c>
      <c r="I109" s="16"/>
      <c r="J109" s="16"/>
      <c r="K109" s="16"/>
      <c r="L109" s="16"/>
      <c r="M109" s="16"/>
      <c r="N109" s="16"/>
      <c r="O109" s="16"/>
      <c r="P109" s="16"/>
      <c r="Q109" s="16"/>
      <c r="R109" s="16"/>
      <c r="S109" s="16"/>
      <c r="T109" s="16"/>
      <c r="U109" s="16"/>
      <c r="V109" s="16"/>
      <c r="W109" s="16"/>
      <c r="X109" s="16"/>
      <c r="Y109" s="16"/>
    </row>
    <row r="110" spans="1:25" x14ac:dyDescent="0.2">
      <c r="A110" s="14" t="s">
        <v>150</v>
      </c>
      <c r="B110" s="6" t="s">
        <v>151</v>
      </c>
      <c r="C110" s="6"/>
      <c r="D110" s="17" t="s">
        <v>211</v>
      </c>
      <c r="E110" s="37" t="s">
        <v>101</v>
      </c>
      <c r="F110" s="16" t="s">
        <v>100</v>
      </c>
      <c r="G110" s="15" t="str">
        <f>VLOOKUP(F110, GLOSSARY!$A:$C, 2, FALSE)</f>
        <v>PHIBBAH</v>
      </c>
      <c r="H110" s="16"/>
      <c r="I110" s="16"/>
      <c r="J110" s="16"/>
      <c r="K110" s="16"/>
      <c r="L110" s="16"/>
      <c r="M110" s="16"/>
      <c r="N110" s="16"/>
      <c r="O110" s="16"/>
      <c r="P110" s="16"/>
      <c r="Q110" s="16"/>
      <c r="R110" s="16"/>
      <c r="S110" s="16"/>
      <c r="T110" s="16"/>
      <c r="U110" s="16"/>
      <c r="V110" s="16"/>
      <c r="W110" s="16"/>
      <c r="X110" s="16"/>
      <c r="Y110" s="16"/>
    </row>
    <row r="111" spans="1:25" x14ac:dyDescent="0.2">
      <c r="A111" s="14" t="s">
        <v>150</v>
      </c>
      <c r="B111" s="6" t="s">
        <v>151</v>
      </c>
      <c r="C111" s="6"/>
      <c r="D111" s="17" t="s">
        <v>211</v>
      </c>
      <c r="E111" s="39" t="s">
        <v>52</v>
      </c>
      <c r="F111" s="16" t="s">
        <v>51</v>
      </c>
      <c r="G111" s="15" t="str">
        <f>VLOOKUP(F111, GLOSSARY!$A:$C, 2, FALSE)</f>
        <v>EGYPT LUCY</v>
      </c>
      <c r="H111" s="16"/>
      <c r="I111" s="16"/>
      <c r="J111" s="16"/>
      <c r="K111" s="16"/>
      <c r="L111" s="16"/>
      <c r="M111" s="16"/>
      <c r="N111" s="16"/>
      <c r="O111" s="16"/>
      <c r="P111" s="16"/>
      <c r="Q111" s="16"/>
      <c r="R111" s="16"/>
      <c r="S111" s="16"/>
      <c r="T111" s="16"/>
      <c r="U111" s="16"/>
      <c r="V111" s="16"/>
      <c r="W111" s="16"/>
      <c r="X111" s="16"/>
      <c r="Y111" s="16"/>
    </row>
    <row r="112" spans="1:25" x14ac:dyDescent="0.2">
      <c r="A112" s="14" t="s">
        <v>150</v>
      </c>
      <c r="B112" s="6" t="s">
        <v>151</v>
      </c>
      <c r="C112" s="6"/>
      <c r="D112" s="17" t="s">
        <v>211</v>
      </c>
      <c r="E112" s="37" t="s">
        <v>114</v>
      </c>
      <c r="F112" s="16" t="s">
        <v>113</v>
      </c>
      <c r="G112" s="15" t="str">
        <f>VLOOKUP(F112, GLOSSARY!$A:$C, 2, FALSE)</f>
        <v>NANCY</v>
      </c>
      <c r="H112" s="16"/>
      <c r="I112" s="16"/>
      <c r="J112" s="16"/>
      <c r="K112" s="16"/>
      <c r="L112" s="16"/>
      <c r="M112" s="16"/>
      <c r="N112" s="16"/>
      <c r="O112" s="16"/>
      <c r="P112" s="16"/>
      <c r="Q112" s="16"/>
      <c r="R112" s="16"/>
      <c r="S112" s="16"/>
      <c r="T112" s="16"/>
      <c r="U112" s="16"/>
      <c r="V112" s="16"/>
      <c r="W112" s="16"/>
      <c r="X112" s="16"/>
      <c r="Y112" s="16"/>
    </row>
    <row r="113" spans="1:25" x14ac:dyDescent="0.2">
      <c r="A113" s="14" t="s">
        <v>150</v>
      </c>
      <c r="B113" s="6" t="s">
        <v>151</v>
      </c>
      <c r="C113" s="6"/>
      <c r="D113" s="16" t="s">
        <v>211</v>
      </c>
      <c r="E113" s="6" t="s">
        <v>138</v>
      </c>
      <c r="F113" s="16" t="s">
        <v>135</v>
      </c>
      <c r="G113" s="15" t="str">
        <f>VLOOKUP(F113, GLOSSARY!$A:$C, 2, FALSE)</f>
        <v>HOUSE FRANKE</v>
      </c>
      <c r="H113" s="16"/>
      <c r="I113" s="16"/>
      <c r="J113" s="16"/>
      <c r="K113" s="16"/>
      <c r="L113" s="16"/>
      <c r="M113" s="16"/>
      <c r="N113" s="16"/>
      <c r="O113" s="16"/>
      <c r="P113" s="16"/>
      <c r="Q113" s="16"/>
      <c r="R113" s="16"/>
      <c r="S113" s="16"/>
      <c r="T113" s="16"/>
      <c r="U113" s="16"/>
      <c r="V113" s="16"/>
      <c r="W113" s="16"/>
      <c r="X113" s="16"/>
      <c r="Y113" s="16"/>
    </row>
    <row r="114" spans="1:25" x14ac:dyDescent="0.2">
      <c r="A114" s="14" t="s">
        <v>150</v>
      </c>
      <c r="B114" s="6" t="s">
        <v>151</v>
      </c>
      <c r="C114" s="6"/>
      <c r="D114" s="16" t="s">
        <v>554</v>
      </c>
      <c r="E114" s="6"/>
      <c r="F114" s="16"/>
      <c r="G114" s="15" t="e">
        <f>VLOOKUP(F114, GLOSSARY!$A:$C, 2, FALSE)</f>
        <v>#N/A</v>
      </c>
      <c r="H114" s="16"/>
      <c r="I114" s="16"/>
      <c r="J114" s="16"/>
      <c r="K114" s="16"/>
      <c r="L114" s="16"/>
      <c r="M114" s="16"/>
      <c r="N114" s="16"/>
      <c r="O114" s="16"/>
      <c r="P114" s="16"/>
      <c r="Q114" s="16"/>
      <c r="R114" s="16"/>
      <c r="S114" s="16"/>
      <c r="T114" s="16"/>
      <c r="U114" s="16"/>
      <c r="V114" s="16"/>
      <c r="W114" s="16"/>
      <c r="X114" s="16"/>
      <c r="Y114" s="16"/>
    </row>
    <row r="115" spans="1:25" x14ac:dyDescent="0.2">
      <c r="A115" s="14" t="s">
        <v>150</v>
      </c>
      <c r="B115" s="6" t="s">
        <v>151</v>
      </c>
      <c r="C115" s="6"/>
      <c r="D115" s="16" t="s">
        <v>306</v>
      </c>
      <c r="E115" s="6"/>
      <c r="F115" s="16" t="s">
        <v>760</v>
      </c>
      <c r="G115" s="15" t="str">
        <f>VLOOKUP(F115, GLOSSARY!$A:$C, 2, FALSE)</f>
        <v>MR. MCARTHUR</v>
      </c>
      <c r="H115" s="16"/>
      <c r="I115" s="16"/>
      <c r="J115" s="16"/>
      <c r="K115" s="16"/>
      <c r="L115" s="16"/>
      <c r="M115" s="16"/>
      <c r="N115" s="16"/>
      <c r="O115" s="16"/>
      <c r="P115" s="16"/>
      <c r="Q115" s="16"/>
      <c r="R115" s="16"/>
      <c r="S115" s="16"/>
      <c r="T115" s="16"/>
      <c r="U115" s="16"/>
      <c r="V115" s="16"/>
      <c r="W115" s="16"/>
      <c r="X115" s="16"/>
      <c r="Y115" s="16"/>
    </row>
    <row r="116" spans="1:25" x14ac:dyDescent="0.2">
      <c r="A116" s="14" t="s">
        <v>150</v>
      </c>
      <c r="B116" s="6" t="s">
        <v>151</v>
      </c>
      <c r="C116" s="6"/>
      <c r="D116" s="16" t="s">
        <v>306</v>
      </c>
      <c r="E116" s="6"/>
      <c r="F116" s="16" t="s">
        <v>990</v>
      </c>
      <c r="G116" s="15" t="str">
        <f>VLOOKUP(F116, GLOSSARY!$A:$C, 2, FALSE)</f>
        <v>SAM</v>
      </c>
      <c r="H116" s="16"/>
      <c r="I116" s="16"/>
      <c r="J116" s="16"/>
      <c r="K116" s="16"/>
      <c r="L116" s="16"/>
      <c r="M116" s="16"/>
      <c r="N116" s="16"/>
      <c r="O116" s="16"/>
      <c r="P116" s="16"/>
      <c r="Q116" s="16"/>
      <c r="R116" s="16"/>
      <c r="S116" s="16"/>
      <c r="T116" s="16"/>
      <c r="U116" s="16"/>
      <c r="V116" s="16"/>
      <c r="W116" s="16"/>
      <c r="X116" s="16"/>
      <c r="Y116" s="16"/>
    </row>
    <row r="117" spans="1:25" x14ac:dyDescent="0.2">
      <c r="A117" s="14" t="s">
        <v>150</v>
      </c>
      <c r="B117" s="6" t="s">
        <v>151</v>
      </c>
      <c r="C117" s="6"/>
      <c r="D117" s="16" t="s">
        <v>161</v>
      </c>
      <c r="E117" s="6"/>
      <c r="F117" s="16" t="s">
        <v>343</v>
      </c>
      <c r="G117" s="15" t="str">
        <f>VLOOKUP(F117, GLOSSARY!$A:$C, 2, FALSE)</f>
        <v>OLD POMPEY</v>
      </c>
      <c r="H117" s="16"/>
      <c r="I117" s="16"/>
      <c r="J117" s="16"/>
      <c r="K117" s="16"/>
      <c r="L117" s="16"/>
      <c r="M117" s="16"/>
      <c r="N117" s="16"/>
      <c r="O117" s="16"/>
      <c r="P117" s="16"/>
      <c r="Q117" s="16"/>
      <c r="R117" s="16"/>
      <c r="S117" s="16"/>
      <c r="T117" s="16"/>
      <c r="U117" s="16"/>
      <c r="V117" s="16"/>
      <c r="W117" s="16"/>
      <c r="X117" s="16"/>
      <c r="Y117" s="16"/>
    </row>
    <row r="118" spans="1:25" x14ac:dyDescent="0.2">
      <c r="A118" s="14" t="s">
        <v>150</v>
      </c>
      <c r="B118" s="6" t="s">
        <v>151</v>
      </c>
      <c r="C118" s="6"/>
      <c r="D118" s="16" t="s">
        <v>161</v>
      </c>
      <c r="E118" s="6"/>
      <c r="F118" s="16" t="s">
        <v>1004</v>
      </c>
      <c r="G118" s="15" t="str">
        <f>VLOOKUP(F118, GLOSSARY!$A:$C, 2, FALSE)</f>
        <v>VINE'S MOTHER</v>
      </c>
      <c r="H118" s="16"/>
      <c r="I118" s="16"/>
      <c r="J118" s="16"/>
      <c r="K118" s="16"/>
      <c r="L118" s="16"/>
      <c r="M118" s="16"/>
      <c r="N118" s="16"/>
      <c r="O118" s="16"/>
      <c r="P118" s="16"/>
      <c r="Q118" s="16"/>
      <c r="R118" s="16"/>
      <c r="S118" s="16"/>
      <c r="T118" s="16"/>
      <c r="U118" s="16"/>
      <c r="V118" s="16"/>
      <c r="W118" s="16"/>
      <c r="X118" s="16"/>
      <c r="Y118" s="16"/>
    </row>
    <row r="119" spans="1:25" x14ac:dyDescent="0.2">
      <c r="A119" s="21"/>
      <c r="B119" s="22"/>
      <c r="C119" s="22"/>
      <c r="D119" s="23"/>
      <c r="E119" s="22"/>
      <c r="F119" s="23"/>
      <c r="G119" s="15" t="e">
        <f>VLOOKUP(F119, GLOSSARY!$A:$C, 2, FALSE)</f>
        <v>#N/A</v>
      </c>
      <c r="H119" s="23"/>
      <c r="I119" s="23"/>
      <c r="J119" s="23"/>
      <c r="K119" s="23"/>
      <c r="L119" s="23"/>
      <c r="M119" s="23"/>
      <c r="N119" s="23"/>
      <c r="O119" s="23"/>
      <c r="P119" s="23"/>
      <c r="Q119" s="23"/>
      <c r="R119" s="23"/>
      <c r="S119" s="23"/>
      <c r="T119" s="23"/>
      <c r="U119" s="23"/>
      <c r="V119" s="23"/>
      <c r="W119" s="23"/>
      <c r="X119" s="23"/>
      <c r="Y119" s="23"/>
    </row>
    <row r="120" spans="1:25" x14ac:dyDescent="0.2">
      <c r="A120" s="14" t="s">
        <v>88</v>
      </c>
      <c r="B120" s="6" t="s">
        <v>87</v>
      </c>
      <c r="C120" s="6" t="s">
        <v>162</v>
      </c>
      <c r="D120" s="16" t="s">
        <v>86</v>
      </c>
      <c r="E120" s="6"/>
      <c r="F120" s="16"/>
      <c r="G120" s="15" t="e">
        <f>VLOOKUP(F120, GLOSSARY!$A:$C, 2, FALSE)</f>
        <v>#N/A</v>
      </c>
      <c r="H120" s="16" t="s">
        <v>1024</v>
      </c>
      <c r="I120" s="16"/>
      <c r="J120" s="16"/>
      <c r="K120" s="16"/>
      <c r="L120" s="16"/>
      <c r="M120" s="16"/>
      <c r="N120" s="16"/>
      <c r="O120" s="16"/>
      <c r="P120" s="16"/>
      <c r="Q120" s="16"/>
      <c r="R120" s="16"/>
      <c r="S120" s="16"/>
      <c r="T120" s="16"/>
      <c r="U120" s="16"/>
      <c r="V120" s="16"/>
      <c r="W120" s="16"/>
      <c r="X120" s="16"/>
      <c r="Y120" s="16"/>
    </row>
    <row r="121" spans="1:25" x14ac:dyDescent="0.2">
      <c r="A121" s="14" t="s">
        <v>88</v>
      </c>
      <c r="B121" s="6" t="s">
        <v>87</v>
      </c>
      <c r="C121" s="6" t="s">
        <v>162</v>
      </c>
      <c r="D121" s="16" t="s">
        <v>37</v>
      </c>
      <c r="E121" s="6" t="s">
        <v>169</v>
      </c>
      <c r="F121" s="16" t="s">
        <v>168</v>
      </c>
      <c r="G121" s="15" t="str">
        <f>VLOOKUP(F121, GLOSSARY!$A:$C, 2, FALSE)</f>
        <v>LUCY</v>
      </c>
      <c r="H121" s="16"/>
      <c r="I121" s="16"/>
      <c r="J121" s="16"/>
      <c r="K121" s="16"/>
      <c r="L121" s="16"/>
      <c r="M121" s="16"/>
      <c r="N121" s="16"/>
      <c r="O121" s="16"/>
      <c r="P121" s="16"/>
      <c r="Q121" s="16"/>
      <c r="R121" s="16"/>
      <c r="S121" s="16"/>
      <c r="T121" s="16"/>
      <c r="U121" s="16"/>
      <c r="V121" s="16"/>
      <c r="W121" s="16"/>
      <c r="X121" s="16"/>
      <c r="Y121" s="16"/>
    </row>
    <row r="122" spans="1:25" x14ac:dyDescent="0.2">
      <c r="A122" s="14" t="s">
        <v>88</v>
      </c>
      <c r="B122" s="6" t="s">
        <v>87</v>
      </c>
      <c r="C122" s="6" t="s">
        <v>162</v>
      </c>
      <c r="D122" s="16" t="s">
        <v>37</v>
      </c>
      <c r="E122" s="6"/>
      <c r="F122" s="16" t="s">
        <v>1041</v>
      </c>
      <c r="G122" s="15" t="str">
        <f>VLOOKUP(F122, GLOSSARY!$A:$C, 2, FALSE)</f>
        <v>RACHAEL [OGO'S DAUGHTER]</v>
      </c>
      <c r="H122" s="16"/>
      <c r="I122" s="16"/>
      <c r="J122" s="16"/>
      <c r="K122" s="16"/>
      <c r="L122" s="16"/>
      <c r="M122" s="16"/>
      <c r="N122" s="16"/>
      <c r="O122" s="16"/>
      <c r="P122" s="16"/>
      <c r="Q122" s="16"/>
      <c r="R122" s="16"/>
      <c r="S122" s="16"/>
      <c r="T122" s="16"/>
      <c r="U122" s="16"/>
      <c r="V122" s="16"/>
      <c r="W122" s="16"/>
      <c r="X122" s="16"/>
      <c r="Y122" s="16"/>
    </row>
    <row r="123" spans="1:25" x14ac:dyDescent="0.2">
      <c r="A123" s="14" t="s">
        <v>88</v>
      </c>
      <c r="B123" s="6" t="s">
        <v>87</v>
      </c>
      <c r="C123" s="6" t="s">
        <v>162</v>
      </c>
      <c r="D123" s="16" t="s">
        <v>37</v>
      </c>
      <c r="E123" s="6"/>
      <c r="F123" s="16" t="s">
        <v>1050</v>
      </c>
      <c r="G123" s="15" t="str">
        <f>VLOOKUP(F123, GLOSSARY!$A:$C, 2, FALSE)</f>
        <v>OGO'S SON [DEAD, 1770]</v>
      </c>
      <c r="H123" s="16"/>
      <c r="I123" s="16"/>
      <c r="J123" s="16"/>
      <c r="K123" s="16"/>
      <c r="L123" s="16"/>
      <c r="M123" s="16"/>
      <c r="N123" s="16"/>
      <c r="O123" s="16"/>
      <c r="P123" s="16"/>
      <c r="Q123" s="16"/>
      <c r="R123" s="16"/>
      <c r="S123" s="16"/>
      <c r="T123" s="16"/>
      <c r="U123" s="16"/>
      <c r="V123" s="16"/>
      <c r="W123" s="16"/>
      <c r="X123" s="16"/>
      <c r="Y123" s="16"/>
    </row>
    <row r="124" spans="1:25" x14ac:dyDescent="0.2">
      <c r="A124" s="14" t="s">
        <v>88</v>
      </c>
      <c r="B124" s="6" t="s">
        <v>87</v>
      </c>
      <c r="C124" s="6" t="s">
        <v>162</v>
      </c>
      <c r="D124" s="16" t="s">
        <v>655</v>
      </c>
      <c r="E124" s="6" t="s">
        <v>367</v>
      </c>
      <c r="F124" s="16" t="s">
        <v>366</v>
      </c>
      <c r="G124" s="15" t="str">
        <f>VLOOKUP(F124, GLOSSARY!$A:$C, 2, FALSE)</f>
        <v>ABASSE</v>
      </c>
      <c r="H124" s="16"/>
      <c r="I124" s="16"/>
      <c r="J124" s="16"/>
      <c r="K124" s="16"/>
      <c r="L124" s="16"/>
      <c r="M124" s="16"/>
      <c r="N124" s="16"/>
      <c r="O124" s="16"/>
      <c r="P124" s="16"/>
      <c r="Q124" s="16"/>
      <c r="R124" s="16"/>
      <c r="S124" s="16"/>
      <c r="T124" s="16"/>
      <c r="U124" s="16"/>
      <c r="V124" s="16"/>
      <c r="W124" s="16"/>
      <c r="X124" s="16"/>
      <c r="Y124" s="16"/>
    </row>
    <row r="125" spans="1:25" x14ac:dyDescent="0.2">
      <c r="A125" s="14" t="s">
        <v>88</v>
      </c>
      <c r="B125" s="6" t="s">
        <v>87</v>
      </c>
      <c r="C125" s="6" t="s">
        <v>162</v>
      </c>
      <c r="D125" s="16" t="s">
        <v>56</v>
      </c>
      <c r="E125" s="6" t="s">
        <v>52</v>
      </c>
      <c r="F125" s="16" t="s">
        <v>51</v>
      </c>
      <c r="G125" s="15" t="str">
        <f>VLOOKUP(F125, GLOSSARY!$A:$C, 2, FALSE)</f>
        <v>EGYPT LUCY</v>
      </c>
      <c r="H125" s="16"/>
      <c r="I125" s="16"/>
      <c r="J125" s="16"/>
      <c r="K125" s="16"/>
      <c r="L125" s="16"/>
      <c r="M125" s="16"/>
      <c r="N125" s="16"/>
      <c r="O125" s="16"/>
      <c r="P125" s="16"/>
      <c r="Q125" s="16"/>
      <c r="R125" s="16"/>
      <c r="S125" s="16"/>
      <c r="T125" s="16"/>
      <c r="U125" s="16"/>
      <c r="V125" s="16"/>
      <c r="W125" s="16"/>
      <c r="X125" s="16"/>
      <c r="Y125" s="16"/>
    </row>
    <row r="126" spans="1:25" x14ac:dyDescent="0.2">
      <c r="A126" s="14" t="s">
        <v>88</v>
      </c>
      <c r="B126" s="6" t="s">
        <v>87</v>
      </c>
      <c r="C126" s="6"/>
      <c r="D126" s="16" t="s">
        <v>56</v>
      </c>
      <c r="E126" s="6" t="s">
        <v>65</v>
      </c>
      <c r="F126" s="16" t="s">
        <v>64</v>
      </c>
      <c r="G126" s="15" t="str">
        <f>VLOOKUP(F126, GLOSSARY!$A:$C, 2, FALSE)</f>
        <v>JULINA</v>
      </c>
      <c r="H126" s="16"/>
      <c r="I126" s="16"/>
      <c r="J126" s="16"/>
      <c r="K126" s="16"/>
      <c r="L126" s="16"/>
      <c r="M126" s="16"/>
      <c r="N126" s="16"/>
      <c r="O126" s="16"/>
      <c r="P126" s="16"/>
      <c r="Q126" s="16"/>
      <c r="R126" s="16"/>
      <c r="S126" s="16"/>
      <c r="T126" s="16"/>
      <c r="U126" s="16"/>
      <c r="V126" s="16"/>
      <c r="W126" s="16"/>
      <c r="X126" s="16"/>
      <c r="Y126" s="16"/>
    </row>
    <row r="127" spans="1:25" x14ac:dyDescent="0.2">
      <c r="A127" s="14" t="s">
        <v>88</v>
      </c>
      <c r="B127" s="6" t="s">
        <v>87</v>
      </c>
      <c r="C127" s="6"/>
      <c r="D127" s="16" t="s">
        <v>56</v>
      </c>
      <c r="E127" s="6" t="s">
        <v>75</v>
      </c>
      <c r="F127" s="16" t="s">
        <v>74</v>
      </c>
      <c r="G127" s="15" t="str">
        <f>VLOOKUP(F127, GLOSSARY!$A:$C, 2, FALSE)</f>
        <v>LITTLE QUASHE</v>
      </c>
      <c r="H127" s="16"/>
      <c r="I127" s="16"/>
      <c r="J127" s="16"/>
      <c r="K127" s="16"/>
      <c r="L127" s="16"/>
      <c r="M127" s="16"/>
      <c r="N127" s="16"/>
      <c r="O127" s="16"/>
      <c r="P127" s="16"/>
      <c r="Q127" s="16"/>
      <c r="R127" s="16"/>
      <c r="S127" s="16"/>
      <c r="T127" s="16"/>
      <c r="U127" s="16"/>
      <c r="V127" s="16"/>
      <c r="W127" s="16"/>
      <c r="X127" s="16"/>
      <c r="Y127" s="16"/>
    </row>
    <row r="128" spans="1:25" x14ac:dyDescent="0.2">
      <c r="A128" s="14" t="s">
        <v>88</v>
      </c>
      <c r="B128" s="6" t="s">
        <v>87</v>
      </c>
      <c r="C128" s="6" t="s">
        <v>162</v>
      </c>
      <c r="D128" s="16" t="s">
        <v>134</v>
      </c>
      <c r="E128" s="6" t="s">
        <v>1085</v>
      </c>
      <c r="F128" s="16" t="s">
        <v>51</v>
      </c>
      <c r="G128" s="15" t="str">
        <f>VLOOKUP(F128, GLOSSARY!$A:$C, 2, FALSE)</f>
        <v>EGYPT LUCY</v>
      </c>
      <c r="H128" s="16"/>
      <c r="I128" s="16"/>
      <c r="J128" s="16"/>
      <c r="K128" s="16"/>
      <c r="L128" s="16"/>
      <c r="M128" s="16"/>
      <c r="N128" s="16"/>
      <c r="O128" s="16"/>
      <c r="P128" s="16"/>
      <c r="Q128" s="16"/>
      <c r="R128" s="16"/>
      <c r="S128" s="16"/>
      <c r="T128" s="16"/>
      <c r="U128" s="16"/>
      <c r="V128" s="16"/>
      <c r="W128" s="16"/>
      <c r="X128" s="16"/>
      <c r="Y128" s="16"/>
    </row>
    <row r="129" spans="1:25" x14ac:dyDescent="0.2">
      <c r="A129" s="14" t="s">
        <v>88</v>
      </c>
      <c r="B129" s="6" t="s">
        <v>87</v>
      </c>
      <c r="C129" s="6" t="s">
        <v>162</v>
      </c>
      <c r="D129" s="16" t="s">
        <v>98</v>
      </c>
      <c r="E129" s="6"/>
      <c r="F129" s="16"/>
      <c r="G129" s="15" t="e">
        <f>VLOOKUP(F129, GLOSSARY!$A:$C, 2, FALSE)</f>
        <v>#N/A</v>
      </c>
      <c r="H129" s="16"/>
      <c r="I129" s="16"/>
      <c r="J129" s="16"/>
      <c r="K129" s="16"/>
      <c r="L129" s="16"/>
      <c r="M129" s="16"/>
      <c r="N129" s="16"/>
      <c r="O129" s="16"/>
      <c r="P129" s="16"/>
      <c r="Q129" s="16"/>
      <c r="R129" s="16"/>
      <c r="S129" s="16"/>
      <c r="T129" s="16"/>
      <c r="U129" s="16"/>
      <c r="V129" s="16"/>
      <c r="W129" s="16"/>
      <c r="X129" s="16"/>
      <c r="Y129" s="16"/>
    </row>
    <row r="130" spans="1:25" x14ac:dyDescent="0.2">
      <c r="A130" s="14" t="s">
        <v>88</v>
      </c>
      <c r="B130" s="6" t="s">
        <v>87</v>
      </c>
      <c r="C130" s="6" t="s">
        <v>162</v>
      </c>
      <c r="D130" s="16" t="s">
        <v>306</v>
      </c>
      <c r="E130" s="6" t="s">
        <v>277</v>
      </c>
      <c r="F130" s="16" t="s">
        <v>276</v>
      </c>
      <c r="G130" s="15" t="str">
        <f>VLOOKUP(F130, GLOSSARY!$A:$C, 2, FALSE)</f>
        <v>SOLON</v>
      </c>
      <c r="H130" s="16"/>
      <c r="I130" s="16"/>
      <c r="J130" s="16"/>
      <c r="K130" s="16"/>
      <c r="L130" s="16"/>
      <c r="M130" s="16"/>
      <c r="N130" s="16"/>
      <c r="O130" s="16"/>
      <c r="P130" s="16"/>
      <c r="Q130" s="16"/>
      <c r="R130" s="16"/>
      <c r="S130" s="16"/>
      <c r="T130" s="16"/>
      <c r="U130" s="16"/>
      <c r="V130" s="16"/>
      <c r="W130" s="16"/>
      <c r="X130" s="16"/>
      <c r="Y130" s="16"/>
    </row>
    <row r="131" spans="1:25" x14ac:dyDescent="0.2">
      <c r="A131" s="14" t="s">
        <v>88</v>
      </c>
      <c r="B131" s="6" t="s">
        <v>87</v>
      </c>
      <c r="C131" s="6" t="s">
        <v>162</v>
      </c>
      <c r="D131" s="16" t="s">
        <v>306</v>
      </c>
      <c r="E131" s="6"/>
      <c r="F131" s="16" t="s">
        <v>1103</v>
      </c>
      <c r="G131" s="15" t="str">
        <f>VLOOKUP(F131, GLOSSARY!$A:$C, 2, FALSE)</f>
        <v>OGO'S SWEETHEART</v>
      </c>
      <c r="H131" s="16"/>
      <c r="I131" s="16"/>
      <c r="J131" s="16"/>
      <c r="K131" s="16"/>
      <c r="L131" s="16"/>
      <c r="M131" s="16"/>
      <c r="N131" s="16"/>
      <c r="O131" s="16"/>
      <c r="P131" s="16"/>
      <c r="Q131" s="16"/>
      <c r="R131" s="16"/>
      <c r="S131" s="16"/>
      <c r="T131" s="16"/>
      <c r="U131" s="16"/>
      <c r="V131" s="16"/>
      <c r="W131" s="16"/>
      <c r="X131" s="16"/>
      <c r="Y131" s="16"/>
    </row>
    <row r="132" spans="1:25" x14ac:dyDescent="0.2">
      <c r="A132" s="14" t="s">
        <v>88</v>
      </c>
      <c r="B132" s="6" t="s">
        <v>87</v>
      </c>
      <c r="C132" s="6" t="s">
        <v>162</v>
      </c>
      <c r="D132" s="16" t="s">
        <v>306</v>
      </c>
      <c r="E132" s="6"/>
      <c r="F132" s="16" t="s">
        <v>1113</v>
      </c>
      <c r="G132" s="15" t="str">
        <f>VLOOKUP(F132, GLOSSARY!$A:$C, 2, FALSE)</f>
        <v>CUBBENNA</v>
      </c>
      <c r="H132" s="16"/>
      <c r="I132" s="16"/>
      <c r="J132" s="16"/>
      <c r="K132" s="16"/>
      <c r="L132" s="16"/>
      <c r="M132" s="16"/>
      <c r="N132" s="16"/>
      <c r="O132" s="16"/>
      <c r="P132" s="16"/>
      <c r="Q132" s="16"/>
      <c r="R132" s="16"/>
      <c r="S132" s="16"/>
      <c r="T132" s="16"/>
      <c r="U132" s="16"/>
      <c r="V132" s="16"/>
      <c r="W132" s="16"/>
      <c r="X132" s="16"/>
      <c r="Y132" s="16"/>
    </row>
    <row r="133" spans="1:25" x14ac:dyDescent="0.2">
      <c r="A133" s="21"/>
      <c r="B133" s="22"/>
      <c r="C133" s="22"/>
      <c r="D133" s="23"/>
      <c r="E133" s="22"/>
      <c r="F133" s="23"/>
      <c r="G133" s="15" t="e">
        <f>VLOOKUP(F133, GLOSSARY!$A:$C, 2, FALSE)</f>
        <v>#N/A</v>
      </c>
      <c r="H133" s="23"/>
      <c r="I133" s="23"/>
      <c r="J133" s="23"/>
      <c r="K133" s="23"/>
      <c r="L133" s="23"/>
      <c r="M133" s="23"/>
      <c r="N133" s="23"/>
      <c r="O133" s="23"/>
      <c r="P133" s="23"/>
      <c r="Q133" s="23"/>
      <c r="R133" s="23"/>
      <c r="S133" s="23"/>
      <c r="T133" s="23"/>
      <c r="U133" s="23"/>
      <c r="V133" s="23"/>
      <c r="W133" s="23"/>
      <c r="X133" s="23"/>
      <c r="Y133" s="23"/>
    </row>
    <row r="134" spans="1:25" x14ac:dyDescent="0.2">
      <c r="A134" s="14" t="s">
        <v>168</v>
      </c>
      <c r="B134" s="6" t="s">
        <v>169</v>
      </c>
      <c r="C134" s="6" t="s">
        <v>170</v>
      </c>
      <c r="D134" s="16" t="s">
        <v>161</v>
      </c>
      <c r="E134" s="6" t="s">
        <v>87</v>
      </c>
      <c r="F134" s="16" t="s">
        <v>88</v>
      </c>
      <c r="G134" s="15" t="str">
        <f>VLOOKUP(F134, GLOSSARY!$A:$C, 2, FALSE)</f>
        <v>OGO</v>
      </c>
      <c r="H134" s="16" t="s">
        <v>175</v>
      </c>
      <c r="I134" s="16"/>
      <c r="J134" s="16"/>
      <c r="K134" s="16"/>
      <c r="L134" s="16"/>
      <c r="M134" s="16"/>
      <c r="N134" s="16"/>
      <c r="O134" s="16"/>
      <c r="P134" s="16"/>
      <c r="Q134" s="16"/>
      <c r="R134" s="16"/>
      <c r="S134" s="16"/>
      <c r="T134" s="16"/>
      <c r="U134" s="16"/>
      <c r="V134" s="16"/>
      <c r="W134" s="16"/>
      <c r="X134" s="16"/>
      <c r="Y134" s="16"/>
    </row>
    <row r="135" spans="1:25" x14ac:dyDescent="0.2">
      <c r="A135" s="21"/>
      <c r="B135" s="22"/>
      <c r="C135" s="22"/>
      <c r="D135" s="23"/>
      <c r="E135" s="22"/>
      <c r="F135" s="23"/>
      <c r="G135" s="15" t="e">
        <f>VLOOKUP(F135, GLOSSARY!$A:$C, 2, FALSE)</f>
        <v>#N/A</v>
      </c>
      <c r="H135" s="23"/>
      <c r="I135" s="23"/>
      <c r="J135" s="23"/>
      <c r="K135" s="23"/>
      <c r="L135" s="23"/>
      <c r="M135" s="23"/>
      <c r="N135" s="23"/>
      <c r="O135" s="23"/>
      <c r="P135" s="23"/>
      <c r="Q135" s="23"/>
      <c r="R135" s="23"/>
      <c r="S135" s="23"/>
      <c r="T135" s="23"/>
      <c r="U135" s="23"/>
      <c r="V135" s="23"/>
      <c r="W135" s="23"/>
      <c r="X135" s="23"/>
      <c r="Y135" s="23"/>
    </row>
    <row r="136" spans="1:25" x14ac:dyDescent="0.2">
      <c r="A136" s="14" t="s">
        <v>181</v>
      </c>
      <c r="B136" s="6" t="s">
        <v>183</v>
      </c>
      <c r="C136" s="6"/>
      <c r="D136" s="16" t="s">
        <v>91</v>
      </c>
      <c r="E136" s="6"/>
      <c r="F136" s="16"/>
      <c r="G136" s="15" t="e">
        <f>VLOOKUP(F136, GLOSSARY!$A:$C, 2, FALSE)</f>
        <v>#N/A</v>
      </c>
      <c r="H136" s="6" t="s">
        <v>1135</v>
      </c>
      <c r="I136" s="16"/>
      <c r="J136" s="16"/>
      <c r="K136" s="16"/>
      <c r="L136" s="16"/>
      <c r="M136" s="16"/>
      <c r="N136" s="16"/>
      <c r="O136" s="16"/>
      <c r="P136" s="16"/>
      <c r="Q136" s="16"/>
      <c r="R136" s="16"/>
      <c r="S136" s="16"/>
      <c r="T136" s="16"/>
      <c r="U136" s="16"/>
      <c r="V136" s="16"/>
      <c r="W136" s="16"/>
      <c r="X136" s="16"/>
      <c r="Y136" s="16"/>
    </row>
    <row r="137" spans="1:25" x14ac:dyDescent="0.2">
      <c r="A137" s="14" t="s">
        <v>181</v>
      </c>
      <c r="B137" s="6" t="s">
        <v>183</v>
      </c>
      <c r="C137" s="6"/>
      <c r="D137" s="16" t="s">
        <v>37</v>
      </c>
      <c r="E137" s="6" t="s">
        <v>250</v>
      </c>
      <c r="F137" s="16" t="s">
        <v>249</v>
      </c>
      <c r="G137" s="15" t="str">
        <f>VLOOKUP(F137, GLOSSARY!$A:$C, 2, FALSE)</f>
        <v>LITTLE PHIBBAH</v>
      </c>
      <c r="H137" s="16"/>
      <c r="I137" s="16"/>
      <c r="J137" s="16"/>
      <c r="K137" s="16"/>
      <c r="L137" s="16"/>
      <c r="M137" s="16"/>
      <c r="N137" s="16"/>
      <c r="O137" s="16"/>
      <c r="P137" s="16"/>
      <c r="Q137" s="16"/>
      <c r="R137" s="16"/>
      <c r="S137" s="16"/>
      <c r="T137" s="16"/>
      <c r="U137" s="16"/>
      <c r="V137" s="16"/>
      <c r="W137" s="16"/>
      <c r="X137" s="16"/>
      <c r="Y137" s="16"/>
    </row>
    <row r="138" spans="1:25" x14ac:dyDescent="0.2">
      <c r="A138" s="14" t="s">
        <v>181</v>
      </c>
      <c r="B138" s="6" t="s">
        <v>183</v>
      </c>
      <c r="C138" s="6"/>
      <c r="D138" s="16" t="s">
        <v>98</v>
      </c>
      <c r="E138" s="6" t="s">
        <v>38</v>
      </c>
      <c r="F138" s="16" t="s">
        <v>40</v>
      </c>
      <c r="G138" s="15" t="str">
        <f>VLOOKUP(F138, GLOSSARY!$A:$C, 2, FALSE)</f>
        <v>SILVIA</v>
      </c>
      <c r="H138" s="16"/>
      <c r="I138" s="16"/>
      <c r="J138" s="16"/>
      <c r="K138" s="16"/>
      <c r="L138" s="16"/>
      <c r="M138" s="16"/>
      <c r="N138" s="16"/>
      <c r="O138" s="16"/>
      <c r="P138" s="16"/>
      <c r="Q138" s="16"/>
      <c r="R138" s="16"/>
      <c r="S138" s="16"/>
      <c r="T138" s="16"/>
      <c r="U138" s="16"/>
      <c r="V138" s="16"/>
      <c r="W138" s="16"/>
      <c r="X138" s="16"/>
      <c r="Y138" s="16"/>
    </row>
    <row r="139" spans="1:25" x14ac:dyDescent="0.2">
      <c r="A139" s="14" t="s">
        <v>181</v>
      </c>
      <c r="B139" s="6" t="s">
        <v>183</v>
      </c>
      <c r="C139" s="6"/>
      <c r="D139" s="16" t="s">
        <v>71</v>
      </c>
      <c r="E139" s="6"/>
      <c r="F139" s="16" t="s">
        <v>276</v>
      </c>
      <c r="G139" s="15" t="str">
        <f>VLOOKUP(F139, GLOSSARY!$A:$C, 2, FALSE)</f>
        <v>SOLON</v>
      </c>
      <c r="H139" s="16"/>
      <c r="I139" s="16"/>
      <c r="J139" s="16"/>
      <c r="K139" s="16"/>
      <c r="L139" s="16"/>
      <c r="M139" s="16"/>
      <c r="N139" s="16"/>
      <c r="O139" s="16"/>
      <c r="P139" s="16"/>
      <c r="Q139" s="16"/>
      <c r="R139" s="16"/>
      <c r="S139" s="16"/>
      <c r="T139" s="16"/>
      <c r="U139" s="16"/>
      <c r="V139" s="16"/>
      <c r="W139" s="16"/>
      <c r="X139" s="16"/>
      <c r="Y139" s="16"/>
    </row>
    <row r="140" spans="1:25" x14ac:dyDescent="0.2">
      <c r="A140" s="14" t="s">
        <v>181</v>
      </c>
      <c r="B140" s="6" t="s">
        <v>183</v>
      </c>
      <c r="C140" s="6"/>
      <c r="D140" s="16" t="s">
        <v>71</v>
      </c>
      <c r="E140" s="6"/>
      <c r="F140" s="16" t="s">
        <v>1159</v>
      </c>
      <c r="G140" s="15" t="str">
        <f>VLOOKUP(F140, GLOSSARY!$A:$C, 2, FALSE)</f>
        <v>CAESAR</v>
      </c>
      <c r="H140" s="16"/>
      <c r="I140" s="16"/>
      <c r="J140" s="16"/>
      <c r="K140" s="16"/>
      <c r="L140" s="16"/>
      <c r="M140" s="16"/>
      <c r="N140" s="16"/>
      <c r="O140" s="16"/>
      <c r="P140" s="16"/>
      <c r="Q140" s="16"/>
      <c r="R140" s="16"/>
      <c r="S140" s="16"/>
      <c r="T140" s="16"/>
      <c r="U140" s="16"/>
      <c r="V140" s="16"/>
      <c r="W140" s="16"/>
      <c r="X140" s="16"/>
      <c r="Y140" s="16"/>
    </row>
    <row r="141" spans="1:25" x14ac:dyDescent="0.2">
      <c r="A141" s="21"/>
      <c r="B141" s="22"/>
      <c r="C141" s="22"/>
      <c r="D141" s="23"/>
      <c r="E141" s="22"/>
      <c r="F141" s="23"/>
      <c r="G141" s="15" t="e">
        <f>VLOOKUP(F141, GLOSSARY!$A:$C, 2, FALSE)</f>
        <v>#N/A</v>
      </c>
      <c r="H141" s="23"/>
      <c r="I141" s="23"/>
      <c r="J141" s="23"/>
      <c r="K141" s="23"/>
      <c r="L141" s="23"/>
      <c r="M141" s="23"/>
      <c r="N141" s="23"/>
      <c r="O141" s="23"/>
      <c r="P141" s="23"/>
      <c r="Q141" s="23"/>
      <c r="R141" s="23"/>
      <c r="S141" s="23"/>
      <c r="T141" s="23"/>
      <c r="U141" s="23"/>
      <c r="V141" s="23"/>
      <c r="W141" s="23"/>
      <c r="X141" s="23"/>
      <c r="Y141" s="23"/>
    </row>
    <row r="142" spans="1:25" x14ac:dyDescent="0.2">
      <c r="A142" s="14" t="s">
        <v>191</v>
      </c>
      <c r="B142" s="6" t="s">
        <v>35</v>
      </c>
      <c r="C142" s="6" t="s">
        <v>1169</v>
      </c>
      <c r="D142" s="16" t="s">
        <v>161</v>
      </c>
      <c r="E142" s="6" t="s">
        <v>101</v>
      </c>
      <c r="F142" s="16" t="s">
        <v>100</v>
      </c>
      <c r="G142" s="15" t="str">
        <f>VLOOKUP(F142, GLOSSARY!$A:$C, 2, FALSE)</f>
        <v>PHIBBAH</v>
      </c>
      <c r="H142" s="6" t="s">
        <v>197</v>
      </c>
      <c r="I142" s="16"/>
      <c r="J142" s="16"/>
      <c r="K142" s="16"/>
      <c r="L142" s="16"/>
      <c r="M142" s="16"/>
      <c r="N142" s="16"/>
      <c r="O142" s="16"/>
      <c r="P142" s="16"/>
      <c r="Q142" s="16"/>
      <c r="R142" s="16"/>
      <c r="S142" s="16"/>
      <c r="T142" s="16"/>
      <c r="U142" s="16"/>
      <c r="V142" s="16"/>
      <c r="W142" s="16"/>
      <c r="X142" s="16"/>
      <c r="Y142" s="16"/>
    </row>
    <row r="143" spans="1:25" x14ac:dyDescent="0.2">
      <c r="A143" s="14" t="s">
        <v>191</v>
      </c>
      <c r="B143" s="6" t="s">
        <v>35</v>
      </c>
      <c r="C143" s="6" t="s">
        <v>1169</v>
      </c>
      <c r="D143" s="16" t="s">
        <v>391</v>
      </c>
      <c r="E143" s="6" t="s">
        <v>119</v>
      </c>
      <c r="F143" s="16" t="s">
        <v>118</v>
      </c>
      <c r="G143" s="15" t="str">
        <f>VLOOKUP(F143, GLOSSARY!$A:$C, 2, FALSE)</f>
        <v>JOHN</v>
      </c>
      <c r="H143" s="16"/>
      <c r="I143" s="16"/>
      <c r="J143" s="16"/>
      <c r="K143" s="16"/>
      <c r="L143" s="16"/>
      <c r="M143" s="16"/>
      <c r="N143" s="16"/>
      <c r="O143" s="16"/>
      <c r="P143" s="16"/>
      <c r="Q143" s="16"/>
      <c r="R143" s="16"/>
      <c r="S143" s="16"/>
      <c r="T143" s="16"/>
      <c r="U143" s="16"/>
      <c r="V143" s="16"/>
      <c r="W143" s="16"/>
      <c r="X143" s="16"/>
      <c r="Y143" s="16"/>
    </row>
    <row r="144" spans="1:25" x14ac:dyDescent="0.2">
      <c r="A144" s="14" t="s">
        <v>191</v>
      </c>
      <c r="B144" s="6" t="s">
        <v>35</v>
      </c>
      <c r="C144" s="6" t="s">
        <v>1169</v>
      </c>
      <c r="D144" s="16" t="s">
        <v>37</v>
      </c>
      <c r="E144" s="6" t="s">
        <v>478</v>
      </c>
      <c r="F144" s="16" t="s">
        <v>477</v>
      </c>
      <c r="G144" s="15" t="str">
        <f>VLOOKUP(F144, GLOSSARY!$A:$C, 2, FALSE)</f>
        <v>LITTLE NANCY</v>
      </c>
      <c r="H144" s="16"/>
      <c r="I144" s="16"/>
      <c r="J144" s="16"/>
      <c r="K144" s="16"/>
      <c r="L144" s="16"/>
      <c r="M144" s="16"/>
      <c r="N144" s="16"/>
      <c r="O144" s="16"/>
      <c r="P144" s="16"/>
      <c r="Q144" s="16"/>
      <c r="R144" s="16"/>
      <c r="S144" s="16"/>
      <c r="T144" s="16"/>
      <c r="U144" s="16"/>
      <c r="V144" s="16"/>
      <c r="W144" s="16"/>
      <c r="X144" s="16"/>
      <c r="Y144" s="16"/>
    </row>
    <row r="145" spans="1:25" x14ac:dyDescent="0.2">
      <c r="A145" s="14" t="s">
        <v>191</v>
      </c>
      <c r="B145" s="6" t="s">
        <v>35</v>
      </c>
      <c r="C145" s="6" t="s">
        <v>1169</v>
      </c>
      <c r="D145" s="16" t="s">
        <v>247</v>
      </c>
      <c r="E145" s="6" t="s">
        <v>101</v>
      </c>
      <c r="F145" s="16" t="s">
        <v>100</v>
      </c>
      <c r="G145" s="15" t="str">
        <f>VLOOKUP(F145, GLOSSARY!$A:$C, 2, FALSE)</f>
        <v>PHIBBAH</v>
      </c>
      <c r="H145" s="16"/>
      <c r="I145" s="16"/>
      <c r="J145" s="16"/>
      <c r="K145" s="16"/>
      <c r="L145" s="16"/>
      <c r="M145" s="16"/>
      <c r="N145" s="16"/>
      <c r="O145" s="16"/>
      <c r="P145" s="16"/>
      <c r="Q145" s="16"/>
      <c r="R145" s="16"/>
      <c r="S145" s="16"/>
      <c r="T145" s="16"/>
      <c r="U145" s="16"/>
      <c r="V145" s="16"/>
      <c r="W145" s="16"/>
      <c r="X145" s="16"/>
      <c r="Y145" s="16"/>
    </row>
    <row r="146" spans="1:25" x14ac:dyDescent="0.2">
      <c r="A146" s="14" t="s">
        <v>191</v>
      </c>
      <c r="B146" s="6" t="s">
        <v>35</v>
      </c>
      <c r="C146" s="6" t="s">
        <v>1169</v>
      </c>
      <c r="D146" s="16" t="s">
        <v>247</v>
      </c>
      <c r="E146" s="6" t="s">
        <v>138</v>
      </c>
      <c r="F146" s="16" t="s">
        <v>135</v>
      </c>
      <c r="G146" s="15" t="str">
        <f>VLOOKUP(F146, GLOSSARY!$A:$C, 2, FALSE)</f>
        <v>HOUSE FRANKE</v>
      </c>
      <c r="H146" s="16"/>
      <c r="I146" s="16"/>
      <c r="J146" s="16"/>
      <c r="K146" s="16"/>
      <c r="L146" s="16"/>
      <c r="M146" s="16"/>
      <c r="N146" s="16"/>
      <c r="O146" s="16"/>
      <c r="P146" s="16"/>
      <c r="Q146" s="16"/>
      <c r="R146" s="16"/>
      <c r="S146" s="16"/>
      <c r="T146" s="16"/>
      <c r="U146" s="16"/>
      <c r="V146" s="16"/>
      <c r="W146" s="16"/>
      <c r="X146" s="16"/>
      <c r="Y146" s="16"/>
    </row>
    <row r="147" spans="1:25" x14ac:dyDescent="0.2">
      <c r="A147" s="14" t="s">
        <v>191</v>
      </c>
      <c r="B147" s="6" t="s">
        <v>35</v>
      </c>
      <c r="C147" s="6" t="s">
        <v>1169</v>
      </c>
      <c r="D147" s="16" t="s">
        <v>247</v>
      </c>
      <c r="E147" s="6" t="s">
        <v>114</v>
      </c>
      <c r="F147" s="16" t="s">
        <v>113</v>
      </c>
      <c r="G147" s="15" t="str">
        <f>VLOOKUP(F147, GLOSSARY!$A:$C, 2, FALSE)</f>
        <v>NANCY</v>
      </c>
      <c r="H147" s="16"/>
      <c r="I147" s="16"/>
      <c r="J147" s="16"/>
      <c r="K147" s="16"/>
      <c r="L147" s="16"/>
      <c r="M147" s="16"/>
      <c r="N147" s="16"/>
      <c r="O147" s="16"/>
      <c r="P147" s="16"/>
      <c r="Q147" s="16"/>
      <c r="R147" s="16"/>
      <c r="S147" s="16"/>
      <c r="T147" s="16"/>
      <c r="U147" s="16"/>
      <c r="V147" s="16"/>
      <c r="W147" s="16"/>
      <c r="X147" s="16"/>
      <c r="Y147" s="16"/>
    </row>
    <row r="148" spans="1:25" x14ac:dyDescent="0.2">
      <c r="A148" s="14" t="s">
        <v>191</v>
      </c>
      <c r="B148" s="6" t="s">
        <v>35</v>
      </c>
      <c r="C148" s="6" t="s">
        <v>1169</v>
      </c>
      <c r="D148" s="16" t="s">
        <v>247</v>
      </c>
      <c r="E148" s="6" t="s">
        <v>52</v>
      </c>
      <c r="F148" s="16" t="s">
        <v>51</v>
      </c>
      <c r="G148" s="15" t="str">
        <f>VLOOKUP(F148, GLOSSARY!$A:$C, 2, FALSE)</f>
        <v>EGYPT LUCY</v>
      </c>
      <c r="H148" s="16"/>
      <c r="I148" s="16"/>
      <c r="J148" s="16"/>
      <c r="K148" s="16"/>
      <c r="L148" s="16"/>
      <c r="M148" s="16"/>
      <c r="N148" s="16"/>
      <c r="O148" s="16"/>
      <c r="P148" s="16"/>
      <c r="Q148" s="16"/>
      <c r="R148" s="16"/>
      <c r="S148" s="16"/>
      <c r="T148" s="16"/>
      <c r="U148" s="16"/>
      <c r="V148" s="16"/>
      <c r="W148" s="16"/>
      <c r="X148" s="16"/>
      <c r="Y148" s="16"/>
    </row>
    <row r="149" spans="1:25" x14ac:dyDescent="0.2">
      <c r="A149" s="14" t="s">
        <v>191</v>
      </c>
      <c r="B149" s="6" t="s">
        <v>35</v>
      </c>
      <c r="C149" s="6" t="s">
        <v>1169</v>
      </c>
      <c r="D149" s="16" t="s">
        <v>1206</v>
      </c>
      <c r="E149" s="6" t="s">
        <v>297</v>
      </c>
      <c r="F149" s="16" t="s">
        <v>296</v>
      </c>
      <c r="G149" s="15" t="str">
        <f>VLOOKUP(F149, GLOSSARY!$A:$C, 2, FALSE)</f>
        <v>JOB</v>
      </c>
      <c r="H149" s="16"/>
      <c r="I149" s="16"/>
      <c r="J149" s="16"/>
      <c r="K149" s="16"/>
      <c r="L149" s="16"/>
      <c r="M149" s="16"/>
      <c r="N149" s="16"/>
      <c r="O149" s="16"/>
      <c r="P149" s="16"/>
      <c r="Q149" s="16"/>
      <c r="R149" s="16"/>
      <c r="S149" s="16"/>
      <c r="T149" s="16"/>
      <c r="U149" s="16"/>
      <c r="V149" s="16"/>
      <c r="W149" s="16"/>
      <c r="X149" s="16"/>
      <c r="Y149" s="16"/>
    </row>
    <row r="150" spans="1:25" x14ac:dyDescent="0.2">
      <c r="A150" s="14" t="s">
        <v>191</v>
      </c>
      <c r="B150" s="6" t="s">
        <v>35</v>
      </c>
      <c r="C150" s="6" t="s">
        <v>1169</v>
      </c>
      <c r="D150" s="16" t="s">
        <v>1206</v>
      </c>
      <c r="E150" s="6"/>
      <c r="F150" s="16" t="s">
        <v>799</v>
      </c>
      <c r="G150" s="15" t="str">
        <f>VLOOKUP(F150, GLOSSARY!$A:$C, 2, FALSE)</f>
        <v>DAGO</v>
      </c>
      <c r="H150" s="16"/>
      <c r="I150" s="16"/>
      <c r="J150" s="16"/>
      <c r="K150" s="16"/>
      <c r="L150" s="16"/>
      <c r="M150" s="16"/>
      <c r="N150" s="16"/>
      <c r="O150" s="16"/>
      <c r="P150" s="16"/>
      <c r="Q150" s="16"/>
      <c r="R150" s="16"/>
      <c r="S150" s="16"/>
      <c r="T150" s="16"/>
      <c r="U150" s="16"/>
      <c r="V150" s="16"/>
      <c r="W150" s="16"/>
      <c r="X150" s="16"/>
      <c r="Y150" s="16"/>
    </row>
    <row r="151" spans="1:25" x14ac:dyDescent="0.2">
      <c r="A151" s="14" t="s">
        <v>191</v>
      </c>
      <c r="B151" s="6" t="s">
        <v>35</v>
      </c>
      <c r="C151" s="6" t="s">
        <v>1169</v>
      </c>
      <c r="D151" s="16" t="s">
        <v>306</v>
      </c>
      <c r="E151" s="6"/>
      <c r="F151" s="16" t="s">
        <v>788</v>
      </c>
      <c r="G151" s="15" t="str">
        <f>VLOOKUP(F151, GLOSSARY!$A:$C, 2, FALSE)</f>
        <v>MULATTO DAVIE</v>
      </c>
      <c r="H151" s="16"/>
      <c r="I151" s="16"/>
      <c r="J151" s="16"/>
      <c r="K151" s="16"/>
      <c r="L151" s="16"/>
      <c r="M151" s="16"/>
      <c r="N151" s="16"/>
      <c r="O151" s="16"/>
      <c r="P151" s="16"/>
      <c r="Q151" s="16"/>
      <c r="R151" s="16"/>
      <c r="S151" s="16"/>
      <c r="T151" s="16"/>
      <c r="U151" s="16"/>
      <c r="V151" s="16"/>
      <c r="W151" s="16"/>
      <c r="X151" s="16"/>
      <c r="Y151" s="16"/>
    </row>
    <row r="152" spans="1:25" x14ac:dyDescent="0.2">
      <c r="A152" s="14" t="s">
        <v>191</v>
      </c>
      <c r="B152" s="6" t="s">
        <v>35</v>
      </c>
      <c r="C152" s="6" t="s">
        <v>1169</v>
      </c>
      <c r="D152" s="16" t="s">
        <v>306</v>
      </c>
      <c r="E152" s="6"/>
      <c r="F152" s="16" t="s">
        <v>1222</v>
      </c>
      <c r="G152" s="15" t="str">
        <f>VLOOKUP(F152, GLOSSARY!$A:$C, 2, FALSE)</f>
        <v>NAGUA</v>
      </c>
      <c r="H152" s="16"/>
      <c r="I152" s="16"/>
      <c r="J152" s="16"/>
      <c r="K152" s="16"/>
      <c r="L152" s="16"/>
      <c r="M152" s="16"/>
      <c r="N152" s="16"/>
      <c r="O152" s="16"/>
      <c r="P152" s="16"/>
      <c r="Q152" s="16"/>
      <c r="R152" s="16"/>
      <c r="S152" s="16"/>
      <c r="T152" s="16"/>
      <c r="U152" s="16"/>
      <c r="V152" s="16"/>
      <c r="W152" s="16"/>
      <c r="X152" s="16"/>
      <c r="Y152" s="16"/>
    </row>
    <row r="153" spans="1:25" x14ac:dyDescent="0.2">
      <c r="A153" s="14" t="s">
        <v>191</v>
      </c>
      <c r="B153" s="6" t="s">
        <v>35</v>
      </c>
      <c r="C153" s="6" t="s">
        <v>1230</v>
      </c>
      <c r="D153" s="16" t="s">
        <v>306</v>
      </c>
      <c r="E153" s="6"/>
      <c r="F153" s="16" t="s">
        <v>1232</v>
      </c>
      <c r="G153" s="15" t="str">
        <f>VLOOKUP(F153, GLOSSARY!$A:$C, 2, FALSE)</f>
        <v>JIMMY STEWART</v>
      </c>
      <c r="H153" s="16"/>
      <c r="I153" s="16"/>
      <c r="J153" s="16"/>
      <c r="K153" s="16"/>
      <c r="L153" s="16"/>
      <c r="M153" s="16"/>
      <c r="N153" s="16"/>
      <c r="O153" s="16"/>
      <c r="P153" s="16"/>
      <c r="Q153" s="16"/>
      <c r="R153" s="16"/>
      <c r="S153" s="16"/>
      <c r="T153" s="16"/>
      <c r="U153" s="16"/>
      <c r="V153" s="16"/>
      <c r="W153" s="16"/>
      <c r="X153" s="16"/>
      <c r="Y153" s="16"/>
    </row>
    <row r="154" spans="1:25" x14ac:dyDescent="0.2">
      <c r="A154" s="21"/>
      <c r="B154" s="22"/>
      <c r="C154" s="22"/>
      <c r="D154" s="23"/>
      <c r="E154" s="22"/>
      <c r="F154" s="23"/>
      <c r="G154" s="15" t="e">
        <f>VLOOKUP(F154, GLOSSARY!$A:$C, 2, FALSE)</f>
        <v>#N/A</v>
      </c>
      <c r="H154" s="23"/>
      <c r="I154" s="23"/>
      <c r="J154" s="23"/>
      <c r="K154" s="23"/>
      <c r="L154" s="23"/>
      <c r="M154" s="23"/>
      <c r="N154" s="23"/>
      <c r="O154" s="23"/>
      <c r="P154" s="23"/>
      <c r="Q154" s="23"/>
      <c r="R154" s="23"/>
      <c r="S154" s="23"/>
      <c r="T154" s="23"/>
      <c r="U154" s="23"/>
      <c r="V154" s="23"/>
      <c r="W154" s="23"/>
      <c r="X154" s="23"/>
      <c r="Y154" s="23"/>
    </row>
    <row r="155" spans="1:25" x14ac:dyDescent="0.2">
      <c r="A155" s="14" t="s">
        <v>201</v>
      </c>
      <c r="B155" s="6" t="s">
        <v>202</v>
      </c>
      <c r="C155" s="6"/>
      <c r="D155" s="16" t="s">
        <v>204</v>
      </c>
      <c r="E155" s="6"/>
      <c r="F155" s="16"/>
      <c r="G155" s="15" t="e">
        <f>VLOOKUP(F155, GLOSSARY!$A:$C, 2, FALSE)</f>
        <v>#N/A</v>
      </c>
      <c r="H155" s="6" t="s">
        <v>212</v>
      </c>
      <c r="I155" s="16"/>
      <c r="J155" s="16"/>
      <c r="K155" s="16"/>
      <c r="L155" s="16"/>
      <c r="M155" s="16"/>
      <c r="N155" s="16"/>
      <c r="O155" s="16"/>
      <c r="P155" s="16"/>
      <c r="Q155" s="16"/>
      <c r="R155" s="16"/>
      <c r="S155" s="16"/>
      <c r="T155" s="16"/>
      <c r="U155" s="16"/>
      <c r="V155" s="16"/>
      <c r="W155" s="16"/>
      <c r="X155" s="16"/>
      <c r="Y155" s="16"/>
    </row>
    <row r="156" spans="1:25" x14ac:dyDescent="0.2">
      <c r="A156" s="14" t="s">
        <v>201</v>
      </c>
      <c r="B156" s="6" t="s">
        <v>202</v>
      </c>
      <c r="C156" s="6"/>
      <c r="D156" s="16" t="s">
        <v>56</v>
      </c>
      <c r="E156" s="6" t="s">
        <v>90</v>
      </c>
      <c r="F156" s="16" t="s">
        <v>89</v>
      </c>
      <c r="G156" s="15" t="str">
        <f>VLOOKUP(F156, GLOSSARY!$A:$C, 2, FALSE)</f>
        <v>ABBA</v>
      </c>
      <c r="H156" s="16"/>
      <c r="I156" s="16"/>
      <c r="J156" s="16"/>
      <c r="K156" s="16"/>
      <c r="L156" s="16"/>
      <c r="M156" s="16"/>
      <c r="N156" s="16"/>
      <c r="O156" s="16"/>
      <c r="P156" s="16"/>
      <c r="Q156" s="16"/>
      <c r="R156" s="16"/>
      <c r="S156" s="16"/>
      <c r="T156" s="16"/>
      <c r="U156" s="16"/>
      <c r="V156" s="16"/>
      <c r="W156" s="16"/>
      <c r="X156" s="16"/>
      <c r="Y156" s="16"/>
    </row>
    <row r="157" spans="1:25" x14ac:dyDescent="0.2">
      <c r="A157" s="14" t="s">
        <v>201</v>
      </c>
      <c r="B157" s="6" t="s">
        <v>202</v>
      </c>
      <c r="C157" s="6"/>
      <c r="D157" s="16" t="s">
        <v>115</v>
      </c>
      <c r="E157" s="6"/>
      <c r="F157" s="16"/>
      <c r="G157" s="15" t="e">
        <f>VLOOKUP(F157, GLOSSARY!$A:$C, 2, FALSE)</f>
        <v>#N/A</v>
      </c>
      <c r="H157" s="16"/>
      <c r="I157" s="16"/>
      <c r="J157" s="16"/>
      <c r="K157" s="16"/>
      <c r="L157" s="16"/>
      <c r="M157" s="16"/>
      <c r="N157" s="16"/>
      <c r="O157" s="16"/>
      <c r="P157" s="16"/>
      <c r="Q157" s="16"/>
      <c r="R157" s="16"/>
      <c r="S157" s="16"/>
      <c r="T157" s="16"/>
      <c r="U157" s="16"/>
      <c r="V157" s="16"/>
      <c r="W157" s="16"/>
      <c r="X157" s="16"/>
      <c r="Y157" s="16"/>
    </row>
    <row r="158" spans="1:25" x14ac:dyDescent="0.2">
      <c r="A158" s="21"/>
      <c r="B158" s="22"/>
      <c r="C158" s="22"/>
      <c r="D158" s="23"/>
      <c r="E158" s="22"/>
      <c r="F158" s="23"/>
      <c r="G158" s="15" t="e">
        <f>VLOOKUP(F158, GLOSSARY!$A:$C, 2, FALSE)</f>
        <v>#N/A</v>
      </c>
      <c r="H158" s="23"/>
      <c r="I158" s="23"/>
      <c r="J158" s="23"/>
      <c r="K158" s="23"/>
      <c r="L158" s="23"/>
      <c r="M158" s="23"/>
      <c r="N158" s="23"/>
      <c r="O158" s="23"/>
      <c r="P158" s="23"/>
      <c r="Q158" s="23"/>
      <c r="R158" s="23"/>
      <c r="S158" s="23"/>
      <c r="T158" s="23"/>
      <c r="U158" s="23"/>
      <c r="V158" s="23"/>
      <c r="W158" s="23"/>
      <c r="X158" s="23"/>
      <c r="Y158" s="23"/>
    </row>
    <row r="159" spans="1:25" x14ac:dyDescent="0.2">
      <c r="A159" s="14" t="s">
        <v>214</v>
      </c>
      <c r="B159" s="6" t="s">
        <v>215</v>
      </c>
      <c r="C159" s="6"/>
      <c r="D159" s="16" t="s">
        <v>882</v>
      </c>
      <c r="E159" s="6" t="s">
        <v>52</v>
      </c>
      <c r="F159" s="16" t="s">
        <v>51</v>
      </c>
      <c r="G159" s="15" t="str">
        <f>VLOOKUP(F159, GLOSSARY!$A:$C, 2, FALSE)</f>
        <v>EGYPT LUCY</v>
      </c>
      <c r="H159" s="6" t="s">
        <v>220</v>
      </c>
      <c r="I159" s="16"/>
      <c r="J159" s="16"/>
      <c r="K159" s="16"/>
      <c r="L159" s="16"/>
      <c r="M159" s="16"/>
      <c r="N159" s="16"/>
      <c r="O159" s="16"/>
      <c r="P159" s="16"/>
      <c r="Q159" s="16"/>
      <c r="R159" s="16"/>
      <c r="S159" s="16"/>
      <c r="T159" s="16"/>
      <c r="U159" s="16"/>
      <c r="V159" s="16"/>
      <c r="W159" s="16"/>
      <c r="X159" s="16"/>
      <c r="Y159" s="16"/>
    </row>
    <row r="160" spans="1:25" x14ac:dyDescent="0.2">
      <c r="A160" s="14" t="s">
        <v>214</v>
      </c>
      <c r="B160" s="6" t="s">
        <v>215</v>
      </c>
      <c r="C160" s="6"/>
      <c r="D160" s="16" t="s">
        <v>882</v>
      </c>
      <c r="E160" s="6" t="s">
        <v>75</v>
      </c>
      <c r="F160" s="16" t="s">
        <v>74</v>
      </c>
      <c r="G160" s="15" t="str">
        <f>VLOOKUP(F160, GLOSSARY!$A:$C, 2, FALSE)</f>
        <v>LITTLE QUASHE</v>
      </c>
      <c r="H160" s="16"/>
      <c r="I160" s="16"/>
      <c r="J160" s="16"/>
      <c r="K160" s="16"/>
      <c r="L160" s="16"/>
      <c r="M160" s="16"/>
      <c r="N160" s="16"/>
      <c r="O160" s="16"/>
      <c r="P160" s="16"/>
      <c r="Q160" s="16"/>
      <c r="R160" s="16"/>
      <c r="S160" s="16"/>
      <c r="T160" s="16"/>
      <c r="U160" s="16"/>
      <c r="V160" s="16"/>
      <c r="W160" s="16"/>
      <c r="X160" s="16"/>
      <c r="Y160" s="16"/>
    </row>
    <row r="161" spans="1:25" x14ac:dyDescent="0.2">
      <c r="A161" s="14" t="s">
        <v>214</v>
      </c>
      <c r="B161" s="6" t="s">
        <v>215</v>
      </c>
      <c r="C161" s="6"/>
      <c r="D161" s="16" t="s">
        <v>882</v>
      </c>
      <c r="E161" s="6" t="s">
        <v>29</v>
      </c>
      <c r="F161" s="16" t="s">
        <v>28</v>
      </c>
      <c r="G161" s="15" t="str">
        <f>VLOOKUP(F161, GLOSSARY!$A:$C, 2, FALSE)</f>
        <v>MOLIA</v>
      </c>
      <c r="H161" s="16"/>
      <c r="I161" s="16"/>
      <c r="J161" s="16"/>
      <c r="K161" s="16"/>
      <c r="L161" s="16"/>
      <c r="M161" s="16"/>
      <c r="N161" s="16"/>
      <c r="O161" s="16"/>
      <c r="P161" s="16"/>
      <c r="Q161" s="16"/>
      <c r="R161" s="16"/>
      <c r="S161" s="16"/>
      <c r="T161" s="16"/>
      <c r="U161" s="16"/>
      <c r="V161" s="16"/>
      <c r="W161" s="16"/>
      <c r="X161" s="16"/>
      <c r="Y161" s="16"/>
    </row>
    <row r="162" spans="1:25" x14ac:dyDescent="0.2">
      <c r="A162" s="14" t="s">
        <v>214</v>
      </c>
      <c r="B162" s="6" t="s">
        <v>215</v>
      </c>
      <c r="C162" s="6"/>
      <c r="D162" s="16" t="s">
        <v>882</v>
      </c>
      <c r="E162" s="6" t="s">
        <v>38</v>
      </c>
      <c r="F162" s="16" t="s">
        <v>40</v>
      </c>
      <c r="G162" s="15" t="str">
        <f>VLOOKUP(F162, GLOSSARY!$A:$C, 2, FALSE)</f>
        <v>SILVIA</v>
      </c>
      <c r="H162" s="16"/>
      <c r="I162" s="16"/>
      <c r="J162" s="16"/>
      <c r="K162" s="16"/>
      <c r="L162" s="16"/>
      <c r="M162" s="16"/>
      <c r="N162" s="16"/>
      <c r="O162" s="16"/>
      <c r="P162" s="16"/>
      <c r="Q162" s="16"/>
      <c r="R162" s="16"/>
      <c r="S162" s="16"/>
      <c r="T162" s="16"/>
      <c r="U162" s="16"/>
      <c r="V162" s="16"/>
      <c r="W162" s="16"/>
      <c r="X162" s="16"/>
      <c r="Y162" s="16"/>
    </row>
    <row r="163" spans="1:25" x14ac:dyDescent="0.2">
      <c r="A163" s="14" t="s">
        <v>214</v>
      </c>
      <c r="B163" s="6" t="s">
        <v>215</v>
      </c>
      <c r="C163" s="6"/>
      <c r="D163" s="16" t="s">
        <v>882</v>
      </c>
      <c r="E163" s="6" t="s">
        <v>87</v>
      </c>
      <c r="F163" s="16" t="s">
        <v>88</v>
      </c>
      <c r="G163" s="15" t="str">
        <f>VLOOKUP(F163, GLOSSARY!$A:$C, 2, FALSE)</f>
        <v>OGO</v>
      </c>
      <c r="H163" s="16"/>
      <c r="I163" s="16"/>
      <c r="J163" s="16"/>
      <c r="K163" s="16"/>
      <c r="L163" s="16"/>
      <c r="M163" s="16"/>
      <c r="N163" s="16"/>
      <c r="O163" s="16"/>
      <c r="P163" s="16"/>
      <c r="Q163" s="16"/>
      <c r="R163" s="16"/>
      <c r="S163" s="16"/>
      <c r="T163" s="16"/>
      <c r="U163" s="16"/>
      <c r="V163" s="16"/>
      <c r="W163" s="16"/>
      <c r="X163" s="16"/>
      <c r="Y163" s="16"/>
    </row>
    <row r="164" spans="1:25" x14ac:dyDescent="0.2">
      <c r="A164" s="14" t="s">
        <v>214</v>
      </c>
      <c r="B164" s="6" t="s">
        <v>215</v>
      </c>
      <c r="C164" s="6"/>
      <c r="D164" s="16" t="s">
        <v>882</v>
      </c>
      <c r="E164" s="6" t="s">
        <v>169</v>
      </c>
      <c r="F164" s="16" t="s">
        <v>168</v>
      </c>
      <c r="G164" s="15" t="str">
        <f>VLOOKUP(F164, GLOSSARY!$A:$C, 2, FALSE)</f>
        <v>LUCY</v>
      </c>
      <c r="H164" s="16"/>
      <c r="I164" s="16"/>
      <c r="J164" s="16"/>
      <c r="K164" s="16"/>
      <c r="L164" s="16"/>
      <c r="M164" s="16"/>
      <c r="N164" s="16"/>
      <c r="O164" s="16"/>
      <c r="P164" s="16"/>
      <c r="Q164" s="16"/>
      <c r="R164" s="16"/>
      <c r="S164" s="16"/>
      <c r="T164" s="16"/>
      <c r="U164" s="16"/>
      <c r="V164" s="16"/>
      <c r="W164" s="16"/>
      <c r="X164" s="16"/>
      <c r="Y164" s="16"/>
    </row>
    <row r="165" spans="1:25" x14ac:dyDescent="0.2">
      <c r="A165" s="14" t="s">
        <v>214</v>
      </c>
      <c r="B165" s="6" t="s">
        <v>215</v>
      </c>
      <c r="C165" s="6"/>
      <c r="D165" s="16" t="s">
        <v>882</v>
      </c>
      <c r="E165" s="6" t="s">
        <v>183</v>
      </c>
      <c r="F165" s="16" t="s">
        <v>181</v>
      </c>
      <c r="G165" s="15" t="str">
        <f>VLOOKUP(F165, GLOSSARY!$A:$C, 2, FALSE)</f>
        <v>NANNY</v>
      </c>
      <c r="H165" s="16"/>
      <c r="I165" s="16"/>
      <c r="J165" s="16"/>
      <c r="K165" s="16"/>
      <c r="L165" s="16"/>
      <c r="M165" s="16"/>
      <c r="N165" s="16"/>
      <c r="O165" s="16"/>
      <c r="P165" s="16"/>
      <c r="Q165" s="16"/>
      <c r="R165" s="16"/>
      <c r="S165" s="16"/>
      <c r="T165" s="16"/>
      <c r="U165" s="16"/>
      <c r="V165" s="16"/>
      <c r="W165" s="16"/>
      <c r="X165" s="16"/>
      <c r="Y165" s="16"/>
    </row>
    <row r="166" spans="1:25" x14ac:dyDescent="0.2">
      <c r="A166" s="14" t="s">
        <v>214</v>
      </c>
      <c r="B166" s="6" t="s">
        <v>215</v>
      </c>
      <c r="C166" s="6"/>
      <c r="D166" s="16" t="s">
        <v>882</v>
      </c>
      <c r="E166" s="6" t="s">
        <v>250</v>
      </c>
      <c r="F166" s="16" t="s">
        <v>249</v>
      </c>
      <c r="G166" s="15" t="str">
        <f>VLOOKUP(F166, GLOSSARY!$A:$C, 2, FALSE)</f>
        <v>LITTLE PHIBBAH</v>
      </c>
      <c r="H166" s="16"/>
      <c r="I166" s="16"/>
      <c r="J166" s="16"/>
      <c r="K166" s="16"/>
      <c r="L166" s="16"/>
      <c r="M166" s="16"/>
      <c r="N166" s="16"/>
      <c r="O166" s="16"/>
      <c r="P166" s="16"/>
      <c r="Q166" s="16"/>
      <c r="R166" s="16"/>
      <c r="S166" s="16"/>
      <c r="T166" s="16"/>
      <c r="U166" s="16"/>
      <c r="V166" s="16"/>
      <c r="W166" s="16"/>
      <c r="X166" s="16"/>
      <c r="Y166" s="16"/>
    </row>
    <row r="167" spans="1:25" x14ac:dyDescent="0.2">
      <c r="A167" s="14" t="s">
        <v>214</v>
      </c>
      <c r="B167" s="6" t="s">
        <v>215</v>
      </c>
      <c r="C167" s="6"/>
      <c r="D167" s="16" t="s">
        <v>882</v>
      </c>
      <c r="E167" s="6"/>
      <c r="F167" s="16" t="s">
        <v>113</v>
      </c>
      <c r="G167" s="15" t="str">
        <f>VLOOKUP(F167, GLOSSARY!$A:$C, 2, FALSE)</f>
        <v>NANCY</v>
      </c>
      <c r="H167" s="16"/>
      <c r="I167" s="16"/>
      <c r="J167" s="16"/>
      <c r="K167" s="16"/>
      <c r="L167" s="16"/>
      <c r="M167" s="16"/>
      <c r="N167" s="16"/>
      <c r="O167" s="16"/>
      <c r="P167" s="16"/>
      <c r="Q167" s="16"/>
      <c r="R167" s="16"/>
      <c r="S167" s="16"/>
      <c r="T167" s="16"/>
      <c r="U167" s="16"/>
      <c r="V167" s="16"/>
      <c r="W167" s="16"/>
      <c r="X167" s="16"/>
      <c r="Y167" s="16"/>
    </row>
    <row r="168" spans="1:25" x14ac:dyDescent="0.2">
      <c r="A168" s="14" t="s">
        <v>214</v>
      </c>
      <c r="B168" s="6" t="s">
        <v>215</v>
      </c>
      <c r="C168" s="6"/>
      <c r="D168" s="16" t="s">
        <v>882</v>
      </c>
      <c r="E168" s="6"/>
      <c r="F168" s="16" t="s">
        <v>837</v>
      </c>
      <c r="G168" s="15" t="str">
        <f>VLOOKUP(F168, GLOSSARY!$A:$C, 2, FALSE)</f>
        <v>EVE</v>
      </c>
      <c r="H168" s="16"/>
      <c r="I168" s="16"/>
      <c r="J168" s="16"/>
      <c r="K168" s="16"/>
      <c r="L168" s="16"/>
      <c r="M168" s="16"/>
      <c r="N168" s="16"/>
      <c r="O168" s="16"/>
      <c r="P168" s="16"/>
      <c r="Q168" s="16"/>
      <c r="R168" s="16"/>
      <c r="S168" s="16"/>
      <c r="T168" s="16"/>
      <c r="U168" s="16"/>
      <c r="V168" s="16"/>
      <c r="W168" s="16"/>
      <c r="X168" s="16"/>
      <c r="Y168" s="16"/>
    </row>
    <row r="169" spans="1:25" x14ac:dyDescent="0.2">
      <c r="A169" s="14" t="s">
        <v>214</v>
      </c>
      <c r="B169" s="6" t="s">
        <v>215</v>
      </c>
      <c r="C169" s="6"/>
      <c r="D169" s="16" t="s">
        <v>882</v>
      </c>
      <c r="E169" s="6"/>
      <c r="F169" s="16" t="s">
        <v>712</v>
      </c>
      <c r="G169" s="15" t="str">
        <f>VLOOKUP(F169, GLOSSARY!$A:$C, 2, FALSE)</f>
        <v>JENNY</v>
      </c>
      <c r="H169" s="16"/>
      <c r="I169" s="16"/>
      <c r="J169" s="16"/>
      <c r="K169" s="16"/>
      <c r="L169" s="16"/>
      <c r="M169" s="16"/>
      <c r="N169" s="16"/>
      <c r="O169" s="16"/>
      <c r="P169" s="16"/>
      <c r="Q169" s="16"/>
      <c r="R169" s="16"/>
      <c r="S169" s="16"/>
      <c r="T169" s="16"/>
      <c r="U169" s="16"/>
      <c r="V169" s="16"/>
      <c r="W169" s="16"/>
      <c r="X169" s="16"/>
      <c r="Y169" s="16"/>
    </row>
    <row r="170" spans="1:25" x14ac:dyDescent="0.2">
      <c r="A170" s="14" t="s">
        <v>214</v>
      </c>
      <c r="B170" s="6" t="s">
        <v>215</v>
      </c>
      <c r="C170" s="6"/>
      <c r="D170" s="16" t="s">
        <v>882</v>
      </c>
      <c r="E170" s="6"/>
      <c r="F170" s="16" t="s">
        <v>137</v>
      </c>
      <c r="G170" s="15" t="str">
        <f>VLOOKUP(F170, GLOSSARY!$A:$C, 2, FALSE)</f>
        <v>WANGA</v>
      </c>
      <c r="H170" s="16"/>
      <c r="I170" s="16"/>
      <c r="J170" s="16"/>
      <c r="K170" s="16"/>
      <c r="L170" s="16"/>
      <c r="M170" s="16"/>
      <c r="N170" s="16"/>
      <c r="O170" s="16"/>
      <c r="P170" s="16"/>
      <c r="Q170" s="16"/>
      <c r="R170" s="16"/>
      <c r="S170" s="16"/>
      <c r="T170" s="16"/>
      <c r="U170" s="16"/>
      <c r="V170" s="16"/>
      <c r="W170" s="16"/>
      <c r="X170" s="16"/>
      <c r="Y170" s="16"/>
    </row>
    <row r="171" spans="1:25" x14ac:dyDescent="0.2">
      <c r="A171" s="14" t="s">
        <v>214</v>
      </c>
      <c r="B171" s="6" t="s">
        <v>215</v>
      </c>
      <c r="C171" s="6"/>
      <c r="D171" s="16" t="s">
        <v>882</v>
      </c>
      <c r="E171" s="6"/>
      <c r="F171" s="16" t="s">
        <v>763</v>
      </c>
      <c r="G171" s="15" t="str">
        <f>VLOOKUP(F171, GLOSSARY!$A:$C, 2, FALSE)</f>
        <v>ROSANNA</v>
      </c>
      <c r="H171" s="16"/>
      <c r="I171" s="16"/>
      <c r="J171" s="16"/>
      <c r="K171" s="16"/>
      <c r="L171" s="16"/>
      <c r="M171" s="16"/>
      <c r="N171" s="16"/>
      <c r="O171" s="16"/>
      <c r="P171" s="16"/>
      <c r="Q171" s="16"/>
      <c r="R171" s="16"/>
      <c r="S171" s="16"/>
      <c r="T171" s="16"/>
      <c r="U171" s="16"/>
      <c r="V171" s="16"/>
      <c r="W171" s="16"/>
      <c r="X171" s="16"/>
      <c r="Y171" s="16"/>
    </row>
    <row r="172" spans="1:25" x14ac:dyDescent="0.2">
      <c r="A172" s="14" t="s">
        <v>214</v>
      </c>
      <c r="B172" s="6" t="s">
        <v>215</v>
      </c>
      <c r="C172" s="6"/>
      <c r="D172" s="16" t="s">
        <v>882</v>
      </c>
      <c r="E172" s="6"/>
      <c r="F172" s="16" t="s">
        <v>823</v>
      </c>
      <c r="G172" s="15" t="str">
        <f>VLOOKUP(F172, GLOSSARY!$A:$C, 2, FALSE)</f>
        <v>MOLL</v>
      </c>
      <c r="H172" s="16"/>
      <c r="I172" s="16"/>
      <c r="J172" s="16"/>
      <c r="K172" s="16"/>
      <c r="L172" s="16"/>
      <c r="M172" s="16"/>
      <c r="N172" s="16"/>
      <c r="O172" s="16"/>
      <c r="P172" s="16"/>
      <c r="Q172" s="16"/>
      <c r="R172" s="16"/>
      <c r="S172" s="16"/>
      <c r="T172" s="16"/>
      <c r="U172" s="16"/>
      <c r="V172" s="16"/>
      <c r="W172" s="16"/>
      <c r="X172" s="16"/>
      <c r="Y172" s="16"/>
    </row>
    <row r="173" spans="1:25" x14ac:dyDescent="0.2">
      <c r="A173" s="21"/>
      <c r="B173" s="22"/>
      <c r="C173" s="22"/>
      <c r="D173" s="23"/>
      <c r="E173" s="22"/>
      <c r="F173" s="23"/>
      <c r="G173" s="15" t="e">
        <f>VLOOKUP(F173, GLOSSARY!$A:$C, 2, FALSE)</f>
        <v>#N/A</v>
      </c>
      <c r="H173" s="23"/>
      <c r="I173" s="23"/>
      <c r="J173" s="23"/>
      <c r="K173" s="23"/>
      <c r="L173" s="23"/>
      <c r="M173" s="23"/>
      <c r="N173" s="23"/>
      <c r="O173" s="23"/>
      <c r="P173" s="23"/>
      <c r="Q173" s="23"/>
      <c r="R173" s="23"/>
      <c r="S173" s="23"/>
      <c r="T173" s="23"/>
      <c r="U173" s="23"/>
      <c r="V173" s="23"/>
      <c r="W173" s="23"/>
      <c r="X173" s="23"/>
      <c r="Y173" s="23"/>
    </row>
    <row r="174" spans="1:25" x14ac:dyDescent="0.2">
      <c r="A174" s="14" t="s">
        <v>58</v>
      </c>
      <c r="B174" s="6" t="s">
        <v>57</v>
      </c>
      <c r="C174" s="6"/>
      <c r="D174" s="16" t="s">
        <v>91</v>
      </c>
      <c r="E174" s="6"/>
      <c r="F174" s="16"/>
      <c r="G174" s="15" t="e">
        <f>VLOOKUP(F174, GLOSSARY!$A:$C, 2, FALSE)</f>
        <v>#N/A</v>
      </c>
      <c r="H174" s="6" t="s">
        <v>227</v>
      </c>
      <c r="I174" s="16"/>
      <c r="J174" s="16"/>
      <c r="K174" s="16"/>
      <c r="L174" s="16"/>
      <c r="M174" s="16"/>
      <c r="N174" s="16"/>
      <c r="O174" s="16"/>
      <c r="P174" s="16"/>
      <c r="Q174" s="16"/>
      <c r="R174" s="16"/>
      <c r="S174" s="16"/>
      <c r="T174" s="16"/>
      <c r="U174" s="16"/>
      <c r="V174" s="16"/>
      <c r="W174" s="16"/>
      <c r="X174" s="16"/>
      <c r="Y174" s="16"/>
    </row>
    <row r="175" spans="1:25" x14ac:dyDescent="0.2">
      <c r="A175" s="14" t="s">
        <v>58</v>
      </c>
      <c r="B175" s="6" t="s">
        <v>57</v>
      </c>
      <c r="C175" s="6"/>
      <c r="D175" s="16" t="s">
        <v>71</v>
      </c>
      <c r="E175" s="32" t="s">
        <v>485</v>
      </c>
      <c r="F175" s="31" t="s">
        <v>484</v>
      </c>
      <c r="G175" s="15" t="str">
        <f>VLOOKUP(F175, GLOSSARY!$A:$C, 2, FALSE)</f>
        <v>CHUB</v>
      </c>
      <c r="H175" s="16"/>
      <c r="I175" s="16"/>
      <c r="J175" s="16"/>
      <c r="K175" s="16"/>
      <c r="L175" s="16"/>
      <c r="M175" s="16"/>
      <c r="N175" s="16"/>
      <c r="O175" s="16"/>
      <c r="P175" s="16"/>
      <c r="Q175" s="16"/>
      <c r="R175" s="16"/>
      <c r="S175" s="16"/>
      <c r="T175" s="16"/>
      <c r="U175" s="16"/>
      <c r="V175" s="16"/>
      <c r="W175" s="16"/>
      <c r="X175" s="16"/>
      <c r="Y175" s="16"/>
    </row>
    <row r="176" spans="1:25" x14ac:dyDescent="0.2">
      <c r="A176" s="14" t="s">
        <v>58</v>
      </c>
      <c r="B176" s="6" t="s">
        <v>57</v>
      </c>
      <c r="C176" s="6"/>
      <c r="D176" s="16" t="s">
        <v>71</v>
      </c>
      <c r="E176" s="32" t="s">
        <v>489</v>
      </c>
      <c r="F176" s="31" t="s">
        <v>488</v>
      </c>
      <c r="G176" s="15" t="str">
        <f>VLOOKUP(F176, GLOSSARY!$A:$C, 2, FALSE)</f>
        <v>PHOEBE</v>
      </c>
      <c r="H176" s="16"/>
      <c r="I176" s="16"/>
      <c r="J176" s="16"/>
      <c r="K176" s="16"/>
      <c r="L176" s="16"/>
      <c r="M176" s="16"/>
      <c r="N176" s="16"/>
      <c r="O176" s="16"/>
      <c r="P176" s="16"/>
      <c r="Q176" s="16"/>
      <c r="R176" s="16"/>
      <c r="S176" s="16"/>
      <c r="T176" s="16"/>
      <c r="U176" s="16"/>
      <c r="V176" s="16"/>
      <c r="W176" s="16"/>
      <c r="X176" s="16"/>
      <c r="Y176" s="16"/>
    </row>
    <row r="177" spans="1:25" x14ac:dyDescent="0.2">
      <c r="A177" s="14" t="s">
        <v>58</v>
      </c>
      <c r="B177" s="6" t="s">
        <v>57</v>
      </c>
      <c r="C177" s="6"/>
      <c r="D177" s="16" t="s">
        <v>71</v>
      </c>
      <c r="E177" s="32" t="s">
        <v>495</v>
      </c>
      <c r="F177" s="31" t="s">
        <v>494</v>
      </c>
      <c r="G177" s="15" t="str">
        <f>VLOOKUP(F177, GLOSSARY!$A:$C, 2, FALSE)</f>
        <v>FRANKE</v>
      </c>
      <c r="H177" s="16"/>
      <c r="I177" s="16"/>
      <c r="J177" s="16"/>
      <c r="K177" s="16"/>
      <c r="L177" s="16"/>
      <c r="M177" s="16"/>
      <c r="N177" s="16"/>
      <c r="O177" s="16"/>
      <c r="P177" s="16"/>
      <c r="Q177" s="16"/>
      <c r="R177" s="16"/>
      <c r="S177" s="16"/>
      <c r="T177" s="16"/>
      <c r="U177" s="16"/>
      <c r="V177" s="16"/>
      <c r="W177" s="16"/>
      <c r="X177" s="16"/>
      <c r="Y177" s="16"/>
    </row>
    <row r="178" spans="1:25" x14ac:dyDescent="0.2">
      <c r="A178" s="14" t="s">
        <v>58</v>
      </c>
      <c r="B178" s="6" t="s">
        <v>57</v>
      </c>
      <c r="C178" s="6"/>
      <c r="D178" s="16" t="s">
        <v>71</v>
      </c>
      <c r="E178" s="32" t="s">
        <v>456</v>
      </c>
      <c r="F178" s="31" t="s">
        <v>500</v>
      </c>
      <c r="G178" s="15" t="str">
        <f>VLOOKUP(F178, GLOSSARY!$A:$C, 2, FALSE)</f>
        <v>CUDJOE</v>
      </c>
      <c r="H178" s="16"/>
      <c r="I178" s="16"/>
      <c r="J178" s="16"/>
      <c r="K178" s="16"/>
      <c r="L178" s="16"/>
      <c r="M178" s="16"/>
      <c r="N178" s="16"/>
      <c r="O178" s="16"/>
      <c r="P178" s="16"/>
      <c r="Q178" s="16"/>
      <c r="R178" s="16"/>
      <c r="S178" s="16"/>
      <c r="T178" s="16"/>
      <c r="U178" s="16"/>
      <c r="V178" s="16"/>
      <c r="W178" s="16"/>
      <c r="X178" s="16"/>
      <c r="Y178" s="16"/>
    </row>
    <row r="179" spans="1:25" x14ac:dyDescent="0.2">
      <c r="A179" s="14" t="s">
        <v>58</v>
      </c>
      <c r="B179" s="6" t="s">
        <v>57</v>
      </c>
      <c r="C179" s="6"/>
      <c r="D179" s="16" t="s">
        <v>71</v>
      </c>
      <c r="E179" s="6" t="s">
        <v>312</v>
      </c>
      <c r="F179" s="16" t="s">
        <v>311</v>
      </c>
      <c r="G179" s="15" t="str">
        <f>VLOOKUP(F179, GLOSSARY!$A:$C, 2, FALSE)</f>
        <v>MIRTILLA</v>
      </c>
      <c r="H179" s="16"/>
      <c r="I179" s="16"/>
      <c r="J179" s="16"/>
      <c r="K179" s="16"/>
      <c r="L179" s="16"/>
      <c r="M179" s="16"/>
      <c r="N179" s="16"/>
      <c r="O179" s="16"/>
      <c r="P179" s="16"/>
      <c r="Q179" s="16"/>
      <c r="R179" s="16"/>
      <c r="S179" s="16"/>
      <c r="T179" s="16"/>
      <c r="U179" s="16"/>
      <c r="V179" s="16"/>
      <c r="W179" s="16"/>
      <c r="X179" s="16"/>
      <c r="Y179" s="16"/>
    </row>
    <row r="180" spans="1:25" x14ac:dyDescent="0.2">
      <c r="A180" s="14" t="s">
        <v>58</v>
      </c>
      <c r="B180" s="6" t="s">
        <v>57</v>
      </c>
      <c r="C180" s="6"/>
      <c r="D180" s="16" t="s">
        <v>71</v>
      </c>
      <c r="E180" s="6" t="s">
        <v>464</v>
      </c>
      <c r="F180" s="16" t="s">
        <v>463</v>
      </c>
      <c r="G180" s="15" t="str">
        <f>VLOOKUP(F180, GLOSSARY!$A:$C, 2, FALSE)</f>
        <v>JIMMY</v>
      </c>
      <c r="H180" s="16"/>
      <c r="I180" s="16"/>
      <c r="J180" s="16"/>
      <c r="K180" s="16"/>
      <c r="L180" s="16"/>
      <c r="M180" s="16"/>
      <c r="N180" s="16"/>
      <c r="O180" s="16"/>
      <c r="P180" s="16"/>
      <c r="Q180" s="16"/>
      <c r="R180" s="16"/>
      <c r="S180" s="16"/>
      <c r="T180" s="16"/>
      <c r="U180" s="16"/>
      <c r="V180" s="16"/>
      <c r="W180" s="16"/>
      <c r="X180" s="16"/>
      <c r="Y180" s="16"/>
    </row>
    <row r="181" spans="1:25" x14ac:dyDescent="0.2">
      <c r="A181" s="14" t="s">
        <v>58</v>
      </c>
      <c r="B181" s="6" t="s">
        <v>57</v>
      </c>
      <c r="C181" s="6"/>
      <c r="D181" s="16" t="s">
        <v>71</v>
      </c>
      <c r="E181" s="6" t="s">
        <v>329</v>
      </c>
      <c r="F181" s="16" t="s">
        <v>328</v>
      </c>
      <c r="G181" s="15" t="str">
        <f>VLOOKUP(F181, GLOSSARY!$A:$C, 2, FALSE)</f>
        <v>DAMSEL</v>
      </c>
      <c r="H181" s="16"/>
      <c r="I181" s="16"/>
      <c r="J181" s="16"/>
      <c r="K181" s="16"/>
      <c r="L181" s="16"/>
      <c r="M181" s="16"/>
      <c r="N181" s="16"/>
      <c r="O181" s="16"/>
      <c r="P181" s="16"/>
      <c r="Q181" s="16"/>
      <c r="R181" s="16"/>
      <c r="S181" s="16"/>
      <c r="T181" s="16"/>
      <c r="U181" s="16"/>
      <c r="V181" s="16"/>
      <c r="W181" s="16"/>
      <c r="X181" s="16"/>
      <c r="Y181" s="16"/>
    </row>
    <row r="182" spans="1:25" x14ac:dyDescent="0.2">
      <c r="A182" s="14" t="s">
        <v>58</v>
      </c>
      <c r="B182" s="6" t="s">
        <v>57</v>
      </c>
      <c r="C182" s="6"/>
      <c r="D182" s="16" t="s">
        <v>56</v>
      </c>
      <c r="E182" s="6" t="s">
        <v>29</v>
      </c>
      <c r="F182" s="16" t="s">
        <v>28</v>
      </c>
      <c r="G182" s="15" t="str">
        <f>VLOOKUP(F182, GLOSSARY!$A:$C, 2, FALSE)</f>
        <v>MOLIA</v>
      </c>
      <c r="H182" s="16"/>
      <c r="I182" s="16"/>
      <c r="J182" s="16"/>
      <c r="K182" s="16"/>
      <c r="L182" s="16"/>
      <c r="M182" s="16"/>
      <c r="N182" s="16"/>
      <c r="O182" s="16"/>
      <c r="P182" s="16"/>
      <c r="Q182" s="16"/>
      <c r="R182" s="16"/>
      <c r="S182" s="16"/>
      <c r="T182" s="16"/>
      <c r="U182" s="16"/>
      <c r="V182" s="16"/>
      <c r="W182" s="16"/>
      <c r="X182" s="16"/>
      <c r="Y182" s="16"/>
    </row>
    <row r="183" spans="1:25" x14ac:dyDescent="0.2">
      <c r="A183" s="14" t="s">
        <v>58</v>
      </c>
      <c r="B183" s="6" t="s">
        <v>57</v>
      </c>
      <c r="C183" s="6"/>
      <c r="D183" s="16" t="s">
        <v>56</v>
      </c>
      <c r="E183" s="6" t="s">
        <v>38</v>
      </c>
      <c r="F183" s="16" t="s">
        <v>40</v>
      </c>
      <c r="G183" s="15" t="str">
        <f>VLOOKUP(F183, GLOSSARY!$A:$C, 2, FALSE)</f>
        <v>SILVIA</v>
      </c>
      <c r="H183" s="16"/>
      <c r="I183" s="16"/>
      <c r="J183" s="16"/>
      <c r="K183" s="16"/>
      <c r="L183" s="16"/>
      <c r="M183" s="16"/>
      <c r="N183" s="16"/>
      <c r="O183" s="16"/>
      <c r="P183" s="16"/>
      <c r="Q183" s="16"/>
      <c r="R183" s="16"/>
      <c r="S183" s="16"/>
      <c r="T183" s="16"/>
      <c r="U183" s="16"/>
      <c r="V183" s="16"/>
      <c r="W183" s="16"/>
      <c r="X183" s="16"/>
      <c r="Y183" s="16"/>
    </row>
    <row r="184" spans="1:25" x14ac:dyDescent="0.2">
      <c r="A184" s="14" t="s">
        <v>58</v>
      </c>
      <c r="B184" s="6" t="s">
        <v>57</v>
      </c>
      <c r="C184" s="6"/>
      <c r="D184" s="16" t="s">
        <v>115</v>
      </c>
      <c r="E184" s="6"/>
      <c r="F184" s="16"/>
      <c r="G184" s="15" t="e">
        <f>VLOOKUP(F184, GLOSSARY!$A:$C, 2, FALSE)</f>
        <v>#N/A</v>
      </c>
      <c r="H184" s="16"/>
      <c r="I184" s="16"/>
      <c r="J184" s="16"/>
      <c r="K184" s="16"/>
      <c r="L184" s="16"/>
      <c r="M184" s="16"/>
      <c r="N184" s="16"/>
      <c r="O184" s="16"/>
      <c r="P184" s="16"/>
      <c r="Q184" s="16"/>
      <c r="R184" s="16"/>
      <c r="S184" s="16"/>
      <c r="T184" s="16"/>
      <c r="U184" s="16"/>
      <c r="V184" s="16"/>
      <c r="W184" s="16"/>
      <c r="X184" s="16"/>
      <c r="Y184" s="16"/>
    </row>
    <row r="185" spans="1:25" x14ac:dyDescent="0.2">
      <c r="A185" s="21"/>
      <c r="B185" s="22"/>
      <c r="C185" s="22"/>
      <c r="D185" s="23"/>
      <c r="E185" s="22"/>
      <c r="F185" s="23"/>
      <c r="G185" s="15" t="e">
        <f>VLOOKUP(F185, GLOSSARY!$A:$C, 2, FALSE)</f>
        <v>#N/A</v>
      </c>
      <c r="H185" s="23"/>
      <c r="I185" s="23"/>
      <c r="J185" s="23"/>
      <c r="K185" s="23"/>
      <c r="L185" s="23"/>
      <c r="M185" s="23"/>
      <c r="N185" s="23"/>
      <c r="O185" s="23"/>
      <c r="P185" s="23"/>
      <c r="Q185" s="23"/>
      <c r="R185" s="23"/>
      <c r="S185" s="23"/>
      <c r="T185" s="23"/>
      <c r="U185" s="23"/>
      <c r="V185" s="23"/>
      <c r="W185" s="23"/>
      <c r="X185" s="23"/>
      <c r="Y185" s="23"/>
    </row>
    <row r="186" spans="1:25" x14ac:dyDescent="0.2">
      <c r="A186" s="14" t="s">
        <v>233</v>
      </c>
      <c r="B186" s="6" t="s">
        <v>470</v>
      </c>
      <c r="C186" s="6"/>
      <c r="D186" s="16" t="s">
        <v>430</v>
      </c>
      <c r="E186" s="6" t="s">
        <v>90</v>
      </c>
      <c r="F186" s="16" t="s">
        <v>89</v>
      </c>
      <c r="G186" s="15" t="str">
        <f>VLOOKUP(F186, GLOSSARY!$A:$C, 2, FALSE)</f>
        <v>ABBA</v>
      </c>
      <c r="H186" s="6" t="s">
        <v>237</v>
      </c>
      <c r="I186" s="16"/>
      <c r="J186" s="16"/>
      <c r="K186" s="16"/>
      <c r="L186" s="16"/>
      <c r="M186" s="16"/>
      <c r="N186" s="16"/>
      <c r="O186" s="16"/>
      <c r="P186" s="16"/>
      <c r="Q186" s="16"/>
      <c r="R186" s="16"/>
      <c r="S186" s="16"/>
      <c r="T186" s="16"/>
      <c r="U186" s="16"/>
      <c r="V186" s="16"/>
      <c r="W186" s="16"/>
      <c r="X186" s="16"/>
      <c r="Y186" s="16"/>
    </row>
    <row r="187" spans="1:25" x14ac:dyDescent="0.2">
      <c r="A187" s="14" t="s">
        <v>233</v>
      </c>
      <c r="B187" s="6" t="s">
        <v>470</v>
      </c>
      <c r="C187" s="6"/>
      <c r="D187" s="16" t="s">
        <v>454</v>
      </c>
      <c r="E187" s="6" t="s">
        <v>481</v>
      </c>
      <c r="F187" s="16" t="s">
        <v>242</v>
      </c>
      <c r="G187" s="15" t="str">
        <f>VLOOKUP(F187, GLOSSARY!$A:$C, 2, FALSE)</f>
        <v>ABBA'S MARY</v>
      </c>
      <c r="H187" s="16"/>
      <c r="I187" s="16"/>
      <c r="J187" s="16"/>
      <c r="K187" s="16"/>
      <c r="L187" s="16"/>
      <c r="M187" s="16"/>
      <c r="N187" s="16"/>
      <c r="O187" s="16"/>
      <c r="P187" s="16"/>
      <c r="Q187" s="16"/>
      <c r="R187" s="16"/>
      <c r="S187" s="16"/>
      <c r="T187" s="16"/>
      <c r="U187" s="16"/>
      <c r="V187" s="16"/>
      <c r="W187" s="16"/>
      <c r="X187" s="16"/>
      <c r="Y187" s="16"/>
    </row>
    <row r="188" spans="1:25" x14ac:dyDescent="0.2">
      <c r="A188" s="14" t="s">
        <v>233</v>
      </c>
      <c r="B188" s="6" t="s">
        <v>470</v>
      </c>
      <c r="C188" s="6"/>
      <c r="D188" s="16" t="s">
        <v>454</v>
      </c>
      <c r="E188" s="6"/>
      <c r="F188" s="16" t="s">
        <v>496</v>
      </c>
      <c r="G188" s="15" t="str">
        <f>VLOOKUP(F188, GLOSSARY!$A:$C, 2, FALSE)</f>
        <v>NEPTUNE [ABBA'S SON]</v>
      </c>
      <c r="H188" s="16"/>
      <c r="I188" s="16"/>
      <c r="J188" s="16"/>
      <c r="K188" s="16"/>
      <c r="L188" s="16"/>
      <c r="M188" s="16"/>
      <c r="N188" s="16"/>
      <c r="O188" s="16"/>
      <c r="P188" s="16"/>
      <c r="Q188" s="16"/>
      <c r="R188" s="16"/>
      <c r="S188" s="16"/>
      <c r="T188" s="16"/>
      <c r="U188" s="16"/>
      <c r="V188" s="16"/>
      <c r="W188" s="16"/>
      <c r="X188" s="16"/>
      <c r="Y188" s="16"/>
    </row>
    <row r="189" spans="1:25" x14ac:dyDescent="0.2">
      <c r="A189" s="21"/>
      <c r="B189" s="22"/>
      <c r="C189" s="22"/>
      <c r="D189" s="23"/>
      <c r="E189" s="22"/>
      <c r="F189" s="23"/>
      <c r="G189" s="15" t="e">
        <f>VLOOKUP(F189, GLOSSARY!$A:$C, 2, FALSE)</f>
        <v>#N/A</v>
      </c>
      <c r="H189" s="23"/>
      <c r="I189" s="23"/>
      <c r="J189" s="23"/>
      <c r="K189" s="23"/>
      <c r="L189" s="23"/>
      <c r="M189" s="23"/>
      <c r="N189" s="23"/>
      <c r="O189" s="23"/>
      <c r="P189" s="23"/>
      <c r="Q189" s="23"/>
      <c r="R189" s="23"/>
      <c r="S189" s="23"/>
      <c r="T189" s="23"/>
      <c r="U189" s="23"/>
      <c r="V189" s="23"/>
      <c r="W189" s="23"/>
      <c r="X189" s="23"/>
      <c r="Y189" s="23"/>
    </row>
    <row r="190" spans="1:25" x14ac:dyDescent="0.2">
      <c r="A190" s="14" t="s">
        <v>242</v>
      </c>
      <c r="B190" s="6" t="s">
        <v>481</v>
      </c>
      <c r="C190" s="6"/>
      <c r="D190" s="16" t="s">
        <v>161</v>
      </c>
      <c r="E190" s="6" t="s">
        <v>90</v>
      </c>
      <c r="F190" s="16" t="s">
        <v>89</v>
      </c>
      <c r="G190" s="15" t="str">
        <f>VLOOKUP(F190, GLOSSARY!$A:$C, 2, FALSE)</f>
        <v>ABBA</v>
      </c>
      <c r="H190" s="6" t="s">
        <v>244</v>
      </c>
      <c r="I190" s="16"/>
      <c r="J190" s="16"/>
      <c r="K190" s="16"/>
      <c r="L190" s="16"/>
      <c r="M190" s="16"/>
      <c r="N190" s="16"/>
      <c r="O190" s="16"/>
      <c r="P190" s="16"/>
      <c r="Q190" s="16"/>
      <c r="R190" s="16"/>
      <c r="S190" s="16"/>
      <c r="T190" s="16"/>
      <c r="U190" s="16"/>
      <c r="V190" s="16"/>
      <c r="W190" s="16"/>
      <c r="X190" s="16"/>
      <c r="Y190" s="16"/>
    </row>
    <row r="191" spans="1:25" x14ac:dyDescent="0.2">
      <c r="A191" s="14" t="s">
        <v>242</v>
      </c>
      <c r="B191" s="6" t="s">
        <v>481</v>
      </c>
      <c r="C191" s="6"/>
      <c r="D191" s="16" t="s">
        <v>161</v>
      </c>
      <c r="E191" s="6"/>
      <c r="F191" s="16" t="s">
        <v>537</v>
      </c>
      <c r="G191" s="15" t="str">
        <f>VLOOKUP(F191, GLOSSARY!$A:$C, 2, FALSE)</f>
        <v>NEPTUNE [THOMAS EMOTSON'S]</v>
      </c>
      <c r="H191" s="16"/>
      <c r="I191" s="16"/>
      <c r="J191" s="16"/>
      <c r="K191" s="16"/>
      <c r="L191" s="16"/>
      <c r="M191" s="16"/>
      <c r="N191" s="16"/>
      <c r="O191" s="16"/>
      <c r="P191" s="16"/>
      <c r="Q191" s="16"/>
      <c r="R191" s="16"/>
      <c r="S191" s="16"/>
      <c r="T191" s="16"/>
      <c r="U191" s="16"/>
      <c r="V191" s="16"/>
      <c r="W191" s="16"/>
      <c r="X191" s="16"/>
      <c r="Y191" s="16"/>
    </row>
    <row r="192" spans="1:25" x14ac:dyDescent="0.2">
      <c r="A192" s="14" t="s">
        <v>242</v>
      </c>
      <c r="B192" s="6" t="s">
        <v>481</v>
      </c>
      <c r="C192" s="6"/>
      <c r="D192" s="16" t="s">
        <v>391</v>
      </c>
      <c r="E192" s="6" t="s">
        <v>470</v>
      </c>
      <c r="F192" s="16" t="s">
        <v>233</v>
      </c>
      <c r="G192" s="15" t="str">
        <f>VLOOKUP(F192, GLOSSARY!$A:$C, 2, FALSE)</f>
        <v>ABBA'S JOHNIE</v>
      </c>
      <c r="H192" s="16"/>
      <c r="I192" s="16"/>
      <c r="J192" s="16"/>
      <c r="K192" s="16"/>
      <c r="L192" s="16"/>
      <c r="M192" s="16"/>
      <c r="N192" s="16"/>
      <c r="O192" s="16"/>
      <c r="P192" s="16"/>
      <c r="Q192" s="16"/>
      <c r="R192" s="16"/>
      <c r="S192" s="16"/>
      <c r="T192" s="16"/>
      <c r="U192" s="16"/>
      <c r="V192" s="16"/>
      <c r="W192" s="16"/>
      <c r="X192" s="16"/>
      <c r="Y192" s="16"/>
    </row>
    <row r="193" spans="1:25" x14ac:dyDescent="0.2">
      <c r="A193" s="14" t="s">
        <v>242</v>
      </c>
      <c r="B193" s="6" t="s">
        <v>481</v>
      </c>
      <c r="C193" s="6"/>
      <c r="D193" s="16" t="s">
        <v>391</v>
      </c>
      <c r="E193" s="6"/>
      <c r="F193" s="16" t="s">
        <v>496</v>
      </c>
      <c r="G193" s="15" t="str">
        <f>VLOOKUP(F193, GLOSSARY!$A:$C, 2, FALSE)</f>
        <v>NEPTUNE [ABBA'S SON]</v>
      </c>
      <c r="H193" s="16"/>
      <c r="I193" s="16"/>
      <c r="J193" s="16"/>
      <c r="K193" s="16"/>
      <c r="L193" s="16"/>
      <c r="M193" s="16"/>
      <c r="N193" s="16"/>
      <c r="O193" s="16"/>
      <c r="P193" s="16"/>
      <c r="Q193" s="16"/>
      <c r="R193" s="16"/>
      <c r="S193" s="16"/>
      <c r="T193" s="16"/>
      <c r="U193" s="16"/>
      <c r="V193" s="16"/>
      <c r="W193" s="16"/>
      <c r="X193" s="16"/>
      <c r="Y193" s="16"/>
    </row>
    <row r="194" spans="1:25" x14ac:dyDescent="0.2">
      <c r="A194" s="14" t="s">
        <v>242</v>
      </c>
      <c r="B194" s="6" t="s">
        <v>481</v>
      </c>
      <c r="C194" s="6"/>
      <c r="D194" s="16" t="s">
        <v>37</v>
      </c>
      <c r="E194" s="6"/>
      <c r="F194" s="16" t="s">
        <v>1491</v>
      </c>
      <c r="G194" s="15" t="str">
        <f>VLOOKUP(F194, GLOSSARY!$A:$C, 2, FALSE)</f>
        <v>ABBA'S MARY'S DAUGHTER (1784)</v>
      </c>
      <c r="H194" s="16"/>
      <c r="I194" s="16"/>
      <c r="J194" s="16"/>
      <c r="K194" s="16"/>
      <c r="L194" s="16"/>
      <c r="M194" s="16"/>
      <c r="N194" s="16"/>
      <c r="O194" s="16"/>
      <c r="P194" s="16"/>
      <c r="Q194" s="16"/>
      <c r="R194" s="16"/>
      <c r="S194" s="16"/>
      <c r="T194" s="16"/>
      <c r="U194" s="16"/>
      <c r="V194" s="16"/>
      <c r="W194" s="16"/>
      <c r="X194" s="16"/>
      <c r="Y194" s="16"/>
    </row>
    <row r="195" spans="1:25" x14ac:dyDescent="0.2">
      <c r="A195" s="14" t="s">
        <v>242</v>
      </c>
      <c r="B195" s="6" t="s">
        <v>481</v>
      </c>
      <c r="C195" s="6"/>
      <c r="D195" s="16" t="s">
        <v>37</v>
      </c>
      <c r="E195" s="6"/>
      <c r="F195" s="16" t="s">
        <v>1495</v>
      </c>
      <c r="G195" s="15" t="str">
        <f>VLOOKUP(F195, GLOSSARY!$A:$C, 2, FALSE)</f>
        <v>PRUE [DAUGHTER OF MARY, GRANDDAUGHTER OF ABBA]</v>
      </c>
      <c r="H195" s="16"/>
      <c r="I195" s="16"/>
      <c r="J195" s="16"/>
      <c r="K195" s="16"/>
      <c r="L195" s="16"/>
      <c r="M195" s="16"/>
      <c r="N195" s="16"/>
      <c r="O195" s="16"/>
      <c r="P195" s="16"/>
      <c r="Q195" s="16"/>
      <c r="R195" s="16"/>
      <c r="S195" s="16"/>
      <c r="T195" s="16"/>
      <c r="U195" s="16"/>
      <c r="V195" s="16"/>
      <c r="W195" s="16"/>
      <c r="X195" s="16"/>
      <c r="Y195" s="16"/>
    </row>
    <row r="196" spans="1:25" x14ac:dyDescent="0.2">
      <c r="A196" s="21"/>
      <c r="B196" s="22"/>
      <c r="C196" s="22"/>
      <c r="D196" s="23"/>
      <c r="E196" s="22"/>
      <c r="F196" s="23"/>
      <c r="G196" s="15" t="e">
        <f>VLOOKUP(F196, GLOSSARY!$A:$C, 2, FALSE)</f>
        <v>#N/A</v>
      </c>
      <c r="H196" s="23"/>
      <c r="I196" s="23"/>
      <c r="J196" s="23"/>
      <c r="K196" s="23"/>
      <c r="L196" s="23"/>
      <c r="M196" s="23"/>
      <c r="N196" s="23"/>
      <c r="O196" s="23"/>
      <c r="P196" s="23"/>
      <c r="Q196" s="23"/>
      <c r="R196" s="23"/>
      <c r="S196" s="23"/>
      <c r="T196" s="23"/>
      <c r="U196" s="23"/>
      <c r="V196" s="23"/>
      <c r="W196" s="23"/>
      <c r="X196" s="23"/>
      <c r="Y196" s="23"/>
    </row>
    <row r="197" spans="1:25" x14ac:dyDescent="0.2">
      <c r="A197" s="14" t="s">
        <v>487</v>
      </c>
      <c r="B197" s="6" t="s">
        <v>1511</v>
      </c>
      <c r="C197" s="6"/>
      <c r="D197" s="16" t="s">
        <v>161</v>
      </c>
      <c r="E197" s="6"/>
      <c r="F197" s="16" t="s">
        <v>89</v>
      </c>
      <c r="G197" s="15" t="str">
        <f>VLOOKUP(F197, GLOSSARY!$A:$C, 2, FALSE)</f>
        <v>ABBA</v>
      </c>
      <c r="H197" s="16"/>
      <c r="I197" s="16"/>
      <c r="J197" s="16"/>
      <c r="K197" s="16"/>
      <c r="L197" s="16"/>
      <c r="M197" s="16"/>
      <c r="N197" s="16"/>
      <c r="O197" s="16"/>
      <c r="P197" s="16"/>
      <c r="Q197" s="16"/>
      <c r="R197" s="16"/>
      <c r="S197" s="16"/>
      <c r="T197" s="16"/>
      <c r="U197" s="16"/>
      <c r="V197" s="16"/>
      <c r="W197" s="16"/>
      <c r="X197" s="16"/>
      <c r="Y197" s="16"/>
    </row>
    <row r="198" spans="1:25" x14ac:dyDescent="0.2">
      <c r="A198" s="14" t="s">
        <v>487</v>
      </c>
      <c r="B198" s="6" t="s">
        <v>1511</v>
      </c>
      <c r="C198" s="6"/>
      <c r="D198" s="16" t="s">
        <v>161</v>
      </c>
      <c r="E198" s="6"/>
      <c r="F198" s="16" t="s">
        <v>268</v>
      </c>
      <c r="G198" s="15" t="str">
        <f>VLOOKUP(F198, GLOSSARY!$A:$C, 2, FALSE)</f>
        <v>LINCOLN</v>
      </c>
      <c r="H198" s="16"/>
      <c r="I198" s="16"/>
      <c r="J198" s="16"/>
      <c r="K198" s="16"/>
      <c r="L198" s="16"/>
      <c r="M198" s="16"/>
      <c r="N198" s="16"/>
      <c r="O198" s="16"/>
      <c r="P198" s="16"/>
      <c r="Q198" s="16"/>
      <c r="R198" s="16"/>
      <c r="S198" s="16"/>
      <c r="T198" s="16"/>
      <c r="U198" s="16"/>
      <c r="V198" s="16"/>
      <c r="W198" s="16"/>
      <c r="X198" s="16"/>
      <c r="Y198" s="16"/>
    </row>
    <row r="199" spans="1:25" x14ac:dyDescent="0.2">
      <c r="A199" s="14" t="s">
        <v>487</v>
      </c>
      <c r="B199" s="6" t="s">
        <v>1511</v>
      </c>
      <c r="C199" s="6"/>
      <c r="D199" s="16" t="s">
        <v>391</v>
      </c>
      <c r="E199" s="6"/>
      <c r="F199" s="16" t="s">
        <v>242</v>
      </c>
      <c r="G199" s="15" t="str">
        <f>VLOOKUP(F199, GLOSSARY!$A:$C, 2, FALSE)</f>
        <v>ABBA'S MARY</v>
      </c>
      <c r="H199" s="16"/>
      <c r="I199" s="16"/>
      <c r="J199" s="16"/>
      <c r="K199" s="16"/>
      <c r="L199" s="16"/>
      <c r="M199" s="16"/>
      <c r="N199" s="16"/>
      <c r="O199" s="16"/>
      <c r="P199" s="16"/>
      <c r="Q199" s="16"/>
      <c r="R199" s="16"/>
      <c r="S199" s="16"/>
      <c r="T199" s="16"/>
      <c r="U199" s="16"/>
      <c r="V199" s="16"/>
      <c r="W199" s="16"/>
      <c r="X199" s="16"/>
      <c r="Y199" s="16"/>
    </row>
    <row r="200" spans="1:25" x14ac:dyDescent="0.2">
      <c r="A200" s="14" t="s">
        <v>487</v>
      </c>
      <c r="B200" s="6" t="s">
        <v>1511</v>
      </c>
      <c r="C200" s="6"/>
      <c r="D200" s="16" t="s">
        <v>391</v>
      </c>
      <c r="E200" s="6"/>
      <c r="F200" s="16" t="s">
        <v>496</v>
      </c>
      <c r="G200" s="15" t="str">
        <f>VLOOKUP(F200, GLOSSARY!$A:$C, 2, FALSE)</f>
        <v>NEPTUNE [ABBA'S SON]</v>
      </c>
      <c r="H200" s="16"/>
      <c r="I200" s="16"/>
      <c r="J200" s="16"/>
      <c r="K200" s="16"/>
      <c r="L200" s="16"/>
      <c r="M200" s="16"/>
      <c r="N200" s="16"/>
      <c r="O200" s="16"/>
      <c r="P200" s="16"/>
      <c r="Q200" s="16"/>
      <c r="R200" s="16"/>
      <c r="S200" s="16"/>
      <c r="T200" s="16"/>
      <c r="U200" s="16"/>
      <c r="V200" s="16"/>
      <c r="W200" s="16"/>
      <c r="X200" s="16"/>
      <c r="Y200" s="16"/>
    </row>
    <row r="201" spans="1:25" x14ac:dyDescent="0.2">
      <c r="A201" s="14" t="s">
        <v>487</v>
      </c>
      <c r="B201" s="6" t="s">
        <v>1511</v>
      </c>
      <c r="C201" s="6"/>
      <c r="D201" s="16" t="s">
        <v>391</v>
      </c>
      <c r="E201" s="6"/>
      <c r="F201" s="16" t="s">
        <v>233</v>
      </c>
      <c r="G201" s="15" t="str">
        <f>VLOOKUP(F201, GLOSSARY!$A:$C, 2, FALSE)</f>
        <v>ABBA'S JOHNIE</v>
      </c>
      <c r="H201" s="16"/>
      <c r="I201" s="16"/>
      <c r="J201" s="16"/>
      <c r="K201" s="16"/>
      <c r="L201" s="16"/>
      <c r="M201" s="16"/>
      <c r="N201" s="16"/>
      <c r="O201" s="16"/>
      <c r="P201" s="16"/>
      <c r="Q201" s="16"/>
      <c r="R201" s="16"/>
      <c r="S201" s="16"/>
      <c r="T201" s="16"/>
      <c r="U201" s="16"/>
      <c r="V201" s="16"/>
      <c r="W201" s="16"/>
      <c r="X201" s="16"/>
      <c r="Y201" s="16"/>
    </row>
    <row r="202" spans="1:25" x14ac:dyDescent="0.2">
      <c r="A202" s="21"/>
      <c r="B202" s="22"/>
      <c r="C202" s="22"/>
      <c r="D202" s="23"/>
      <c r="E202" s="22"/>
      <c r="F202" s="23"/>
      <c r="G202" s="15" t="e">
        <f>VLOOKUP(F202, GLOSSARY!$A:$C, 2, FALSE)</f>
        <v>#N/A</v>
      </c>
      <c r="H202" s="23"/>
      <c r="I202" s="23"/>
      <c r="J202" s="23"/>
      <c r="K202" s="23"/>
      <c r="L202" s="23"/>
      <c r="M202" s="23"/>
      <c r="N202" s="23"/>
      <c r="O202" s="23"/>
      <c r="P202" s="23"/>
      <c r="Q202" s="23"/>
      <c r="R202" s="23"/>
      <c r="S202" s="23"/>
      <c r="T202" s="23"/>
      <c r="U202" s="23"/>
      <c r="V202" s="23"/>
      <c r="W202" s="23"/>
      <c r="X202" s="23"/>
      <c r="Y202" s="23"/>
    </row>
    <row r="203" spans="1:25" x14ac:dyDescent="0.2">
      <c r="A203" s="14" t="s">
        <v>496</v>
      </c>
      <c r="B203" s="6" t="s">
        <v>1539</v>
      </c>
      <c r="C203" s="6"/>
      <c r="D203" s="16" t="s">
        <v>430</v>
      </c>
      <c r="E203" s="6"/>
      <c r="F203" s="16" t="s">
        <v>89</v>
      </c>
      <c r="G203" s="15" t="str">
        <f>VLOOKUP(F203, GLOSSARY!$A:$C, 2, FALSE)</f>
        <v>ABBA</v>
      </c>
      <c r="H203" s="16"/>
      <c r="I203" s="16"/>
      <c r="J203" s="16"/>
      <c r="K203" s="16"/>
      <c r="L203" s="16"/>
      <c r="M203" s="16"/>
      <c r="N203" s="16"/>
      <c r="O203" s="16"/>
      <c r="P203" s="16"/>
      <c r="Q203" s="16"/>
      <c r="R203" s="16"/>
      <c r="S203" s="16"/>
      <c r="T203" s="16"/>
      <c r="U203" s="16"/>
      <c r="V203" s="16"/>
      <c r="W203" s="16"/>
      <c r="X203" s="16"/>
      <c r="Y203" s="16"/>
    </row>
    <row r="204" spans="1:25" x14ac:dyDescent="0.2">
      <c r="A204" s="14" t="s">
        <v>496</v>
      </c>
      <c r="B204" s="6" t="s">
        <v>1539</v>
      </c>
      <c r="C204" s="6"/>
      <c r="D204" s="16" t="s">
        <v>430</v>
      </c>
      <c r="E204" s="6"/>
      <c r="F204" s="16" t="s">
        <v>537</v>
      </c>
      <c r="G204" s="15" t="str">
        <f>VLOOKUP(F204, GLOSSARY!$A:$C, 2, FALSE)</f>
        <v>NEPTUNE [THOMAS EMOTSON'S]</v>
      </c>
      <c r="H204" s="16"/>
      <c r="I204" s="16"/>
      <c r="J204" s="16"/>
      <c r="K204" s="16"/>
      <c r="L204" s="16"/>
      <c r="M204" s="16"/>
      <c r="N204" s="16"/>
      <c r="O204" s="16"/>
      <c r="P204" s="16"/>
      <c r="Q204" s="16"/>
      <c r="R204" s="16"/>
      <c r="S204" s="16"/>
      <c r="T204" s="16"/>
      <c r="U204" s="16"/>
      <c r="V204" s="16"/>
      <c r="W204" s="16"/>
      <c r="X204" s="16"/>
      <c r="Y204" s="16"/>
    </row>
    <row r="205" spans="1:25" x14ac:dyDescent="0.2">
      <c r="A205" s="14" t="s">
        <v>496</v>
      </c>
      <c r="B205" s="6" t="s">
        <v>1539</v>
      </c>
      <c r="C205" s="6"/>
      <c r="D205" s="16" t="s">
        <v>454</v>
      </c>
      <c r="E205" s="6"/>
      <c r="F205" s="16" t="s">
        <v>487</v>
      </c>
      <c r="G205" s="15" t="str">
        <f>VLOOKUP(F205, GLOSSARY!$A:$C, 2, FALSE)</f>
        <v>JENNY [ABBA'S DAUGHTER]</v>
      </c>
      <c r="H205" s="16"/>
      <c r="I205" s="16"/>
      <c r="J205" s="16"/>
      <c r="K205" s="16"/>
      <c r="L205" s="16"/>
      <c r="M205" s="16"/>
      <c r="N205" s="16"/>
      <c r="O205" s="16"/>
      <c r="P205" s="16"/>
      <c r="Q205" s="16"/>
      <c r="R205" s="16"/>
      <c r="S205" s="16"/>
      <c r="T205" s="16"/>
      <c r="U205" s="16"/>
      <c r="V205" s="16"/>
      <c r="W205" s="16"/>
      <c r="X205" s="16"/>
      <c r="Y205" s="16"/>
    </row>
    <row r="206" spans="1:25" x14ac:dyDescent="0.2">
      <c r="A206" s="14" t="s">
        <v>496</v>
      </c>
      <c r="B206" s="6" t="s">
        <v>1539</v>
      </c>
      <c r="C206" s="6"/>
      <c r="D206" s="16" t="s">
        <v>454</v>
      </c>
      <c r="E206" s="6"/>
      <c r="F206" s="16" t="s">
        <v>233</v>
      </c>
      <c r="G206" s="15" t="str">
        <f>VLOOKUP(F206, GLOSSARY!$A:$C, 2, FALSE)</f>
        <v>ABBA'S JOHNIE</v>
      </c>
      <c r="H206" s="16"/>
      <c r="I206" s="16"/>
      <c r="J206" s="16"/>
      <c r="K206" s="16"/>
      <c r="L206" s="16"/>
      <c r="M206" s="16"/>
      <c r="N206" s="16"/>
      <c r="O206" s="16"/>
      <c r="P206" s="16"/>
      <c r="Q206" s="16"/>
      <c r="R206" s="16"/>
      <c r="S206" s="16"/>
      <c r="T206" s="16"/>
      <c r="U206" s="16"/>
      <c r="V206" s="16"/>
      <c r="W206" s="16"/>
      <c r="X206" s="16"/>
      <c r="Y206" s="16"/>
    </row>
    <row r="207" spans="1:25" x14ac:dyDescent="0.2">
      <c r="A207" s="14" t="s">
        <v>496</v>
      </c>
      <c r="B207" s="6" t="s">
        <v>1539</v>
      </c>
      <c r="C207" s="6"/>
      <c r="D207" s="16" t="s">
        <v>454</v>
      </c>
      <c r="E207" s="6"/>
      <c r="F207" s="16" t="s">
        <v>242</v>
      </c>
      <c r="G207" s="15" t="str">
        <f>VLOOKUP(F207, GLOSSARY!$A:$C, 2, FALSE)</f>
        <v>ABBA'S MARY</v>
      </c>
      <c r="H207" s="16"/>
      <c r="I207" s="16"/>
      <c r="J207" s="16"/>
      <c r="K207" s="16"/>
      <c r="L207" s="16"/>
      <c r="M207" s="16"/>
      <c r="N207" s="16"/>
      <c r="O207" s="16"/>
      <c r="P207" s="16"/>
      <c r="Q207" s="16"/>
      <c r="R207" s="16"/>
      <c r="S207" s="16"/>
      <c r="T207" s="16"/>
      <c r="U207" s="16"/>
      <c r="V207" s="16"/>
      <c r="W207" s="16"/>
      <c r="X207" s="16"/>
      <c r="Y207" s="16"/>
    </row>
    <row r="208" spans="1:25" x14ac:dyDescent="0.2">
      <c r="A208" s="21"/>
      <c r="B208" s="22"/>
      <c r="C208" s="22"/>
      <c r="D208" s="23"/>
      <c r="E208" s="22"/>
      <c r="F208" s="23"/>
      <c r="G208" s="15"/>
      <c r="H208" s="23"/>
      <c r="I208" s="23"/>
      <c r="J208" s="23"/>
      <c r="K208" s="23"/>
      <c r="L208" s="23"/>
      <c r="M208" s="23"/>
      <c r="N208" s="23"/>
      <c r="O208" s="23"/>
      <c r="P208" s="23"/>
      <c r="Q208" s="23"/>
      <c r="R208" s="23"/>
      <c r="S208" s="23"/>
      <c r="T208" s="23"/>
      <c r="U208" s="23"/>
      <c r="V208" s="23"/>
      <c r="W208" s="23"/>
      <c r="X208" s="23"/>
      <c r="Y208" s="23"/>
    </row>
    <row r="209" spans="1:25" x14ac:dyDescent="0.2">
      <c r="A209" s="14" t="s">
        <v>249</v>
      </c>
      <c r="B209" s="6" t="s">
        <v>250</v>
      </c>
      <c r="C209" s="6"/>
      <c r="D209" s="16" t="s">
        <v>161</v>
      </c>
      <c r="E209" s="6" t="s">
        <v>183</v>
      </c>
      <c r="F209" s="16" t="s">
        <v>181</v>
      </c>
      <c r="G209" s="15" t="str">
        <f>VLOOKUP(F209, GLOSSARY!$A:$C, 2, FALSE)</f>
        <v>NANNY</v>
      </c>
      <c r="H209" s="6" t="s">
        <v>252</v>
      </c>
      <c r="I209" s="16"/>
      <c r="J209" s="16"/>
      <c r="K209" s="16"/>
      <c r="L209" s="16"/>
      <c r="M209" s="16"/>
      <c r="N209" s="16"/>
      <c r="O209" s="16"/>
      <c r="P209" s="16"/>
      <c r="Q209" s="16"/>
      <c r="R209" s="16"/>
      <c r="S209" s="16"/>
      <c r="T209" s="16"/>
      <c r="U209" s="16"/>
      <c r="V209" s="16"/>
      <c r="W209" s="16"/>
      <c r="X209" s="16"/>
      <c r="Y209" s="16"/>
    </row>
    <row r="210" spans="1:25" x14ac:dyDescent="0.2">
      <c r="A210" s="14" t="s">
        <v>249</v>
      </c>
      <c r="B210" s="6" t="s">
        <v>250</v>
      </c>
      <c r="C210" s="6"/>
      <c r="D210" s="16" t="s">
        <v>391</v>
      </c>
      <c r="E210" s="6"/>
      <c r="F210" s="16"/>
      <c r="G210" s="15" t="e">
        <f>VLOOKUP(F210, GLOSSARY!$A:$C, 2, FALSE)</f>
        <v>#N/A</v>
      </c>
      <c r="H210" s="16"/>
      <c r="I210" s="16"/>
      <c r="J210" s="16"/>
      <c r="K210" s="16"/>
      <c r="L210" s="16"/>
      <c r="M210" s="16"/>
      <c r="N210" s="16"/>
      <c r="O210" s="16"/>
      <c r="P210" s="16"/>
      <c r="Q210" s="16"/>
      <c r="R210" s="16"/>
      <c r="S210" s="16"/>
      <c r="T210" s="16"/>
      <c r="U210" s="16"/>
      <c r="V210" s="16"/>
      <c r="W210" s="16"/>
      <c r="X210" s="16"/>
      <c r="Y210" s="16"/>
    </row>
    <row r="211" spans="1:25" x14ac:dyDescent="0.2">
      <c r="A211" s="21"/>
      <c r="B211" s="22"/>
      <c r="C211" s="22"/>
      <c r="D211" s="23"/>
      <c r="E211" s="22"/>
      <c r="F211" s="23"/>
      <c r="G211" s="15" t="e">
        <f>VLOOKUP(F211, GLOSSARY!$A:$C, 2, FALSE)</f>
        <v>#N/A</v>
      </c>
      <c r="H211" s="23"/>
      <c r="I211" s="23"/>
      <c r="J211" s="23"/>
      <c r="K211" s="23"/>
      <c r="L211" s="23"/>
      <c r="M211" s="23"/>
      <c r="N211" s="23"/>
      <c r="O211" s="23"/>
      <c r="P211" s="23"/>
      <c r="Q211" s="23"/>
      <c r="R211" s="23"/>
      <c r="S211" s="23"/>
      <c r="T211" s="23"/>
      <c r="U211" s="23"/>
      <c r="V211" s="23"/>
      <c r="W211" s="23"/>
      <c r="X211" s="23"/>
      <c r="Y211" s="23"/>
    </row>
    <row r="212" spans="1:25" x14ac:dyDescent="0.2">
      <c r="A212" s="14" t="s">
        <v>73</v>
      </c>
      <c r="B212" s="6" t="s">
        <v>72</v>
      </c>
      <c r="C212" s="6"/>
      <c r="D212" s="16" t="s">
        <v>91</v>
      </c>
      <c r="E212" s="6"/>
      <c r="F212" s="16"/>
      <c r="G212" s="15" t="e">
        <f>VLOOKUP(F212, GLOSSARY!$A:$C, 2, FALSE)</f>
        <v>#N/A</v>
      </c>
      <c r="H212" s="6" t="s">
        <v>257</v>
      </c>
      <c r="I212" s="16"/>
      <c r="J212" s="16"/>
      <c r="K212" s="16"/>
      <c r="L212" s="16"/>
      <c r="M212" s="16"/>
      <c r="N212" s="16"/>
      <c r="O212" s="16"/>
      <c r="P212" s="16"/>
      <c r="Q212" s="16"/>
      <c r="R212" s="16"/>
      <c r="S212" s="16"/>
      <c r="T212" s="16"/>
      <c r="U212" s="16"/>
      <c r="V212" s="16"/>
      <c r="W212" s="16"/>
      <c r="X212" s="16"/>
      <c r="Y212" s="16"/>
    </row>
    <row r="213" spans="1:25" x14ac:dyDescent="0.2">
      <c r="A213" s="14" t="s">
        <v>73</v>
      </c>
      <c r="B213" s="6" t="s">
        <v>72</v>
      </c>
      <c r="C213" s="6"/>
      <c r="D213" s="16" t="s">
        <v>71</v>
      </c>
      <c r="E213" s="6" t="s">
        <v>29</v>
      </c>
      <c r="F213" s="16" t="s">
        <v>28</v>
      </c>
      <c r="G213" s="15" t="str">
        <f>VLOOKUP(F213, GLOSSARY!$A:$C, 2, FALSE)</f>
        <v>MOLIA</v>
      </c>
      <c r="H213" s="16"/>
      <c r="I213" s="16"/>
      <c r="J213" s="16"/>
      <c r="K213" s="16"/>
      <c r="L213" s="16"/>
      <c r="M213" s="16"/>
      <c r="N213" s="16"/>
      <c r="O213" s="16"/>
      <c r="P213" s="16"/>
      <c r="Q213" s="16"/>
      <c r="R213" s="16"/>
      <c r="S213" s="16"/>
      <c r="T213" s="16"/>
      <c r="U213" s="16"/>
      <c r="V213" s="16"/>
      <c r="W213" s="16"/>
      <c r="X213" s="16"/>
      <c r="Y213" s="16"/>
    </row>
    <row r="214" spans="1:25" x14ac:dyDescent="0.2">
      <c r="A214" s="21"/>
      <c r="B214" s="22"/>
      <c r="C214" s="22"/>
      <c r="D214" s="23"/>
      <c r="E214" s="22"/>
      <c r="F214" s="23"/>
      <c r="G214" s="15" t="e">
        <f>VLOOKUP(F214, GLOSSARY!$A:$C, 2, FALSE)</f>
        <v>#N/A</v>
      </c>
      <c r="H214" s="23"/>
      <c r="I214" s="23"/>
      <c r="J214" s="23"/>
      <c r="K214" s="23"/>
      <c r="L214" s="23"/>
      <c r="M214" s="23"/>
      <c r="N214" s="23"/>
      <c r="O214" s="23"/>
      <c r="P214" s="23"/>
      <c r="Q214" s="23"/>
      <c r="R214" s="23"/>
      <c r="S214" s="23"/>
      <c r="T214" s="23"/>
      <c r="U214" s="23"/>
      <c r="V214" s="23"/>
      <c r="W214" s="23"/>
      <c r="X214" s="23"/>
      <c r="Y214" s="23"/>
    </row>
    <row r="215" spans="1:25" x14ac:dyDescent="0.2">
      <c r="A215" s="14" t="s">
        <v>268</v>
      </c>
      <c r="B215" s="6" t="s">
        <v>269</v>
      </c>
      <c r="C215" s="6"/>
      <c r="D215" s="16" t="s">
        <v>86</v>
      </c>
      <c r="E215" s="6"/>
      <c r="F215" s="16"/>
      <c r="G215" s="15" t="e">
        <f>VLOOKUP(F215, GLOSSARY!$A:$C, 2, FALSE)</f>
        <v>#N/A</v>
      </c>
      <c r="H215" s="6" t="s">
        <v>270</v>
      </c>
      <c r="I215" s="16"/>
      <c r="J215" s="16"/>
      <c r="K215" s="16"/>
      <c r="L215" s="16"/>
      <c r="M215" s="16"/>
      <c r="N215" s="16"/>
      <c r="O215" s="16"/>
      <c r="P215" s="16"/>
      <c r="Q215" s="16"/>
      <c r="R215" s="16"/>
      <c r="S215" s="16"/>
      <c r="T215" s="16"/>
      <c r="U215" s="16"/>
      <c r="V215" s="16"/>
      <c r="W215" s="16"/>
      <c r="X215" s="16"/>
      <c r="Y215" s="16"/>
    </row>
    <row r="216" spans="1:25" x14ac:dyDescent="0.2">
      <c r="A216" s="14" t="s">
        <v>268</v>
      </c>
      <c r="B216" s="6" t="s">
        <v>269</v>
      </c>
      <c r="C216" s="6"/>
      <c r="D216" s="16" t="s">
        <v>306</v>
      </c>
      <c r="E216" s="6" t="s">
        <v>353</v>
      </c>
      <c r="F216" s="16" t="s">
        <v>352</v>
      </c>
      <c r="G216" s="15" t="str">
        <f>VLOOKUP(F216, GLOSSARY!$A:$C, 2, FALSE)</f>
        <v>SUKEY</v>
      </c>
      <c r="H216" s="16"/>
      <c r="I216" s="16"/>
      <c r="J216" s="16"/>
      <c r="K216" s="16"/>
      <c r="L216" s="16"/>
      <c r="M216" s="16"/>
      <c r="N216" s="16"/>
      <c r="O216" s="16"/>
      <c r="P216" s="16"/>
      <c r="Q216" s="16"/>
      <c r="R216" s="16"/>
      <c r="S216" s="16"/>
      <c r="T216" s="16"/>
      <c r="U216" s="16"/>
      <c r="V216" s="16"/>
      <c r="W216" s="16"/>
      <c r="X216" s="16"/>
      <c r="Y216" s="16"/>
    </row>
    <row r="217" spans="1:25" x14ac:dyDescent="0.2">
      <c r="A217" s="14" t="s">
        <v>268</v>
      </c>
      <c r="B217" s="6" t="s">
        <v>269</v>
      </c>
      <c r="C217" s="6"/>
      <c r="D217" s="16" t="s">
        <v>306</v>
      </c>
      <c r="E217" s="6"/>
      <c r="F217" s="16" t="s">
        <v>773</v>
      </c>
      <c r="G217" s="15" t="str">
        <f>VLOOKUP(F217, GLOSSARY!$A:$C, 2, FALSE)</f>
        <v>VIOLET</v>
      </c>
      <c r="H217" s="16"/>
      <c r="I217" s="16"/>
      <c r="J217" s="16"/>
      <c r="K217" s="16"/>
      <c r="L217" s="16"/>
      <c r="M217" s="16"/>
      <c r="N217" s="16"/>
      <c r="O217" s="16"/>
      <c r="P217" s="16"/>
      <c r="Q217" s="16"/>
      <c r="R217" s="16"/>
      <c r="S217" s="16"/>
      <c r="T217" s="16"/>
      <c r="U217" s="16"/>
      <c r="V217" s="16"/>
      <c r="W217" s="16"/>
      <c r="X217" s="16"/>
      <c r="Y217" s="16"/>
    </row>
    <row r="218" spans="1:25" x14ac:dyDescent="0.2">
      <c r="A218" s="14" t="s">
        <v>268</v>
      </c>
      <c r="B218" s="6" t="s">
        <v>269</v>
      </c>
      <c r="C218" s="6"/>
      <c r="D218" s="16" t="s">
        <v>306</v>
      </c>
      <c r="E218" s="6"/>
      <c r="F218" s="16" t="s">
        <v>1635</v>
      </c>
      <c r="G218" s="15" t="str">
        <f>VLOOKUP(F218, GLOSSARY!$A:$C, 2, FALSE)</f>
        <v>EGYPT SUSANAH</v>
      </c>
      <c r="H218" s="16"/>
      <c r="I218" s="16"/>
      <c r="J218" s="16"/>
      <c r="K218" s="16"/>
      <c r="L218" s="16"/>
      <c r="M218" s="16"/>
      <c r="N218" s="16"/>
      <c r="O218" s="16"/>
      <c r="P218" s="16"/>
      <c r="Q218" s="16"/>
      <c r="R218" s="16"/>
      <c r="S218" s="16"/>
      <c r="T218" s="16"/>
      <c r="U218" s="16"/>
      <c r="V218" s="16"/>
      <c r="W218" s="16"/>
      <c r="X218" s="16"/>
      <c r="Y218" s="16"/>
    </row>
    <row r="219" spans="1:25" x14ac:dyDescent="0.2">
      <c r="A219" s="14" t="s">
        <v>268</v>
      </c>
      <c r="B219" s="6" t="s">
        <v>269</v>
      </c>
      <c r="C219" s="6"/>
      <c r="D219" s="16" t="s">
        <v>1644</v>
      </c>
      <c r="E219" s="6"/>
      <c r="F219" s="16" t="s">
        <v>487</v>
      </c>
      <c r="G219" s="15" t="str">
        <f>VLOOKUP(F219, GLOSSARY!$A:$C, 2, FALSE)</f>
        <v>JENNY [ABBA'S DAUGHTER]</v>
      </c>
      <c r="H219" s="16"/>
      <c r="I219" s="16"/>
      <c r="J219" s="16"/>
      <c r="K219" s="16"/>
      <c r="L219" s="16"/>
      <c r="M219" s="16"/>
      <c r="N219" s="16"/>
      <c r="O219" s="16"/>
      <c r="P219" s="16"/>
      <c r="Q219" s="16"/>
      <c r="R219" s="16"/>
      <c r="S219" s="16"/>
      <c r="T219" s="16"/>
      <c r="U219" s="16"/>
      <c r="V219" s="16"/>
      <c r="W219" s="16"/>
      <c r="X219" s="16"/>
      <c r="Y219" s="16"/>
    </row>
    <row r="220" spans="1:25" x14ac:dyDescent="0.2">
      <c r="A220" s="14" t="s">
        <v>268</v>
      </c>
      <c r="B220" s="6" t="s">
        <v>269</v>
      </c>
      <c r="C220" s="6"/>
      <c r="D220" s="16" t="s">
        <v>1644</v>
      </c>
      <c r="E220" s="6"/>
      <c r="F220" s="16" t="s">
        <v>1653</v>
      </c>
      <c r="G220" s="15" t="str">
        <f>VLOOKUP(F220, GLOSSARY!$A:$C, 2, FALSE)</f>
        <v>PHIBBAH [ABBA &amp; LINCOLN'S DAUGHTER]</v>
      </c>
      <c r="H220" s="16"/>
      <c r="I220" s="16"/>
      <c r="J220" s="16"/>
      <c r="K220" s="16"/>
      <c r="L220" s="16"/>
      <c r="M220" s="16"/>
      <c r="N220" s="16"/>
      <c r="O220" s="16"/>
      <c r="P220" s="16"/>
      <c r="Q220" s="16"/>
      <c r="R220" s="16"/>
      <c r="S220" s="16"/>
      <c r="T220" s="16"/>
      <c r="U220" s="16"/>
      <c r="V220" s="16"/>
      <c r="W220" s="16"/>
      <c r="X220" s="16"/>
      <c r="Y220" s="16"/>
    </row>
    <row r="221" spans="1:25" x14ac:dyDescent="0.2">
      <c r="A221" s="21"/>
      <c r="B221" s="22"/>
      <c r="C221" s="22"/>
      <c r="D221" s="23"/>
      <c r="E221" s="22"/>
      <c r="F221" s="23"/>
      <c r="G221" s="15" t="e">
        <f>VLOOKUP(F221, GLOSSARY!$A:$C, 2, FALSE)</f>
        <v>#N/A</v>
      </c>
      <c r="H221" s="23"/>
      <c r="I221" s="23"/>
      <c r="J221" s="23"/>
      <c r="K221" s="23"/>
      <c r="L221" s="23"/>
      <c r="M221" s="23"/>
      <c r="N221" s="23"/>
      <c r="O221" s="23"/>
      <c r="P221" s="23"/>
      <c r="Q221" s="23"/>
      <c r="R221" s="23"/>
      <c r="S221" s="23"/>
      <c r="T221" s="23"/>
      <c r="U221" s="23"/>
      <c r="V221" s="23"/>
      <c r="W221" s="23"/>
      <c r="X221" s="23"/>
      <c r="Y221" s="23"/>
    </row>
    <row r="222" spans="1:25" x14ac:dyDescent="0.2">
      <c r="A222" s="14" t="s">
        <v>330</v>
      </c>
      <c r="B222" s="6" t="s">
        <v>332</v>
      </c>
      <c r="C222" s="6"/>
      <c r="D222" s="16" t="s">
        <v>37</v>
      </c>
      <c r="E222" s="6"/>
      <c r="F222" s="16" t="s">
        <v>1069</v>
      </c>
      <c r="G222" s="15" t="str">
        <f>VLOOKUP(F222, GLOSSARY!$A:$C, 2, FALSE)</f>
        <v>JOAN</v>
      </c>
      <c r="H222" s="16"/>
      <c r="I222" s="16"/>
      <c r="J222" s="16"/>
      <c r="K222" s="16"/>
      <c r="L222" s="16"/>
      <c r="M222" s="16"/>
      <c r="N222" s="16"/>
      <c r="O222" s="16"/>
      <c r="P222" s="16"/>
      <c r="Q222" s="16"/>
      <c r="R222" s="16"/>
      <c r="S222" s="16"/>
      <c r="T222" s="16"/>
      <c r="U222" s="16"/>
      <c r="V222" s="16"/>
      <c r="W222" s="16"/>
      <c r="X222" s="16"/>
      <c r="Y222" s="16"/>
    </row>
    <row r="223" spans="1:25" x14ac:dyDescent="0.2">
      <c r="A223" s="14" t="s">
        <v>330</v>
      </c>
      <c r="B223" s="6" t="s">
        <v>332</v>
      </c>
      <c r="C223" s="6"/>
      <c r="D223" s="16" t="s">
        <v>327</v>
      </c>
      <c r="E223" s="6"/>
      <c r="F223" s="16" t="s">
        <v>339</v>
      </c>
      <c r="G223" s="15" t="s">
        <v>340</v>
      </c>
      <c r="H223" s="16"/>
      <c r="I223" s="16"/>
      <c r="J223" s="16"/>
      <c r="K223" s="16"/>
      <c r="L223" s="16"/>
      <c r="M223" s="16"/>
      <c r="N223" s="16"/>
      <c r="O223" s="16"/>
      <c r="P223" s="16"/>
      <c r="Q223" s="16"/>
      <c r="R223" s="16"/>
      <c r="S223" s="16"/>
      <c r="T223" s="16"/>
      <c r="U223" s="16"/>
      <c r="V223" s="16"/>
      <c r="W223" s="16"/>
      <c r="X223" s="16"/>
      <c r="Y223" s="16"/>
    </row>
    <row r="224" spans="1:25" x14ac:dyDescent="0.2">
      <c r="A224" s="14" t="s">
        <v>330</v>
      </c>
      <c r="B224" s="6" t="s">
        <v>332</v>
      </c>
      <c r="C224" s="6"/>
      <c r="D224" s="16" t="s">
        <v>327</v>
      </c>
      <c r="E224" s="6"/>
      <c r="F224" s="16" t="s">
        <v>137</v>
      </c>
      <c r="G224" s="15" t="s">
        <v>280</v>
      </c>
      <c r="H224" s="16"/>
      <c r="I224" s="16"/>
      <c r="J224" s="16"/>
      <c r="K224" s="16"/>
      <c r="L224" s="16"/>
      <c r="M224" s="16"/>
      <c r="N224" s="16"/>
      <c r="O224" s="16"/>
      <c r="P224" s="16"/>
      <c r="Q224" s="16"/>
      <c r="R224" s="16"/>
      <c r="S224" s="16"/>
      <c r="T224" s="16"/>
      <c r="U224" s="16"/>
      <c r="V224" s="16"/>
      <c r="W224" s="16"/>
      <c r="X224" s="16"/>
      <c r="Y224" s="16"/>
    </row>
    <row r="225" spans="1:25" x14ac:dyDescent="0.2">
      <c r="A225" s="14" t="s">
        <v>330</v>
      </c>
      <c r="B225" s="6" t="s">
        <v>332</v>
      </c>
      <c r="C225" s="6"/>
      <c r="D225" s="16" t="s">
        <v>327</v>
      </c>
      <c r="E225" s="6"/>
      <c r="F225" s="16" t="s">
        <v>322</v>
      </c>
      <c r="G225" s="15" t="s">
        <v>324</v>
      </c>
      <c r="H225" s="16"/>
      <c r="I225" s="16"/>
      <c r="J225" s="16"/>
      <c r="K225" s="16"/>
      <c r="L225" s="16"/>
      <c r="M225" s="16"/>
      <c r="N225" s="16"/>
      <c r="O225" s="16"/>
      <c r="P225" s="16"/>
      <c r="Q225" s="16"/>
      <c r="R225" s="16"/>
      <c r="S225" s="16"/>
      <c r="T225" s="16"/>
      <c r="U225" s="16"/>
      <c r="V225" s="16"/>
      <c r="W225" s="16"/>
      <c r="X225" s="16"/>
      <c r="Y225" s="16"/>
    </row>
    <row r="226" spans="1:25" x14ac:dyDescent="0.2">
      <c r="A226" s="14" t="s">
        <v>330</v>
      </c>
      <c r="B226" s="6" t="s">
        <v>332</v>
      </c>
      <c r="C226" s="6"/>
      <c r="D226" s="16" t="s">
        <v>327</v>
      </c>
      <c r="E226" s="6"/>
      <c r="F226" s="16" t="s">
        <v>299</v>
      </c>
      <c r="G226" s="15" t="s">
        <v>300</v>
      </c>
      <c r="H226" s="16"/>
      <c r="I226" s="16"/>
      <c r="J226" s="16"/>
      <c r="K226" s="16"/>
      <c r="L226" s="16"/>
      <c r="M226" s="16"/>
      <c r="N226" s="16"/>
      <c r="O226" s="16"/>
      <c r="P226" s="16"/>
      <c r="Q226" s="16"/>
      <c r="R226" s="16"/>
      <c r="S226" s="16"/>
      <c r="T226" s="16"/>
      <c r="U226" s="16"/>
      <c r="V226" s="16"/>
      <c r="W226" s="16"/>
      <c r="X226" s="16"/>
      <c r="Y226" s="16"/>
    </row>
    <row r="227" spans="1:25" x14ac:dyDescent="0.2">
      <c r="A227" s="14" t="s">
        <v>330</v>
      </c>
      <c r="B227" s="6" t="s">
        <v>332</v>
      </c>
      <c r="C227" s="6"/>
      <c r="D227" s="16" t="s">
        <v>327</v>
      </c>
      <c r="E227" s="6"/>
      <c r="F227" s="16" t="s">
        <v>358</v>
      </c>
      <c r="G227" s="15" t="s">
        <v>360</v>
      </c>
      <c r="H227" s="16"/>
      <c r="I227" s="16"/>
      <c r="J227" s="16"/>
      <c r="K227" s="16"/>
      <c r="L227" s="16"/>
      <c r="M227" s="16"/>
      <c r="N227" s="16"/>
      <c r="O227" s="16"/>
      <c r="P227" s="16"/>
      <c r="Q227" s="16"/>
      <c r="R227" s="16"/>
      <c r="S227" s="16"/>
      <c r="T227" s="16"/>
      <c r="U227" s="16"/>
      <c r="V227" s="16"/>
      <c r="W227" s="16"/>
      <c r="X227" s="16"/>
      <c r="Y227" s="16"/>
    </row>
    <row r="228" spans="1:25" x14ac:dyDescent="0.2">
      <c r="A228" s="14" t="s">
        <v>330</v>
      </c>
      <c r="B228" s="6" t="s">
        <v>332</v>
      </c>
      <c r="C228" s="6"/>
      <c r="D228" s="16" t="s">
        <v>327</v>
      </c>
      <c r="E228" s="6"/>
      <c r="F228" s="16" t="s">
        <v>51</v>
      </c>
      <c r="G228" s="15" t="s">
        <v>52</v>
      </c>
      <c r="H228" s="16"/>
      <c r="I228" s="16"/>
      <c r="J228" s="16"/>
      <c r="K228" s="16"/>
      <c r="L228" s="16"/>
      <c r="M228" s="16"/>
      <c r="N228" s="16"/>
      <c r="O228" s="16"/>
      <c r="P228" s="16"/>
      <c r="Q228" s="16"/>
      <c r="R228" s="16"/>
      <c r="S228" s="16"/>
      <c r="T228" s="16"/>
      <c r="U228" s="16"/>
      <c r="V228" s="16"/>
      <c r="W228" s="16"/>
      <c r="X228" s="16"/>
      <c r="Y228" s="16"/>
    </row>
    <row r="229" spans="1:25" x14ac:dyDescent="0.2">
      <c r="A229" s="21"/>
      <c r="B229" s="22"/>
      <c r="C229" s="22"/>
      <c r="D229" s="23"/>
      <c r="E229" s="22"/>
      <c r="F229" s="23"/>
      <c r="G229" s="15" t="e">
        <f>VLOOKUP(F229, GLOSSARY!$A:$C, 2, FALSE)</f>
        <v>#N/A</v>
      </c>
      <c r="H229" s="23"/>
      <c r="I229" s="23"/>
      <c r="J229" s="23"/>
      <c r="K229" s="23"/>
      <c r="L229" s="23"/>
      <c r="M229" s="23"/>
      <c r="N229" s="23"/>
      <c r="O229" s="23"/>
      <c r="P229" s="23"/>
      <c r="Q229" s="23"/>
      <c r="R229" s="23"/>
      <c r="S229" s="23"/>
      <c r="T229" s="23"/>
      <c r="U229" s="23"/>
      <c r="V229" s="23"/>
      <c r="W229" s="23"/>
      <c r="X229" s="23"/>
      <c r="Y229" s="23"/>
    </row>
    <row r="230" spans="1:25" x14ac:dyDescent="0.2">
      <c r="A230" s="14" t="s">
        <v>339</v>
      </c>
      <c r="B230" s="6" t="s">
        <v>340</v>
      </c>
      <c r="C230" s="6"/>
      <c r="D230" s="16" t="s">
        <v>37</v>
      </c>
      <c r="E230" s="6"/>
      <c r="F230" s="16" t="s">
        <v>1074</v>
      </c>
      <c r="G230" s="15" t="str">
        <f>VLOOKUP(F230, GLOSSARY!$A:$C, 2, FALSE)</f>
        <v>LITTLE AGNES</v>
      </c>
      <c r="H230" s="16"/>
      <c r="I230" s="16"/>
      <c r="J230" s="16"/>
      <c r="K230" s="16"/>
      <c r="L230" s="16"/>
      <c r="M230" s="16"/>
      <c r="N230" s="16"/>
      <c r="O230" s="16"/>
      <c r="P230" s="16"/>
      <c r="Q230" s="16"/>
      <c r="R230" s="16"/>
      <c r="S230" s="16"/>
      <c r="T230" s="16"/>
      <c r="U230" s="16"/>
      <c r="V230" s="16"/>
      <c r="W230" s="16"/>
      <c r="X230" s="16"/>
      <c r="Y230" s="16"/>
    </row>
    <row r="231" spans="1:25" x14ac:dyDescent="0.2">
      <c r="A231" s="14" t="s">
        <v>339</v>
      </c>
      <c r="B231" s="6" t="s">
        <v>340</v>
      </c>
      <c r="C231" s="6"/>
      <c r="D231" s="16" t="s">
        <v>306</v>
      </c>
      <c r="E231" s="6"/>
      <c r="F231" s="16" t="s">
        <v>1080</v>
      </c>
      <c r="G231" s="15" t="str">
        <f>VLOOKUP(F231, GLOSSARY!$A:$C, 2, FALSE)</f>
        <v>AMBO</v>
      </c>
      <c r="H231" s="16"/>
      <c r="I231" s="16"/>
      <c r="J231" s="16"/>
      <c r="K231" s="16"/>
      <c r="L231" s="16"/>
      <c r="M231" s="16"/>
      <c r="N231" s="16"/>
      <c r="O231" s="16"/>
      <c r="P231" s="16"/>
      <c r="Q231" s="16"/>
      <c r="R231" s="16"/>
      <c r="S231" s="16"/>
      <c r="T231" s="16"/>
      <c r="U231" s="16"/>
      <c r="V231" s="16"/>
      <c r="W231" s="16"/>
      <c r="X231" s="16"/>
      <c r="Y231" s="16"/>
    </row>
    <row r="232" spans="1:25" x14ac:dyDescent="0.2">
      <c r="A232" s="14" t="s">
        <v>339</v>
      </c>
      <c r="B232" s="6" t="s">
        <v>340</v>
      </c>
      <c r="C232" s="6"/>
      <c r="D232" s="16" t="s">
        <v>327</v>
      </c>
      <c r="E232" s="6"/>
      <c r="F232" s="16" t="s">
        <v>815</v>
      </c>
      <c r="G232" s="15" t="str">
        <f>VLOOKUP(F232, GLOSSARY!$A:$C, 2, FALSE)</f>
        <v>AGNES</v>
      </c>
      <c r="H232" s="16"/>
      <c r="I232" s="16"/>
      <c r="J232" s="16"/>
      <c r="K232" s="16"/>
      <c r="L232" s="16"/>
      <c r="M232" s="16"/>
      <c r="N232" s="16"/>
      <c r="O232" s="16"/>
      <c r="P232" s="16"/>
      <c r="Q232" s="16"/>
      <c r="R232" s="16"/>
      <c r="S232" s="16"/>
      <c r="T232" s="16"/>
      <c r="U232" s="16"/>
      <c r="V232" s="16"/>
      <c r="W232" s="16"/>
      <c r="X232" s="16"/>
      <c r="Y232" s="16"/>
    </row>
    <row r="233" spans="1:25" x14ac:dyDescent="0.2">
      <c r="A233" s="14" t="s">
        <v>339</v>
      </c>
      <c r="B233" s="6" t="s">
        <v>340</v>
      </c>
      <c r="C233" s="6"/>
      <c r="D233" s="16" t="s">
        <v>327</v>
      </c>
      <c r="E233" s="6"/>
      <c r="F233" s="16" t="s">
        <v>330</v>
      </c>
      <c r="G233" s="15" t="s">
        <v>332</v>
      </c>
      <c r="H233" s="16"/>
      <c r="I233" s="16"/>
      <c r="J233" s="16"/>
      <c r="K233" s="16"/>
      <c r="L233" s="16"/>
      <c r="M233" s="16"/>
      <c r="N233" s="16"/>
      <c r="O233" s="16"/>
      <c r="P233" s="16"/>
      <c r="Q233" s="16"/>
      <c r="R233" s="16"/>
      <c r="S233" s="16"/>
      <c r="T233" s="16"/>
      <c r="U233" s="16"/>
      <c r="V233" s="16"/>
      <c r="W233" s="16"/>
      <c r="X233" s="16"/>
      <c r="Y233" s="16"/>
    </row>
    <row r="234" spans="1:25" x14ac:dyDescent="0.2">
      <c r="A234" s="14" t="s">
        <v>339</v>
      </c>
      <c r="B234" s="6" t="s">
        <v>340</v>
      </c>
      <c r="C234" s="6"/>
      <c r="D234" s="16" t="s">
        <v>327</v>
      </c>
      <c r="E234" s="6"/>
      <c r="F234" s="16" t="s">
        <v>137</v>
      </c>
      <c r="G234" s="15" t="s">
        <v>280</v>
      </c>
      <c r="H234" s="16"/>
      <c r="I234" s="16"/>
      <c r="J234" s="16"/>
      <c r="K234" s="16"/>
      <c r="L234" s="16"/>
      <c r="M234" s="16"/>
      <c r="N234" s="16"/>
      <c r="O234" s="16"/>
      <c r="P234" s="16"/>
      <c r="Q234" s="16"/>
      <c r="R234" s="16"/>
      <c r="S234" s="16"/>
      <c r="T234" s="16"/>
      <c r="U234" s="16"/>
      <c r="V234" s="16"/>
      <c r="W234" s="16"/>
      <c r="X234" s="16"/>
      <c r="Y234" s="16"/>
    </row>
    <row r="235" spans="1:25" x14ac:dyDescent="0.2">
      <c r="A235" s="14" t="s">
        <v>339</v>
      </c>
      <c r="B235" s="6" t="s">
        <v>340</v>
      </c>
      <c r="C235" s="6"/>
      <c r="D235" s="16" t="s">
        <v>327</v>
      </c>
      <c r="E235" s="6"/>
      <c r="F235" s="16" t="s">
        <v>322</v>
      </c>
      <c r="G235" s="15" t="s">
        <v>324</v>
      </c>
      <c r="H235" s="16"/>
      <c r="I235" s="16"/>
      <c r="J235" s="16"/>
      <c r="K235" s="16"/>
      <c r="L235" s="16"/>
      <c r="M235" s="16"/>
      <c r="N235" s="16"/>
      <c r="O235" s="16"/>
      <c r="P235" s="16"/>
      <c r="Q235" s="16"/>
      <c r="R235" s="16"/>
      <c r="S235" s="16"/>
      <c r="T235" s="16"/>
      <c r="U235" s="16"/>
      <c r="V235" s="16"/>
      <c r="W235" s="16"/>
      <c r="X235" s="16"/>
      <c r="Y235" s="16"/>
    </row>
    <row r="236" spans="1:25" x14ac:dyDescent="0.2">
      <c r="A236" s="14" t="s">
        <v>339</v>
      </c>
      <c r="B236" s="6" t="s">
        <v>340</v>
      </c>
      <c r="C236" s="6"/>
      <c r="D236" s="16" t="s">
        <v>327</v>
      </c>
      <c r="E236" s="6"/>
      <c r="F236" s="16" t="s">
        <v>299</v>
      </c>
      <c r="G236" s="15" t="s">
        <v>300</v>
      </c>
      <c r="H236" s="16"/>
      <c r="I236" s="16"/>
      <c r="J236" s="16"/>
      <c r="K236" s="16"/>
      <c r="L236" s="16"/>
      <c r="M236" s="16"/>
      <c r="N236" s="16"/>
      <c r="O236" s="16"/>
      <c r="P236" s="16"/>
      <c r="Q236" s="16"/>
      <c r="R236" s="16"/>
      <c r="S236" s="16"/>
      <c r="T236" s="16"/>
      <c r="U236" s="16"/>
      <c r="V236" s="16"/>
      <c r="W236" s="16"/>
      <c r="X236" s="16"/>
      <c r="Y236" s="16"/>
    </row>
    <row r="237" spans="1:25" x14ac:dyDescent="0.2">
      <c r="A237" s="14" t="s">
        <v>339</v>
      </c>
      <c r="B237" s="6" t="s">
        <v>340</v>
      </c>
      <c r="C237" s="6"/>
      <c r="D237" s="16" t="s">
        <v>327</v>
      </c>
      <c r="E237" s="6"/>
      <c r="F237" s="16" t="s">
        <v>51</v>
      </c>
      <c r="G237" s="15" t="s">
        <v>52</v>
      </c>
      <c r="H237" s="16"/>
      <c r="I237" s="16"/>
      <c r="J237" s="16"/>
      <c r="K237" s="16"/>
      <c r="L237" s="16"/>
      <c r="M237" s="16"/>
      <c r="N237" s="16"/>
      <c r="O237" s="16"/>
      <c r="P237" s="16"/>
      <c r="Q237" s="16"/>
      <c r="R237" s="16"/>
      <c r="S237" s="16"/>
      <c r="T237" s="16"/>
      <c r="U237" s="16"/>
      <c r="V237" s="16"/>
      <c r="W237" s="16"/>
      <c r="X237" s="16"/>
      <c r="Y237" s="16"/>
    </row>
    <row r="238" spans="1:25" x14ac:dyDescent="0.2">
      <c r="A238" s="14" t="s">
        <v>339</v>
      </c>
      <c r="B238" s="6" t="s">
        <v>340</v>
      </c>
      <c r="C238" s="6"/>
      <c r="D238" s="16" t="s">
        <v>327</v>
      </c>
      <c r="E238" s="6"/>
      <c r="F238" s="16" t="s">
        <v>358</v>
      </c>
      <c r="G238" s="15" t="s">
        <v>360</v>
      </c>
      <c r="H238" s="16"/>
      <c r="I238" s="16"/>
      <c r="J238" s="16"/>
      <c r="K238" s="16"/>
      <c r="L238" s="16"/>
      <c r="M238" s="16"/>
      <c r="N238" s="16"/>
      <c r="O238" s="16"/>
      <c r="P238" s="16"/>
      <c r="Q238" s="16"/>
      <c r="R238" s="16"/>
      <c r="S238" s="16"/>
      <c r="T238" s="16"/>
      <c r="U238" s="16"/>
      <c r="V238" s="16"/>
      <c r="W238" s="16"/>
      <c r="X238" s="16"/>
      <c r="Y238" s="16"/>
    </row>
    <row r="239" spans="1:25" x14ac:dyDescent="0.2">
      <c r="A239" s="21"/>
      <c r="B239" s="22"/>
      <c r="C239" s="22"/>
      <c r="D239" s="23"/>
      <c r="E239" s="22"/>
      <c r="F239" s="23"/>
      <c r="G239" s="15" t="e">
        <f>VLOOKUP(F239, GLOSSARY!$A:$C, 2, FALSE)</f>
        <v>#N/A</v>
      </c>
      <c r="H239" s="23"/>
      <c r="I239" s="23"/>
      <c r="J239" s="23"/>
      <c r="K239" s="23"/>
      <c r="L239" s="23"/>
      <c r="M239" s="23"/>
      <c r="N239" s="23"/>
      <c r="O239" s="23"/>
      <c r="P239" s="23"/>
      <c r="Q239" s="23"/>
      <c r="R239" s="23"/>
      <c r="S239" s="23"/>
      <c r="T239" s="23"/>
      <c r="U239" s="23"/>
      <c r="V239" s="23"/>
      <c r="W239" s="23"/>
      <c r="X239" s="23"/>
      <c r="Y239" s="23"/>
    </row>
    <row r="240" spans="1:25" x14ac:dyDescent="0.2">
      <c r="A240" s="14" t="s">
        <v>137</v>
      </c>
      <c r="B240" s="6" t="s">
        <v>280</v>
      </c>
      <c r="C240" s="6" t="s">
        <v>281</v>
      </c>
      <c r="D240" s="16" t="s">
        <v>37</v>
      </c>
      <c r="E240" s="6"/>
      <c r="F240" s="16" t="s">
        <v>1086</v>
      </c>
      <c r="G240" s="15" t="str">
        <f>VLOOKUP(F240, GLOSSARY!$A:$C, 2, FALSE)</f>
        <v>LITTLE DICK</v>
      </c>
      <c r="H240" s="6" t="s">
        <v>1780</v>
      </c>
      <c r="I240" s="16"/>
      <c r="J240" s="16"/>
      <c r="K240" s="16"/>
      <c r="L240" s="16"/>
      <c r="M240" s="16"/>
      <c r="N240" s="16"/>
      <c r="O240" s="16"/>
      <c r="P240" s="16"/>
      <c r="Q240" s="16"/>
      <c r="R240" s="16"/>
      <c r="S240" s="16"/>
      <c r="T240" s="16"/>
      <c r="U240" s="16"/>
      <c r="V240" s="16"/>
      <c r="W240" s="16"/>
      <c r="X240" s="16"/>
      <c r="Y240" s="16"/>
    </row>
    <row r="241" spans="1:25" x14ac:dyDescent="0.2">
      <c r="A241" s="14" t="s">
        <v>137</v>
      </c>
      <c r="B241" s="6" t="s">
        <v>280</v>
      </c>
      <c r="C241" s="6" t="s">
        <v>281</v>
      </c>
      <c r="D241" s="16" t="s">
        <v>37</v>
      </c>
      <c r="E241" s="6"/>
      <c r="F241" s="16" t="s">
        <v>1785</v>
      </c>
      <c r="G241" s="15" t="str">
        <f>VLOOKUP(F241, GLOSSARY!$A:$C, 2, FALSE)</f>
        <v>CHARLOTTE (WONGA'S DAUGHTER)</v>
      </c>
      <c r="H241" s="16"/>
      <c r="I241" s="16"/>
      <c r="J241" s="16"/>
      <c r="K241" s="16"/>
      <c r="L241" s="16"/>
      <c r="M241" s="16"/>
      <c r="N241" s="16"/>
      <c r="O241" s="16"/>
      <c r="P241" s="16"/>
      <c r="Q241" s="16"/>
      <c r="R241" s="16"/>
      <c r="S241" s="16"/>
      <c r="T241" s="16"/>
      <c r="U241" s="16"/>
      <c r="V241" s="16"/>
      <c r="W241" s="16"/>
      <c r="X241" s="16"/>
      <c r="Y241" s="16"/>
    </row>
    <row r="242" spans="1:25" x14ac:dyDescent="0.2">
      <c r="A242" s="14" t="s">
        <v>137</v>
      </c>
      <c r="B242" s="6" t="s">
        <v>280</v>
      </c>
      <c r="C242" s="6" t="s">
        <v>281</v>
      </c>
      <c r="D242" s="16" t="s">
        <v>306</v>
      </c>
      <c r="E242" s="6"/>
      <c r="F242" s="16" t="s">
        <v>1306</v>
      </c>
      <c r="G242" s="15" t="str">
        <f>VLOOKUP(F242, GLOSSARY!$A:$C, 2, FALSE)</f>
        <v>CYRUS</v>
      </c>
      <c r="H242" s="16"/>
      <c r="I242" s="16"/>
      <c r="J242" s="16"/>
      <c r="K242" s="16"/>
      <c r="L242" s="16"/>
      <c r="M242" s="16"/>
      <c r="N242" s="16"/>
      <c r="O242" s="16"/>
      <c r="P242" s="16"/>
      <c r="Q242" s="16"/>
      <c r="R242" s="16"/>
      <c r="S242" s="16"/>
      <c r="T242" s="16"/>
      <c r="U242" s="16"/>
      <c r="V242" s="16"/>
      <c r="W242" s="16"/>
      <c r="X242" s="16"/>
      <c r="Y242" s="16"/>
    </row>
    <row r="243" spans="1:25" x14ac:dyDescent="0.2">
      <c r="A243" s="14" t="s">
        <v>137</v>
      </c>
      <c r="B243" s="6" t="s">
        <v>280</v>
      </c>
      <c r="C243" s="6" t="s">
        <v>281</v>
      </c>
      <c r="D243" s="16" t="s">
        <v>327</v>
      </c>
      <c r="E243" s="6"/>
      <c r="F243" s="16" t="s">
        <v>330</v>
      </c>
      <c r="G243" s="15" t="s">
        <v>332</v>
      </c>
      <c r="H243" s="16"/>
      <c r="I243" s="16"/>
      <c r="J243" s="16"/>
      <c r="K243" s="16"/>
      <c r="L243" s="16"/>
      <c r="M243" s="16"/>
      <c r="N243" s="16"/>
      <c r="O243" s="16"/>
      <c r="P243" s="16"/>
      <c r="Q243" s="16"/>
      <c r="R243" s="16"/>
      <c r="S243" s="16"/>
      <c r="T243" s="16"/>
      <c r="U243" s="16"/>
      <c r="V243" s="16"/>
      <c r="W243" s="16"/>
      <c r="X243" s="16"/>
      <c r="Y243" s="16"/>
    </row>
    <row r="244" spans="1:25" x14ac:dyDescent="0.2">
      <c r="A244" s="14" t="s">
        <v>137</v>
      </c>
      <c r="B244" s="6" t="s">
        <v>280</v>
      </c>
      <c r="C244" s="6" t="s">
        <v>281</v>
      </c>
      <c r="D244" s="16" t="s">
        <v>327</v>
      </c>
      <c r="E244" s="6"/>
      <c r="F244" s="16" t="s">
        <v>339</v>
      </c>
      <c r="G244" s="15" t="s">
        <v>340</v>
      </c>
      <c r="H244" s="16"/>
      <c r="I244" s="16"/>
      <c r="J244" s="16"/>
      <c r="K244" s="16"/>
      <c r="L244" s="16"/>
      <c r="M244" s="16"/>
      <c r="N244" s="16"/>
      <c r="O244" s="16"/>
      <c r="P244" s="16"/>
      <c r="Q244" s="16"/>
      <c r="R244" s="16"/>
      <c r="S244" s="16"/>
      <c r="T244" s="16"/>
      <c r="U244" s="16"/>
      <c r="V244" s="16"/>
      <c r="W244" s="16"/>
      <c r="X244" s="16"/>
      <c r="Y244" s="16"/>
    </row>
    <row r="245" spans="1:25" x14ac:dyDescent="0.2">
      <c r="A245" s="14" t="s">
        <v>137</v>
      </c>
      <c r="B245" s="6" t="s">
        <v>280</v>
      </c>
      <c r="C245" s="6" t="s">
        <v>281</v>
      </c>
      <c r="D245" s="16" t="s">
        <v>327</v>
      </c>
      <c r="E245" s="6"/>
      <c r="F245" s="16" t="s">
        <v>322</v>
      </c>
      <c r="G245" s="15" t="s">
        <v>324</v>
      </c>
      <c r="H245" s="16"/>
      <c r="I245" s="16"/>
      <c r="J245" s="16"/>
      <c r="K245" s="16"/>
      <c r="L245" s="16"/>
      <c r="M245" s="16"/>
      <c r="N245" s="16"/>
      <c r="O245" s="16"/>
      <c r="P245" s="16"/>
      <c r="Q245" s="16"/>
      <c r="R245" s="16"/>
      <c r="S245" s="16"/>
      <c r="T245" s="16"/>
      <c r="U245" s="16"/>
      <c r="V245" s="16"/>
      <c r="W245" s="16"/>
      <c r="X245" s="16"/>
      <c r="Y245" s="16"/>
    </row>
    <row r="246" spans="1:25" x14ac:dyDescent="0.2">
      <c r="A246" s="14" t="s">
        <v>137</v>
      </c>
      <c r="B246" s="6" t="s">
        <v>280</v>
      </c>
      <c r="C246" s="6" t="s">
        <v>281</v>
      </c>
      <c r="D246" s="16" t="s">
        <v>327</v>
      </c>
      <c r="E246" s="6"/>
      <c r="F246" s="16" t="s">
        <v>299</v>
      </c>
      <c r="G246" s="15" t="s">
        <v>300</v>
      </c>
      <c r="H246" s="16"/>
      <c r="I246" s="16"/>
      <c r="J246" s="16"/>
      <c r="K246" s="16"/>
      <c r="L246" s="16"/>
      <c r="M246" s="16"/>
      <c r="N246" s="16"/>
      <c r="O246" s="16"/>
      <c r="P246" s="16"/>
      <c r="Q246" s="16"/>
      <c r="R246" s="16"/>
      <c r="S246" s="16"/>
      <c r="T246" s="16"/>
      <c r="U246" s="16"/>
      <c r="V246" s="16"/>
      <c r="W246" s="16"/>
      <c r="X246" s="16"/>
      <c r="Y246" s="16"/>
    </row>
    <row r="247" spans="1:25" x14ac:dyDescent="0.2">
      <c r="A247" s="14" t="s">
        <v>137</v>
      </c>
      <c r="B247" s="6" t="s">
        <v>280</v>
      </c>
      <c r="C247" s="6" t="s">
        <v>281</v>
      </c>
      <c r="D247" s="16" t="s">
        <v>327</v>
      </c>
      <c r="E247" s="6"/>
      <c r="F247" s="16" t="s">
        <v>358</v>
      </c>
      <c r="G247" s="15" t="s">
        <v>360</v>
      </c>
      <c r="H247" s="16"/>
      <c r="I247" s="16"/>
      <c r="J247" s="16"/>
      <c r="K247" s="16"/>
      <c r="L247" s="16"/>
      <c r="M247" s="16"/>
      <c r="N247" s="16"/>
      <c r="O247" s="16"/>
      <c r="P247" s="16"/>
      <c r="Q247" s="16"/>
      <c r="R247" s="16"/>
      <c r="S247" s="16"/>
      <c r="T247" s="16"/>
      <c r="U247" s="16"/>
      <c r="V247" s="16"/>
      <c r="W247" s="16"/>
      <c r="X247" s="16"/>
      <c r="Y247" s="16"/>
    </row>
    <row r="248" spans="1:25" x14ac:dyDescent="0.2">
      <c r="A248" s="14" t="s">
        <v>137</v>
      </c>
      <c r="B248" s="6" t="s">
        <v>280</v>
      </c>
      <c r="C248" s="6" t="s">
        <v>281</v>
      </c>
      <c r="D248" s="16" t="s">
        <v>327</v>
      </c>
      <c r="E248" s="6"/>
      <c r="F248" s="16" t="s">
        <v>51</v>
      </c>
      <c r="G248" s="15" t="s">
        <v>52</v>
      </c>
      <c r="H248" s="16"/>
      <c r="I248" s="16"/>
      <c r="J248" s="16"/>
      <c r="K248" s="16"/>
      <c r="L248" s="16"/>
      <c r="M248" s="16"/>
      <c r="N248" s="16"/>
      <c r="O248" s="16"/>
      <c r="P248" s="16"/>
      <c r="Q248" s="16"/>
      <c r="R248" s="16"/>
      <c r="S248" s="16"/>
      <c r="T248" s="16"/>
      <c r="U248" s="16"/>
      <c r="V248" s="16"/>
      <c r="W248" s="16"/>
      <c r="X248" s="16"/>
      <c r="Y248" s="16"/>
    </row>
    <row r="249" spans="1:25" x14ac:dyDescent="0.2">
      <c r="A249" s="21"/>
      <c r="B249" s="22"/>
      <c r="C249" s="22"/>
      <c r="D249" s="23"/>
      <c r="E249" s="22"/>
      <c r="F249" s="23"/>
      <c r="G249" s="15" t="e">
        <f>VLOOKUP(F249, GLOSSARY!$A:$C, 2, FALSE)</f>
        <v>#N/A</v>
      </c>
      <c r="H249" s="23"/>
      <c r="I249" s="23"/>
      <c r="J249" s="23"/>
      <c r="K249" s="23"/>
      <c r="L249" s="23"/>
      <c r="M249" s="23"/>
      <c r="N249" s="23"/>
      <c r="O249" s="23"/>
      <c r="P249" s="23"/>
      <c r="Q249" s="23"/>
      <c r="R249" s="23"/>
      <c r="S249" s="23"/>
      <c r="T249" s="23"/>
      <c r="U249" s="23"/>
      <c r="V249" s="23"/>
      <c r="W249" s="23"/>
      <c r="X249" s="23"/>
      <c r="Y249" s="23"/>
    </row>
    <row r="250" spans="1:25" x14ac:dyDescent="0.2">
      <c r="A250" s="14" t="s">
        <v>322</v>
      </c>
      <c r="B250" s="6" t="s">
        <v>324</v>
      </c>
      <c r="C250" s="6"/>
      <c r="D250" s="16" t="s">
        <v>37</v>
      </c>
      <c r="E250" s="6"/>
      <c r="F250" s="16" t="s">
        <v>1095</v>
      </c>
      <c r="G250" s="15" t="str">
        <f>VLOOKUP(F250, GLOSSARY!$A:$C, 2, FALSE)</f>
        <v>ELLIN'S CHILD</v>
      </c>
      <c r="H250" s="16"/>
      <c r="I250" s="16"/>
      <c r="J250" s="16"/>
      <c r="K250" s="16"/>
      <c r="L250" s="16"/>
      <c r="M250" s="16"/>
      <c r="N250" s="16"/>
      <c r="O250" s="16"/>
      <c r="P250" s="16"/>
      <c r="Q250" s="16"/>
      <c r="R250" s="16"/>
      <c r="S250" s="16"/>
      <c r="T250" s="16"/>
      <c r="U250" s="16"/>
      <c r="V250" s="16"/>
      <c r="W250" s="16"/>
      <c r="X250" s="16"/>
      <c r="Y250" s="16"/>
    </row>
    <row r="251" spans="1:25" x14ac:dyDescent="0.2">
      <c r="A251" s="14" t="s">
        <v>322</v>
      </c>
      <c r="B251" s="6" t="s">
        <v>324</v>
      </c>
      <c r="C251" s="6"/>
      <c r="D251" s="16" t="s">
        <v>86</v>
      </c>
      <c r="E251" s="6"/>
      <c r="F251" s="16"/>
      <c r="G251" s="15"/>
      <c r="H251" s="16"/>
      <c r="I251" s="16"/>
      <c r="J251" s="16"/>
      <c r="K251" s="16"/>
      <c r="L251" s="16"/>
      <c r="M251" s="16"/>
      <c r="N251" s="16"/>
      <c r="O251" s="16"/>
      <c r="P251" s="16"/>
      <c r="Q251" s="16"/>
      <c r="R251" s="16"/>
      <c r="S251" s="16"/>
      <c r="T251" s="16"/>
      <c r="U251" s="16"/>
      <c r="V251" s="16"/>
      <c r="W251" s="16"/>
      <c r="X251" s="16"/>
      <c r="Y251" s="16"/>
    </row>
    <row r="252" spans="1:25" x14ac:dyDescent="0.2">
      <c r="A252" s="14" t="s">
        <v>322</v>
      </c>
      <c r="B252" s="6" t="s">
        <v>324</v>
      </c>
      <c r="C252" s="6"/>
      <c r="D252" s="16" t="s">
        <v>327</v>
      </c>
      <c r="E252" s="6"/>
      <c r="F252" s="16" t="s">
        <v>330</v>
      </c>
      <c r="G252" s="15" t="s">
        <v>332</v>
      </c>
      <c r="H252" s="16"/>
      <c r="I252" s="16"/>
      <c r="J252" s="16"/>
      <c r="K252" s="16"/>
      <c r="L252" s="16"/>
      <c r="M252" s="16"/>
      <c r="N252" s="16"/>
      <c r="O252" s="16"/>
      <c r="P252" s="16"/>
      <c r="Q252" s="16"/>
      <c r="R252" s="16"/>
      <c r="S252" s="16"/>
      <c r="T252" s="16"/>
      <c r="U252" s="16"/>
      <c r="V252" s="16"/>
      <c r="W252" s="16"/>
      <c r="X252" s="16"/>
      <c r="Y252" s="16"/>
    </row>
    <row r="253" spans="1:25" x14ac:dyDescent="0.2">
      <c r="A253" s="14" t="s">
        <v>322</v>
      </c>
      <c r="B253" s="6" t="s">
        <v>324</v>
      </c>
      <c r="C253" s="6"/>
      <c r="D253" s="16" t="s">
        <v>327</v>
      </c>
      <c r="E253" s="6"/>
      <c r="F253" s="16" t="s">
        <v>339</v>
      </c>
      <c r="G253" s="15" t="s">
        <v>340</v>
      </c>
      <c r="H253" s="16"/>
      <c r="I253" s="16"/>
      <c r="J253" s="16"/>
      <c r="K253" s="16"/>
      <c r="L253" s="16"/>
      <c r="M253" s="16"/>
      <c r="N253" s="16"/>
      <c r="O253" s="16"/>
      <c r="P253" s="16"/>
      <c r="Q253" s="16"/>
      <c r="R253" s="16"/>
      <c r="S253" s="16"/>
      <c r="T253" s="16"/>
      <c r="U253" s="16"/>
      <c r="V253" s="16"/>
      <c r="W253" s="16"/>
      <c r="X253" s="16"/>
      <c r="Y253" s="16"/>
    </row>
    <row r="254" spans="1:25" x14ac:dyDescent="0.2">
      <c r="A254" s="14" t="s">
        <v>322</v>
      </c>
      <c r="B254" s="6" t="s">
        <v>324</v>
      </c>
      <c r="C254" s="6"/>
      <c r="D254" s="16" t="s">
        <v>327</v>
      </c>
      <c r="E254" s="6"/>
      <c r="F254" s="16" t="s">
        <v>137</v>
      </c>
      <c r="G254" s="15" t="s">
        <v>280</v>
      </c>
      <c r="H254" s="16"/>
      <c r="I254" s="16"/>
      <c r="J254" s="16"/>
      <c r="K254" s="16"/>
      <c r="L254" s="16"/>
      <c r="M254" s="16"/>
      <c r="N254" s="16"/>
      <c r="O254" s="16"/>
      <c r="P254" s="16"/>
      <c r="Q254" s="16"/>
      <c r="R254" s="16"/>
      <c r="S254" s="16"/>
      <c r="T254" s="16"/>
      <c r="U254" s="16"/>
      <c r="V254" s="16"/>
      <c r="W254" s="16"/>
      <c r="X254" s="16"/>
      <c r="Y254" s="16"/>
    </row>
    <row r="255" spans="1:25" x14ac:dyDescent="0.2">
      <c r="A255" s="14" t="s">
        <v>322</v>
      </c>
      <c r="B255" s="6" t="s">
        <v>324</v>
      </c>
      <c r="C255" s="6"/>
      <c r="D255" s="16" t="s">
        <v>327</v>
      </c>
      <c r="E255" s="6"/>
      <c r="F255" s="16" t="s">
        <v>299</v>
      </c>
      <c r="G255" s="15" t="s">
        <v>300</v>
      </c>
      <c r="H255" s="16"/>
      <c r="I255" s="16"/>
      <c r="J255" s="16"/>
      <c r="K255" s="16"/>
      <c r="L255" s="16"/>
      <c r="M255" s="16"/>
      <c r="N255" s="16"/>
      <c r="O255" s="16"/>
      <c r="P255" s="16"/>
      <c r="Q255" s="16"/>
      <c r="R255" s="16"/>
      <c r="S255" s="16"/>
      <c r="T255" s="16"/>
      <c r="U255" s="16"/>
      <c r="V255" s="16"/>
      <c r="W255" s="16"/>
      <c r="X255" s="16"/>
      <c r="Y255" s="16"/>
    </row>
    <row r="256" spans="1:25" x14ac:dyDescent="0.2">
      <c r="A256" s="14" t="s">
        <v>322</v>
      </c>
      <c r="B256" s="6" t="s">
        <v>324</v>
      </c>
      <c r="C256" s="6"/>
      <c r="D256" s="16" t="s">
        <v>327</v>
      </c>
      <c r="E256" s="6"/>
      <c r="F256" s="16" t="s">
        <v>358</v>
      </c>
      <c r="G256" s="15" t="s">
        <v>360</v>
      </c>
      <c r="H256" s="16"/>
      <c r="I256" s="16"/>
      <c r="J256" s="16"/>
      <c r="K256" s="16"/>
      <c r="L256" s="16"/>
      <c r="M256" s="16"/>
      <c r="N256" s="16"/>
      <c r="O256" s="16"/>
      <c r="P256" s="16"/>
      <c r="Q256" s="16"/>
      <c r="R256" s="16"/>
      <c r="S256" s="16"/>
      <c r="T256" s="16"/>
      <c r="U256" s="16"/>
      <c r="V256" s="16"/>
      <c r="W256" s="16"/>
      <c r="X256" s="16"/>
      <c r="Y256" s="16"/>
    </row>
    <row r="257" spans="1:25" x14ac:dyDescent="0.2">
      <c r="A257" s="14" t="s">
        <v>322</v>
      </c>
      <c r="B257" s="6" t="s">
        <v>324</v>
      </c>
      <c r="C257" s="6"/>
      <c r="D257" s="16" t="s">
        <v>327</v>
      </c>
      <c r="E257" s="6"/>
      <c r="F257" s="16" t="s">
        <v>51</v>
      </c>
      <c r="G257" s="15" t="s">
        <v>52</v>
      </c>
      <c r="H257" s="16"/>
      <c r="I257" s="16"/>
      <c r="J257" s="16"/>
      <c r="K257" s="16"/>
      <c r="L257" s="16"/>
      <c r="M257" s="16"/>
      <c r="N257" s="16"/>
      <c r="O257" s="16"/>
      <c r="P257" s="16"/>
      <c r="Q257" s="16"/>
      <c r="R257" s="16"/>
      <c r="S257" s="16"/>
      <c r="T257" s="16"/>
      <c r="U257" s="16"/>
      <c r="V257" s="16"/>
      <c r="W257" s="16"/>
      <c r="X257" s="16"/>
      <c r="Y257" s="16"/>
    </row>
    <row r="258" spans="1:25" x14ac:dyDescent="0.2">
      <c r="A258" s="21"/>
      <c r="B258" s="22"/>
      <c r="C258" s="22"/>
      <c r="D258" s="23"/>
      <c r="E258" s="22"/>
      <c r="F258" s="23"/>
      <c r="G258" s="15" t="e">
        <f>VLOOKUP(F258, GLOSSARY!$A:$C, 2, FALSE)</f>
        <v>#N/A</v>
      </c>
      <c r="H258" s="23"/>
      <c r="I258" s="23"/>
      <c r="J258" s="23"/>
      <c r="K258" s="23"/>
      <c r="L258" s="23"/>
      <c r="M258" s="23"/>
      <c r="N258" s="23"/>
      <c r="O258" s="23"/>
      <c r="P258" s="23"/>
      <c r="Q258" s="23"/>
      <c r="R258" s="23"/>
      <c r="S258" s="23"/>
      <c r="T258" s="23"/>
      <c r="U258" s="23"/>
      <c r="V258" s="23"/>
      <c r="W258" s="23"/>
      <c r="X258" s="23"/>
      <c r="Y258" s="23"/>
    </row>
    <row r="259" spans="1:25" x14ac:dyDescent="0.2">
      <c r="A259" s="14" t="s">
        <v>299</v>
      </c>
      <c r="B259" s="6" t="s">
        <v>300</v>
      </c>
      <c r="C259" s="6"/>
      <c r="D259" s="16" t="s">
        <v>37</v>
      </c>
      <c r="E259" s="6"/>
      <c r="F259" s="16" t="s">
        <v>1098</v>
      </c>
      <c r="G259" s="15" t="str">
        <f>VLOOKUP(F259, GLOSSARY!$A:$C, 2, FALSE)</f>
        <v>MOUNTAIN LUCY'S CHILD</v>
      </c>
      <c r="H259" s="6" t="s">
        <v>301</v>
      </c>
      <c r="I259" s="16"/>
      <c r="J259" s="16"/>
      <c r="K259" s="16"/>
      <c r="L259" s="16"/>
      <c r="M259" s="16"/>
      <c r="N259" s="16"/>
      <c r="O259" s="16"/>
      <c r="P259" s="16"/>
      <c r="Q259" s="16"/>
      <c r="R259" s="16"/>
      <c r="S259" s="16"/>
      <c r="T259" s="16"/>
      <c r="U259" s="16"/>
      <c r="V259" s="16"/>
      <c r="W259" s="16"/>
      <c r="X259" s="16"/>
      <c r="Y259" s="16"/>
    </row>
    <row r="260" spans="1:25" x14ac:dyDescent="0.2">
      <c r="A260" s="14" t="s">
        <v>299</v>
      </c>
      <c r="B260" s="6" t="s">
        <v>300</v>
      </c>
      <c r="C260" s="6"/>
      <c r="D260" s="16" t="s">
        <v>37</v>
      </c>
      <c r="E260" s="6"/>
      <c r="F260" s="16" t="s">
        <v>1114</v>
      </c>
      <c r="G260" s="15" t="str">
        <f>VLOOKUP(F260, GLOSSARY!$A:$C, 2, FALSE)</f>
        <v>MOUNTAIN LUCY'S CHILD #2</v>
      </c>
      <c r="H260" s="16"/>
      <c r="I260" s="16"/>
      <c r="J260" s="16"/>
      <c r="K260" s="16"/>
      <c r="L260" s="16"/>
      <c r="M260" s="16"/>
      <c r="N260" s="16"/>
      <c r="O260" s="16"/>
      <c r="P260" s="16"/>
      <c r="Q260" s="16"/>
      <c r="R260" s="16"/>
      <c r="S260" s="16"/>
      <c r="T260" s="16"/>
      <c r="U260" s="16"/>
      <c r="V260" s="16"/>
      <c r="W260" s="16"/>
      <c r="X260" s="16"/>
      <c r="Y260" s="16"/>
    </row>
    <row r="261" spans="1:25" x14ac:dyDescent="0.2">
      <c r="A261" s="14" t="s">
        <v>299</v>
      </c>
      <c r="B261" s="6" t="s">
        <v>300</v>
      </c>
      <c r="C261" s="6"/>
      <c r="D261" s="16" t="s">
        <v>37</v>
      </c>
      <c r="E261" s="6"/>
      <c r="F261" s="16" t="s">
        <v>1603</v>
      </c>
      <c r="G261" s="15" t="str">
        <f>VLOOKUP(F261, GLOSSARY!$A:$C, 2, FALSE)</f>
        <v>FLORA [MOUNTAIN LUCY'S CHILD]</v>
      </c>
      <c r="H261" s="16"/>
      <c r="I261" s="16"/>
      <c r="J261" s="16"/>
      <c r="K261" s="16"/>
      <c r="L261" s="16"/>
      <c r="M261" s="16"/>
      <c r="N261" s="16"/>
      <c r="O261" s="16"/>
      <c r="P261" s="16"/>
      <c r="Q261" s="16"/>
      <c r="R261" s="16"/>
      <c r="S261" s="16"/>
      <c r="T261" s="16"/>
      <c r="U261" s="16"/>
      <c r="V261" s="16"/>
      <c r="W261" s="16"/>
      <c r="X261" s="16"/>
      <c r="Y261" s="16"/>
    </row>
    <row r="262" spans="1:25" x14ac:dyDescent="0.2">
      <c r="A262" s="14" t="s">
        <v>299</v>
      </c>
      <c r="B262" s="6" t="s">
        <v>300</v>
      </c>
      <c r="C262" s="6"/>
      <c r="D262" s="16" t="s">
        <v>37</v>
      </c>
      <c r="E262" s="6"/>
      <c r="F262" s="16" t="s">
        <v>1906</v>
      </c>
      <c r="G262" s="15" t="str">
        <f>VLOOKUP(F262, GLOSSARY!$A:$C, 2, FALSE)</f>
        <v>PRUE [MOUNTAIN LUCY'S DAUGHTER]</v>
      </c>
      <c r="H262" s="16"/>
      <c r="I262" s="16"/>
      <c r="J262" s="16"/>
      <c r="K262" s="16"/>
      <c r="L262" s="16"/>
      <c r="M262" s="16"/>
      <c r="N262" s="16"/>
      <c r="O262" s="16"/>
      <c r="P262" s="16"/>
      <c r="Q262" s="16"/>
      <c r="R262" s="16"/>
      <c r="S262" s="16"/>
      <c r="T262" s="16"/>
      <c r="U262" s="16"/>
      <c r="V262" s="16"/>
      <c r="W262" s="16"/>
      <c r="X262" s="16"/>
      <c r="Y262" s="16"/>
    </row>
    <row r="263" spans="1:25" x14ac:dyDescent="0.2">
      <c r="A263" s="14" t="s">
        <v>299</v>
      </c>
      <c r="B263" s="6" t="s">
        <v>300</v>
      </c>
      <c r="C263" s="6"/>
      <c r="D263" s="16" t="s">
        <v>327</v>
      </c>
      <c r="E263" s="6"/>
      <c r="F263" s="16" t="s">
        <v>330</v>
      </c>
      <c r="G263" s="15" t="s">
        <v>332</v>
      </c>
      <c r="H263" s="16"/>
      <c r="I263" s="16"/>
      <c r="J263" s="16"/>
      <c r="K263" s="16"/>
      <c r="L263" s="16"/>
      <c r="M263" s="16"/>
      <c r="N263" s="16"/>
      <c r="O263" s="16"/>
      <c r="P263" s="16"/>
      <c r="Q263" s="16"/>
      <c r="R263" s="16"/>
      <c r="S263" s="16"/>
      <c r="T263" s="16"/>
      <c r="U263" s="16"/>
      <c r="V263" s="16"/>
      <c r="W263" s="16"/>
      <c r="X263" s="16"/>
      <c r="Y263" s="16"/>
    </row>
    <row r="264" spans="1:25" x14ac:dyDescent="0.2">
      <c r="A264" s="14" t="s">
        <v>299</v>
      </c>
      <c r="B264" s="6" t="s">
        <v>300</v>
      </c>
      <c r="C264" s="6"/>
      <c r="D264" s="16" t="s">
        <v>327</v>
      </c>
      <c r="E264" s="6"/>
      <c r="F264" s="16" t="s">
        <v>339</v>
      </c>
      <c r="G264" s="15" t="s">
        <v>340</v>
      </c>
      <c r="H264" s="16"/>
      <c r="I264" s="16"/>
      <c r="J264" s="16"/>
      <c r="K264" s="16"/>
      <c r="L264" s="16"/>
      <c r="M264" s="16"/>
      <c r="N264" s="16"/>
      <c r="O264" s="16"/>
      <c r="P264" s="16"/>
      <c r="Q264" s="16"/>
      <c r="R264" s="16"/>
      <c r="S264" s="16"/>
      <c r="T264" s="16"/>
      <c r="U264" s="16"/>
      <c r="V264" s="16"/>
      <c r="W264" s="16"/>
      <c r="X264" s="16"/>
      <c r="Y264" s="16"/>
    </row>
    <row r="265" spans="1:25" x14ac:dyDescent="0.2">
      <c r="A265" s="14" t="s">
        <v>299</v>
      </c>
      <c r="B265" s="6" t="s">
        <v>300</v>
      </c>
      <c r="C265" s="6"/>
      <c r="D265" s="16" t="s">
        <v>327</v>
      </c>
      <c r="E265" s="6"/>
      <c r="F265" s="16" t="s">
        <v>137</v>
      </c>
      <c r="G265" s="15" t="s">
        <v>280</v>
      </c>
      <c r="H265" s="16"/>
      <c r="I265" s="16"/>
      <c r="J265" s="16"/>
      <c r="K265" s="16"/>
      <c r="L265" s="16"/>
      <c r="M265" s="16"/>
      <c r="N265" s="16"/>
      <c r="O265" s="16"/>
      <c r="P265" s="16"/>
      <c r="Q265" s="16"/>
      <c r="R265" s="16"/>
      <c r="S265" s="16"/>
      <c r="T265" s="16"/>
      <c r="U265" s="16"/>
      <c r="V265" s="16"/>
      <c r="W265" s="16"/>
      <c r="X265" s="16"/>
      <c r="Y265" s="16"/>
    </row>
    <row r="266" spans="1:25" x14ac:dyDescent="0.2">
      <c r="A266" s="14" t="s">
        <v>299</v>
      </c>
      <c r="B266" s="6" t="s">
        <v>300</v>
      </c>
      <c r="C266" s="6"/>
      <c r="D266" s="16" t="s">
        <v>327</v>
      </c>
      <c r="E266" s="6"/>
      <c r="F266" s="16" t="s">
        <v>322</v>
      </c>
      <c r="G266" s="15" t="s">
        <v>324</v>
      </c>
      <c r="H266" s="16"/>
      <c r="I266" s="16"/>
      <c r="J266" s="16"/>
      <c r="K266" s="16"/>
      <c r="L266" s="16"/>
      <c r="M266" s="16"/>
      <c r="N266" s="16"/>
      <c r="O266" s="16"/>
      <c r="P266" s="16"/>
      <c r="Q266" s="16"/>
      <c r="R266" s="16"/>
      <c r="S266" s="16"/>
      <c r="T266" s="16"/>
      <c r="U266" s="16"/>
      <c r="V266" s="16"/>
      <c r="W266" s="16"/>
      <c r="X266" s="16"/>
      <c r="Y266" s="16"/>
    </row>
    <row r="267" spans="1:25" x14ac:dyDescent="0.2">
      <c r="A267" s="14" t="s">
        <v>299</v>
      </c>
      <c r="B267" s="6" t="s">
        <v>300</v>
      </c>
      <c r="C267" s="6"/>
      <c r="D267" s="16" t="s">
        <v>327</v>
      </c>
      <c r="E267" s="6"/>
      <c r="F267" s="16" t="s">
        <v>358</v>
      </c>
      <c r="G267" s="15" t="s">
        <v>360</v>
      </c>
      <c r="H267" s="16"/>
      <c r="I267" s="16"/>
      <c r="J267" s="16"/>
      <c r="K267" s="16"/>
      <c r="L267" s="16"/>
      <c r="M267" s="16"/>
      <c r="N267" s="16"/>
      <c r="O267" s="16"/>
      <c r="P267" s="16"/>
      <c r="Q267" s="16"/>
      <c r="R267" s="16"/>
      <c r="S267" s="16"/>
      <c r="T267" s="16"/>
      <c r="U267" s="16"/>
      <c r="V267" s="16"/>
      <c r="W267" s="16"/>
      <c r="X267" s="16"/>
      <c r="Y267" s="16"/>
    </row>
    <row r="268" spans="1:25" x14ac:dyDescent="0.2">
      <c r="A268" s="14" t="s">
        <v>299</v>
      </c>
      <c r="B268" s="6" t="s">
        <v>300</v>
      </c>
      <c r="C268" s="6"/>
      <c r="D268" s="16" t="s">
        <v>327</v>
      </c>
      <c r="E268" s="6"/>
      <c r="F268" s="16" t="s">
        <v>51</v>
      </c>
      <c r="G268" s="15" t="s">
        <v>52</v>
      </c>
      <c r="H268" s="16"/>
      <c r="I268" s="16"/>
      <c r="J268" s="16"/>
      <c r="K268" s="16"/>
      <c r="L268" s="16"/>
      <c r="M268" s="16"/>
      <c r="N268" s="16"/>
      <c r="O268" s="16"/>
      <c r="P268" s="16"/>
      <c r="Q268" s="16"/>
      <c r="R268" s="16"/>
      <c r="S268" s="16"/>
      <c r="T268" s="16"/>
      <c r="U268" s="16"/>
      <c r="V268" s="16"/>
      <c r="W268" s="16"/>
      <c r="X268" s="16"/>
      <c r="Y268" s="16"/>
    </row>
    <row r="269" spans="1:25" x14ac:dyDescent="0.2">
      <c r="A269" s="21"/>
      <c r="B269" s="22"/>
      <c r="C269" s="22"/>
      <c r="D269" s="23"/>
      <c r="E269" s="22"/>
      <c r="F269" s="23"/>
      <c r="G269" s="30"/>
      <c r="H269" s="23"/>
      <c r="I269" s="23"/>
      <c r="J269" s="23"/>
      <c r="K269" s="23"/>
      <c r="L269" s="23"/>
      <c r="M269" s="23"/>
      <c r="N269" s="23"/>
      <c r="O269" s="23"/>
      <c r="P269" s="23"/>
      <c r="Q269" s="23"/>
      <c r="R269" s="23"/>
      <c r="S269" s="23"/>
      <c r="T269" s="23"/>
      <c r="U269" s="23"/>
      <c r="V269" s="23"/>
      <c r="W269" s="23"/>
      <c r="X269" s="23"/>
      <c r="Y269" s="23"/>
    </row>
    <row r="270" spans="1:25" x14ac:dyDescent="0.2">
      <c r="A270" s="14" t="s">
        <v>1098</v>
      </c>
      <c r="B270" s="6" t="s">
        <v>1100</v>
      </c>
      <c r="C270" s="6"/>
      <c r="D270" s="16"/>
      <c r="E270" s="6"/>
      <c r="F270" s="16"/>
      <c r="G270" s="15"/>
      <c r="H270" s="16"/>
      <c r="I270" s="16"/>
      <c r="J270" s="16"/>
      <c r="K270" s="16"/>
      <c r="L270" s="16"/>
      <c r="M270" s="16"/>
      <c r="N270" s="16"/>
      <c r="O270" s="16"/>
      <c r="P270" s="16"/>
      <c r="Q270" s="16"/>
      <c r="R270" s="16"/>
      <c r="S270" s="16"/>
      <c r="T270" s="16"/>
      <c r="U270" s="16"/>
      <c r="V270" s="16"/>
      <c r="W270" s="16"/>
      <c r="X270" s="16"/>
      <c r="Y270" s="16"/>
    </row>
    <row r="271" spans="1:25" x14ac:dyDescent="0.2">
      <c r="A271" s="14" t="s">
        <v>1098</v>
      </c>
      <c r="B271" s="6"/>
      <c r="C271" s="6"/>
      <c r="D271" s="16"/>
      <c r="E271" s="6"/>
      <c r="F271" s="16"/>
      <c r="G271" s="15"/>
      <c r="H271" s="16"/>
      <c r="I271" s="16"/>
      <c r="J271" s="16"/>
      <c r="K271" s="16"/>
      <c r="L271" s="16"/>
      <c r="M271" s="16"/>
      <c r="N271" s="16"/>
      <c r="O271" s="16"/>
      <c r="P271" s="16"/>
      <c r="Q271" s="16"/>
      <c r="R271" s="16"/>
      <c r="S271" s="16"/>
      <c r="T271" s="16"/>
      <c r="U271" s="16"/>
      <c r="V271" s="16"/>
      <c r="W271" s="16"/>
      <c r="X271" s="16"/>
      <c r="Y271" s="16"/>
    </row>
    <row r="272" spans="1:25" x14ac:dyDescent="0.2">
      <c r="A272" s="21"/>
      <c r="B272" s="22"/>
      <c r="C272" s="22"/>
      <c r="D272" s="23"/>
      <c r="E272" s="22"/>
      <c r="F272" s="23"/>
      <c r="G272" s="15" t="e">
        <f>VLOOKUP(F272, GLOSSARY!$A:$C, 2, FALSE)</f>
        <v>#N/A</v>
      </c>
      <c r="H272" s="23"/>
      <c r="I272" s="23"/>
      <c r="J272" s="23"/>
      <c r="K272" s="23"/>
      <c r="L272" s="23"/>
      <c r="M272" s="23"/>
      <c r="N272" s="23"/>
      <c r="O272" s="23"/>
      <c r="P272" s="23"/>
      <c r="Q272" s="23"/>
      <c r="R272" s="23"/>
      <c r="S272" s="23"/>
      <c r="T272" s="23"/>
      <c r="U272" s="23"/>
      <c r="V272" s="23"/>
      <c r="W272" s="23"/>
      <c r="X272" s="23"/>
      <c r="Y272" s="23"/>
    </row>
    <row r="273" spans="1:25" x14ac:dyDescent="0.2">
      <c r="A273" s="14" t="s">
        <v>358</v>
      </c>
      <c r="B273" s="6" t="s">
        <v>360</v>
      </c>
      <c r="C273" s="6"/>
      <c r="D273" s="16" t="s">
        <v>37</v>
      </c>
      <c r="E273" s="6"/>
      <c r="F273" s="16" t="s">
        <v>1104</v>
      </c>
      <c r="G273" s="15" t="str">
        <f>VLOOKUP(F273, GLOSSARY!$A:$C, 2, FALSE)</f>
        <v>SARAH'S CHILD/SON</v>
      </c>
      <c r="H273" s="16"/>
      <c r="I273" s="16"/>
      <c r="J273" s="16"/>
      <c r="K273" s="16"/>
      <c r="L273" s="16"/>
      <c r="M273" s="16"/>
      <c r="N273" s="16"/>
      <c r="O273" s="16"/>
      <c r="P273" s="16"/>
      <c r="Q273" s="16"/>
      <c r="R273" s="16"/>
      <c r="S273" s="16"/>
      <c r="T273" s="16"/>
      <c r="U273" s="16"/>
      <c r="V273" s="16"/>
      <c r="W273" s="16"/>
      <c r="X273" s="16"/>
      <c r="Y273" s="16"/>
    </row>
    <row r="274" spans="1:25" x14ac:dyDescent="0.2">
      <c r="A274" s="14" t="s">
        <v>358</v>
      </c>
      <c r="B274" s="6" t="s">
        <v>360</v>
      </c>
      <c r="C274" s="6"/>
      <c r="D274" s="16" t="s">
        <v>37</v>
      </c>
      <c r="E274" s="6"/>
      <c r="F274" s="16" t="s">
        <v>1965</v>
      </c>
      <c r="G274" s="15" t="str">
        <f>VLOOKUP(F274, GLOSSARY!$A:$C, 2, FALSE)</f>
        <v>SARAH'S CUBBAH</v>
      </c>
      <c r="H274" s="16"/>
      <c r="I274" s="16"/>
      <c r="J274" s="16"/>
      <c r="K274" s="16"/>
      <c r="L274" s="16"/>
      <c r="M274" s="16"/>
      <c r="N274" s="16"/>
      <c r="O274" s="16"/>
      <c r="P274" s="16"/>
      <c r="Q274" s="16"/>
      <c r="R274" s="16"/>
      <c r="S274" s="16"/>
      <c r="T274" s="16"/>
      <c r="U274" s="16"/>
      <c r="V274" s="16"/>
      <c r="W274" s="16"/>
      <c r="X274" s="16"/>
      <c r="Y274" s="16"/>
    </row>
    <row r="275" spans="1:25" x14ac:dyDescent="0.2">
      <c r="A275" s="14" t="s">
        <v>358</v>
      </c>
      <c r="B275" s="6" t="s">
        <v>360</v>
      </c>
      <c r="C275" s="6"/>
      <c r="D275" s="16" t="s">
        <v>327</v>
      </c>
      <c r="E275" s="6"/>
      <c r="F275" s="16" t="s">
        <v>330</v>
      </c>
      <c r="G275" s="15" t="s">
        <v>332</v>
      </c>
      <c r="H275" s="16"/>
      <c r="I275" s="16"/>
      <c r="J275" s="16"/>
      <c r="K275" s="16"/>
      <c r="L275" s="16"/>
      <c r="M275" s="16"/>
      <c r="N275" s="16"/>
      <c r="O275" s="16"/>
      <c r="P275" s="16"/>
      <c r="Q275" s="16"/>
      <c r="R275" s="16"/>
      <c r="S275" s="16"/>
      <c r="T275" s="16"/>
      <c r="U275" s="16"/>
      <c r="V275" s="16"/>
      <c r="W275" s="16"/>
      <c r="X275" s="16"/>
      <c r="Y275" s="16"/>
    </row>
    <row r="276" spans="1:25" x14ac:dyDescent="0.2">
      <c r="A276" s="14" t="s">
        <v>358</v>
      </c>
      <c r="B276" s="6" t="s">
        <v>360</v>
      </c>
      <c r="C276" s="6"/>
      <c r="D276" s="16" t="s">
        <v>327</v>
      </c>
      <c r="E276" s="6"/>
      <c r="F276" s="16" t="s">
        <v>339</v>
      </c>
      <c r="G276" s="15" t="s">
        <v>340</v>
      </c>
      <c r="H276" s="16"/>
      <c r="I276" s="16"/>
      <c r="J276" s="16"/>
      <c r="K276" s="16"/>
      <c r="L276" s="16"/>
      <c r="M276" s="16"/>
      <c r="N276" s="16"/>
      <c r="O276" s="16"/>
      <c r="P276" s="16"/>
      <c r="Q276" s="16"/>
      <c r="R276" s="16"/>
      <c r="S276" s="16"/>
      <c r="T276" s="16"/>
      <c r="U276" s="16"/>
      <c r="V276" s="16"/>
      <c r="W276" s="16"/>
      <c r="X276" s="16"/>
      <c r="Y276" s="16"/>
    </row>
    <row r="277" spans="1:25" x14ac:dyDescent="0.2">
      <c r="A277" s="14" t="s">
        <v>358</v>
      </c>
      <c r="B277" s="6" t="s">
        <v>360</v>
      </c>
      <c r="C277" s="6"/>
      <c r="D277" s="16" t="s">
        <v>327</v>
      </c>
      <c r="E277" s="6"/>
      <c r="F277" s="16" t="s">
        <v>137</v>
      </c>
      <c r="G277" s="15" t="s">
        <v>280</v>
      </c>
      <c r="H277" s="16"/>
      <c r="I277" s="16"/>
      <c r="J277" s="16"/>
      <c r="K277" s="16"/>
      <c r="L277" s="16"/>
      <c r="M277" s="16"/>
      <c r="N277" s="16"/>
      <c r="O277" s="16"/>
      <c r="P277" s="16"/>
      <c r="Q277" s="16"/>
      <c r="R277" s="16"/>
      <c r="S277" s="16"/>
      <c r="T277" s="16"/>
      <c r="U277" s="16"/>
      <c r="V277" s="16"/>
      <c r="W277" s="16"/>
      <c r="X277" s="16"/>
      <c r="Y277" s="16"/>
    </row>
    <row r="278" spans="1:25" x14ac:dyDescent="0.2">
      <c r="A278" s="14" t="s">
        <v>358</v>
      </c>
      <c r="B278" s="6" t="s">
        <v>360</v>
      </c>
      <c r="C278" s="6"/>
      <c r="D278" s="16" t="s">
        <v>327</v>
      </c>
      <c r="E278" s="6"/>
      <c r="F278" s="16" t="s">
        <v>322</v>
      </c>
      <c r="G278" s="15" t="s">
        <v>324</v>
      </c>
      <c r="H278" s="16"/>
      <c r="I278" s="16"/>
      <c r="J278" s="16"/>
      <c r="K278" s="16"/>
      <c r="L278" s="16"/>
      <c r="M278" s="16"/>
      <c r="N278" s="16"/>
      <c r="O278" s="16"/>
      <c r="P278" s="16"/>
      <c r="Q278" s="16"/>
      <c r="R278" s="16"/>
      <c r="S278" s="16"/>
      <c r="T278" s="16"/>
      <c r="U278" s="16"/>
      <c r="V278" s="16"/>
      <c r="W278" s="16"/>
      <c r="X278" s="16"/>
      <c r="Y278" s="16"/>
    </row>
    <row r="279" spans="1:25" x14ac:dyDescent="0.2">
      <c r="A279" s="14" t="s">
        <v>358</v>
      </c>
      <c r="B279" s="6" t="s">
        <v>360</v>
      </c>
      <c r="C279" s="6"/>
      <c r="D279" s="16" t="s">
        <v>327</v>
      </c>
      <c r="E279" s="6"/>
      <c r="F279" s="16" t="s">
        <v>299</v>
      </c>
      <c r="G279" s="15" t="s">
        <v>300</v>
      </c>
      <c r="H279" s="16"/>
      <c r="I279" s="16"/>
      <c r="J279" s="16"/>
      <c r="K279" s="16"/>
      <c r="L279" s="16"/>
      <c r="M279" s="16"/>
      <c r="N279" s="16"/>
      <c r="O279" s="16"/>
      <c r="P279" s="16"/>
      <c r="Q279" s="16"/>
      <c r="R279" s="16"/>
      <c r="S279" s="16"/>
      <c r="T279" s="16"/>
      <c r="U279" s="16"/>
      <c r="V279" s="16"/>
      <c r="W279" s="16"/>
      <c r="X279" s="16"/>
      <c r="Y279" s="16"/>
    </row>
    <row r="280" spans="1:25" x14ac:dyDescent="0.2">
      <c r="A280" s="14" t="s">
        <v>358</v>
      </c>
      <c r="B280" s="6" t="s">
        <v>360</v>
      </c>
      <c r="C280" s="6"/>
      <c r="D280" s="16" t="s">
        <v>327</v>
      </c>
      <c r="E280" s="6"/>
      <c r="F280" s="16" t="s">
        <v>51</v>
      </c>
      <c r="G280" s="15" t="s">
        <v>52</v>
      </c>
      <c r="H280" s="16"/>
      <c r="I280" s="16"/>
      <c r="J280" s="16"/>
      <c r="K280" s="16"/>
      <c r="L280" s="16"/>
      <c r="M280" s="16"/>
      <c r="N280" s="16"/>
      <c r="O280" s="16"/>
      <c r="P280" s="16"/>
      <c r="Q280" s="16"/>
      <c r="R280" s="16"/>
      <c r="S280" s="16"/>
      <c r="T280" s="16"/>
      <c r="U280" s="16"/>
      <c r="V280" s="16"/>
      <c r="W280" s="16"/>
      <c r="X280" s="16"/>
      <c r="Y280" s="16"/>
    </row>
    <row r="281" spans="1:25" x14ac:dyDescent="0.2">
      <c r="A281" s="21"/>
      <c r="B281" s="22"/>
      <c r="C281" s="22"/>
      <c r="D281" s="23"/>
      <c r="E281" s="22"/>
      <c r="F281" s="23"/>
      <c r="G281" s="15" t="e">
        <f>VLOOKUP(F281, GLOSSARY!$A:$C, 2, FALSE)</f>
        <v>#N/A</v>
      </c>
      <c r="H281" s="23"/>
      <c r="I281" s="23"/>
      <c r="J281" s="23"/>
      <c r="K281" s="23"/>
      <c r="L281" s="23"/>
      <c r="M281" s="23"/>
      <c r="N281" s="23"/>
      <c r="O281" s="23"/>
      <c r="P281" s="23"/>
      <c r="Q281" s="23"/>
      <c r="R281" s="23"/>
      <c r="S281" s="23"/>
      <c r="T281" s="23"/>
      <c r="U281" s="23"/>
      <c r="V281" s="23"/>
      <c r="W281" s="23"/>
      <c r="X281" s="23"/>
      <c r="Y281" s="23"/>
    </row>
    <row r="282" spans="1:25" x14ac:dyDescent="0.2">
      <c r="A282" s="14" t="s">
        <v>1080</v>
      </c>
      <c r="B282" s="6" t="s">
        <v>1082</v>
      </c>
      <c r="C282" s="6"/>
      <c r="D282" s="16" t="s">
        <v>1644</v>
      </c>
      <c r="E282" s="6"/>
      <c r="F282" s="16" t="s">
        <v>1266</v>
      </c>
      <c r="G282" s="15" t="str">
        <f>VLOOKUP(F282, GLOSSARY!$A:$C, 2, FALSE)</f>
        <v>TOBBI (AMBO'S CHILD)</v>
      </c>
      <c r="H282" s="16"/>
      <c r="I282" s="16"/>
      <c r="J282" s="16"/>
      <c r="K282" s="16"/>
      <c r="L282" s="16"/>
      <c r="M282" s="16"/>
      <c r="N282" s="16"/>
      <c r="O282" s="16"/>
      <c r="P282" s="16"/>
      <c r="Q282" s="16"/>
      <c r="R282" s="16"/>
      <c r="S282" s="16"/>
      <c r="T282" s="16"/>
      <c r="U282" s="16"/>
      <c r="V282" s="16"/>
      <c r="W282" s="16"/>
      <c r="X282" s="16"/>
      <c r="Y282" s="16"/>
    </row>
    <row r="283" spans="1:25" x14ac:dyDescent="0.2">
      <c r="A283" s="14" t="s">
        <v>1080</v>
      </c>
      <c r="B283" s="6" t="s">
        <v>1082</v>
      </c>
      <c r="C283" s="6"/>
      <c r="D283" s="16" t="s">
        <v>1644</v>
      </c>
      <c r="E283" s="6"/>
      <c r="F283" s="16" t="s">
        <v>1074</v>
      </c>
      <c r="G283" s="15" t="str">
        <f>VLOOKUP(F283, GLOSSARY!$A:$C, 2, FALSE)</f>
        <v>LITTLE AGNES</v>
      </c>
      <c r="H283" s="16"/>
      <c r="I283" s="16"/>
      <c r="J283" s="16"/>
      <c r="K283" s="16"/>
      <c r="L283" s="16"/>
      <c r="M283" s="16"/>
      <c r="N283" s="16"/>
      <c r="O283" s="16"/>
      <c r="P283" s="16"/>
      <c r="Q283" s="16"/>
      <c r="R283" s="16"/>
      <c r="S283" s="16"/>
      <c r="T283" s="16"/>
      <c r="U283" s="16"/>
      <c r="V283" s="16"/>
      <c r="W283" s="16"/>
      <c r="X283" s="16"/>
      <c r="Y283" s="16"/>
    </row>
    <row r="284" spans="1:25" x14ac:dyDescent="0.2">
      <c r="A284" s="14" t="s">
        <v>1080</v>
      </c>
      <c r="B284" s="6" t="s">
        <v>1082</v>
      </c>
      <c r="C284" s="6"/>
      <c r="D284" s="16" t="s">
        <v>1644</v>
      </c>
      <c r="E284" s="6"/>
      <c r="F284" s="16" t="s">
        <v>2018</v>
      </c>
      <c r="G284" s="15" t="str">
        <f>VLOOKUP(F284, GLOSSARY!$A:$C, 2, FALSE)</f>
        <v>AGNES &amp; AMBO'S CHILD #1</v>
      </c>
      <c r="H284" s="16"/>
      <c r="I284" s="16"/>
      <c r="J284" s="16"/>
      <c r="K284" s="16"/>
      <c r="L284" s="16"/>
      <c r="M284" s="16"/>
      <c r="N284" s="16"/>
      <c r="O284" s="16"/>
      <c r="P284" s="16"/>
      <c r="Q284" s="16"/>
      <c r="R284" s="16"/>
      <c r="S284" s="16"/>
      <c r="T284" s="16"/>
      <c r="U284" s="16"/>
      <c r="V284" s="16"/>
      <c r="W284" s="16"/>
      <c r="X284" s="16"/>
      <c r="Y284" s="16"/>
    </row>
    <row r="285" spans="1:25" x14ac:dyDescent="0.2">
      <c r="A285" s="14" t="s">
        <v>1080</v>
      </c>
      <c r="B285" s="6" t="s">
        <v>1082</v>
      </c>
      <c r="C285" s="6"/>
      <c r="D285" s="16" t="s">
        <v>306</v>
      </c>
      <c r="E285" s="6"/>
      <c r="F285" s="16" t="s">
        <v>339</v>
      </c>
      <c r="G285" s="15" t="str">
        <f>VLOOKUP(F285, GLOSSARY!$A:$C, 2, FALSE)</f>
        <v>BETTY</v>
      </c>
      <c r="H285" s="16"/>
      <c r="I285" s="16"/>
      <c r="J285" s="16"/>
      <c r="K285" s="16"/>
      <c r="L285" s="16"/>
      <c r="M285" s="16"/>
      <c r="N285" s="16"/>
      <c r="O285" s="16"/>
      <c r="P285" s="16"/>
      <c r="Q285" s="16"/>
      <c r="R285" s="16"/>
      <c r="S285" s="16"/>
      <c r="T285" s="16"/>
      <c r="U285" s="16"/>
      <c r="V285" s="16"/>
      <c r="W285" s="16"/>
      <c r="X285" s="16"/>
      <c r="Y285" s="16"/>
    </row>
    <row r="286" spans="1:25" x14ac:dyDescent="0.2">
      <c r="A286" s="14" t="s">
        <v>1080</v>
      </c>
      <c r="B286" s="6" t="s">
        <v>1082</v>
      </c>
      <c r="C286" s="6"/>
      <c r="D286" s="16" t="s">
        <v>306</v>
      </c>
      <c r="E286" s="6"/>
      <c r="F286" s="16" t="s">
        <v>815</v>
      </c>
      <c r="G286" s="15" t="str">
        <f>VLOOKUP(F286, GLOSSARY!$A:$C, 2, FALSE)</f>
        <v>AGNES</v>
      </c>
      <c r="H286" s="16"/>
      <c r="I286" s="16"/>
      <c r="J286" s="16"/>
      <c r="K286" s="16"/>
      <c r="L286" s="16"/>
      <c r="M286" s="16"/>
      <c r="N286" s="16"/>
      <c r="O286" s="16"/>
      <c r="P286" s="16"/>
      <c r="Q286" s="16"/>
      <c r="R286" s="16"/>
      <c r="S286" s="16"/>
      <c r="T286" s="16"/>
      <c r="U286" s="16"/>
      <c r="V286" s="16"/>
      <c r="W286" s="16"/>
      <c r="X286" s="16"/>
      <c r="Y286" s="16"/>
    </row>
    <row r="287" spans="1:25" x14ac:dyDescent="0.2">
      <c r="A287" s="21"/>
      <c r="B287" s="22"/>
      <c r="C287" s="22"/>
      <c r="D287" s="23"/>
      <c r="E287" s="22"/>
      <c r="F287" s="23"/>
      <c r="G287" s="15" t="e">
        <f>VLOOKUP(F287, GLOSSARY!$A:$C, 2, FALSE)</f>
        <v>#N/A</v>
      </c>
      <c r="H287" s="23"/>
      <c r="I287" s="23"/>
      <c r="J287" s="23"/>
      <c r="K287" s="23"/>
      <c r="L287" s="23"/>
      <c r="M287" s="23"/>
      <c r="N287" s="23"/>
      <c r="O287" s="23"/>
      <c r="P287" s="23"/>
      <c r="Q287" s="23"/>
      <c r="R287" s="23"/>
      <c r="S287" s="23"/>
      <c r="T287" s="23"/>
      <c r="U287" s="23"/>
      <c r="V287" s="23"/>
      <c r="W287" s="23"/>
      <c r="X287" s="23"/>
      <c r="Y287" s="23"/>
    </row>
    <row r="288" spans="1:25" x14ac:dyDescent="0.2">
      <c r="A288" s="14" t="s">
        <v>1306</v>
      </c>
      <c r="B288" s="6" t="s">
        <v>1307</v>
      </c>
      <c r="C288" s="6"/>
      <c r="D288" s="16" t="s">
        <v>1644</v>
      </c>
      <c r="E288" s="6"/>
      <c r="F288" s="16" t="s">
        <v>1086</v>
      </c>
      <c r="G288" s="15" t="str">
        <f>VLOOKUP(F288, GLOSSARY!$A:$C, 2, FALSE)</f>
        <v>LITTLE DICK</v>
      </c>
      <c r="H288" s="6" t="s">
        <v>1309</v>
      </c>
      <c r="I288" s="16"/>
      <c r="J288" s="16"/>
      <c r="K288" s="16"/>
      <c r="L288" s="16"/>
      <c r="M288" s="16"/>
      <c r="N288" s="16"/>
      <c r="O288" s="16"/>
      <c r="P288" s="16"/>
      <c r="Q288" s="16"/>
      <c r="R288" s="16"/>
      <c r="S288" s="16"/>
      <c r="T288" s="16"/>
      <c r="U288" s="16"/>
      <c r="V288" s="16"/>
      <c r="W288" s="16"/>
      <c r="X288" s="16"/>
      <c r="Y288" s="16"/>
    </row>
    <row r="289" spans="1:25" x14ac:dyDescent="0.2">
      <c r="A289" s="14" t="s">
        <v>1306</v>
      </c>
      <c r="B289" s="6" t="s">
        <v>1307</v>
      </c>
      <c r="C289" s="6"/>
      <c r="D289" s="16" t="s">
        <v>1644</v>
      </c>
      <c r="E289" s="6"/>
      <c r="F289" s="16" t="s">
        <v>2055</v>
      </c>
      <c r="G289" s="15" t="str">
        <f>VLOOKUP(F289, GLOSSARY!$A:$C, 2, FALSE)</f>
        <v>SAWNEY [CYRUS' SON]</v>
      </c>
      <c r="H289" s="16"/>
      <c r="I289" s="16"/>
      <c r="J289" s="16"/>
      <c r="K289" s="16"/>
      <c r="L289" s="16"/>
      <c r="M289" s="16"/>
      <c r="N289" s="16"/>
      <c r="O289" s="16"/>
      <c r="P289" s="16"/>
      <c r="Q289" s="16"/>
      <c r="R289" s="16"/>
      <c r="S289" s="16"/>
      <c r="T289" s="16"/>
      <c r="U289" s="16"/>
      <c r="V289" s="16"/>
      <c r="W289" s="16"/>
      <c r="X289" s="16"/>
      <c r="Y289" s="16"/>
    </row>
    <row r="290" spans="1:25" x14ac:dyDescent="0.2">
      <c r="A290" s="14" t="s">
        <v>1306</v>
      </c>
      <c r="B290" s="6" t="s">
        <v>1307</v>
      </c>
      <c r="C290" s="6"/>
      <c r="D290" s="16" t="s">
        <v>306</v>
      </c>
      <c r="E290" s="6"/>
      <c r="F290" s="16" t="s">
        <v>137</v>
      </c>
      <c r="G290" s="15" t="s">
        <v>280</v>
      </c>
      <c r="H290" s="16"/>
      <c r="I290" s="16"/>
      <c r="J290" s="16"/>
      <c r="K290" s="16"/>
      <c r="L290" s="16"/>
      <c r="M290" s="16"/>
      <c r="N290" s="16"/>
      <c r="O290" s="16"/>
      <c r="P290" s="16"/>
      <c r="Q290" s="16"/>
      <c r="R290" s="16"/>
      <c r="S290" s="16"/>
      <c r="T290" s="16"/>
      <c r="U290" s="16"/>
      <c r="V290" s="16"/>
      <c r="W290" s="16"/>
      <c r="X290" s="16"/>
      <c r="Y290" s="16"/>
    </row>
    <row r="291" spans="1:25" x14ac:dyDescent="0.2">
      <c r="A291" s="21"/>
      <c r="B291" s="22"/>
      <c r="C291" s="22"/>
      <c r="D291" s="23"/>
      <c r="E291" s="22"/>
      <c r="F291" s="23"/>
      <c r="G291" s="15" t="e">
        <f>VLOOKUP(F291, GLOSSARY!$A:$C, 2, FALSE)</f>
        <v>#N/A</v>
      </c>
      <c r="H291" s="23"/>
      <c r="I291" s="23"/>
      <c r="J291" s="23"/>
      <c r="K291" s="23"/>
      <c r="L291" s="23"/>
      <c r="M291" s="23"/>
      <c r="N291" s="23"/>
      <c r="O291" s="23"/>
      <c r="P291" s="23"/>
      <c r="Q291" s="23"/>
      <c r="R291" s="23"/>
      <c r="S291" s="23"/>
      <c r="T291" s="23"/>
      <c r="U291" s="23"/>
      <c r="V291" s="23"/>
      <c r="W291" s="23"/>
      <c r="X291" s="23"/>
      <c r="Y291" s="23"/>
    </row>
    <row r="292" spans="1:25" x14ac:dyDescent="0.2">
      <c r="A292" s="14" t="s">
        <v>815</v>
      </c>
      <c r="B292" s="6" t="s">
        <v>816</v>
      </c>
      <c r="C292" s="6"/>
      <c r="D292" s="16" t="s">
        <v>306</v>
      </c>
      <c r="E292" s="6"/>
      <c r="F292" s="16" t="s">
        <v>1080</v>
      </c>
      <c r="G292" s="15" t="str">
        <f>VLOOKUP(F292, GLOSSARY!$A:$C, 2, FALSE)</f>
        <v>AMBO</v>
      </c>
      <c r="H292" s="16"/>
      <c r="I292" s="16"/>
      <c r="J292" s="16"/>
      <c r="K292" s="16"/>
      <c r="L292" s="16"/>
      <c r="M292" s="16"/>
      <c r="N292" s="16"/>
      <c r="O292" s="16"/>
      <c r="P292" s="16"/>
      <c r="Q292" s="16"/>
      <c r="R292" s="16"/>
      <c r="S292" s="16"/>
      <c r="T292" s="16"/>
      <c r="U292" s="16"/>
      <c r="V292" s="16"/>
      <c r="W292" s="16"/>
      <c r="X292" s="16"/>
      <c r="Y292" s="16"/>
    </row>
    <row r="293" spans="1:25" x14ac:dyDescent="0.2">
      <c r="A293" s="14" t="s">
        <v>815</v>
      </c>
      <c r="B293" s="6" t="s">
        <v>816</v>
      </c>
      <c r="C293" s="6"/>
      <c r="D293" s="16" t="s">
        <v>37</v>
      </c>
      <c r="E293" s="6"/>
      <c r="F293" s="16" t="s">
        <v>2018</v>
      </c>
      <c r="G293" s="15" t="str">
        <f>VLOOKUP(F293, GLOSSARY!$A:$C, 2, FALSE)</f>
        <v>AGNES &amp; AMBO'S CHILD #1</v>
      </c>
      <c r="H293" s="16"/>
      <c r="I293" s="16"/>
      <c r="J293" s="16"/>
      <c r="K293" s="16"/>
      <c r="L293" s="16"/>
      <c r="M293" s="16"/>
      <c r="N293" s="16"/>
      <c r="O293" s="16"/>
      <c r="P293" s="16"/>
      <c r="Q293" s="16"/>
      <c r="R293" s="16"/>
      <c r="S293" s="16"/>
      <c r="T293" s="16"/>
      <c r="U293" s="16"/>
      <c r="V293" s="16"/>
      <c r="W293" s="16"/>
      <c r="X293" s="16"/>
      <c r="Y293" s="16"/>
    </row>
    <row r="294" spans="1:25" x14ac:dyDescent="0.2">
      <c r="A294" s="14" t="s">
        <v>815</v>
      </c>
      <c r="B294" s="6" t="s">
        <v>816</v>
      </c>
      <c r="C294" s="6"/>
      <c r="D294" s="16" t="s">
        <v>391</v>
      </c>
      <c r="E294" s="6"/>
      <c r="F294" s="16" t="s">
        <v>339</v>
      </c>
      <c r="G294" s="15" t="str">
        <f>VLOOKUP(F294, GLOSSARY!$A:$C, 2, FALSE)</f>
        <v>BETTY</v>
      </c>
      <c r="H294" s="16"/>
      <c r="I294" s="16"/>
      <c r="J294" s="16"/>
      <c r="K294" s="16"/>
      <c r="L294" s="16"/>
      <c r="M294" s="16"/>
      <c r="N294" s="16"/>
      <c r="O294" s="16"/>
      <c r="P294" s="16"/>
      <c r="Q294" s="16"/>
      <c r="R294" s="16"/>
      <c r="S294" s="16"/>
      <c r="T294" s="16"/>
      <c r="U294" s="16"/>
      <c r="V294" s="16"/>
      <c r="W294" s="16"/>
      <c r="X294" s="16"/>
      <c r="Y294" s="16"/>
    </row>
    <row r="295" spans="1:25" x14ac:dyDescent="0.2">
      <c r="A295" s="14" t="s">
        <v>815</v>
      </c>
      <c r="B295" s="6" t="s">
        <v>816</v>
      </c>
      <c r="C295" s="6"/>
      <c r="D295" s="16" t="s">
        <v>327</v>
      </c>
      <c r="E295" s="6"/>
      <c r="F295" s="16" t="s">
        <v>330</v>
      </c>
      <c r="G295" s="15" t="s">
        <v>332</v>
      </c>
      <c r="H295" s="16"/>
      <c r="I295" s="16"/>
      <c r="J295" s="16"/>
      <c r="K295" s="16"/>
      <c r="L295" s="16"/>
      <c r="M295" s="16"/>
      <c r="N295" s="16"/>
      <c r="O295" s="16"/>
      <c r="P295" s="16"/>
      <c r="Q295" s="16"/>
      <c r="R295" s="16"/>
      <c r="S295" s="16"/>
      <c r="T295" s="16"/>
      <c r="U295" s="16"/>
      <c r="V295" s="16"/>
      <c r="W295" s="16"/>
      <c r="X295" s="16"/>
      <c r="Y295" s="16"/>
    </row>
    <row r="296" spans="1:25" x14ac:dyDescent="0.2">
      <c r="A296" s="14" t="s">
        <v>815</v>
      </c>
      <c r="B296" s="6" t="s">
        <v>816</v>
      </c>
      <c r="C296" s="6"/>
      <c r="D296" s="16" t="s">
        <v>327</v>
      </c>
      <c r="E296" s="6"/>
      <c r="F296" s="16" t="s">
        <v>339</v>
      </c>
      <c r="G296" s="15" t="s">
        <v>340</v>
      </c>
      <c r="H296" s="16"/>
      <c r="I296" s="16"/>
      <c r="J296" s="16"/>
      <c r="K296" s="16"/>
      <c r="L296" s="16"/>
      <c r="M296" s="16"/>
      <c r="N296" s="16"/>
      <c r="O296" s="16"/>
      <c r="P296" s="16"/>
      <c r="Q296" s="16"/>
      <c r="R296" s="16"/>
      <c r="S296" s="16"/>
      <c r="T296" s="16"/>
      <c r="U296" s="16"/>
      <c r="V296" s="16"/>
      <c r="W296" s="16"/>
      <c r="X296" s="16"/>
      <c r="Y296" s="16"/>
    </row>
    <row r="297" spans="1:25" x14ac:dyDescent="0.2">
      <c r="A297" s="14" t="s">
        <v>815</v>
      </c>
      <c r="B297" s="6" t="s">
        <v>816</v>
      </c>
      <c r="C297" s="6"/>
      <c r="D297" s="16" t="s">
        <v>327</v>
      </c>
      <c r="E297" s="6"/>
      <c r="F297" s="16" t="s">
        <v>137</v>
      </c>
      <c r="G297" s="15" t="s">
        <v>280</v>
      </c>
      <c r="H297" s="16"/>
      <c r="I297" s="16"/>
      <c r="J297" s="16"/>
      <c r="K297" s="16"/>
      <c r="L297" s="16"/>
      <c r="M297" s="16"/>
      <c r="N297" s="16"/>
      <c r="O297" s="16"/>
      <c r="P297" s="16"/>
      <c r="Q297" s="16"/>
      <c r="R297" s="16"/>
      <c r="S297" s="16"/>
      <c r="T297" s="16"/>
      <c r="U297" s="16"/>
      <c r="V297" s="16"/>
      <c r="W297" s="16"/>
      <c r="X297" s="16"/>
      <c r="Y297" s="16"/>
    </row>
    <row r="298" spans="1:25" x14ac:dyDescent="0.2">
      <c r="A298" s="14" t="s">
        <v>815</v>
      </c>
      <c r="B298" s="6" t="s">
        <v>816</v>
      </c>
      <c r="C298" s="6"/>
      <c r="D298" s="16" t="s">
        <v>327</v>
      </c>
      <c r="E298" s="6"/>
      <c r="F298" s="16" t="s">
        <v>322</v>
      </c>
      <c r="G298" s="15" t="s">
        <v>324</v>
      </c>
      <c r="H298" s="16"/>
      <c r="I298" s="16"/>
      <c r="J298" s="16"/>
      <c r="K298" s="16"/>
      <c r="L298" s="16"/>
      <c r="M298" s="16"/>
      <c r="N298" s="16"/>
      <c r="O298" s="16"/>
      <c r="P298" s="16"/>
      <c r="Q298" s="16"/>
      <c r="R298" s="16"/>
      <c r="S298" s="16"/>
      <c r="T298" s="16"/>
      <c r="U298" s="16"/>
      <c r="V298" s="16"/>
      <c r="W298" s="16"/>
      <c r="X298" s="16"/>
      <c r="Y298" s="16"/>
    </row>
    <row r="299" spans="1:25" x14ac:dyDescent="0.2">
      <c r="A299" s="14" t="s">
        <v>815</v>
      </c>
      <c r="B299" s="6" t="s">
        <v>816</v>
      </c>
      <c r="C299" s="6"/>
      <c r="D299" s="16" t="s">
        <v>327</v>
      </c>
      <c r="E299" s="6"/>
      <c r="F299" s="16" t="s">
        <v>299</v>
      </c>
      <c r="G299" s="15" t="s">
        <v>300</v>
      </c>
      <c r="H299" s="16"/>
      <c r="I299" s="16"/>
      <c r="J299" s="16"/>
      <c r="K299" s="16"/>
      <c r="L299" s="16"/>
      <c r="M299" s="16"/>
      <c r="N299" s="16"/>
      <c r="O299" s="16"/>
      <c r="P299" s="16"/>
      <c r="Q299" s="16"/>
      <c r="R299" s="16"/>
      <c r="S299" s="16"/>
      <c r="T299" s="16"/>
      <c r="U299" s="16"/>
      <c r="V299" s="16"/>
      <c r="W299" s="16"/>
      <c r="X299" s="16"/>
      <c r="Y299" s="16"/>
    </row>
    <row r="300" spans="1:25" x14ac:dyDescent="0.2">
      <c r="A300" s="14" t="s">
        <v>815</v>
      </c>
      <c r="B300" s="6" t="s">
        <v>816</v>
      </c>
      <c r="C300" s="6"/>
      <c r="D300" s="16" t="s">
        <v>327</v>
      </c>
      <c r="E300" s="6"/>
      <c r="F300" s="16" t="s">
        <v>358</v>
      </c>
      <c r="G300" s="15" t="s">
        <v>360</v>
      </c>
      <c r="H300" s="16"/>
      <c r="I300" s="16"/>
      <c r="J300" s="16"/>
      <c r="K300" s="16"/>
      <c r="L300" s="16"/>
      <c r="M300" s="16"/>
      <c r="N300" s="16"/>
      <c r="O300" s="16"/>
      <c r="P300" s="16"/>
      <c r="Q300" s="16"/>
      <c r="R300" s="16"/>
      <c r="S300" s="16"/>
      <c r="T300" s="16"/>
      <c r="U300" s="16"/>
      <c r="V300" s="16"/>
      <c r="W300" s="16"/>
      <c r="X300" s="16"/>
      <c r="Y300" s="16"/>
    </row>
    <row r="301" spans="1:25" x14ac:dyDescent="0.2">
      <c r="A301" s="14" t="s">
        <v>815</v>
      </c>
      <c r="B301" s="6" t="s">
        <v>816</v>
      </c>
      <c r="C301" s="6"/>
      <c r="D301" s="16" t="s">
        <v>327</v>
      </c>
      <c r="E301" s="6"/>
      <c r="F301" s="16" t="s">
        <v>51</v>
      </c>
      <c r="G301" s="15" t="s">
        <v>52</v>
      </c>
      <c r="H301" s="16"/>
      <c r="I301" s="16"/>
      <c r="J301" s="16"/>
      <c r="K301" s="16"/>
      <c r="L301" s="16"/>
      <c r="M301" s="16"/>
      <c r="N301" s="16"/>
      <c r="O301" s="16"/>
      <c r="P301" s="16"/>
      <c r="Q301" s="16"/>
      <c r="R301" s="16"/>
      <c r="S301" s="16"/>
      <c r="T301" s="16"/>
      <c r="U301" s="16"/>
      <c r="V301" s="16"/>
      <c r="W301" s="16"/>
      <c r="X301" s="16"/>
      <c r="Y301" s="16"/>
    </row>
    <row r="302" spans="1:25" x14ac:dyDescent="0.2">
      <c r="A302" s="21"/>
      <c r="B302" s="22"/>
      <c r="C302" s="22"/>
      <c r="D302" s="23"/>
      <c r="E302" s="22"/>
      <c r="F302" s="23"/>
      <c r="G302" s="15" t="e">
        <f>VLOOKUP(F302, GLOSSARY!$A:$C, 2, FALSE)</f>
        <v>#N/A</v>
      </c>
      <c r="H302" s="23"/>
      <c r="I302" s="23"/>
      <c r="J302" s="23"/>
      <c r="K302" s="23"/>
      <c r="L302" s="23"/>
      <c r="M302" s="23"/>
      <c r="N302" s="23"/>
      <c r="O302" s="23"/>
      <c r="P302" s="23"/>
      <c r="Q302" s="23"/>
      <c r="R302" s="23"/>
      <c r="S302" s="23"/>
      <c r="T302" s="23"/>
      <c r="U302" s="23"/>
      <c r="V302" s="23"/>
      <c r="W302" s="23"/>
      <c r="X302" s="23"/>
      <c r="Y302" s="23"/>
    </row>
    <row r="303" spans="1:25" x14ac:dyDescent="0.2">
      <c r="A303" s="14" t="s">
        <v>276</v>
      </c>
      <c r="B303" s="6" t="s">
        <v>277</v>
      </c>
      <c r="C303" s="6"/>
      <c r="D303" s="16" t="s">
        <v>306</v>
      </c>
      <c r="E303" s="6"/>
      <c r="F303" s="16" t="s">
        <v>88</v>
      </c>
      <c r="G303" s="15" t="str">
        <f>VLOOKUP(F303, GLOSSARY!$A:$C, 2, FALSE)</f>
        <v>OGO</v>
      </c>
      <c r="H303" s="6" t="s">
        <v>278</v>
      </c>
      <c r="I303" s="16"/>
      <c r="J303" s="16"/>
      <c r="K303" s="16"/>
      <c r="L303" s="16"/>
      <c r="M303" s="16"/>
      <c r="N303" s="16"/>
      <c r="O303" s="16"/>
      <c r="P303" s="16"/>
      <c r="Q303" s="16"/>
      <c r="R303" s="16"/>
      <c r="S303" s="16"/>
      <c r="T303" s="16"/>
      <c r="U303" s="16"/>
      <c r="V303" s="16"/>
      <c r="W303" s="16"/>
      <c r="X303" s="16"/>
      <c r="Y303" s="16"/>
    </row>
    <row r="304" spans="1:25" x14ac:dyDescent="0.2">
      <c r="A304" s="14" t="s">
        <v>276</v>
      </c>
      <c r="B304" s="6" t="s">
        <v>277</v>
      </c>
      <c r="C304" s="6"/>
      <c r="D304" s="16" t="s">
        <v>1644</v>
      </c>
      <c r="E304" s="6"/>
      <c r="F304" s="16" t="s">
        <v>168</v>
      </c>
      <c r="G304" s="15" t="str">
        <f>VLOOKUP(F304, GLOSSARY!$A:$C, 2, FALSE)</f>
        <v>LUCY</v>
      </c>
      <c r="H304" s="16"/>
      <c r="I304" s="16"/>
      <c r="J304" s="16"/>
      <c r="K304" s="16"/>
      <c r="L304" s="16"/>
      <c r="M304" s="16"/>
      <c r="N304" s="16"/>
      <c r="O304" s="16"/>
      <c r="P304" s="16"/>
      <c r="Q304" s="16"/>
      <c r="R304" s="16"/>
      <c r="S304" s="16"/>
      <c r="T304" s="16"/>
      <c r="U304" s="16"/>
      <c r="V304" s="16"/>
      <c r="W304" s="16"/>
      <c r="X304" s="16"/>
      <c r="Y304" s="16"/>
    </row>
    <row r="305" spans="1:25" x14ac:dyDescent="0.2">
      <c r="A305" s="14" t="s">
        <v>276</v>
      </c>
      <c r="B305" s="6" t="s">
        <v>277</v>
      </c>
      <c r="C305" s="6"/>
      <c r="D305" s="16" t="s">
        <v>71</v>
      </c>
      <c r="E305" s="6"/>
      <c r="F305" s="16" t="s">
        <v>181</v>
      </c>
      <c r="G305" s="15" t="str">
        <f>VLOOKUP(F305, GLOSSARY!$A:$C, 2, FALSE)</f>
        <v>NANNY</v>
      </c>
      <c r="H305" s="16"/>
      <c r="I305" s="16"/>
      <c r="J305" s="16"/>
      <c r="K305" s="16"/>
      <c r="L305" s="16"/>
      <c r="M305" s="16"/>
      <c r="N305" s="16"/>
      <c r="O305" s="16"/>
      <c r="P305" s="16"/>
      <c r="Q305" s="16"/>
      <c r="R305" s="16"/>
      <c r="S305" s="16"/>
      <c r="T305" s="16"/>
      <c r="U305" s="16"/>
      <c r="V305" s="16"/>
      <c r="W305" s="16"/>
      <c r="X305" s="16"/>
      <c r="Y305" s="16"/>
    </row>
    <row r="306" spans="1:25" x14ac:dyDescent="0.2">
      <c r="A306" s="14" t="s">
        <v>276</v>
      </c>
      <c r="B306" s="6" t="s">
        <v>277</v>
      </c>
      <c r="C306" s="6"/>
      <c r="D306" s="16" t="s">
        <v>71</v>
      </c>
      <c r="E306" s="6"/>
      <c r="F306" s="16" t="s">
        <v>1159</v>
      </c>
      <c r="G306" s="15" t="str">
        <f>VLOOKUP(F306, GLOSSARY!$A:$C, 2, FALSE)</f>
        <v>CAESAR</v>
      </c>
      <c r="H306" s="16"/>
      <c r="I306" s="16"/>
      <c r="J306" s="16"/>
      <c r="K306" s="16"/>
      <c r="L306" s="16"/>
      <c r="M306" s="16"/>
      <c r="N306" s="16"/>
      <c r="O306" s="16"/>
      <c r="P306" s="16"/>
      <c r="Q306" s="16"/>
      <c r="R306" s="16"/>
      <c r="S306" s="16"/>
      <c r="T306" s="16"/>
      <c r="U306" s="16"/>
      <c r="V306" s="16"/>
      <c r="W306" s="16"/>
      <c r="X306" s="16"/>
      <c r="Y306" s="16"/>
    </row>
    <row r="307" spans="1:25" x14ac:dyDescent="0.2">
      <c r="A307" s="21"/>
      <c r="B307" s="22"/>
      <c r="C307" s="22"/>
      <c r="D307" s="23"/>
      <c r="E307" s="22"/>
      <c r="F307" s="23"/>
      <c r="G307" s="15" t="e">
        <f>VLOOKUP(F307, GLOSSARY!$A:$C, 2, FALSE)</f>
        <v>#N/A</v>
      </c>
      <c r="H307" s="23"/>
      <c r="I307" s="23"/>
      <c r="J307" s="23"/>
      <c r="K307" s="23"/>
      <c r="L307" s="23"/>
      <c r="M307" s="23"/>
      <c r="N307" s="23"/>
      <c r="O307" s="23"/>
      <c r="P307" s="23"/>
      <c r="Q307" s="23"/>
      <c r="R307" s="23"/>
      <c r="S307" s="23"/>
      <c r="T307" s="23"/>
      <c r="U307" s="23"/>
      <c r="V307" s="23"/>
      <c r="W307" s="23"/>
      <c r="X307" s="23"/>
      <c r="Y307" s="23"/>
    </row>
    <row r="308" spans="1:25" x14ac:dyDescent="0.2">
      <c r="A308" s="14" t="s">
        <v>272</v>
      </c>
      <c r="B308" s="6" t="s">
        <v>273</v>
      </c>
      <c r="C308" s="6"/>
      <c r="D308" s="16" t="s">
        <v>306</v>
      </c>
      <c r="E308" s="6"/>
      <c r="F308" s="16" t="s">
        <v>51</v>
      </c>
      <c r="G308" s="15" t="str">
        <f>VLOOKUP(F308, GLOSSARY!$A:$C, 2, FALSE)</f>
        <v>EGYPT LUCY</v>
      </c>
      <c r="H308" s="6" t="s">
        <v>275</v>
      </c>
      <c r="I308" s="16"/>
      <c r="J308" s="16"/>
      <c r="K308" s="16"/>
      <c r="L308" s="16"/>
      <c r="M308" s="16"/>
      <c r="N308" s="16"/>
      <c r="O308" s="16"/>
      <c r="P308" s="16"/>
      <c r="Q308" s="16"/>
      <c r="R308" s="16"/>
      <c r="S308" s="16"/>
      <c r="T308" s="16"/>
      <c r="U308" s="16"/>
      <c r="V308" s="16"/>
      <c r="W308" s="16"/>
      <c r="X308" s="16"/>
      <c r="Y308" s="16"/>
    </row>
    <row r="309" spans="1:25" x14ac:dyDescent="0.2">
      <c r="A309" s="14" t="s">
        <v>272</v>
      </c>
      <c r="B309" s="6" t="s">
        <v>273</v>
      </c>
      <c r="C309" s="6"/>
      <c r="D309" s="16" t="s">
        <v>1644</v>
      </c>
      <c r="E309" s="6"/>
      <c r="F309" s="16" t="s">
        <v>74</v>
      </c>
      <c r="G309" s="15" t="str">
        <f>VLOOKUP(F309, GLOSSARY!$A:$C, 2, FALSE)</f>
        <v>LITTLE QUASHE</v>
      </c>
      <c r="H309" s="16"/>
      <c r="I309" s="16"/>
      <c r="J309" s="16"/>
      <c r="K309" s="16"/>
      <c r="L309" s="16"/>
      <c r="M309" s="16"/>
      <c r="N309" s="16"/>
      <c r="O309" s="16"/>
      <c r="P309" s="16"/>
      <c r="Q309" s="16"/>
      <c r="R309" s="16"/>
      <c r="S309" s="16"/>
      <c r="T309" s="16"/>
      <c r="U309" s="16"/>
      <c r="V309" s="16"/>
      <c r="W309" s="16"/>
      <c r="X309" s="16"/>
      <c r="Y309" s="16"/>
    </row>
    <row r="310" spans="1:25" x14ac:dyDescent="0.2">
      <c r="A310" s="14"/>
      <c r="B310" s="6"/>
      <c r="C310" s="6"/>
      <c r="D310" s="16"/>
      <c r="E310" s="6"/>
      <c r="F310" s="16"/>
      <c r="G310" s="15" t="e">
        <f>VLOOKUP(F310, GLOSSARY!$A:$C, 2, FALSE)</f>
        <v>#N/A</v>
      </c>
      <c r="H310" s="16"/>
      <c r="I310" s="16"/>
      <c r="J310" s="16"/>
      <c r="K310" s="16"/>
      <c r="L310" s="16"/>
      <c r="M310" s="16"/>
      <c r="N310" s="16"/>
      <c r="O310" s="16"/>
      <c r="P310" s="16"/>
      <c r="Q310" s="16"/>
      <c r="R310" s="16"/>
      <c r="S310" s="16"/>
      <c r="T310" s="16"/>
      <c r="U310" s="16"/>
      <c r="V310" s="16"/>
      <c r="W310" s="16"/>
      <c r="X310" s="16"/>
      <c r="Y310" s="16"/>
    </row>
    <row r="311" spans="1:25" x14ac:dyDescent="0.2">
      <c r="A311" s="14"/>
      <c r="B311" s="6"/>
      <c r="C311" s="6"/>
      <c r="D311" s="16"/>
      <c r="E311" s="6"/>
      <c r="F311" s="16"/>
      <c r="G311" s="15" t="e">
        <f>VLOOKUP(F311, GLOSSARY!$A:$C, 2, FALSE)</f>
        <v>#N/A</v>
      </c>
      <c r="H311" s="16"/>
      <c r="I311" s="16"/>
      <c r="J311" s="16"/>
      <c r="K311" s="16"/>
      <c r="L311" s="16"/>
      <c r="M311" s="16"/>
      <c r="N311" s="16"/>
      <c r="O311" s="16"/>
      <c r="P311" s="16"/>
      <c r="Q311" s="16"/>
      <c r="R311" s="16"/>
      <c r="S311" s="16"/>
      <c r="T311" s="16"/>
      <c r="U311" s="16"/>
      <c r="V311" s="16"/>
      <c r="W311" s="16"/>
      <c r="X311" s="16"/>
      <c r="Y311" s="16"/>
    </row>
    <row r="312" spans="1:25" x14ac:dyDescent="0.2">
      <c r="A312" s="14"/>
      <c r="B312" s="6"/>
      <c r="C312" s="6"/>
      <c r="D312" s="16"/>
      <c r="E312" s="6"/>
      <c r="F312" s="16"/>
      <c r="G312" s="15" t="e">
        <f>VLOOKUP(F312, GLOSSARY!$A:$C, 2, FALSE)</f>
        <v>#N/A</v>
      </c>
      <c r="H312" s="16"/>
      <c r="I312" s="16"/>
      <c r="J312" s="16"/>
      <c r="K312" s="16"/>
      <c r="L312" s="16"/>
      <c r="M312" s="16"/>
      <c r="N312" s="16"/>
      <c r="O312" s="16"/>
      <c r="P312" s="16"/>
      <c r="Q312" s="16"/>
      <c r="R312" s="16"/>
      <c r="S312" s="16"/>
      <c r="T312" s="16"/>
      <c r="U312" s="16"/>
      <c r="V312" s="16"/>
      <c r="W312" s="16"/>
      <c r="X312" s="16"/>
      <c r="Y312" s="16"/>
    </row>
    <row r="313" spans="1:25" x14ac:dyDescent="0.2">
      <c r="A313" s="14"/>
      <c r="B313" s="6"/>
      <c r="C313" s="6"/>
      <c r="D313" s="16"/>
      <c r="E313" s="6"/>
      <c r="F313" s="16"/>
      <c r="G313" s="6"/>
      <c r="H313" s="16"/>
      <c r="I313" s="16"/>
      <c r="J313" s="16"/>
      <c r="K313" s="16"/>
      <c r="L313" s="16"/>
      <c r="M313" s="16"/>
      <c r="N313" s="16"/>
      <c r="O313" s="16"/>
      <c r="P313" s="16"/>
      <c r="Q313" s="16"/>
      <c r="R313" s="16"/>
      <c r="S313" s="16"/>
      <c r="T313" s="16"/>
      <c r="U313" s="16"/>
      <c r="V313" s="16"/>
      <c r="W313" s="16"/>
      <c r="X313" s="16"/>
      <c r="Y313" s="16"/>
    </row>
    <row r="314" spans="1:25" x14ac:dyDescent="0.2">
      <c r="A314" s="14"/>
      <c r="B314" s="6"/>
      <c r="C314" s="6"/>
      <c r="D314" s="16"/>
      <c r="E314" s="6"/>
      <c r="F314" s="16"/>
      <c r="G314" s="6"/>
      <c r="H314" s="16"/>
      <c r="I314" s="16"/>
      <c r="J314" s="16"/>
      <c r="K314" s="16"/>
      <c r="L314" s="16"/>
      <c r="M314" s="16"/>
      <c r="N314" s="16"/>
      <c r="O314" s="16"/>
      <c r="P314" s="16"/>
      <c r="Q314" s="16"/>
      <c r="R314" s="16"/>
      <c r="S314" s="16"/>
      <c r="T314" s="16"/>
      <c r="U314" s="16"/>
      <c r="V314" s="16"/>
      <c r="W314" s="16"/>
      <c r="X314" s="16"/>
      <c r="Y314" s="16"/>
    </row>
    <row r="315" spans="1:25" x14ac:dyDescent="0.2">
      <c r="A315" s="14"/>
      <c r="B315" s="6"/>
      <c r="C315" s="6"/>
      <c r="D315" s="16"/>
      <c r="E315" s="6"/>
      <c r="F315" s="16"/>
      <c r="G315" s="6"/>
      <c r="H315" s="16"/>
      <c r="I315" s="16"/>
      <c r="J315" s="16"/>
      <c r="K315" s="16"/>
      <c r="L315" s="16"/>
      <c r="M315" s="16"/>
      <c r="N315" s="16"/>
      <c r="O315" s="16"/>
      <c r="P315" s="16"/>
      <c r="Q315" s="16"/>
      <c r="R315" s="16"/>
      <c r="S315" s="16"/>
      <c r="T315" s="16"/>
      <c r="U315" s="16"/>
      <c r="V315" s="16"/>
      <c r="W315" s="16"/>
      <c r="X315" s="16"/>
      <c r="Y315" s="16"/>
    </row>
    <row r="316" spans="1:25" x14ac:dyDescent="0.2">
      <c r="A316" s="14"/>
      <c r="B316" s="6"/>
      <c r="C316" s="6"/>
      <c r="D316" s="16"/>
      <c r="E316" s="6"/>
      <c r="F316" s="16"/>
      <c r="G316" s="6"/>
      <c r="H316" s="16"/>
      <c r="I316" s="16"/>
      <c r="J316" s="16"/>
      <c r="K316" s="16"/>
      <c r="L316" s="16"/>
      <c r="M316" s="16"/>
      <c r="N316" s="16"/>
      <c r="O316" s="16"/>
      <c r="P316" s="16"/>
      <c r="Q316" s="16"/>
      <c r="R316" s="16"/>
      <c r="S316" s="16"/>
      <c r="T316" s="16"/>
      <c r="U316" s="16"/>
      <c r="V316" s="16"/>
      <c r="W316" s="16"/>
      <c r="X316" s="16"/>
      <c r="Y316" s="16"/>
    </row>
    <row r="317" spans="1:25" x14ac:dyDescent="0.2">
      <c r="A317" s="14"/>
      <c r="B317" s="6"/>
      <c r="C317" s="6"/>
      <c r="D317" s="16"/>
      <c r="E317" s="6"/>
      <c r="F317" s="16"/>
      <c r="G317" s="6"/>
      <c r="H317" s="16"/>
      <c r="I317" s="16"/>
      <c r="J317" s="16"/>
      <c r="K317" s="16"/>
      <c r="L317" s="16"/>
      <c r="M317" s="16"/>
      <c r="N317" s="16"/>
      <c r="O317" s="16"/>
      <c r="P317" s="16"/>
      <c r="Q317" s="16"/>
      <c r="R317" s="16"/>
      <c r="S317" s="16"/>
      <c r="T317" s="16"/>
      <c r="U317" s="16"/>
      <c r="V317" s="16"/>
      <c r="W317" s="16"/>
      <c r="X317" s="16"/>
      <c r="Y317" s="16"/>
    </row>
    <row r="318" spans="1:25" x14ac:dyDescent="0.2">
      <c r="A318" s="14"/>
      <c r="B318" s="6"/>
      <c r="C318" s="6"/>
      <c r="D318" s="16"/>
      <c r="E318" s="6"/>
      <c r="F318" s="16"/>
      <c r="G318" s="6"/>
      <c r="H318" s="16"/>
      <c r="I318" s="16"/>
      <c r="J318" s="16"/>
      <c r="K318" s="16"/>
      <c r="L318" s="16"/>
      <c r="M318" s="16"/>
      <c r="N318" s="16"/>
      <c r="O318" s="16"/>
      <c r="P318" s="16"/>
      <c r="Q318" s="16"/>
      <c r="R318" s="16"/>
      <c r="S318" s="16"/>
      <c r="T318" s="16"/>
      <c r="U318" s="16"/>
      <c r="V318" s="16"/>
      <c r="W318" s="16"/>
      <c r="X318" s="16"/>
      <c r="Y318" s="16"/>
    </row>
    <row r="319" spans="1:25" x14ac:dyDescent="0.2">
      <c r="A319" s="14"/>
      <c r="B319" s="6"/>
      <c r="C319" s="6"/>
      <c r="D319" s="16"/>
      <c r="E319" s="6"/>
      <c r="F319" s="16"/>
      <c r="G319" s="6"/>
      <c r="H319" s="16"/>
      <c r="I319" s="16"/>
      <c r="J319" s="16"/>
      <c r="K319" s="16"/>
      <c r="L319" s="16"/>
      <c r="M319" s="16"/>
      <c r="N319" s="16"/>
      <c r="O319" s="16"/>
      <c r="P319" s="16"/>
      <c r="Q319" s="16"/>
      <c r="R319" s="16"/>
      <c r="S319" s="16"/>
      <c r="T319" s="16"/>
      <c r="U319" s="16"/>
      <c r="V319" s="16"/>
      <c r="W319" s="16"/>
      <c r="X319" s="16"/>
      <c r="Y319" s="16"/>
    </row>
    <row r="320" spans="1:25" x14ac:dyDescent="0.2">
      <c r="A320" s="14"/>
      <c r="B320" s="6"/>
      <c r="C320" s="6"/>
      <c r="D320" s="16"/>
      <c r="E320" s="6"/>
      <c r="F320" s="16"/>
      <c r="G320" s="6"/>
      <c r="H320" s="16"/>
      <c r="I320" s="16"/>
      <c r="J320" s="16"/>
      <c r="K320" s="16"/>
      <c r="L320" s="16"/>
      <c r="M320" s="16"/>
      <c r="N320" s="16"/>
      <c r="O320" s="16"/>
      <c r="P320" s="16"/>
      <c r="Q320" s="16"/>
      <c r="R320" s="16"/>
      <c r="S320" s="16"/>
      <c r="T320" s="16"/>
      <c r="U320" s="16"/>
      <c r="V320" s="16"/>
      <c r="W320" s="16"/>
      <c r="X320" s="16"/>
      <c r="Y320" s="16"/>
    </row>
    <row r="321" spans="1:25" x14ac:dyDescent="0.2">
      <c r="A321" s="14"/>
      <c r="B321" s="6"/>
      <c r="C321" s="6"/>
      <c r="D321" s="16"/>
      <c r="E321" s="6"/>
      <c r="F321" s="16"/>
      <c r="G321" s="6"/>
      <c r="H321" s="16"/>
      <c r="I321" s="16"/>
      <c r="J321" s="16"/>
      <c r="K321" s="16"/>
      <c r="L321" s="16"/>
      <c r="M321" s="16"/>
      <c r="N321" s="16"/>
      <c r="O321" s="16"/>
      <c r="P321" s="16"/>
      <c r="Q321" s="16"/>
      <c r="R321" s="16"/>
      <c r="S321" s="16"/>
      <c r="T321" s="16"/>
      <c r="U321" s="16"/>
      <c r="V321" s="16"/>
      <c r="W321" s="16"/>
      <c r="X321" s="16"/>
      <c r="Y321" s="16"/>
    </row>
    <row r="322" spans="1:25" x14ac:dyDescent="0.2">
      <c r="A322" s="14"/>
      <c r="B322" s="6"/>
      <c r="C322" s="6"/>
      <c r="D322" s="16"/>
      <c r="E322" s="6"/>
      <c r="F322" s="16"/>
      <c r="G322" s="6"/>
      <c r="H322" s="16"/>
      <c r="I322" s="16"/>
      <c r="J322" s="16"/>
      <c r="K322" s="16"/>
      <c r="L322" s="16"/>
      <c r="M322" s="16"/>
      <c r="N322" s="16"/>
      <c r="O322" s="16"/>
      <c r="P322" s="16"/>
      <c r="Q322" s="16"/>
      <c r="R322" s="16"/>
      <c r="S322" s="16"/>
      <c r="T322" s="16"/>
      <c r="U322" s="16"/>
      <c r="V322" s="16"/>
      <c r="W322" s="16"/>
      <c r="X322" s="16"/>
      <c r="Y322" s="16"/>
    </row>
    <row r="323" spans="1:25" x14ac:dyDescent="0.2">
      <c r="A323" s="14"/>
      <c r="B323" s="6"/>
      <c r="C323" s="6"/>
      <c r="D323" s="16"/>
      <c r="E323" s="6"/>
      <c r="F323" s="16"/>
      <c r="G323" s="6"/>
      <c r="H323" s="16"/>
      <c r="I323" s="16"/>
      <c r="J323" s="16"/>
      <c r="K323" s="16"/>
      <c r="L323" s="16"/>
      <c r="M323" s="16"/>
      <c r="N323" s="16"/>
      <c r="O323" s="16"/>
      <c r="P323" s="16"/>
      <c r="Q323" s="16"/>
      <c r="R323" s="16"/>
      <c r="S323" s="16"/>
      <c r="T323" s="16"/>
      <c r="U323" s="16"/>
      <c r="V323" s="16"/>
      <c r="W323" s="16"/>
      <c r="X323" s="16"/>
      <c r="Y323" s="16"/>
    </row>
    <row r="324" spans="1:25" x14ac:dyDescent="0.2">
      <c r="A324" s="14"/>
      <c r="B324" s="6"/>
      <c r="C324" s="6"/>
      <c r="D324" s="16"/>
      <c r="E324" s="6"/>
      <c r="F324" s="16"/>
      <c r="G324" s="6"/>
      <c r="H324" s="16"/>
      <c r="I324" s="16"/>
      <c r="J324" s="16"/>
      <c r="K324" s="16"/>
      <c r="L324" s="16"/>
      <c r="M324" s="16"/>
      <c r="N324" s="16"/>
      <c r="O324" s="16"/>
      <c r="P324" s="16"/>
      <c r="Q324" s="16"/>
      <c r="R324" s="16"/>
      <c r="S324" s="16"/>
      <c r="T324" s="16"/>
      <c r="U324" s="16"/>
      <c r="V324" s="16"/>
      <c r="W324" s="16"/>
      <c r="X324" s="16"/>
      <c r="Y324" s="16"/>
    </row>
    <row r="325" spans="1:25" x14ac:dyDescent="0.2">
      <c r="A325" s="14"/>
      <c r="B325" s="6"/>
      <c r="C325" s="6"/>
      <c r="D325" s="16"/>
      <c r="E325" s="6"/>
      <c r="F325" s="16"/>
      <c r="G325" s="6"/>
      <c r="H325" s="16"/>
      <c r="I325" s="16"/>
      <c r="J325" s="16"/>
      <c r="K325" s="16"/>
      <c r="L325" s="16"/>
      <c r="M325" s="16"/>
      <c r="N325" s="16"/>
      <c r="O325" s="16"/>
      <c r="P325" s="16"/>
      <c r="Q325" s="16"/>
      <c r="R325" s="16"/>
      <c r="S325" s="16"/>
      <c r="T325" s="16"/>
      <c r="U325" s="16"/>
      <c r="V325" s="16"/>
      <c r="W325" s="16"/>
      <c r="X325" s="16"/>
      <c r="Y325" s="16"/>
    </row>
    <row r="326" spans="1:25" x14ac:dyDescent="0.2">
      <c r="A326" s="14"/>
      <c r="B326" s="6"/>
      <c r="C326" s="6"/>
      <c r="D326" s="16"/>
      <c r="E326" s="6"/>
      <c r="F326" s="16"/>
      <c r="G326" s="6"/>
      <c r="H326" s="16"/>
      <c r="I326" s="16"/>
      <c r="J326" s="16"/>
      <c r="K326" s="16"/>
      <c r="L326" s="16"/>
      <c r="M326" s="16"/>
      <c r="N326" s="16"/>
      <c r="O326" s="16"/>
      <c r="P326" s="16"/>
      <c r="Q326" s="16"/>
      <c r="R326" s="16"/>
      <c r="S326" s="16"/>
      <c r="T326" s="16"/>
      <c r="U326" s="16"/>
      <c r="V326" s="16"/>
      <c r="W326" s="16"/>
      <c r="X326" s="16"/>
      <c r="Y326" s="16"/>
    </row>
    <row r="327" spans="1:25" x14ac:dyDescent="0.2">
      <c r="A327" s="14"/>
      <c r="B327" s="6"/>
      <c r="C327" s="6"/>
      <c r="D327" s="16"/>
      <c r="E327" s="6"/>
      <c r="F327" s="16"/>
      <c r="G327" s="6"/>
      <c r="H327" s="16"/>
      <c r="I327" s="16"/>
      <c r="J327" s="16"/>
      <c r="K327" s="16"/>
      <c r="L327" s="16"/>
      <c r="M327" s="16"/>
      <c r="N327" s="16"/>
      <c r="O327" s="16"/>
      <c r="P327" s="16"/>
      <c r="Q327" s="16"/>
      <c r="R327" s="16"/>
      <c r="S327" s="16"/>
      <c r="T327" s="16"/>
      <c r="U327" s="16"/>
      <c r="V327" s="16"/>
      <c r="W327" s="16"/>
      <c r="X327" s="16"/>
      <c r="Y327" s="16"/>
    </row>
    <row r="328" spans="1:25" x14ac:dyDescent="0.2">
      <c r="A328" s="14"/>
      <c r="B328" s="6"/>
      <c r="C328" s="6"/>
      <c r="D328" s="16"/>
      <c r="E328" s="6"/>
      <c r="F328" s="16"/>
      <c r="G328" s="6"/>
      <c r="H328" s="16"/>
      <c r="I328" s="16"/>
      <c r="J328" s="16"/>
      <c r="K328" s="16"/>
      <c r="L328" s="16"/>
      <c r="M328" s="16"/>
      <c r="N328" s="16"/>
      <c r="O328" s="16"/>
      <c r="P328" s="16"/>
      <c r="Q328" s="16"/>
      <c r="R328" s="16"/>
      <c r="S328" s="16"/>
      <c r="T328" s="16"/>
      <c r="U328" s="16"/>
      <c r="V328" s="16"/>
      <c r="W328" s="16"/>
      <c r="X328" s="16"/>
      <c r="Y328" s="16"/>
    </row>
    <row r="329" spans="1:25" x14ac:dyDescent="0.2">
      <c r="A329" s="14"/>
      <c r="B329" s="6"/>
      <c r="C329" s="6"/>
      <c r="D329" s="16"/>
      <c r="E329" s="6"/>
      <c r="F329" s="16"/>
      <c r="G329" s="6"/>
      <c r="H329" s="16"/>
      <c r="I329" s="16"/>
      <c r="J329" s="16"/>
      <c r="K329" s="16"/>
      <c r="L329" s="16"/>
      <c r="M329" s="16"/>
      <c r="N329" s="16"/>
      <c r="O329" s="16"/>
      <c r="P329" s="16"/>
      <c r="Q329" s="16"/>
      <c r="R329" s="16"/>
      <c r="S329" s="16"/>
      <c r="T329" s="16"/>
      <c r="U329" s="16"/>
      <c r="V329" s="16"/>
      <c r="W329" s="16"/>
      <c r="X329" s="16"/>
      <c r="Y329" s="16"/>
    </row>
    <row r="330" spans="1:25" x14ac:dyDescent="0.2">
      <c r="A330" s="14"/>
      <c r="B330" s="6"/>
      <c r="C330" s="6"/>
      <c r="D330" s="16"/>
      <c r="E330" s="6"/>
      <c r="F330" s="16"/>
      <c r="G330" s="6"/>
      <c r="H330" s="16"/>
      <c r="I330" s="16"/>
      <c r="J330" s="16"/>
      <c r="K330" s="16"/>
      <c r="L330" s="16"/>
      <c r="M330" s="16"/>
      <c r="N330" s="16"/>
      <c r="O330" s="16"/>
      <c r="P330" s="16"/>
      <c r="Q330" s="16"/>
      <c r="R330" s="16"/>
      <c r="S330" s="16"/>
      <c r="T330" s="16"/>
      <c r="U330" s="16"/>
      <c r="V330" s="16"/>
      <c r="W330" s="16"/>
      <c r="X330" s="16"/>
      <c r="Y330" s="16"/>
    </row>
    <row r="331" spans="1:25" x14ac:dyDescent="0.2">
      <c r="A331" s="14"/>
      <c r="B331" s="6"/>
      <c r="C331" s="6"/>
      <c r="D331" s="16"/>
      <c r="E331" s="6"/>
      <c r="F331" s="16"/>
      <c r="G331" s="6"/>
      <c r="H331" s="16"/>
      <c r="I331" s="16"/>
      <c r="J331" s="16"/>
      <c r="K331" s="16"/>
      <c r="L331" s="16"/>
      <c r="M331" s="16"/>
      <c r="N331" s="16"/>
      <c r="O331" s="16"/>
      <c r="P331" s="16"/>
      <c r="Q331" s="16"/>
      <c r="R331" s="16"/>
      <c r="S331" s="16"/>
      <c r="T331" s="16"/>
      <c r="U331" s="16"/>
      <c r="V331" s="16"/>
      <c r="W331" s="16"/>
      <c r="X331" s="16"/>
      <c r="Y331" s="16"/>
    </row>
    <row r="332" spans="1:25" x14ac:dyDescent="0.2">
      <c r="A332" s="14"/>
      <c r="B332" s="6"/>
      <c r="C332" s="6"/>
      <c r="D332" s="16"/>
      <c r="E332" s="6"/>
      <c r="F332" s="16"/>
      <c r="G332" s="6"/>
      <c r="H332" s="16"/>
      <c r="I332" s="16"/>
      <c r="J332" s="16"/>
      <c r="K332" s="16"/>
      <c r="L332" s="16"/>
      <c r="M332" s="16"/>
      <c r="N332" s="16"/>
      <c r="O332" s="16"/>
      <c r="P332" s="16"/>
      <c r="Q332" s="16"/>
      <c r="R332" s="16"/>
      <c r="S332" s="16"/>
      <c r="T332" s="16"/>
      <c r="U332" s="16"/>
      <c r="V332" s="16"/>
      <c r="W332" s="16"/>
      <c r="X332" s="16"/>
      <c r="Y332" s="16"/>
    </row>
    <row r="333" spans="1:25" x14ac:dyDescent="0.2">
      <c r="A333" s="14"/>
      <c r="B333" s="6"/>
      <c r="C333" s="6"/>
      <c r="D333" s="16"/>
      <c r="E333" s="6"/>
      <c r="F333" s="16"/>
      <c r="G333" s="6"/>
      <c r="H333" s="16"/>
      <c r="I333" s="16"/>
      <c r="J333" s="16"/>
      <c r="K333" s="16"/>
      <c r="L333" s="16"/>
      <c r="M333" s="16"/>
      <c r="N333" s="16"/>
      <c r="O333" s="16"/>
      <c r="P333" s="16"/>
      <c r="Q333" s="16"/>
      <c r="R333" s="16"/>
      <c r="S333" s="16"/>
      <c r="T333" s="16"/>
      <c r="U333" s="16"/>
      <c r="V333" s="16"/>
      <c r="W333" s="16"/>
      <c r="X333" s="16"/>
      <c r="Y333" s="16"/>
    </row>
    <row r="334" spans="1:25" x14ac:dyDescent="0.2">
      <c r="A334" s="14"/>
      <c r="B334" s="6"/>
      <c r="C334" s="6"/>
      <c r="D334" s="16"/>
      <c r="E334" s="6"/>
      <c r="F334" s="16"/>
      <c r="G334" s="6"/>
      <c r="H334" s="16"/>
      <c r="I334" s="16"/>
      <c r="J334" s="16"/>
      <c r="K334" s="16"/>
      <c r="L334" s="16"/>
      <c r="M334" s="16"/>
      <c r="N334" s="16"/>
      <c r="O334" s="16"/>
      <c r="P334" s="16"/>
      <c r="Q334" s="16"/>
      <c r="R334" s="16"/>
      <c r="S334" s="16"/>
      <c r="T334" s="16"/>
      <c r="U334" s="16"/>
      <c r="V334" s="16"/>
      <c r="W334" s="16"/>
      <c r="X334" s="16"/>
      <c r="Y334" s="16"/>
    </row>
    <row r="335" spans="1:25" x14ac:dyDescent="0.2">
      <c r="A335" s="14"/>
      <c r="B335" s="6"/>
      <c r="C335" s="6"/>
      <c r="D335" s="16"/>
      <c r="E335" s="6"/>
      <c r="F335" s="16"/>
      <c r="G335" s="6"/>
      <c r="H335" s="16"/>
      <c r="I335" s="16"/>
      <c r="J335" s="16"/>
      <c r="K335" s="16"/>
      <c r="L335" s="16"/>
      <c r="M335" s="16"/>
      <c r="N335" s="16"/>
      <c r="O335" s="16"/>
      <c r="P335" s="16"/>
      <c r="Q335" s="16"/>
      <c r="R335" s="16"/>
      <c r="S335" s="16"/>
      <c r="T335" s="16"/>
      <c r="U335" s="16"/>
      <c r="V335" s="16"/>
      <c r="W335" s="16"/>
      <c r="X335" s="16"/>
      <c r="Y335" s="16"/>
    </row>
    <row r="336" spans="1:25" x14ac:dyDescent="0.2">
      <c r="A336" s="14"/>
      <c r="B336" s="6"/>
      <c r="C336" s="6"/>
      <c r="D336" s="16"/>
      <c r="E336" s="6"/>
      <c r="F336" s="16"/>
      <c r="G336" s="6"/>
      <c r="H336" s="16"/>
      <c r="I336" s="16"/>
      <c r="J336" s="16"/>
      <c r="K336" s="16"/>
      <c r="L336" s="16"/>
      <c r="M336" s="16"/>
      <c r="N336" s="16"/>
      <c r="O336" s="16"/>
      <c r="P336" s="16"/>
      <c r="Q336" s="16"/>
      <c r="R336" s="16"/>
      <c r="S336" s="16"/>
      <c r="T336" s="16"/>
      <c r="U336" s="16"/>
      <c r="V336" s="16"/>
      <c r="W336" s="16"/>
      <c r="X336" s="16"/>
      <c r="Y336" s="16"/>
    </row>
    <row r="337" spans="1:25" x14ac:dyDescent="0.2">
      <c r="A337" s="14"/>
      <c r="B337" s="6"/>
      <c r="C337" s="6"/>
      <c r="D337" s="16"/>
      <c r="E337" s="6"/>
      <c r="F337" s="16"/>
      <c r="G337" s="6"/>
      <c r="H337" s="16"/>
      <c r="I337" s="16"/>
      <c r="J337" s="16"/>
      <c r="K337" s="16"/>
      <c r="L337" s="16"/>
      <c r="M337" s="16"/>
      <c r="N337" s="16"/>
      <c r="O337" s="16"/>
      <c r="P337" s="16"/>
      <c r="Q337" s="16"/>
      <c r="R337" s="16"/>
      <c r="S337" s="16"/>
      <c r="T337" s="16"/>
      <c r="U337" s="16"/>
      <c r="V337" s="16"/>
      <c r="W337" s="16"/>
      <c r="X337" s="16"/>
      <c r="Y337" s="16"/>
    </row>
    <row r="338" spans="1:25" x14ac:dyDescent="0.2">
      <c r="A338" s="14"/>
      <c r="B338" s="6"/>
      <c r="C338" s="6"/>
      <c r="D338" s="16"/>
      <c r="E338" s="6"/>
      <c r="F338" s="16"/>
      <c r="G338" s="6"/>
      <c r="H338" s="16"/>
      <c r="I338" s="16"/>
      <c r="J338" s="16"/>
      <c r="K338" s="16"/>
      <c r="L338" s="16"/>
      <c r="M338" s="16"/>
      <c r="N338" s="16"/>
      <c r="O338" s="16"/>
      <c r="P338" s="16"/>
      <c r="Q338" s="16"/>
      <c r="R338" s="16"/>
      <c r="S338" s="16"/>
      <c r="T338" s="16"/>
      <c r="U338" s="16"/>
      <c r="V338" s="16"/>
      <c r="W338" s="16"/>
      <c r="X338" s="16"/>
      <c r="Y338" s="16"/>
    </row>
    <row r="339" spans="1:25" x14ac:dyDescent="0.2">
      <c r="A339" s="14"/>
      <c r="B339" s="6"/>
      <c r="C339" s="6"/>
      <c r="D339" s="16"/>
      <c r="E339" s="6"/>
      <c r="F339" s="16"/>
      <c r="G339" s="6"/>
      <c r="H339" s="16"/>
      <c r="I339" s="16"/>
      <c r="J339" s="16"/>
      <c r="K339" s="16"/>
      <c r="L339" s="16"/>
      <c r="M339" s="16"/>
      <c r="N339" s="16"/>
      <c r="O339" s="16"/>
      <c r="P339" s="16"/>
      <c r="Q339" s="16"/>
      <c r="R339" s="16"/>
      <c r="S339" s="16"/>
      <c r="T339" s="16"/>
      <c r="U339" s="16"/>
      <c r="V339" s="16"/>
      <c r="W339" s="16"/>
      <c r="X339" s="16"/>
      <c r="Y339" s="16"/>
    </row>
    <row r="340" spans="1:25" x14ac:dyDescent="0.2">
      <c r="A340" s="14"/>
      <c r="B340" s="6"/>
      <c r="C340" s="6"/>
      <c r="D340" s="16"/>
      <c r="E340" s="6"/>
      <c r="F340" s="16"/>
      <c r="G340" s="6"/>
      <c r="H340" s="16"/>
      <c r="I340" s="16"/>
      <c r="J340" s="16"/>
      <c r="K340" s="16"/>
      <c r="L340" s="16"/>
      <c r="M340" s="16"/>
      <c r="N340" s="16"/>
      <c r="O340" s="16"/>
      <c r="P340" s="16"/>
      <c r="Q340" s="16"/>
      <c r="R340" s="16"/>
      <c r="S340" s="16"/>
      <c r="T340" s="16"/>
      <c r="U340" s="16"/>
      <c r="V340" s="16"/>
      <c r="W340" s="16"/>
      <c r="X340" s="16"/>
      <c r="Y340" s="16"/>
    </row>
    <row r="341" spans="1:25" x14ac:dyDescent="0.2">
      <c r="A341" s="14"/>
      <c r="B341" s="6"/>
      <c r="C341" s="6"/>
      <c r="D341" s="16"/>
      <c r="E341" s="6"/>
      <c r="F341" s="16"/>
      <c r="G341" s="6"/>
      <c r="H341" s="16"/>
      <c r="I341" s="16"/>
      <c r="J341" s="16"/>
      <c r="K341" s="16"/>
      <c r="L341" s="16"/>
      <c r="M341" s="16"/>
      <c r="N341" s="16"/>
      <c r="O341" s="16"/>
      <c r="P341" s="16"/>
      <c r="Q341" s="16"/>
      <c r="R341" s="16"/>
      <c r="S341" s="16"/>
      <c r="T341" s="16"/>
      <c r="U341" s="16"/>
      <c r="V341" s="16"/>
      <c r="W341" s="16"/>
      <c r="X341" s="16"/>
      <c r="Y341" s="16"/>
    </row>
    <row r="342" spans="1:25" x14ac:dyDescent="0.2">
      <c r="A342" s="14"/>
      <c r="B342" s="6"/>
      <c r="C342" s="6"/>
      <c r="D342" s="16"/>
      <c r="E342" s="6"/>
      <c r="F342" s="16"/>
      <c r="G342" s="6"/>
      <c r="H342" s="16"/>
      <c r="I342" s="16"/>
      <c r="J342" s="16"/>
      <c r="K342" s="16"/>
      <c r="L342" s="16"/>
      <c r="M342" s="16"/>
      <c r="N342" s="16"/>
      <c r="O342" s="16"/>
      <c r="P342" s="16"/>
      <c r="Q342" s="16"/>
      <c r="R342" s="16"/>
      <c r="S342" s="16"/>
      <c r="T342" s="16"/>
      <c r="U342" s="16"/>
      <c r="V342" s="16"/>
      <c r="W342" s="16"/>
      <c r="X342" s="16"/>
      <c r="Y342" s="16"/>
    </row>
    <row r="343" spans="1:25" x14ac:dyDescent="0.2">
      <c r="A343" s="14"/>
      <c r="B343" s="6"/>
      <c r="C343" s="6"/>
      <c r="D343" s="16"/>
      <c r="E343" s="6"/>
      <c r="F343" s="16"/>
      <c r="G343" s="6"/>
      <c r="H343" s="16"/>
      <c r="I343" s="16"/>
      <c r="J343" s="16"/>
      <c r="K343" s="16"/>
      <c r="L343" s="16"/>
      <c r="M343" s="16"/>
      <c r="N343" s="16"/>
      <c r="O343" s="16"/>
      <c r="P343" s="16"/>
      <c r="Q343" s="16"/>
      <c r="R343" s="16"/>
      <c r="S343" s="16"/>
      <c r="T343" s="16"/>
      <c r="U343" s="16"/>
      <c r="V343" s="16"/>
      <c r="W343" s="16"/>
      <c r="X343" s="16"/>
      <c r="Y343" s="16"/>
    </row>
    <row r="344" spans="1:25" x14ac:dyDescent="0.2">
      <c r="A344" s="14"/>
      <c r="B344" s="6"/>
      <c r="C344" s="6"/>
      <c r="D344" s="16"/>
      <c r="E344" s="6"/>
      <c r="F344" s="16"/>
      <c r="G344" s="6"/>
      <c r="H344" s="16"/>
      <c r="I344" s="16"/>
      <c r="J344" s="16"/>
      <c r="K344" s="16"/>
      <c r="L344" s="16"/>
      <c r="M344" s="16"/>
      <c r="N344" s="16"/>
      <c r="O344" s="16"/>
      <c r="P344" s="16"/>
      <c r="Q344" s="16"/>
      <c r="R344" s="16"/>
      <c r="S344" s="16"/>
      <c r="T344" s="16"/>
      <c r="U344" s="16"/>
      <c r="V344" s="16"/>
      <c r="W344" s="16"/>
      <c r="X344" s="16"/>
      <c r="Y344" s="16"/>
    </row>
    <row r="345" spans="1:25" x14ac:dyDescent="0.2">
      <c r="A345" s="14"/>
      <c r="B345" s="6"/>
      <c r="C345" s="6"/>
      <c r="D345" s="16"/>
      <c r="E345" s="6"/>
      <c r="F345" s="16"/>
      <c r="G345" s="6"/>
      <c r="H345" s="16"/>
      <c r="I345" s="16"/>
      <c r="J345" s="16"/>
      <c r="K345" s="16"/>
      <c r="L345" s="16"/>
      <c r="M345" s="16"/>
      <c r="N345" s="16"/>
      <c r="O345" s="16"/>
      <c r="P345" s="16"/>
      <c r="Q345" s="16"/>
      <c r="R345" s="16"/>
      <c r="S345" s="16"/>
      <c r="T345" s="16"/>
      <c r="U345" s="16"/>
      <c r="V345" s="16"/>
      <c r="W345" s="16"/>
      <c r="X345" s="16"/>
      <c r="Y345" s="16"/>
    </row>
    <row r="346" spans="1:25" x14ac:dyDescent="0.2">
      <c r="A346" s="14"/>
      <c r="B346" s="6"/>
      <c r="C346" s="6"/>
      <c r="D346" s="16"/>
      <c r="E346" s="6"/>
      <c r="F346" s="16"/>
      <c r="G346" s="6"/>
      <c r="H346" s="16"/>
      <c r="I346" s="16"/>
      <c r="J346" s="16"/>
      <c r="K346" s="16"/>
      <c r="L346" s="16"/>
      <c r="M346" s="16"/>
      <c r="N346" s="16"/>
      <c r="O346" s="16"/>
      <c r="P346" s="16"/>
      <c r="Q346" s="16"/>
      <c r="R346" s="16"/>
      <c r="S346" s="16"/>
      <c r="T346" s="16"/>
      <c r="U346" s="16"/>
      <c r="V346" s="16"/>
      <c r="W346" s="16"/>
      <c r="X346" s="16"/>
      <c r="Y346" s="16"/>
    </row>
    <row r="347" spans="1:25" x14ac:dyDescent="0.2">
      <c r="A347" s="14"/>
      <c r="B347" s="6"/>
      <c r="C347" s="6"/>
      <c r="D347" s="16"/>
      <c r="E347" s="6"/>
      <c r="F347" s="16"/>
      <c r="G347" s="6"/>
      <c r="H347" s="16"/>
      <c r="I347" s="16"/>
      <c r="J347" s="16"/>
      <c r="K347" s="16"/>
      <c r="L347" s="16"/>
      <c r="M347" s="16"/>
      <c r="N347" s="16"/>
      <c r="O347" s="16"/>
      <c r="P347" s="16"/>
      <c r="Q347" s="16"/>
      <c r="R347" s="16"/>
      <c r="S347" s="16"/>
      <c r="T347" s="16"/>
      <c r="U347" s="16"/>
      <c r="V347" s="16"/>
      <c r="W347" s="16"/>
      <c r="X347" s="16"/>
      <c r="Y347" s="16"/>
    </row>
    <row r="348" spans="1:25" x14ac:dyDescent="0.2">
      <c r="A348" s="14"/>
      <c r="B348" s="6"/>
      <c r="C348" s="6"/>
      <c r="D348" s="16"/>
      <c r="E348" s="6"/>
      <c r="F348" s="16"/>
      <c r="G348" s="6"/>
      <c r="H348" s="16"/>
      <c r="I348" s="16"/>
      <c r="J348" s="16"/>
      <c r="K348" s="16"/>
      <c r="L348" s="16"/>
      <c r="M348" s="16"/>
      <c r="N348" s="16"/>
      <c r="O348" s="16"/>
      <c r="P348" s="16"/>
      <c r="Q348" s="16"/>
      <c r="R348" s="16"/>
      <c r="S348" s="16"/>
      <c r="T348" s="16"/>
      <c r="U348" s="16"/>
      <c r="V348" s="16"/>
      <c r="W348" s="16"/>
      <c r="X348" s="16"/>
      <c r="Y348" s="16"/>
    </row>
    <row r="349" spans="1:25" x14ac:dyDescent="0.2">
      <c r="A349" s="14"/>
      <c r="B349" s="6"/>
      <c r="C349" s="6"/>
      <c r="D349" s="16"/>
      <c r="E349" s="6"/>
      <c r="F349" s="16"/>
      <c r="G349" s="6"/>
      <c r="H349" s="16"/>
      <c r="I349" s="16"/>
      <c r="J349" s="16"/>
      <c r="K349" s="16"/>
      <c r="L349" s="16"/>
      <c r="M349" s="16"/>
      <c r="N349" s="16"/>
      <c r="O349" s="16"/>
      <c r="P349" s="16"/>
      <c r="Q349" s="16"/>
      <c r="R349" s="16"/>
      <c r="S349" s="16"/>
      <c r="T349" s="16"/>
      <c r="U349" s="16"/>
      <c r="V349" s="16"/>
      <c r="W349" s="16"/>
      <c r="X349" s="16"/>
      <c r="Y349" s="16"/>
    </row>
    <row r="350" spans="1:25" x14ac:dyDescent="0.2">
      <c r="A350" s="14"/>
      <c r="B350" s="6"/>
      <c r="C350" s="6"/>
      <c r="D350" s="16"/>
      <c r="E350" s="6"/>
      <c r="F350" s="16"/>
      <c r="G350" s="6"/>
      <c r="H350" s="16"/>
      <c r="I350" s="16"/>
      <c r="J350" s="16"/>
      <c r="K350" s="16"/>
      <c r="L350" s="16"/>
      <c r="M350" s="16"/>
      <c r="N350" s="16"/>
      <c r="O350" s="16"/>
      <c r="P350" s="16"/>
      <c r="Q350" s="16"/>
      <c r="R350" s="16"/>
      <c r="S350" s="16"/>
      <c r="T350" s="16"/>
      <c r="U350" s="16"/>
      <c r="V350" s="16"/>
      <c r="W350" s="16"/>
      <c r="X350" s="16"/>
      <c r="Y350" s="16"/>
    </row>
    <row r="351" spans="1:25" x14ac:dyDescent="0.2">
      <c r="A351" s="14"/>
      <c r="B351" s="6"/>
      <c r="C351" s="6"/>
      <c r="D351" s="16"/>
      <c r="E351" s="6"/>
      <c r="F351" s="16"/>
      <c r="G351" s="6"/>
      <c r="H351" s="16"/>
      <c r="I351" s="16"/>
      <c r="J351" s="16"/>
      <c r="K351" s="16"/>
      <c r="L351" s="16"/>
      <c r="M351" s="16"/>
      <c r="N351" s="16"/>
      <c r="O351" s="16"/>
      <c r="P351" s="16"/>
      <c r="Q351" s="16"/>
      <c r="R351" s="16"/>
      <c r="S351" s="16"/>
      <c r="T351" s="16"/>
      <c r="U351" s="16"/>
      <c r="V351" s="16"/>
      <c r="W351" s="16"/>
      <c r="X351" s="16"/>
      <c r="Y351" s="16"/>
    </row>
    <row r="352" spans="1:25" x14ac:dyDescent="0.2">
      <c r="A352" s="14"/>
      <c r="B352" s="6"/>
      <c r="C352" s="6"/>
      <c r="D352" s="16"/>
      <c r="E352" s="6"/>
      <c r="F352" s="16"/>
      <c r="G352" s="6"/>
      <c r="H352" s="16"/>
      <c r="I352" s="16"/>
      <c r="J352" s="16"/>
      <c r="K352" s="16"/>
      <c r="L352" s="16"/>
      <c r="M352" s="16"/>
      <c r="N352" s="16"/>
      <c r="O352" s="16"/>
      <c r="P352" s="16"/>
      <c r="Q352" s="16"/>
      <c r="R352" s="16"/>
      <c r="S352" s="16"/>
      <c r="T352" s="16"/>
      <c r="U352" s="16"/>
      <c r="V352" s="16"/>
      <c r="W352" s="16"/>
      <c r="X352" s="16"/>
      <c r="Y352" s="16"/>
    </row>
    <row r="353" spans="1:25" x14ac:dyDescent="0.2">
      <c r="A353" s="14"/>
      <c r="B353" s="6"/>
      <c r="C353" s="6"/>
      <c r="D353" s="16"/>
      <c r="E353" s="6"/>
      <c r="F353" s="16"/>
      <c r="G353" s="6"/>
      <c r="H353" s="16"/>
      <c r="I353" s="16"/>
      <c r="J353" s="16"/>
      <c r="K353" s="16"/>
      <c r="L353" s="16"/>
      <c r="M353" s="16"/>
      <c r="N353" s="16"/>
      <c r="O353" s="16"/>
      <c r="P353" s="16"/>
      <c r="Q353" s="16"/>
      <c r="R353" s="16"/>
      <c r="S353" s="16"/>
      <c r="T353" s="16"/>
      <c r="U353" s="16"/>
      <c r="V353" s="16"/>
      <c r="W353" s="16"/>
      <c r="X353" s="16"/>
      <c r="Y353" s="16"/>
    </row>
    <row r="354" spans="1:25" x14ac:dyDescent="0.2">
      <c r="A354" s="14"/>
      <c r="B354" s="6"/>
      <c r="C354" s="6"/>
      <c r="D354" s="16"/>
      <c r="E354" s="6"/>
      <c r="F354" s="16"/>
      <c r="G354" s="6"/>
      <c r="H354" s="16"/>
      <c r="I354" s="16"/>
      <c r="J354" s="16"/>
      <c r="K354" s="16"/>
      <c r="L354" s="16"/>
      <c r="M354" s="16"/>
      <c r="N354" s="16"/>
      <c r="O354" s="16"/>
      <c r="P354" s="16"/>
      <c r="Q354" s="16"/>
      <c r="R354" s="16"/>
      <c r="S354" s="16"/>
      <c r="T354" s="16"/>
      <c r="U354" s="16"/>
      <c r="V354" s="16"/>
      <c r="W354" s="16"/>
      <c r="X354" s="16"/>
      <c r="Y354" s="16"/>
    </row>
    <row r="355" spans="1:25" x14ac:dyDescent="0.2">
      <c r="A355" s="14"/>
      <c r="B355" s="6"/>
      <c r="C355" s="6"/>
      <c r="D355" s="16"/>
      <c r="E355" s="6"/>
      <c r="F355" s="16"/>
      <c r="G355" s="6"/>
      <c r="H355" s="16"/>
      <c r="I355" s="16"/>
      <c r="J355" s="16"/>
      <c r="K355" s="16"/>
      <c r="L355" s="16"/>
      <c r="M355" s="16"/>
      <c r="N355" s="16"/>
      <c r="O355" s="16"/>
      <c r="P355" s="16"/>
      <c r="Q355" s="16"/>
      <c r="R355" s="16"/>
      <c r="S355" s="16"/>
      <c r="T355" s="16"/>
      <c r="U355" s="16"/>
      <c r="V355" s="16"/>
      <c r="W355" s="16"/>
      <c r="X355" s="16"/>
      <c r="Y355" s="16"/>
    </row>
    <row r="356" spans="1:25" x14ac:dyDescent="0.2">
      <c r="A356" s="14"/>
      <c r="B356" s="6"/>
      <c r="C356" s="6"/>
      <c r="D356" s="16"/>
      <c r="E356" s="6"/>
      <c r="F356" s="16"/>
      <c r="G356" s="6"/>
      <c r="H356" s="16"/>
      <c r="I356" s="16"/>
      <c r="J356" s="16"/>
      <c r="K356" s="16"/>
      <c r="L356" s="16"/>
      <c r="M356" s="16"/>
      <c r="N356" s="16"/>
      <c r="O356" s="16"/>
      <c r="P356" s="16"/>
      <c r="Q356" s="16"/>
      <c r="R356" s="16"/>
      <c r="S356" s="16"/>
      <c r="T356" s="16"/>
      <c r="U356" s="16"/>
      <c r="V356" s="16"/>
      <c r="W356" s="16"/>
      <c r="X356" s="16"/>
      <c r="Y356" s="16"/>
    </row>
    <row r="357" spans="1:25" x14ac:dyDescent="0.2">
      <c r="A357" s="14"/>
      <c r="B357" s="6"/>
      <c r="C357" s="6"/>
      <c r="D357" s="16"/>
      <c r="E357" s="6"/>
      <c r="F357" s="16"/>
      <c r="G357" s="6"/>
      <c r="H357" s="16"/>
      <c r="I357" s="16"/>
      <c r="J357" s="16"/>
      <c r="K357" s="16"/>
      <c r="L357" s="16"/>
      <c r="M357" s="16"/>
      <c r="N357" s="16"/>
      <c r="O357" s="16"/>
      <c r="P357" s="16"/>
      <c r="Q357" s="16"/>
      <c r="R357" s="16"/>
      <c r="S357" s="16"/>
      <c r="T357" s="16"/>
      <c r="U357" s="16"/>
      <c r="V357" s="16"/>
      <c r="W357" s="16"/>
      <c r="X357" s="16"/>
      <c r="Y357" s="16"/>
    </row>
    <row r="358" spans="1:25" x14ac:dyDescent="0.2">
      <c r="A358" s="14"/>
      <c r="B358" s="6"/>
      <c r="C358" s="6"/>
      <c r="D358" s="16"/>
      <c r="E358" s="6"/>
      <c r="F358" s="16"/>
      <c r="G358" s="6"/>
      <c r="H358" s="16"/>
      <c r="I358" s="16"/>
      <c r="J358" s="16"/>
      <c r="K358" s="16"/>
      <c r="L358" s="16"/>
      <c r="M358" s="16"/>
      <c r="N358" s="16"/>
      <c r="O358" s="16"/>
      <c r="P358" s="16"/>
      <c r="Q358" s="16"/>
      <c r="R358" s="16"/>
      <c r="S358" s="16"/>
      <c r="T358" s="16"/>
      <c r="U358" s="16"/>
      <c r="V358" s="16"/>
      <c r="W358" s="16"/>
      <c r="X358" s="16"/>
      <c r="Y358" s="16"/>
    </row>
    <row r="359" spans="1:25" x14ac:dyDescent="0.2">
      <c r="A359" s="14"/>
      <c r="B359" s="6"/>
      <c r="C359" s="6"/>
      <c r="D359" s="16"/>
      <c r="E359" s="6"/>
      <c r="F359" s="16"/>
      <c r="G359" s="6"/>
      <c r="H359" s="16"/>
      <c r="I359" s="16"/>
      <c r="J359" s="16"/>
      <c r="K359" s="16"/>
      <c r="L359" s="16"/>
      <c r="M359" s="16"/>
      <c r="N359" s="16"/>
      <c r="O359" s="16"/>
      <c r="P359" s="16"/>
      <c r="Q359" s="16"/>
      <c r="R359" s="16"/>
      <c r="S359" s="16"/>
      <c r="T359" s="16"/>
      <c r="U359" s="16"/>
      <c r="V359" s="16"/>
      <c r="W359" s="16"/>
      <c r="X359" s="16"/>
      <c r="Y359" s="16"/>
    </row>
    <row r="360" spans="1:25" x14ac:dyDescent="0.2">
      <c r="A360" s="14"/>
      <c r="B360" s="6"/>
      <c r="C360" s="6"/>
      <c r="D360" s="16"/>
      <c r="E360" s="6"/>
      <c r="F360" s="16"/>
      <c r="G360" s="6"/>
      <c r="H360" s="16"/>
      <c r="I360" s="16"/>
      <c r="J360" s="16"/>
      <c r="K360" s="16"/>
      <c r="L360" s="16"/>
      <c r="M360" s="16"/>
      <c r="N360" s="16"/>
      <c r="O360" s="16"/>
      <c r="P360" s="16"/>
      <c r="Q360" s="16"/>
      <c r="R360" s="16"/>
      <c r="S360" s="16"/>
      <c r="T360" s="16"/>
      <c r="U360" s="16"/>
      <c r="V360" s="16"/>
      <c r="W360" s="16"/>
      <c r="X360" s="16"/>
      <c r="Y360" s="16"/>
    </row>
    <row r="361" spans="1:25" x14ac:dyDescent="0.2">
      <c r="A361" s="14"/>
      <c r="B361" s="6"/>
      <c r="C361" s="6"/>
      <c r="D361" s="16"/>
      <c r="E361" s="6"/>
      <c r="F361" s="16"/>
      <c r="G361" s="6"/>
      <c r="H361" s="16"/>
      <c r="I361" s="16"/>
      <c r="J361" s="16"/>
      <c r="K361" s="16"/>
      <c r="L361" s="16"/>
      <c r="M361" s="16"/>
      <c r="N361" s="16"/>
      <c r="O361" s="16"/>
      <c r="P361" s="16"/>
      <c r="Q361" s="16"/>
      <c r="R361" s="16"/>
      <c r="S361" s="16"/>
      <c r="T361" s="16"/>
      <c r="U361" s="16"/>
      <c r="V361" s="16"/>
      <c r="W361" s="16"/>
      <c r="X361" s="16"/>
      <c r="Y361" s="16"/>
    </row>
    <row r="362" spans="1:25" x14ac:dyDescent="0.2">
      <c r="A362" s="14"/>
      <c r="B362" s="6"/>
      <c r="C362" s="6"/>
      <c r="D362" s="16"/>
      <c r="E362" s="6"/>
      <c r="F362" s="16"/>
      <c r="G362" s="6"/>
      <c r="H362" s="16"/>
      <c r="I362" s="16"/>
      <c r="J362" s="16"/>
      <c r="K362" s="16"/>
      <c r="L362" s="16"/>
      <c r="M362" s="16"/>
      <c r="N362" s="16"/>
      <c r="O362" s="16"/>
      <c r="P362" s="16"/>
      <c r="Q362" s="16"/>
      <c r="R362" s="16"/>
      <c r="S362" s="16"/>
      <c r="T362" s="16"/>
      <c r="U362" s="16"/>
      <c r="V362" s="16"/>
      <c r="W362" s="16"/>
      <c r="X362" s="16"/>
      <c r="Y362" s="16"/>
    </row>
    <row r="363" spans="1:25" x14ac:dyDescent="0.2">
      <c r="A363" s="14"/>
      <c r="B363" s="6"/>
      <c r="C363" s="6"/>
      <c r="D363" s="16"/>
      <c r="E363" s="6"/>
      <c r="F363" s="16"/>
      <c r="G363" s="6"/>
      <c r="H363" s="16"/>
      <c r="I363" s="16"/>
      <c r="J363" s="16"/>
      <c r="K363" s="16"/>
      <c r="L363" s="16"/>
      <c r="M363" s="16"/>
      <c r="N363" s="16"/>
      <c r="O363" s="16"/>
      <c r="P363" s="16"/>
      <c r="Q363" s="16"/>
      <c r="R363" s="16"/>
      <c r="S363" s="16"/>
      <c r="T363" s="16"/>
      <c r="U363" s="16"/>
      <c r="V363" s="16"/>
      <c r="W363" s="16"/>
      <c r="X363" s="16"/>
      <c r="Y363" s="16"/>
    </row>
    <row r="364" spans="1:25" x14ac:dyDescent="0.2">
      <c r="A364" s="14"/>
      <c r="B364" s="6"/>
      <c r="C364" s="6"/>
      <c r="D364" s="16"/>
      <c r="E364" s="6"/>
      <c r="F364" s="16"/>
      <c r="G364" s="6"/>
      <c r="H364" s="16"/>
      <c r="I364" s="16"/>
      <c r="J364" s="16"/>
      <c r="K364" s="16"/>
      <c r="L364" s="16"/>
      <c r="M364" s="16"/>
      <c r="N364" s="16"/>
      <c r="O364" s="16"/>
      <c r="P364" s="16"/>
      <c r="Q364" s="16"/>
      <c r="R364" s="16"/>
      <c r="S364" s="16"/>
      <c r="T364" s="16"/>
      <c r="U364" s="16"/>
      <c r="V364" s="16"/>
      <c r="W364" s="16"/>
      <c r="X364" s="16"/>
      <c r="Y364" s="16"/>
    </row>
    <row r="365" spans="1:25" x14ac:dyDescent="0.2">
      <c r="A365" s="14"/>
      <c r="B365" s="6"/>
      <c r="C365" s="6"/>
      <c r="D365" s="16"/>
      <c r="E365" s="6"/>
      <c r="F365" s="16"/>
      <c r="G365" s="6"/>
      <c r="H365" s="16"/>
      <c r="I365" s="16"/>
      <c r="J365" s="16"/>
      <c r="K365" s="16"/>
      <c r="L365" s="16"/>
      <c r="M365" s="16"/>
      <c r="N365" s="16"/>
      <c r="O365" s="16"/>
      <c r="P365" s="16"/>
      <c r="Q365" s="16"/>
      <c r="R365" s="16"/>
      <c r="S365" s="16"/>
      <c r="T365" s="16"/>
      <c r="U365" s="16"/>
      <c r="V365" s="16"/>
      <c r="W365" s="16"/>
      <c r="X365" s="16"/>
      <c r="Y365" s="16"/>
    </row>
    <row r="366" spans="1:25" x14ac:dyDescent="0.2">
      <c r="A366" s="14"/>
      <c r="B366" s="6"/>
      <c r="C366" s="6"/>
      <c r="D366" s="16"/>
      <c r="E366" s="6"/>
      <c r="F366" s="16"/>
      <c r="G366" s="6"/>
      <c r="H366" s="16"/>
      <c r="I366" s="16"/>
      <c r="J366" s="16"/>
      <c r="K366" s="16"/>
      <c r="L366" s="16"/>
      <c r="M366" s="16"/>
      <c r="N366" s="16"/>
      <c r="O366" s="16"/>
      <c r="P366" s="16"/>
      <c r="Q366" s="16"/>
      <c r="R366" s="16"/>
      <c r="S366" s="16"/>
      <c r="T366" s="16"/>
      <c r="U366" s="16"/>
      <c r="V366" s="16"/>
      <c r="W366" s="16"/>
      <c r="X366" s="16"/>
      <c r="Y366" s="16"/>
    </row>
    <row r="367" spans="1:25" x14ac:dyDescent="0.2">
      <c r="A367" s="14"/>
      <c r="B367" s="6"/>
      <c r="C367" s="6"/>
      <c r="D367" s="16"/>
      <c r="E367" s="6"/>
      <c r="F367" s="16"/>
      <c r="G367" s="6"/>
      <c r="H367" s="16"/>
      <c r="I367" s="16"/>
      <c r="J367" s="16"/>
      <c r="K367" s="16"/>
      <c r="L367" s="16"/>
      <c r="M367" s="16"/>
      <c r="N367" s="16"/>
      <c r="O367" s="16"/>
      <c r="P367" s="16"/>
      <c r="Q367" s="16"/>
      <c r="R367" s="16"/>
      <c r="S367" s="16"/>
      <c r="T367" s="16"/>
      <c r="U367" s="16"/>
      <c r="V367" s="16"/>
      <c r="W367" s="16"/>
      <c r="X367" s="16"/>
      <c r="Y367" s="16"/>
    </row>
    <row r="368" spans="1:25" x14ac:dyDescent="0.2">
      <c r="A368" s="14"/>
      <c r="B368" s="6"/>
      <c r="C368" s="6"/>
      <c r="D368" s="16"/>
      <c r="E368" s="6"/>
      <c r="F368" s="16"/>
      <c r="G368" s="6"/>
      <c r="H368" s="16"/>
      <c r="I368" s="16"/>
      <c r="J368" s="16"/>
      <c r="K368" s="16"/>
      <c r="L368" s="16"/>
      <c r="M368" s="16"/>
      <c r="N368" s="16"/>
      <c r="O368" s="16"/>
      <c r="P368" s="16"/>
      <c r="Q368" s="16"/>
      <c r="R368" s="16"/>
      <c r="S368" s="16"/>
      <c r="T368" s="16"/>
      <c r="U368" s="16"/>
      <c r="V368" s="16"/>
      <c r="W368" s="16"/>
      <c r="X368" s="16"/>
      <c r="Y368" s="16"/>
    </row>
    <row r="369" spans="1:25" x14ac:dyDescent="0.2">
      <c r="A369" s="14"/>
      <c r="B369" s="6"/>
      <c r="C369" s="6"/>
      <c r="D369" s="16"/>
      <c r="E369" s="6"/>
      <c r="F369" s="16"/>
      <c r="G369" s="6"/>
      <c r="H369" s="16"/>
      <c r="I369" s="16"/>
      <c r="J369" s="16"/>
      <c r="K369" s="16"/>
      <c r="L369" s="16"/>
      <c r="M369" s="16"/>
      <c r="N369" s="16"/>
      <c r="O369" s="16"/>
      <c r="P369" s="16"/>
      <c r="Q369" s="16"/>
      <c r="R369" s="16"/>
      <c r="S369" s="16"/>
      <c r="T369" s="16"/>
      <c r="U369" s="16"/>
      <c r="V369" s="16"/>
      <c r="W369" s="16"/>
      <c r="X369" s="16"/>
      <c r="Y369" s="16"/>
    </row>
    <row r="370" spans="1:25" x14ac:dyDescent="0.2">
      <c r="A370" s="14"/>
      <c r="B370" s="6"/>
      <c r="C370" s="6"/>
      <c r="D370" s="16"/>
      <c r="E370" s="6"/>
      <c r="F370" s="16"/>
      <c r="G370" s="6"/>
      <c r="H370" s="16"/>
      <c r="I370" s="16"/>
      <c r="J370" s="16"/>
      <c r="K370" s="16"/>
      <c r="L370" s="16"/>
      <c r="M370" s="16"/>
      <c r="N370" s="16"/>
      <c r="O370" s="16"/>
      <c r="P370" s="16"/>
      <c r="Q370" s="16"/>
      <c r="R370" s="16"/>
      <c r="S370" s="16"/>
      <c r="T370" s="16"/>
      <c r="U370" s="16"/>
      <c r="V370" s="16"/>
      <c r="W370" s="16"/>
      <c r="X370" s="16"/>
      <c r="Y370" s="16"/>
    </row>
    <row r="371" spans="1:25" x14ac:dyDescent="0.2">
      <c r="A371" s="14"/>
      <c r="B371" s="6"/>
      <c r="C371" s="6"/>
      <c r="D371" s="16"/>
      <c r="E371" s="6"/>
      <c r="F371" s="16"/>
      <c r="G371" s="6"/>
      <c r="H371" s="16"/>
      <c r="I371" s="16"/>
      <c r="J371" s="16"/>
      <c r="K371" s="16"/>
      <c r="L371" s="16"/>
      <c r="M371" s="16"/>
      <c r="N371" s="16"/>
      <c r="O371" s="16"/>
      <c r="P371" s="16"/>
      <c r="Q371" s="16"/>
      <c r="R371" s="16"/>
      <c r="S371" s="16"/>
      <c r="T371" s="16"/>
      <c r="U371" s="16"/>
      <c r="V371" s="16"/>
      <c r="W371" s="16"/>
      <c r="X371" s="16"/>
      <c r="Y371" s="16"/>
    </row>
    <row r="372" spans="1:25" x14ac:dyDescent="0.2">
      <c r="A372" s="14"/>
      <c r="B372" s="6"/>
      <c r="C372" s="6"/>
      <c r="D372" s="16"/>
      <c r="E372" s="6"/>
      <c r="F372" s="16"/>
      <c r="G372" s="6"/>
      <c r="H372" s="16"/>
      <c r="I372" s="16"/>
      <c r="J372" s="16"/>
      <c r="K372" s="16"/>
      <c r="L372" s="16"/>
      <c r="M372" s="16"/>
      <c r="N372" s="16"/>
      <c r="O372" s="16"/>
      <c r="P372" s="16"/>
      <c r="Q372" s="16"/>
      <c r="R372" s="16"/>
      <c r="S372" s="16"/>
      <c r="T372" s="16"/>
      <c r="U372" s="16"/>
      <c r="V372" s="16"/>
      <c r="W372" s="16"/>
      <c r="X372" s="16"/>
      <c r="Y372" s="16"/>
    </row>
    <row r="373" spans="1:25" x14ac:dyDescent="0.2">
      <c r="A373" s="14"/>
      <c r="B373" s="6"/>
      <c r="C373" s="6"/>
      <c r="D373" s="16"/>
      <c r="E373" s="6"/>
      <c r="F373" s="16"/>
      <c r="G373" s="6"/>
      <c r="H373" s="16"/>
      <c r="I373" s="16"/>
      <c r="J373" s="16"/>
      <c r="K373" s="16"/>
      <c r="L373" s="16"/>
      <c r="M373" s="16"/>
      <c r="N373" s="16"/>
      <c r="O373" s="16"/>
      <c r="P373" s="16"/>
      <c r="Q373" s="16"/>
      <c r="R373" s="16"/>
      <c r="S373" s="16"/>
      <c r="T373" s="16"/>
      <c r="U373" s="16"/>
      <c r="V373" s="16"/>
      <c r="W373" s="16"/>
      <c r="X373" s="16"/>
      <c r="Y373" s="16"/>
    </row>
    <row r="374" spans="1:25" x14ac:dyDescent="0.2">
      <c r="A374" s="14"/>
      <c r="B374" s="6"/>
      <c r="C374" s="6"/>
      <c r="D374" s="16"/>
      <c r="E374" s="6"/>
      <c r="F374" s="16"/>
      <c r="G374" s="6"/>
      <c r="H374" s="16"/>
      <c r="I374" s="16"/>
      <c r="J374" s="16"/>
      <c r="K374" s="16"/>
      <c r="L374" s="16"/>
      <c r="M374" s="16"/>
      <c r="N374" s="16"/>
      <c r="O374" s="16"/>
      <c r="P374" s="16"/>
      <c r="Q374" s="16"/>
      <c r="R374" s="16"/>
      <c r="S374" s="16"/>
      <c r="T374" s="16"/>
      <c r="U374" s="16"/>
      <c r="V374" s="16"/>
      <c r="W374" s="16"/>
      <c r="X374" s="16"/>
      <c r="Y374" s="16"/>
    </row>
    <row r="375" spans="1:25" x14ac:dyDescent="0.2">
      <c r="A375" s="14"/>
      <c r="B375" s="6"/>
      <c r="C375" s="6"/>
      <c r="D375" s="16"/>
      <c r="E375" s="6"/>
      <c r="F375" s="16"/>
      <c r="G375" s="6"/>
      <c r="H375" s="16"/>
      <c r="I375" s="16"/>
      <c r="J375" s="16"/>
      <c r="K375" s="16"/>
      <c r="L375" s="16"/>
      <c r="M375" s="16"/>
      <c r="N375" s="16"/>
      <c r="O375" s="16"/>
      <c r="P375" s="16"/>
      <c r="Q375" s="16"/>
      <c r="R375" s="16"/>
      <c r="S375" s="16"/>
      <c r="T375" s="16"/>
      <c r="U375" s="16"/>
      <c r="V375" s="16"/>
      <c r="W375" s="16"/>
      <c r="X375" s="16"/>
      <c r="Y375" s="16"/>
    </row>
    <row r="376" spans="1:25" x14ac:dyDescent="0.2">
      <c r="A376" s="14"/>
      <c r="B376" s="6"/>
      <c r="C376" s="6"/>
      <c r="D376" s="16"/>
      <c r="E376" s="6"/>
      <c r="F376" s="16"/>
      <c r="G376" s="6"/>
      <c r="H376" s="16"/>
      <c r="I376" s="16"/>
      <c r="J376" s="16"/>
      <c r="K376" s="16"/>
      <c r="L376" s="16"/>
      <c r="M376" s="16"/>
      <c r="N376" s="16"/>
      <c r="O376" s="16"/>
      <c r="P376" s="16"/>
      <c r="Q376" s="16"/>
      <c r="R376" s="16"/>
      <c r="S376" s="16"/>
      <c r="T376" s="16"/>
      <c r="U376" s="16"/>
      <c r="V376" s="16"/>
      <c r="W376" s="16"/>
      <c r="X376" s="16"/>
      <c r="Y376" s="16"/>
    </row>
    <row r="377" spans="1:25" x14ac:dyDescent="0.2">
      <c r="A377" s="14"/>
      <c r="B377" s="6"/>
      <c r="C377" s="6"/>
      <c r="D377" s="16"/>
      <c r="E377" s="6"/>
      <c r="F377" s="16"/>
      <c r="G377" s="6"/>
      <c r="H377" s="16"/>
      <c r="I377" s="16"/>
      <c r="J377" s="16"/>
      <c r="K377" s="16"/>
      <c r="L377" s="16"/>
      <c r="M377" s="16"/>
      <c r="N377" s="16"/>
      <c r="O377" s="16"/>
      <c r="P377" s="16"/>
      <c r="Q377" s="16"/>
      <c r="R377" s="16"/>
      <c r="S377" s="16"/>
      <c r="T377" s="16"/>
      <c r="U377" s="16"/>
      <c r="V377" s="16"/>
      <c r="W377" s="16"/>
      <c r="X377" s="16"/>
      <c r="Y377" s="16"/>
    </row>
    <row r="378" spans="1:25" x14ac:dyDescent="0.2">
      <c r="A378" s="14"/>
      <c r="B378" s="6"/>
      <c r="C378" s="6"/>
      <c r="D378" s="16"/>
      <c r="E378" s="6"/>
      <c r="F378" s="16"/>
      <c r="G378" s="6"/>
      <c r="H378" s="16"/>
      <c r="I378" s="16"/>
      <c r="J378" s="16"/>
      <c r="K378" s="16"/>
      <c r="L378" s="16"/>
      <c r="M378" s="16"/>
      <c r="N378" s="16"/>
      <c r="O378" s="16"/>
      <c r="P378" s="16"/>
      <c r="Q378" s="16"/>
      <c r="R378" s="16"/>
      <c r="S378" s="16"/>
      <c r="T378" s="16"/>
      <c r="U378" s="16"/>
      <c r="V378" s="16"/>
      <c r="W378" s="16"/>
      <c r="X378" s="16"/>
      <c r="Y378" s="16"/>
    </row>
    <row r="379" spans="1:25" x14ac:dyDescent="0.2">
      <c r="A379" s="14"/>
      <c r="B379" s="6"/>
      <c r="C379" s="6"/>
      <c r="D379" s="16"/>
      <c r="E379" s="6"/>
      <c r="F379" s="16"/>
      <c r="G379" s="6"/>
      <c r="H379" s="16"/>
      <c r="I379" s="16"/>
      <c r="J379" s="16"/>
      <c r="K379" s="16"/>
      <c r="L379" s="16"/>
      <c r="M379" s="16"/>
      <c r="N379" s="16"/>
      <c r="O379" s="16"/>
      <c r="P379" s="16"/>
      <c r="Q379" s="16"/>
      <c r="R379" s="16"/>
      <c r="S379" s="16"/>
      <c r="T379" s="16"/>
      <c r="U379" s="16"/>
      <c r="V379" s="16"/>
      <c r="W379" s="16"/>
      <c r="X379" s="16"/>
      <c r="Y379" s="16"/>
    </row>
    <row r="380" spans="1:25" x14ac:dyDescent="0.2">
      <c r="A380" s="14"/>
      <c r="B380" s="6"/>
      <c r="C380" s="6"/>
      <c r="D380" s="16"/>
      <c r="E380" s="6"/>
      <c r="F380" s="16"/>
      <c r="G380" s="6"/>
      <c r="H380" s="16"/>
      <c r="I380" s="16"/>
      <c r="J380" s="16"/>
      <c r="K380" s="16"/>
      <c r="L380" s="16"/>
      <c r="M380" s="16"/>
      <c r="N380" s="16"/>
      <c r="O380" s="16"/>
      <c r="P380" s="16"/>
      <c r="Q380" s="16"/>
      <c r="R380" s="16"/>
      <c r="S380" s="16"/>
      <c r="T380" s="16"/>
      <c r="U380" s="16"/>
      <c r="V380" s="16"/>
      <c r="W380" s="16"/>
      <c r="X380" s="16"/>
      <c r="Y380" s="16"/>
    </row>
    <row r="381" spans="1:25" x14ac:dyDescent="0.2">
      <c r="A381" s="14"/>
      <c r="B381" s="6"/>
      <c r="C381" s="6"/>
      <c r="D381" s="16"/>
      <c r="E381" s="6"/>
      <c r="F381" s="16"/>
      <c r="G381" s="6"/>
      <c r="H381" s="16"/>
      <c r="I381" s="16"/>
      <c r="J381" s="16"/>
      <c r="K381" s="16"/>
      <c r="L381" s="16"/>
      <c r="M381" s="16"/>
      <c r="N381" s="16"/>
      <c r="O381" s="16"/>
      <c r="P381" s="16"/>
      <c r="Q381" s="16"/>
      <c r="R381" s="16"/>
      <c r="S381" s="16"/>
      <c r="T381" s="16"/>
      <c r="U381" s="16"/>
      <c r="V381" s="16"/>
      <c r="W381" s="16"/>
      <c r="X381" s="16"/>
      <c r="Y381" s="16"/>
    </row>
    <row r="382" spans="1:25" x14ac:dyDescent="0.2">
      <c r="A382" s="14"/>
      <c r="B382" s="6"/>
      <c r="C382" s="6"/>
      <c r="D382" s="16"/>
      <c r="E382" s="6"/>
      <c r="F382" s="16"/>
      <c r="G382" s="6"/>
      <c r="H382" s="16"/>
      <c r="I382" s="16"/>
      <c r="J382" s="16"/>
      <c r="K382" s="16"/>
      <c r="L382" s="16"/>
      <c r="M382" s="16"/>
      <c r="N382" s="16"/>
      <c r="O382" s="16"/>
      <c r="P382" s="16"/>
      <c r="Q382" s="16"/>
      <c r="R382" s="16"/>
      <c r="S382" s="16"/>
      <c r="T382" s="16"/>
      <c r="U382" s="16"/>
      <c r="V382" s="16"/>
      <c r="W382" s="16"/>
      <c r="X382" s="16"/>
      <c r="Y382" s="16"/>
    </row>
    <row r="383" spans="1:25" x14ac:dyDescent="0.2">
      <c r="A383" s="14"/>
      <c r="B383" s="6"/>
      <c r="C383" s="6"/>
      <c r="D383" s="16"/>
      <c r="E383" s="6"/>
      <c r="F383" s="16"/>
      <c r="G383" s="6"/>
      <c r="H383" s="16"/>
      <c r="I383" s="16"/>
      <c r="J383" s="16"/>
      <c r="K383" s="16"/>
      <c r="L383" s="16"/>
      <c r="M383" s="16"/>
      <c r="N383" s="16"/>
      <c r="O383" s="16"/>
      <c r="P383" s="16"/>
      <c r="Q383" s="16"/>
      <c r="R383" s="16"/>
      <c r="S383" s="16"/>
      <c r="T383" s="16"/>
      <c r="U383" s="16"/>
      <c r="V383" s="16"/>
      <c r="W383" s="16"/>
      <c r="X383" s="16"/>
      <c r="Y383" s="16"/>
    </row>
    <row r="384" spans="1:25" x14ac:dyDescent="0.2">
      <c r="A384" s="14"/>
      <c r="B384" s="6"/>
      <c r="C384" s="6"/>
      <c r="D384" s="16"/>
      <c r="E384" s="6"/>
      <c r="F384" s="16"/>
      <c r="G384" s="6"/>
      <c r="H384" s="16"/>
      <c r="I384" s="16"/>
      <c r="J384" s="16"/>
      <c r="K384" s="16"/>
      <c r="L384" s="16"/>
      <c r="M384" s="16"/>
      <c r="N384" s="16"/>
      <c r="O384" s="16"/>
      <c r="P384" s="16"/>
      <c r="Q384" s="16"/>
      <c r="R384" s="16"/>
      <c r="S384" s="16"/>
      <c r="T384" s="16"/>
      <c r="U384" s="16"/>
      <c r="V384" s="16"/>
      <c r="W384" s="16"/>
      <c r="X384" s="16"/>
      <c r="Y384" s="16"/>
    </row>
    <row r="385" spans="1:25" x14ac:dyDescent="0.2">
      <c r="A385" s="14"/>
      <c r="B385" s="6"/>
      <c r="C385" s="6"/>
      <c r="D385" s="16"/>
      <c r="E385" s="6"/>
      <c r="F385" s="16"/>
      <c r="G385" s="6"/>
      <c r="H385" s="16"/>
      <c r="I385" s="16"/>
      <c r="J385" s="16"/>
      <c r="K385" s="16"/>
      <c r="L385" s="16"/>
      <c r="M385" s="16"/>
      <c r="N385" s="16"/>
      <c r="O385" s="16"/>
      <c r="P385" s="16"/>
      <c r="Q385" s="16"/>
      <c r="R385" s="16"/>
      <c r="S385" s="16"/>
      <c r="T385" s="16"/>
      <c r="U385" s="16"/>
      <c r="V385" s="16"/>
      <c r="W385" s="16"/>
      <c r="X385" s="16"/>
      <c r="Y385" s="16"/>
    </row>
    <row r="386" spans="1:25" x14ac:dyDescent="0.2">
      <c r="A386" s="14"/>
      <c r="B386" s="6"/>
      <c r="C386" s="6"/>
      <c r="D386" s="16"/>
      <c r="E386" s="6"/>
      <c r="F386" s="16"/>
      <c r="G386" s="6"/>
      <c r="H386" s="16"/>
      <c r="I386" s="16"/>
      <c r="J386" s="16"/>
      <c r="K386" s="16"/>
      <c r="L386" s="16"/>
      <c r="M386" s="16"/>
      <c r="N386" s="16"/>
      <c r="O386" s="16"/>
      <c r="P386" s="16"/>
      <c r="Q386" s="16"/>
      <c r="R386" s="16"/>
      <c r="S386" s="16"/>
      <c r="T386" s="16"/>
      <c r="U386" s="16"/>
      <c r="V386" s="16"/>
      <c r="W386" s="16"/>
      <c r="X386" s="16"/>
      <c r="Y386" s="16"/>
    </row>
    <row r="387" spans="1:25" x14ac:dyDescent="0.2">
      <c r="A387" s="14"/>
      <c r="B387" s="6"/>
      <c r="C387" s="6"/>
      <c r="D387" s="16"/>
      <c r="E387" s="6"/>
      <c r="F387" s="16"/>
      <c r="G387" s="6"/>
      <c r="H387" s="16"/>
      <c r="I387" s="16"/>
      <c r="J387" s="16"/>
      <c r="K387" s="16"/>
      <c r="L387" s="16"/>
      <c r="M387" s="16"/>
      <c r="N387" s="16"/>
      <c r="O387" s="16"/>
      <c r="P387" s="16"/>
      <c r="Q387" s="16"/>
      <c r="R387" s="16"/>
      <c r="S387" s="16"/>
      <c r="T387" s="16"/>
      <c r="U387" s="16"/>
      <c r="V387" s="16"/>
      <c r="W387" s="16"/>
      <c r="X387" s="16"/>
      <c r="Y387" s="16"/>
    </row>
    <row r="388" spans="1:25" x14ac:dyDescent="0.2">
      <c r="A388" s="14"/>
      <c r="B388" s="6"/>
      <c r="C388" s="6"/>
      <c r="D388" s="16"/>
      <c r="E388" s="6"/>
      <c r="F388" s="16"/>
      <c r="G388" s="6"/>
      <c r="H388" s="16"/>
      <c r="I388" s="16"/>
      <c r="J388" s="16"/>
      <c r="K388" s="16"/>
      <c r="L388" s="16"/>
      <c r="M388" s="16"/>
      <c r="N388" s="16"/>
      <c r="O388" s="16"/>
      <c r="P388" s="16"/>
      <c r="Q388" s="16"/>
      <c r="R388" s="16"/>
      <c r="S388" s="16"/>
      <c r="T388" s="16"/>
      <c r="U388" s="16"/>
      <c r="V388" s="16"/>
      <c r="W388" s="16"/>
      <c r="X388" s="16"/>
      <c r="Y388" s="16"/>
    </row>
    <row r="389" spans="1:25" x14ac:dyDescent="0.2">
      <c r="A389" s="14"/>
      <c r="B389" s="6"/>
      <c r="C389" s="6"/>
      <c r="D389" s="16"/>
      <c r="E389" s="6"/>
      <c r="F389" s="16"/>
      <c r="G389" s="6"/>
      <c r="H389" s="16"/>
      <c r="I389" s="16"/>
      <c r="J389" s="16"/>
      <c r="K389" s="16"/>
      <c r="L389" s="16"/>
      <c r="M389" s="16"/>
      <c r="N389" s="16"/>
      <c r="O389" s="16"/>
      <c r="P389" s="16"/>
      <c r="Q389" s="16"/>
      <c r="R389" s="16"/>
      <c r="S389" s="16"/>
      <c r="T389" s="16"/>
      <c r="U389" s="16"/>
      <c r="V389" s="16"/>
      <c r="W389" s="16"/>
      <c r="X389" s="16"/>
      <c r="Y389" s="16"/>
    </row>
    <row r="390" spans="1:25" x14ac:dyDescent="0.2">
      <c r="A390" s="14"/>
      <c r="B390" s="6"/>
      <c r="C390" s="6"/>
      <c r="D390" s="16"/>
      <c r="E390" s="6"/>
      <c r="F390" s="16"/>
      <c r="G390" s="6"/>
      <c r="H390" s="16"/>
      <c r="I390" s="16"/>
      <c r="J390" s="16"/>
      <c r="K390" s="16"/>
      <c r="L390" s="16"/>
      <c r="M390" s="16"/>
      <c r="N390" s="16"/>
      <c r="O390" s="16"/>
      <c r="P390" s="16"/>
      <c r="Q390" s="16"/>
      <c r="R390" s="16"/>
      <c r="S390" s="16"/>
      <c r="T390" s="16"/>
      <c r="U390" s="16"/>
      <c r="V390" s="16"/>
      <c r="W390" s="16"/>
      <c r="X390" s="16"/>
      <c r="Y390" s="16"/>
    </row>
    <row r="391" spans="1:25" x14ac:dyDescent="0.2">
      <c r="A391" s="14"/>
      <c r="B391" s="6"/>
      <c r="C391" s="6"/>
      <c r="D391" s="16"/>
      <c r="E391" s="6"/>
      <c r="F391" s="16"/>
      <c r="G391" s="6"/>
      <c r="H391" s="16"/>
      <c r="I391" s="16"/>
      <c r="J391" s="16"/>
      <c r="K391" s="16"/>
      <c r="L391" s="16"/>
      <c r="M391" s="16"/>
      <c r="N391" s="16"/>
      <c r="O391" s="16"/>
      <c r="P391" s="16"/>
      <c r="Q391" s="16"/>
      <c r="R391" s="16"/>
      <c r="S391" s="16"/>
      <c r="T391" s="16"/>
      <c r="U391" s="16"/>
      <c r="V391" s="16"/>
      <c r="W391" s="16"/>
      <c r="X391" s="16"/>
      <c r="Y391" s="16"/>
    </row>
    <row r="392" spans="1:25" x14ac:dyDescent="0.2">
      <c r="A392" s="14"/>
      <c r="B392" s="6"/>
      <c r="C392" s="6"/>
      <c r="D392" s="16"/>
      <c r="E392" s="6"/>
      <c r="F392" s="16"/>
      <c r="G392" s="6"/>
      <c r="H392" s="16"/>
      <c r="I392" s="16"/>
      <c r="J392" s="16"/>
      <c r="K392" s="16"/>
      <c r="L392" s="16"/>
      <c r="M392" s="16"/>
      <c r="N392" s="16"/>
      <c r="O392" s="16"/>
      <c r="P392" s="16"/>
      <c r="Q392" s="16"/>
      <c r="R392" s="16"/>
      <c r="S392" s="16"/>
      <c r="T392" s="16"/>
      <c r="U392" s="16"/>
      <c r="V392" s="16"/>
      <c r="W392" s="16"/>
      <c r="X392" s="16"/>
      <c r="Y392" s="16"/>
    </row>
    <row r="393" spans="1:25" x14ac:dyDescent="0.2">
      <c r="A393" s="14"/>
      <c r="B393" s="6"/>
      <c r="C393" s="6"/>
      <c r="D393" s="16"/>
      <c r="E393" s="6"/>
      <c r="F393" s="16"/>
      <c r="G393" s="6"/>
      <c r="H393" s="16"/>
      <c r="I393" s="16"/>
      <c r="J393" s="16"/>
      <c r="K393" s="16"/>
      <c r="L393" s="16"/>
      <c r="M393" s="16"/>
      <c r="N393" s="16"/>
      <c r="O393" s="16"/>
      <c r="P393" s="16"/>
      <c r="Q393" s="16"/>
      <c r="R393" s="16"/>
      <c r="S393" s="16"/>
      <c r="T393" s="16"/>
      <c r="U393" s="16"/>
      <c r="V393" s="16"/>
      <c r="W393" s="16"/>
      <c r="X393" s="16"/>
      <c r="Y393" s="16"/>
    </row>
    <row r="394" spans="1:25" x14ac:dyDescent="0.2">
      <c r="A394" s="14"/>
      <c r="B394" s="6"/>
      <c r="C394" s="6"/>
      <c r="D394" s="16"/>
      <c r="E394" s="6"/>
      <c r="F394" s="16"/>
      <c r="G394" s="6"/>
      <c r="H394" s="16"/>
      <c r="I394" s="16"/>
      <c r="J394" s="16"/>
      <c r="K394" s="16"/>
      <c r="L394" s="16"/>
      <c r="M394" s="16"/>
      <c r="N394" s="16"/>
      <c r="O394" s="16"/>
      <c r="P394" s="16"/>
      <c r="Q394" s="16"/>
      <c r="R394" s="16"/>
      <c r="S394" s="16"/>
      <c r="T394" s="16"/>
      <c r="U394" s="16"/>
      <c r="V394" s="16"/>
      <c r="W394" s="16"/>
      <c r="X394" s="16"/>
      <c r="Y394" s="16"/>
    </row>
    <row r="395" spans="1:25" x14ac:dyDescent="0.2">
      <c r="A395" s="14"/>
      <c r="B395" s="6"/>
      <c r="C395" s="6"/>
      <c r="D395" s="16"/>
      <c r="E395" s="6"/>
      <c r="F395" s="16"/>
      <c r="G395" s="6"/>
      <c r="H395" s="16"/>
      <c r="I395" s="16"/>
      <c r="J395" s="16"/>
      <c r="K395" s="16"/>
      <c r="L395" s="16"/>
      <c r="M395" s="16"/>
      <c r="N395" s="16"/>
      <c r="O395" s="16"/>
      <c r="P395" s="16"/>
      <c r="Q395" s="16"/>
      <c r="R395" s="16"/>
      <c r="S395" s="16"/>
      <c r="T395" s="16"/>
      <c r="U395" s="16"/>
      <c r="V395" s="16"/>
      <c r="W395" s="16"/>
      <c r="X395" s="16"/>
      <c r="Y395" s="16"/>
    </row>
    <row r="396" spans="1:25" x14ac:dyDescent="0.2">
      <c r="A396" s="14"/>
      <c r="B396" s="6"/>
      <c r="C396" s="6"/>
      <c r="D396" s="16"/>
      <c r="E396" s="6"/>
      <c r="F396" s="16"/>
      <c r="G396" s="6"/>
      <c r="H396" s="16"/>
      <c r="I396" s="16"/>
      <c r="J396" s="16"/>
      <c r="K396" s="16"/>
      <c r="L396" s="16"/>
      <c r="M396" s="16"/>
      <c r="N396" s="16"/>
      <c r="O396" s="16"/>
      <c r="P396" s="16"/>
      <c r="Q396" s="16"/>
      <c r="R396" s="16"/>
      <c r="S396" s="16"/>
      <c r="T396" s="16"/>
      <c r="U396" s="16"/>
      <c r="V396" s="16"/>
      <c r="W396" s="16"/>
      <c r="X396" s="16"/>
      <c r="Y396" s="16"/>
    </row>
    <row r="397" spans="1:25" x14ac:dyDescent="0.2">
      <c r="A397" s="14"/>
      <c r="B397" s="6"/>
      <c r="C397" s="6"/>
      <c r="D397" s="16"/>
      <c r="E397" s="6"/>
      <c r="F397" s="16"/>
      <c r="G397" s="6"/>
      <c r="H397" s="16"/>
      <c r="I397" s="16"/>
      <c r="J397" s="16"/>
      <c r="K397" s="16"/>
      <c r="L397" s="16"/>
      <c r="M397" s="16"/>
      <c r="N397" s="16"/>
      <c r="O397" s="16"/>
      <c r="P397" s="16"/>
      <c r="Q397" s="16"/>
      <c r="R397" s="16"/>
      <c r="S397" s="16"/>
      <c r="T397" s="16"/>
      <c r="U397" s="16"/>
      <c r="V397" s="16"/>
      <c r="W397" s="16"/>
      <c r="X397" s="16"/>
      <c r="Y397" s="16"/>
    </row>
    <row r="398" spans="1:25" x14ac:dyDescent="0.2">
      <c r="A398" s="14"/>
      <c r="B398" s="6"/>
      <c r="C398" s="6"/>
      <c r="D398" s="16"/>
      <c r="E398" s="6"/>
      <c r="F398" s="16"/>
      <c r="G398" s="6"/>
      <c r="H398" s="16"/>
      <c r="I398" s="16"/>
      <c r="J398" s="16"/>
      <c r="K398" s="16"/>
      <c r="L398" s="16"/>
      <c r="M398" s="16"/>
      <c r="N398" s="16"/>
      <c r="O398" s="16"/>
      <c r="P398" s="16"/>
      <c r="Q398" s="16"/>
      <c r="R398" s="16"/>
      <c r="S398" s="16"/>
      <c r="T398" s="16"/>
      <c r="U398" s="16"/>
      <c r="V398" s="16"/>
      <c r="W398" s="16"/>
      <c r="X398" s="16"/>
      <c r="Y398" s="16"/>
    </row>
    <row r="399" spans="1:25" x14ac:dyDescent="0.2">
      <c r="A399" s="14"/>
      <c r="B399" s="6"/>
      <c r="C399" s="6"/>
      <c r="D399" s="16"/>
      <c r="E399" s="6"/>
      <c r="F399" s="16"/>
      <c r="G399" s="6"/>
      <c r="H399" s="16"/>
      <c r="I399" s="16"/>
      <c r="J399" s="16"/>
      <c r="K399" s="16"/>
      <c r="L399" s="16"/>
      <c r="M399" s="16"/>
      <c r="N399" s="16"/>
      <c r="O399" s="16"/>
      <c r="P399" s="16"/>
      <c r="Q399" s="16"/>
      <c r="R399" s="16"/>
      <c r="S399" s="16"/>
      <c r="T399" s="16"/>
      <c r="U399" s="16"/>
      <c r="V399" s="16"/>
      <c r="W399" s="16"/>
      <c r="X399" s="16"/>
      <c r="Y399" s="16"/>
    </row>
    <row r="400" spans="1:25" x14ac:dyDescent="0.2">
      <c r="A400" s="14"/>
      <c r="B400" s="6"/>
      <c r="C400" s="6"/>
      <c r="D400" s="16"/>
      <c r="E400" s="6"/>
      <c r="F400" s="16"/>
      <c r="G400" s="6"/>
      <c r="H400" s="16"/>
      <c r="I400" s="16"/>
      <c r="J400" s="16"/>
      <c r="K400" s="16"/>
      <c r="L400" s="16"/>
      <c r="M400" s="16"/>
      <c r="N400" s="16"/>
      <c r="O400" s="16"/>
      <c r="P400" s="16"/>
      <c r="Q400" s="16"/>
      <c r="R400" s="16"/>
      <c r="S400" s="16"/>
      <c r="T400" s="16"/>
      <c r="U400" s="16"/>
      <c r="V400" s="16"/>
      <c r="W400" s="16"/>
      <c r="X400" s="16"/>
      <c r="Y400" s="16"/>
    </row>
    <row r="401" spans="1:25" x14ac:dyDescent="0.2">
      <c r="A401" s="14"/>
      <c r="B401" s="6"/>
      <c r="C401" s="6"/>
      <c r="D401" s="16"/>
      <c r="E401" s="6"/>
      <c r="F401" s="16"/>
      <c r="G401" s="6"/>
      <c r="H401" s="16"/>
      <c r="I401" s="16"/>
      <c r="J401" s="16"/>
      <c r="K401" s="16"/>
      <c r="L401" s="16"/>
      <c r="M401" s="16"/>
      <c r="N401" s="16"/>
      <c r="O401" s="16"/>
      <c r="P401" s="16"/>
      <c r="Q401" s="16"/>
      <c r="R401" s="16"/>
      <c r="S401" s="16"/>
      <c r="T401" s="16"/>
      <c r="U401" s="16"/>
      <c r="V401" s="16"/>
      <c r="W401" s="16"/>
      <c r="X401" s="16"/>
      <c r="Y401" s="16"/>
    </row>
    <row r="402" spans="1:25" x14ac:dyDescent="0.2">
      <c r="A402" s="14"/>
      <c r="B402" s="6"/>
      <c r="C402" s="6"/>
      <c r="D402" s="16"/>
      <c r="E402" s="6"/>
      <c r="F402" s="16"/>
      <c r="G402" s="6"/>
      <c r="H402" s="16"/>
      <c r="I402" s="16"/>
      <c r="J402" s="16"/>
      <c r="K402" s="16"/>
      <c r="L402" s="16"/>
      <c r="M402" s="16"/>
      <c r="N402" s="16"/>
      <c r="O402" s="16"/>
      <c r="P402" s="16"/>
      <c r="Q402" s="16"/>
      <c r="R402" s="16"/>
      <c r="S402" s="16"/>
      <c r="T402" s="16"/>
      <c r="U402" s="16"/>
      <c r="V402" s="16"/>
      <c r="W402" s="16"/>
      <c r="X402" s="16"/>
      <c r="Y402" s="16"/>
    </row>
    <row r="403" spans="1:25" x14ac:dyDescent="0.2">
      <c r="A403" s="14"/>
      <c r="B403" s="6"/>
      <c r="C403" s="6"/>
      <c r="D403" s="16"/>
      <c r="E403" s="6"/>
      <c r="F403" s="16"/>
      <c r="G403" s="6"/>
      <c r="H403" s="16"/>
      <c r="I403" s="16"/>
      <c r="J403" s="16"/>
      <c r="K403" s="16"/>
      <c r="L403" s="16"/>
      <c r="M403" s="16"/>
      <c r="N403" s="16"/>
      <c r="O403" s="16"/>
      <c r="P403" s="16"/>
      <c r="Q403" s="16"/>
      <c r="R403" s="16"/>
      <c r="S403" s="16"/>
      <c r="T403" s="16"/>
      <c r="U403" s="16"/>
      <c r="V403" s="16"/>
      <c r="W403" s="16"/>
      <c r="X403" s="16"/>
      <c r="Y403" s="16"/>
    </row>
    <row r="404" spans="1:25" x14ac:dyDescent="0.2">
      <c r="A404" s="14"/>
      <c r="B404" s="6"/>
      <c r="C404" s="6"/>
      <c r="D404" s="16"/>
      <c r="E404" s="6"/>
      <c r="F404" s="16"/>
      <c r="G404" s="6"/>
      <c r="H404" s="16"/>
      <c r="I404" s="16"/>
      <c r="J404" s="16"/>
      <c r="K404" s="16"/>
      <c r="L404" s="16"/>
      <c r="M404" s="16"/>
      <c r="N404" s="16"/>
      <c r="O404" s="16"/>
      <c r="P404" s="16"/>
      <c r="Q404" s="16"/>
      <c r="R404" s="16"/>
      <c r="S404" s="16"/>
      <c r="T404" s="16"/>
      <c r="U404" s="16"/>
      <c r="V404" s="16"/>
      <c r="W404" s="16"/>
      <c r="X404" s="16"/>
      <c r="Y404" s="16"/>
    </row>
    <row r="405" spans="1:25" x14ac:dyDescent="0.2">
      <c r="A405" s="14"/>
      <c r="B405" s="6"/>
      <c r="C405" s="6"/>
      <c r="D405" s="16"/>
      <c r="E405" s="6"/>
      <c r="F405" s="16"/>
      <c r="G405" s="6"/>
      <c r="H405" s="16"/>
      <c r="I405" s="16"/>
      <c r="J405" s="16"/>
      <c r="K405" s="16"/>
      <c r="L405" s="16"/>
      <c r="M405" s="16"/>
      <c r="N405" s="16"/>
      <c r="O405" s="16"/>
      <c r="P405" s="16"/>
      <c r="Q405" s="16"/>
      <c r="R405" s="16"/>
      <c r="S405" s="16"/>
      <c r="T405" s="16"/>
      <c r="U405" s="16"/>
      <c r="V405" s="16"/>
      <c r="W405" s="16"/>
      <c r="X405" s="16"/>
      <c r="Y405" s="16"/>
    </row>
    <row r="406" spans="1:25" x14ac:dyDescent="0.2">
      <c r="A406" s="14"/>
      <c r="B406" s="6"/>
      <c r="C406" s="6"/>
      <c r="D406" s="16"/>
      <c r="E406" s="6"/>
      <c r="F406" s="16"/>
      <c r="G406" s="6"/>
      <c r="H406" s="16"/>
      <c r="I406" s="16"/>
      <c r="J406" s="16"/>
      <c r="K406" s="16"/>
      <c r="L406" s="16"/>
      <c r="M406" s="16"/>
      <c r="N406" s="16"/>
      <c r="O406" s="16"/>
      <c r="P406" s="16"/>
      <c r="Q406" s="16"/>
      <c r="R406" s="16"/>
      <c r="S406" s="16"/>
      <c r="T406" s="16"/>
      <c r="U406" s="16"/>
      <c r="V406" s="16"/>
      <c r="W406" s="16"/>
      <c r="X406" s="16"/>
      <c r="Y406" s="16"/>
    </row>
    <row r="407" spans="1:25" x14ac:dyDescent="0.2">
      <c r="A407" s="14"/>
      <c r="B407" s="6"/>
      <c r="C407" s="6"/>
      <c r="D407" s="16"/>
      <c r="E407" s="6"/>
      <c r="F407" s="16"/>
      <c r="G407" s="6"/>
      <c r="H407" s="16"/>
      <c r="I407" s="16"/>
      <c r="J407" s="16"/>
      <c r="K407" s="16"/>
      <c r="L407" s="16"/>
      <c r="M407" s="16"/>
      <c r="N407" s="16"/>
      <c r="O407" s="16"/>
      <c r="P407" s="16"/>
      <c r="Q407" s="16"/>
      <c r="R407" s="16"/>
      <c r="S407" s="16"/>
      <c r="T407" s="16"/>
      <c r="U407" s="16"/>
      <c r="V407" s="16"/>
      <c r="W407" s="16"/>
      <c r="X407" s="16"/>
      <c r="Y407" s="16"/>
    </row>
    <row r="408" spans="1:25" x14ac:dyDescent="0.2">
      <c r="A408" s="14"/>
      <c r="B408" s="6"/>
      <c r="C408" s="6"/>
      <c r="D408" s="16"/>
      <c r="E408" s="6"/>
      <c r="F408" s="16"/>
      <c r="G408" s="6"/>
      <c r="H408" s="16"/>
      <c r="I408" s="16"/>
      <c r="J408" s="16"/>
      <c r="K408" s="16"/>
      <c r="L408" s="16"/>
      <c r="M408" s="16"/>
      <c r="N408" s="16"/>
      <c r="O408" s="16"/>
      <c r="P408" s="16"/>
      <c r="Q408" s="16"/>
      <c r="R408" s="16"/>
      <c r="S408" s="16"/>
      <c r="T408" s="16"/>
      <c r="U408" s="16"/>
      <c r="V408" s="16"/>
      <c r="W408" s="16"/>
      <c r="X408" s="16"/>
      <c r="Y408" s="16"/>
    </row>
    <row r="409" spans="1:25" x14ac:dyDescent="0.2">
      <c r="A409" s="14"/>
      <c r="B409" s="6"/>
      <c r="C409" s="6"/>
      <c r="D409" s="16"/>
      <c r="E409" s="6"/>
      <c r="F409" s="16"/>
      <c r="G409" s="6"/>
      <c r="H409" s="16"/>
      <c r="I409" s="16"/>
      <c r="J409" s="16"/>
      <c r="K409" s="16"/>
      <c r="L409" s="16"/>
      <c r="M409" s="16"/>
      <c r="N409" s="16"/>
      <c r="O409" s="16"/>
      <c r="P409" s="16"/>
      <c r="Q409" s="16"/>
      <c r="R409" s="16"/>
      <c r="S409" s="16"/>
      <c r="T409" s="16"/>
      <c r="U409" s="16"/>
      <c r="V409" s="16"/>
      <c r="W409" s="16"/>
      <c r="X409" s="16"/>
      <c r="Y409" s="16"/>
    </row>
    <row r="410" spans="1:25" x14ac:dyDescent="0.2">
      <c r="A410" s="14"/>
      <c r="B410" s="6"/>
      <c r="C410" s="6"/>
      <c r="D410" s="16"/>
      <c r="E410" s="6"/>
      <c r="F410" s="16"/>
      <c r="G410" s="6"/>
      <c r="H410" s="16"/>
      <c r="I410" s="16"/>
      <c r="J410" s="16"/>
      <c r="K410" s="16"/>
      <c r="L410" s="16"/>
      <c r="M410" s="16"/>
      <c r="N410" s="16"/>
      <c r="O410" s="16"/>
      <c r="P410" s="16"/>
      <c r="Q410" s="16"/>
      <c r="R410" s="16"/>
      <c r="S410" s="16"/>
      <c r="T410" s="16"/>
      <c r="U410" s="16"/>
      <c r="V410" s="16"/>
      <c r="W410" s="16"/>
      <c r="X410" s="16"/>
      <c r="Y410" s="16"/>
    </row>
    <row r="411" spans="1:25" x14ac:dyDescent="0.2">
      <c r="A411" s="14"/>
      <c r="B411" s="6"/>
      <c r="C411" s="6"/>
      <c r="D411" s="16"/>
      <c r="E411" s="6"/>
      <c r="F411" s="16"/>
      <c r="G411" s="6"/>
      <c r="H411" s="16"/>
      <c r="I411" s="16"/>
      <c r="J411" s="16"/>
      <c r="K411" s="16"/>
      <c r="L411" s="16"/>
      <c r="M411" s="16"/>
      <c r="N411" s="16"/>
      <c r="O411" s="16"/>
      <c r="P411" s="16"/>
      <c r="Q411" s="16"/>
      <c r="R411" s="16"/>
      <c r="S411" s="16"/>
      <c r="T411" s="16"/>
      <c r="U411" s="16"/>
      <c r="V411" s="16"/>
      <c r="W411" s="16"/>
      <c r="X411" s="16"/>
      <c r="Y411" s="16"/>
    </row>
    <row r="412" spans="1:25" x14ac:dyDescent="0.2">
      <c r="A412" s="14"/>
      <c r="B412" s="6"/>
      <c r="C412" s="6"/>
      <c r="D412" s="16"/>
      <c r="E412" s="6"/>
      <c r="F412" s="16"/>
      <c r="G412" s="6"/>
      <c r="H412" s="16"/>
      <c r="I412" s="16"/>
      <c r="J412" s="16"/>
      <c r="K412" s="16"/>
      <c r="L412" s="16"/>
      <c r="M412" s="16"/>
      <c r="N412" s="16"/>
      <c r="O412" s="16"/>
      <c r="P412" s="16"/>
      <c r="Q412" s="16"/>
      <c r="R412" s="16"/>
      <c r="S412" s="16"/>
      <c r="T412" s="16"/>
      <c r="U412" s="16"/>
      <c r="V412" s="16"/>
      <c r="W412" s="16"/>
      <c r="X412" s="16"/>
      <c r="Y412" s="16"/>
    </row>
    <row r="413" spans="1:25" x14ac:dyDescent="0.2">
      <c r="A413" s="14"/>
      <c r="B413" s="6"/>
      <c r="C413" s="6"/>
      <c r="D413" s="16"/>
      <c r="E413" s="6"/>
      <c r="F413" s="16"/>
      <c r="G413" s="6"/>
      <c r="H413" s="16"/>
      <c r="I413" s="16"/>
      <c r="J413" s="16"/>
      <c r="K413" s="16"/>
      <c r="L413" s="16"/>
      <c r="M413" s="16"/>
      <c r="N413" s="16"/>
      <c r="O413" s="16"/>
      <c r="P413" s="16"/>
      <c r="Q413" s="16"/>
      <c r="R413" s="16"/>
      <c r="S413" s="16"/>
      <c r="T413" s="16"/>
      <c r="U413" s="16"/>
      <c r="V413" s="16"/>
      <c r="W413" s="16"/>
      <c r="X413" s="16"/>
      <c r="Y413" s="16"/>
    </row>
    <row r="414" spans="1:25" x14ac:dyDescent="0.2">
      <c r="A414" s="14"/>
      <c r="B414" s="6"/>
      <c r="C414" s="6"/>
      <c r="D414" s="16"/>
      <c r="E414" s="6"/>
      <c r="F414" s="16"/>
      <c r="G414" s="6"/>
      <c r="H414" s="16"/>
      <c r="I414" s="16"/>
      <c r="J414" s="16"/>
      <c r="K414" s="16"/>
      <c r="L414" s="16"/>
      <c r="M414" s="16"/>
      <c r="N414" s="16"/>
      <c r="O414" s="16"/>
      <c r="P414" s="16"/>
      <c r="Q414" s="16"/>
      <c r="R414" s="16"/>
      <c r="S414" s="16"/>
      <c r="T414" s="16"/>
      <c r="U414" s="16"/>
      <c r="V414" s="16"/>
      <c r="W414" s="16"/>
      <c r="X414" s="16"/>
      <c r="Y414" s="16"/>
    </row>
    <row r="415" spans="1:25" x14ac:dyDescent="0.2">
      <c r="A415" s="14"/>
      <c r="B415" s="6"/>
      <c r="C415" s="6"/>
      <c r="D415" s="16"/>
      <c r="E415" s="6"/>
      <c r="F415" s="16"/>
      <c r="G415" s="6"/>
      <c r="H415" s="16"/>
      <c r="I415" s="16"/>
      <c r="J415" s="16"/>
      <c r="K415" s="16"/>
      <c r="L415" s="16"/>
      <c r="M415" s="16"/>
      <c r="N415" s="16"/>
      <c r="O415" s="16"/>
      <c r="P415" s="16"/>
      <c r="Q415" s="16"/>
      <c r="R415" s="16"/>
      <c r="S415" s="16"/>
      <c r="T415" s="16"/>
      <c r="U415" s="16"/>
      <c r="V415" s="16"/>
      <c r="W415" s="16"/>
      <c r="X415" s="16"/>
      <c r="Y415" s="16"/>
    </row>
    <row r="416" spans="1:25" x14ac:dyDescent="0.2">
      <c r="A416" s="14"/>
      <c r="B416" s="6"/>
      <c r="C416" s="6"/>
      <c r="D416" s="16"/>
      <c r="E416" s="6"/>
      <c r="F416" s="16"/>
      <c r="G416" s="6"/>
      <c r="H416" s="16"/>
      <c r="I416" s="16"/>
      <c r="J416" s="16"/>
      <c r="K416" s="16"/>
      <c r="L416" s="16"/>
      <c r="M416" s="16"/>
      <c r="N416" s="16"/>
      <c r="O416" s="16"/>
      <c r="P416" s="16"/>
      <c r="Q416" s="16"/>
      <c r="R416" s="16"/>
      <c r="S416" s="16"/>
      <c r="T416" s="16"/>
      <c r="U416" s="16"/>
      <c r="V416" s="16"/>
      <c r="W416" s="16"/>
      <c r="X416" s="16"/>
      <c r="Y416" s="16"/>
    </row>
    <row r="417" spans="1:25" x14ac:dyDescent="0.2">
      <c r="A417" s="14"/>
      <c r="B417" s="6"/>
      <c r="C417" s="6"/>
      <c r="D417" s="16"/>
      <c r="E417" s="6"/>
      <c r="F417" s="16"/>
      <c r="G417" s="6"/>
      <c r="H417" s="16"/>
      <c r="I417" s="16"/>
      <c r="J417" s="16"/>
      <c r="K417" s="16"/>
      <c r="L417" s="16"/>
      <c r="M417" s="16"/>
      <c r="N417" s="16"/>
      <c r="O417" s="16"/>
      <c r="P417" s="16"/>
      <c r="Q417" s="16"/>
      <c r="R417" s="16"/>
      <c r="S417" s="16"/>
      <c r="T417" s="16"/>
      <c r="U417" s="16"/>
      <c r="V417" s="16"/>
      <c r="W417" s="16"/>
      <c r="X417" s="16"/>
      <c r="Y417" s="16"/>
    </row>
    <row r="418" spans="1:25" x14ac:dyDescent="0.2">
      <c r="A418" s="14"/>
      <c r="B418" s="6"/>
      <c r="C418" s="6"/>
      <c r="D418" s="16"/>
      <c r="E418" s="6"/>
      <c r="F418" s="16"/>
      <c r="G418" s="6"/>
      <c r="H418" s="16"/>
      <c r="I418" s="16"/>
      <c r="J418" s="16"/>
      <c r="K418" s="16"/>
      <c r="L418" s="16"/>
      <c r="M418" s="16"/>
      <c r="N418" s="16"/>
      <c r="O418" s="16"/>
      <c r="P418" s="16"/>
      <c r="Q418" s="16"/>
      <c r="R418" s="16"/>
      <c r="S418" s="16"/>
      <c r="T418" s="16"/>
      <c r="U418" s="16"/>
      <c r="V418" s="16"/>
      <c r="W418" s="16"/>
      <c r="X418" s="16"/>
      <c r="Y418" s="16"/>
    </row>
    <row r="419" spans="1:25" x14ac:dyDescent="0.2">
      <c r="A419" s="14"/>
      <c r="B419" s="6"/>
      <c r="C419" s="6"/>
      <c r="D419" s="16"/>
      <c r="E419" s="6"/>
      <c r="F419" s="16"/>
      <c r="G419" s="6"/>
      <c r="H419" s="16"/>
      <c r="I419" s="16"/>
      <c r="J419" s="16"/>
      <c r="K419" s="16"/>
      <c r="L419" s="16"/>
      <c r="M419" s="16"/>
      <c r="N419" s="16"/>
      <c r="O419" s="16"/>
      <c r="P419" s="16"/>
      <c r="Q419" s="16"/>
      <c r="R419" s="16"/>
      <c r="S419" s="16"/>
      <c r="T419" s="16"/>
      <c r="U419" s="16"/>
      <c r="V419" s="16"/>
      <c r="W419" s="16"/>
      <c r="X419" s="16"/>
      <c r="Y419" s="16"/>
    </row>
    <row r="420" spans="1:25" x14ac:dyDescent="0.2">
      <c r="A420" s="14"/>
      <c r="B420" s="6"/>
      <c r="C420" s="6"/>
      <c r="D420" s="16"/>
      <c r="E420" s="6"/>
      <c r="F420" s="16"/>
      <c r="G420" s="6"/>
      <c r="H420" s="16"/>
      <c r="I420" s="16"/>
      <c r="J420" s="16"/>
      <c r="K420" s="16"/>
      <c r="L420" s="16"/>
      <c r="M420" s="16"/>
      <c r="N420" s="16"/>
      <c r="O420" s="16"/>
      <c r="P420" s="16"/>
      <c r="Q420" s="16"/>
      <c r="R420" s="16"/>
      <c r="S420" s="16"/>
      <c r="T420" s="16"/>
      <c r="U420" s="16"/>
      <c r="V420" s="16"/>
      <c r="W420" s="16"/>
      <c r="X420" s="16"/>
      <c r="Y420" s="16"/>
    </row>
    <row r="421" spans="1:25" x14ac:dyDescent="0.2">
      <c r="A421" s="14"/>
      <c r="B421" s="6"/>
      <c r="C421" s="6"/>
      <c r="D421" s="16"/>
      <c r="E421" s="6"/>
      <c r="F421" s="16"/>
      <c r="G421" s="6"/>
      <c r="H421" s="16"/>
      <c r="I421" s="16"/>
      <c r="J421" s="16"/>
      <c r="K421" s="16"/>
      <c r="L421" s="16"/>
      <c r="M421" s="16"/>
      <c r="N421" s="16"/>
      <c r="O421" s="16"/>
      <c r="P421" s="16"/>
      <c r="Q421" s="16"/>
      <c r="R421" s="16"/>
      <c r="S421" s="16"/>
      <c r="T421" s="16"/>
      <c r="U421" s="16"/>
      <c r="V421" s="16"/>
      <c r="W421" s="16"/>
      <c r="X421" s="16"/>
      <c r="Y421" s="16"/>
    </row>
    <row r="422" spans="1:25" x14ac:dyDescent="0.2">
      <c r="A422" s="14"/>
      <c r="B422" s="6"/>
      <c r="C422" s="6"/>
      <c r="D422" s="16"/>
      <c r="E422" s="6"/>
      <c r="F422" s="16"/>
      <c r="G422" s="6"/>
      <c r="H422" s="16"/>
      <c r="I422" s="16"/>
      <c r="J422" s="16"/>
      <c r="K422" s="16"/>
      <c r="L422" s="16"/>
      <c r="M422" s="16"/>
      <c r="N422" s="16"/>
      <c r="O422" s="16"/>
      <c r="P422" s="16"/>
      <c r="Q422" s="16"/>
      <c r="R422" s="16"/>
      <c r="S422" s="16"/>
      <c r="T422" s="16"/>
      <c r="U422" s="16"/>
      <c r="V422" s="16"/>
      <c r="W422" s="16"/>
      <c r="X422" s="16"/>
      <c r="Y422" s="16"/>
    </row>
    <row r="423" spans="1:25" x14ac:dyDescent="0.2">
      <c r="A423" s="14"/>
      <c r="B423" s="6"/>
      <c r="C423" s="6"/>
      <c r="D423" s="16"/>
      <c r="E423" s="6"/>
      <c r="F423" s="16"/>
      <c r="G423" s="6"/>
      <c r="H423" s="16"/>
      <c r="I423" s="16"/>
      <c r="J423" s="16"/>
      <c r="K423" s="16"/>
      <c r="L423" s="16"/>
      <c r="M423" s="16"/>
      <c r="N423" s="16"/>
      <c r="O423" s="16"/>
      <c r="P423" s="16"/>
      <c r="Q423" s="16"/>
      <c r="R423" s="16"/>
      <c r="S423" s="16"/>
      <c r="T423" s="16"/>
      <c r="U423" s="16"/>
      <c r="V423" s="16"/>
      <c r="W423" s="16"/>
      <c r="X423" s="16"/>
      <c r="Y423" s="16"/>
    </row>
    <row r="424" spans="1:25" x14ac:dyDescent="0.2">
      <c r="A424" s="14"/>
      <c r="B424" s="6"/>
      <c r="C424" s="6"/>
      <c r="D424" s="16"/>
      <c r="E424" s="6"/>
      <c r="F424" s="16"/>
      <c r="G424" s="6"/>
      <c r="H424" s="16"/>
      <c r="I424" s="16"/>
      <c r="J424" s="16"/>
      <c r="K424" s="16"/>
      <c r="L424" s="16"/>
      <c r="M424" s="16"/>
      <c r="N424" s="16"/>
      <c r="O424" s="16"/>
      <c r="P424" s="16"/>
      <c r="Q424" s="16"/>
      <c r="R424" s="16"/>
      <c r="S424" s="16"/>
      <c r="T424" s="16"/>
      <c r="U424" s="16"/>
      <c r="V424" s="16"/>
      <c r="W424" s="16"/>
      <c r="X424" s="16"/>
      <c r="Y424" s="16"/>
    </row>
    <row r="425" spans="1:25" x14ac:dyDescent="0.2">
      <c r="A425" s="14"/>
      <c r="B425" s="6"/>
      <c r="C425" s="6"/>
      <c r="D425" s="16"/>
      <c r="E425" s="6"/>
      <c r="F425" s="16"/>
      <c r="G425" s="6"/>
      <c r="H425" s="16"/>
      <c r="I425" s="16"/>
      <c r="J425" s="16"/>
      <c r="K425" s="16"/>
      <c r="L425" s="16"/>
      <c r="M425" s="16"/>
      <c r="N425" s="16"/>
      <c r="O425" s="16"/>
      <c r="P425" s="16"/>
      <c r="Q425" s="16"/>
      <c r="R425" s="16"/>
      <c r="S425" s="16"/>
      <c r="T425" s="16"/>
      <c r="U425" s="16"/>
      <c r="V425" s="16"/>
      <c r="W425" s="16"/>
      <c r="X425" s="16"/>
      <c r="Y425" s="16"/>
    </row>
    <row r="426" spans="1:25" x14ac:dyDescent="0.2">
      <c r="A426" s="14"/>
      <c r="B426" s="6"/>
      <c r="C426" s="6"/>
      <c r="D426" s="16"/>
      <c r="E426" s="6"/>
      <c r="F426" s="16"/>
      <c r="G426" s="6"/>
      <c r="H426" s="16"/>
      <c r="I426" s="16"/>
      <c r="J426" s="16"/>
      <c r="K426" s="16"/>
      <c r="L426" s="16"/>
      <c r="M426" s="16"/>
      <c r="N426" s="16"/>
      <c r="O426" s="16"/>
      <c r="P426" s="16"/>
      <c r="Q426" s="16"/>
      <c r="R426" s="16"/>
      <c r="S426" s="16"/>
      <c r="T426" s="16"/>
      <c r="U426" s="16"/>
      <c r="V426" s="16"/>
      <c r="W426" s="16"/>
      <c r="X426" s="16"/>
      <c r="Y426" s="16"/>
    </row>
    <row r="427" spans="1:25" x14ac:dyDescent="0.2">
      <c r="A427" s="14"/>
      <c r="B427" s="6"/>
      <c r="C427" s="6"/>
      <c r="D427" s="16"/>
      <c r="E427" s="6"/>
      <c r="F427" s="16"/>
      <c r="G427" s="6"/>
      <c r="H427" s="16"/>
      <c r="I427" s="16"/>
      <c r="J427" s="16"/>
      <c r="K427" s="16"/>
      <c r="L427" s="16"/>
      <c r="M427" s="16"/>
      <c r="N427" s="16"/>
      <c r="O427" s="16"/>
      <c r="P427" s="16"/>
      <c r="Q427" s="16"/>
      <c r="R427" s="16"/>
      <c r="S427" s="16"/>
      <c r="T427" s="16"/>
      <c r="U427" s="16"/>
      <c r="V427" s="16"/>
      <c r="W427" s="16"/>
      <c r="X427" s="16"/>
      <c r="Y427" s="16"/>
    </row>
    <row r="428" spans="1:25" x14ac:dyDescent="0.2">
      <c r="A428" s="14"/>
      <c r="B428" s="6"/>
      <c r="C428" s="6"/>
      <c r="D428" s="16"/>
      <c r="E428" s="6"/>
      <c r="F428" s="16"/>
      <c r="G428" s="6"/>
      <c r="H428" s="16"/>
      <c r="I428" s="16"/>
      <c r="J428" s="16"/>
      <c r="K428" s="16"/>
      <c r="L428" s="16"/>
      <c r="M428" s="16"/>
      <c r="N428" s="16"/>
      <c r="O428" s="16"/>
      <c r="P428" s="16"/>
      <c r="Q428" s="16"/>
      <c r="R428" s="16"/>
      <c r="S428" s="16"/>
      <c r="T428" s="16"/>
      <c r="U428" s="16"/>
      <c r="V428" s="16"/>
      <c r="W428" s="16"/>
      <c r="X428" s="16"/>
      <c r="Y428" s="16"/>
    </row>
    <row r="429" spans="1:25" x14ac:dyDescent="0.2">
      <c r="A429" s="14"/>
      <c r="B429" s="6"/>
      <c r="C429" s="6"/>
      <c r="D429" s="16"/>
      <c r="E429" s="6"/>
      <c r="F429" s="16"/>
      <c r="G429" s="6"/>
      <c r="H429" s="16"/>
      <c r="I429" s="16"/>
      <c r="J429" s="16"/>
      <c r="K429" s="16"/>
      <c r="L429" s="16"/>
      <c r="M429" s="16"/>
      <c r="N429" s="16"/>
      <c r="O429" s="16"/>
      <c r="P429" s="16"/>
      <c r="Q429" s="16"/>
      <c r="R429" s="16"/>
      <c r="S429" s="16"/>
      <c r="T429" s="16"/>
      <c r="U429" s="16"/>
      <c r="V429" s="16"/>
      <c r="W429" s="16"/>
      <c r="X429" s="16"/>
      <c r="Y429" s="16"/>
    </row>
    <row r="430" spans="1:25" x14ac:dyDescent="0.2">
      <c r="A430" s="14"/>
      <c r="B430" s="6"/>
      <c r="C430" s="6"/>
      <c r="D430" s="16"/>
      <c r="E430" s="6"/>
      <c r="F430" s="16"/>
      <c r="G430" s="6"/>
      <c r="H430" s="16"/>
      <c r="I430" s="16"/>
      <c r="J430" s="16"/>
      <c r="K430" s="16"/>
      <c r="L430" s="16"/>
      <c r="M430" s="16"/>
      <c r="N430" s="16"/>
      <c r="O430" s="16"/>
      <c r="P430" s="16"/>
      <c r="Q430" s="16"/>
      <c r="R430" s="16"/>
      <c r="S430" s="16"/>
      <c r="T430" s="16"/>
      <c r="U430" s="16"/>
      <c r="V430" s="16"/>
      <c r="W430" s="16"/>
      <c r="X430" s="16"/>
      <c r="Y430" s="16"/>
    </row>
    <row r="431" spans="1:25" x14ac:dyDescent="0.2">
      <c r="A431" s="14"/>
      <c r="B431" s="6"/>
      <c r="C431" s="6"/>
      <c r="D431" s="16"/>
      <c r="E431" s="6"/>
      <c r="F431" s="16"/>
      <c r="G431" s="6"/>
      <c r="H431" s="16"/>
      <c r="I431" s="16"/>
      <c r="J431" s="16"/>
      <c r="K431" s="16"/>
      <c r="L431" s="16"/>
      <c r="M431" s="16"/>
      <c r="N431" s="16"/>
      <c r="O431" s="16"/>
      <c r="P431" s="16"/>
      <c r="Q431" s="16"/>
      <c r="R431" s="16"/>
      <c r="S431" s="16"/>
      <c r="T431" s="16"/>
      <c r="U431" s="16"/>
      <c r="V431" s="16"/>
      <c r="W431" s="16"/>
      <c r="X431" s="16"/>
      <c r="Y431" s="16"/>
    </row>
    <row r="432" spans="1:25" x14ac:dyDescent="0.2">
      <c r="A432" s="14"/>
      <c r="B432" s="6"/>
      <c r="C432" s="6"/>
      <c r="D432" s="16"/>
      <c r="E432" s="6"/>
      <c r="F432" s="16"/>
      <c r="G432" s="6"/>
      <c r="H432" s="16"/>
      <c r="I432" s="16"/>
      <c r="J432" s="16"/>
      <c r="K432" s="16"/>
      <c r="L432" s="16"/>
      <c r="M432" s="16"/>
      <c r="N432" s="16"/>
      <c r="O432" s="16"/>
      <c r="P432" s="16"/>
      <c r="Q432" s="16"/>
      <c r="R432" s="16"/>
      <c r="S432" s="16"/>
      <c r="T432" s="16"/>
      <c r="U432" s="16"/>
      <c r="V432" s="16"/>
      <c r="W432" s="16"/>
      <c r="X432" s="16"/>
      <c r="Y432" s="16"/>
    </row>
    <row r="433" spans="1:25" x14ac:dyDescent="0.2">
      <c r="A433" s="14"/>
      <c r="B433" s="6"/>
      <c r="C433" s="6"/>
      <c r="D433" s="16"/>
      <c r="E433" s="6"/>
      <c r="F433" s="16"/>
      <c r="G433" s="6"/>
      <c r="H433" s="16"/>
      <c r="I433" s="16"/>
      <c r="J433" s="16"/>
      <c r="K433" s="16"/>
      <c r="L433" s="16"/>
      <c r="M433" s="16"/>
      <c r="N433" s="16"/>
      <c r="O433" s="16"/>
      <c r="P433" s="16"/>
      <c r="Q433" s="16"/>
      <c r="R433" s="16"/>
      <c r="S433" s="16"/>
      <c r="T433" s="16"/>
      <c r="U433" s="16"/>
      <c r="V433" s="16"/>
      <c r="W433" s="16"/>
      <c r="X433" s="16"/>
      <c r="Y433" s="16"/>
    </row>
    <row r="434" spans="1:25" x14ac:dyDescent="0.2">
      <c r="A434" s="14"/>
      <c r="B434" s="6"/>
      <c r="C434" s="6"/>
      <c r="D434" s="16"/>
      <c r="E434" s="6"/>
      <c r="F434" s="16"/>
      <c r="G434" s="6"/>
      <c r="H434" s="16"/>
      <c r="I434" s="16"/>
      <c r="J434" s="16"/>
      <c r="K434" s="16"/>
      <c r="L434" s="16"/>
      <c r="M434" s="16"/>
      <c r="N434" s="16"/>
      <c r="O434" s="16"/>
      <c r="P434" s="16"/>
      <c r="Q434" s="16"/>
      <c r="R434" s="16"/>
      <c r="S434" s="16"/>
      <c r="T434" s="16"/>
      <c r="U434" s="16"/>
      <c r="V434" s="16"/>
      <c r="W434" s="16"/>
      <c r="X434" s="16"/>
      <c r="Y434" s="16"/>
    </row>
    <row r="435" spans="1:25" x14ac:dyDescent="0.2">
      <c r="A435" s="14"/>
      <c r="B435" s="6"/>
      <c r="C435" s="6"/>
      <c r="D435" s="16"/>
      <c r="E435" s="6"/>
      <c r="F435" s="16"/>
      <c r="G435" s="6"/>
      <c r="H435" s="16"/>
      <c r="I435" s="16"/>
      <c r="J435" s="16"/>
      <c r="K435" s="16"/>
      <c r="L435" s="16"/>
      <c r="M435" s="16"/>
      <c r="N435" s="16"/>
      <c r="O435" s="16"/>
      <c r="P435" s="16"/>
      <c r="Q435" s="16"/>
      <c r="R435" s="16"/>
      <c r="S435" s="16"/>
      <c r="T435" s="16"/>
      <c r="U435" s="16"/>
      <c r="V435" s="16"/>
      <c r="W435" s="16"/>
      <c r="X435" s="16"/>
      <c r="Y435" s="16"/>
    </row>
    <row r="436" spans="1:25" x14ac:dyDescent="0.2">
      <c r="A436" s="14"/>
      <c r="B436" s="6"/>
      <c r="C436" s="6"/>
      <c r="D436" s="16"/>
      <c r="E436" s="6"/>
      <c r="F436" s="16"/>
      <c r="G436" s="6"/>
      <c r="H436" s="16"/>
      <c r="I436" s="16"/>
      <c r="J436" s="16"/>
      <c r="K436" s="16"/>
      <c r="L436" s="16"/>
      <c r="M436" s="16"/>
      <c r="N436" s="16"/>
      <c r="O436" s="16"/>
      <c r="P436" s="16"/>
      <c r="Q436" s="16"/>
      <c r="R436" s="16"/>
      <c r="S436" s="16"/>
      <c r="T436" s="16"/>
      <c r="U436" s="16"/>
      <c r="V436" s="16"/>
      <c r="W436" s="16"/>
      <c r="X436" s="16"/>
      <c r="Y436" s="16"/>
    </row>
    <row r="437" spans="1:25" x14ac:dyDescent="0.2">
      <c r="A437" s="14"/>
      <c r="B437" s="6"/>
      <c r="C437" s="6"/>
      <c r="D437" s="16"/>
      <c r="E437" s="6"/>
      <c r="F437" s="16"/>
      <c r="G437" s="6"/>
      <c r="H437" s="16"/>
      <c r="I437" s="16"/>
      <c r="J437" s="16"/>
      <c r="K437" s="16"/>
      <c r="L437" s="16"/>
      <c r="M437" s="16"/>
      <c r="N437" s="16"/>
      <c r="O437" s="16"/>
      <c r="P437" s="16"/>
      <c r="Q437" s="16"/>
      <c r="R437" s="16"/>
      <c r="S437" s="16"/>
      <c r="T437" s="16"/>
      <c r="U437" s="16"/>
      <c r="V437" s="16"/>
      <c r="W437" s="16"/>
      <c r="X437" s="16"/>
      <c r="Y437" s="16"/>
    </row>
    <row r="438" spans="1:25" x14ac:dyDescent="0.2">
      <c r="A438" s="14"/>
      <c r="B438" s="6"/>
      <c r="C438" s="6"/>
      <c r="D438" s="16"/>
      <c r="E438" s="6"/>
      <c r="F438" s="16"/>
      <c r="G438" s="6"/>
      <c r="H438" s="16"/>
      <c r="I438" s="16"/>
      <c r="J438" s="16"/>
      <c r="K438" s="16"/>
      <c r="L438" s="16"/>
      <c r="M438" s="16"/>
      <c r="N438" s="16"/>
      <c r="O438" s="16"/>
      <c r="P438" s="16"/>
      <c r="Q438" s="16"/>
      <c r="R438" s="16"/>
      <c r="S438" s="16"/>
      <c r="T438" s="16"/>
      <c r="U438" s="16"/>
      <c r="V438" s="16"/>
      <c r="W438" s="16"/>
      <c r="X438" s="16"/>
      <c r="Y438" s="16"/>
    </row>
    <row r="439" spans="1:25" x14ac:dyDescent="0.2">
      <c r="A439" s="14"/>
      <c r="B439" s="6"/>
      <c r="C439" s="6"/>
      <c r="D439" s="16"/>
      <c r="E439" s="6"/>
      <c r="F439" s="16"/>
      <c r="G439" s="6"/>
      <c r="H439" s="16"/>
      <c r="I439" s="16"/>
      <c r="J439" s="16"/>
      <c r="K439" s="16"/>
      <c r="L439" s="16"/>
      <c r="M439" s="16"/>
      <c r="N439" s="16"/>
      <c r="O439" s="16"/>
      <c r="P439" s="16"/>
      <c r="Q439" s="16"/>
      <c r="R439" s="16"/>
      <c r="S439" s="16"/>
      <c r="T439" s="16"/>
      <c r="U439" s="16"/>
      <c r="V439" s="16"/>
      <c r="W439" s="16"/>
      <c r="X439" s="16"/>
      <c r="Y439" s="16"/>
    </row>
    <row r="440" spans="1:25" x14ac:dyDescent="0.2">
      <c r="A440" s="14"/>
      <c r="B440" s="6"/>
      <c r="C440" s="6"/>
      <c r="D440" s="16"/>
      <c r="E440" s="6"/>
      <c r="F440" s="16"/>
      <c r="G440" s="6"/>
      <c r="H440" s="16"/>
      <c r="I440" s="16"/>
      <c r="J440" s="16"/>
      <c r="K440" s="16"/>
      <c r="L440" s="16"/>
      <c r="M440" s="16"/>
      <c r="N440" s="16"/>
      <c r="O440" s="16"/>
      <c r="P440" s="16"/>
      <c r="Q440" s="16"/>
      <c r="R440" s="16"/>
      <c r="S440" s="16"/>
      <c r="T440" s="16"/>
      <c r="U440" s="16"/>
      <c r="V440" s="16"/>
      <c r="W440" s="16"/>
      <c r="X440" s="16"/>
      <c r="Y440" s="16"/>
    </row>
    <row r="441" spans="1:25" x14ac:dyDescent="0.2">
      <c r="A441" s="14"/>
      <c r="B441" s="6"/>
      <c r="C441" s="6"/>
      <c r="D441" s="16"/>
      <c r="E441" s="6"/>
      <c r="F441" s="16"/>
      <c r="G441" s="6"/>
      <c r="H441" s="16"/>
      <c r="I441" s="16"/>
      <c r="J441" s="16"/>
      <c r="K441" s="16"/>
      <c r="L441" s="16"/>
      <c r="M441" s="16"/>
      <c r="N441" s="16"/>
      <c r="O441" s="16"/>
      <c r="P441" s="16"/>
      <c r="Q441" s="16"/>
      <c r="R441" s="16"/>
      <c r="S441" s="16"/>
      <c r="T441" s="16"/>
      <c r="U441" s="16"/>
      <c r="V441" s="16"/>
      <c r="W441" s="16"/>
      <c r="X441" s="16"/>
      <c r="Y441" s="16"/>
    </row>
    <row r="442" spans="1:25" x14ac:dyDescent="0.2">
      <c r="A442" s="14"/>
      <c r="B442" s="6"/>
      <c r="C442" s="6"/>
      <c r="D442" s="16"/>
      <c r="E442" s="6"/>
      <c r="F442" s="16"/>
      <c r="G442" s="6"/>
      <c r="H442" s="16"/>
      <c r="I442" s="16"/>
      <c r="J442" s="16"/>
      <c r="K442" s="16"/>
      <c r="L442" s="16"/>
      <c r="M442" s="16"/>
      <c r="N442" s="16"/>
      <c r="O442" s="16"/>
      <c r="P442" s="16"/>
      <c r="Q442" s="16"/>
      <c r="R442" s="16"/>
      <c r="S442" s="16"/>
      <c r="T442" s="16"/>
      <c r="U442" s="16"/>
      <c r="V442" s="16"/>
      <c r="W442" s="16"/>
      <c r="X442" s="16"/>
      <c r="Y442" s="16"/>
    </row>
    <row r="443" spans="1:25" x14ac:dyDescent="0.2">
      <c r="A443" s="14"/>
      <c r="B443" s="6"/>
      <c r="C443" s="6"/>
      <c r="D443" s="16"/>
      <c r="E443" s="6"/>
      <c r="F443" s="16"/>
      <c r="G443" s="6"/>
      <c r="H443" s="16"/>
      <c r="I443" s="16"/>
      <c r="J443" s="16"/>
      <c r="K443" s="16"/>
      <c r="L443" s="16"/>
      <c r="M443" s="16"/>
      <c r="N443" s="16"/>
      <c r="O443" s="16"/>
      <c r="P443" s="16"/>
      <c r="Q443" s="16"/>
      <c r="R443" s="16"/>
      <c r="S443" s="16"/>
      <c r="T443" s="16"/>
      <c r="U443" s="16"/>
      <c r="V443" s="16"/>
      <c r="W443" s="16"/>
      <c r="X443" s="16"/>
      <c r="Y443" s="16"/>
    </row>
    <row r="444" spans="1:25" x14ac:dyDescent="0.2">
      <c r="A444" s="14"/>
      <c r="B444" s="6"/>
      <c r="C444" s="6"/>
      <c r="D444" s="16"/>
      <c r="E444" s="6"/>
      <c r="F444" s="16"/>
      <c r="G444" s="6"/>
      <c r="H444" s="16"/>
      <c r="I444" s="16"/>
      <c r="J444" s="16"/>
      <c r="K444" s="16"/>
      <c r="L444" s="16"/>
      <c r="M444" s="16"/>
      <c r="N444" s="16"/>
      <c r="O444" s="16"/>
      <c r="P444" s="16"/>
      <c r="Q444" s="16"/>
      <c r="R444" s="16"/>
      <c r="S444" s="16"/>
      <c r="T444" s="16"/>
      <c r="U444" s="16"/>
      <c r="V444" s="16"/>
      <c r="W444" s="16"/>
      <c r="X444" s="16"/>
      <c r="Y444" s="16"/>
    </row>
    <row r="445" spans="1:25" x14ac:dyDescent="0.2">
      <c r="A445" s="14"/>
      <c r="B445" s="6"/>
      <c r="C445" s="6"/>
      <c r="D445" s="16"/>
      <c r="E445" s="6"/>
      <c r="F445" s="16"/>
      <c r="G445" s="6"/>
      <c r="H445" s="16"/>
      <c r="I445" s="16"/>
      <c r="J445" s="16"/>
      <c r="K445" s="16"/>
      <c r="L445" s="16"/>
      <c r="M445" s="16"/>
      <c r="N445" s="16"/>
      <c r="O445" s="16"/>
      <c r="P445" s="16"/>
      <c r="Q445" s="16"/>
      <c r="R445" s="16"/>
      <c r="S445" s="16"/>
      <c r="T445" s="16"/>
      <c r="U445" s="16"/>
      <c r="V445" s="16"/>
      <c r="W445" s="16"/>
      <c r="X445" s="16"/>
      <c r="Y445" s="16"/>
    </row>
    <row r="446" spans="1:25" x14ac:dyDescent="0.2">
      <c r="A446" s="14"/>
      <c r="B446" s="6"/>
      <c r="C446" s="6"/>
      <c r="D446" s="16"/>
      <c r="E446" s="6"/>
      <c r="F446" s="16"/>
      <c r="G446" s="6"/>
      <c r="H446" s="16"/>
      <c r="I446" s="16"/>
      <c r="J446" s="16"/>
      <c r="K446" s="16"/>
      <c r="L446" s="16"/>
      <c r="M446" s="16"/>
      <c r="N446" s="16"/>
      <c r="O446" s="16"/>
      <c r="P446" s="16"/>
      <c r="Q446" s="16"/>
      <c r="R446" s="16"/>
      <c r="S446" s="16"/>
      <c r="T446" s="16"/>
      <c r="U446" s="16"/>
      <c r="V446" s="16"/>
      <c r="W446" s="16"/>
      <c r="X446" s="16"/>
      <c r="Y446" s="16"/>
    </row>
    <row r="447" spans="1:25" x14ac:dyDescent="0.2">
      <c r="A447" s="14"/>
      <c r="B447" s="6"/>
      <c r="C447" s="6"/>
      <c r="D447" s="16"/>
      <c r="E447" s="6"/>
      <c r="F447" s="16"/>
      <c r="G447" s="6"/>
      <c r="H447" s="16"/>
      <c r="I447" s="16"/>
      <c r="J447" s="16"/>
      <c r="K447" s="16"/>
      <c r="L447" s="16"/>
      <c r="M447" s="16"/>
      <c r="N447" s="16"/>
      <c r="O447" s="16"/>
      <c r="P447" s="16"/>
      <c r="Q447" s="16"/>
      <c r="R447" s="16"/>
      <c r="S447" s="16"/>
      <c r="T447" s="16"/>
      <c r="U447" s="16"/>
      <c r="V447" s="16"/>
      <c r="W447" s="16"/>
      <c r="X447" s="16"/>
      <c r="Y447" s="16"/>
    </row>
    <row r="448" spans="1:25" x14ac:dyDescent="0.2">
      <c r="A448" s="14"/>
      <c r="B448" s="6"/>
      <c r="C448" s="6"/>
      <c r="D448" s="16"/>
      <c r="E448" s="6"/>
      <c r="F448" s="16"/>
      <c r="G448" s="6"/>
      <c r="H448" s="16"/>
      <c r="I448" s="16"/>
      <c r="J448" s="16"/>
      <c r="K448" s="16"/>
      <c r="L448" s="16"/>
      <c r="M448" s="16"/>
      <c r="N448" s="16"/>
      <c r="O448" s="16"/>
      <c r="P448" s="16"/>
      <c r="Q448" s="16"/>
      <c r="R448" s="16"/>
      <c r="S448" s="16"/>
      <c r="T448" s="16"/>
      <c r="U448" s="16"/>
      <c r="V448" s="16"/>
      <c r="W448" s="16"/>
      <c r="X448" s="16"/>
      <c r="Y448" s="16"/>
    </row>
    <row r="449" spans="1:25" x14ac:dyDescent="0.2">
      <c r="A449" s="14"/>
      <c r="B449" s="6"/>
      <c r="C449" s="6"/>
      <c r="D449" s="16"/>
      <c r="E449" s="6"/>
      <c r="F449" s="16"/>
      <c r="G449" s="6"/>
      <c r="H449" s="16"/>
      <c r="I449" s="16"/>
      <c r="J449" s="16"/>
      <c r="K449" s="16"/>
      <c r="L449" s="16"/>
      <c r="M449" s="16"/>
      <c r="N449" s="16"/>
      <c r="O449" s="16"/>
      <c r="P449" s="16"/>
      <c r="Q449" s="16"/>
      <c r="R449" s="16"/>
      <c r="S449" s="16"/>
      <c r="T449" s="16"/>
      <c r="U449" s="16"/>
      <c r="V449" s="16"/>
      <c r="W449" s="16"/>
      <c r="X449" s="16"/>
      <c r="Y449" s="16"/>
    </row>
    <row r="450" spans="1:25" x14ac:dyDescent="0.2">
      <c r="A450" s="14"/>
      <c r="B450" s="6"/>
      <c r="C450" s="6"/>
      <c r="D450" s="16"/>
      <c r="E450" s="6"/>
      <c r="F450" s="16"/>
      <c r="G450" s="6"/>
      <c r="H450" s="16"/>
      <c r="I450" s="16"/>
      <c r="J450" s="16"/>
      <c r="K450" s="16"/>
      <c r="L450" s="16"/>
      <c r="M450" s="16"/>
      <c r="N450" s="16"/>
      <c r="O450" s="16"/>
      <c r="P450" s="16"/>
      <c r="Q450" s="16"/>
      <c r="R450" s="16"/>
      <c r="S450" s="16"/>
      <c r="T450" s="16"/>
      <c r="U450" s="16"/>
      <c r="V450" s="16"/>
      <c r="W450" s="16"/>
      <c r="X450" s="16"/>
      <c r="Y450" s="16"/>
    </row>
    <row r="451" spans="1:25" x14ac:dyDescent="0.2">
      <c r="A451" s="14"/>
      <c r="B451" s="6"/>
      <c r="C451" s="6"/>
      <c r="D451" s="16"/>
      <c r="E451" s="6"/>
      <c r="F451" s="16"/>
      <c r="G451" s="6"/>
      <c r="H451" s="16"/>
      <c r="I451" s="16"/>
      <c r="J451" s="16"/>
      <c r="K451" s="16"/>
      <c r="L451" s="16"/>
      <c r="M451" s="16"/>
      <c r="N451" s="16"/>
      <c r="O451" s="16"/>
      <c r="P451" s="16"/>
      <c r="Q451" s="16"/>
      <c r="R451" s="16"/>
      <c r="S451" s="16"/>
      <c r="T451" s="16"/>
      <c r="U451" s="16"/>
      <c r="V451" s="16"/>
      <c r="W451" s="16"/>
      <c r="X451" s="16"/>
      <c r="Y451" s="16"/>
    </row>
    <row r="452" spans="1:25" x14ac:dyDescent="0.2">
      <c r="A452" s="14"/>
      <c r="B452" s="6"/>
      <c r="C452" s="6"/>
      <c r="D452" s="16"/>
      <c r="E452" s="6"/>
      <c r="F452" s="16"/>
      <c r="G452" s="6"/>
      <c r="H452" s="16"/>
      <c r="I452" s="16"/>
      <c r="J452" s="16"/>
      <c r="K452" s="16"/>
      <c r="L452" s="16"/>
      <c r="M452" s="16"/>
      <c r="N452" s="16"/>
      <c r="O452" s="16"/>
      <c r="P452" s="16"/>
      <c r="Q452" s="16"/>
      <c r="R452" s="16"/>
      <c r="S452" s="16"/>
      <c r="T452" s="16"/>
      <c r="U452" s="16"/>
      <c r="V452" s="16"/>
      <c r="W452" s="16"/>
      <c r="X452" s="16"/>
      <c r="Y452" s="16"/>
    </row>
    <row r="453" spans="1:25" x14ac:dyDescent="0.2">
      <c r="A453" s="14"/>
      <c r="B453" s="6"/>
      <c r="C453" s="6"/>
      <c r="D453" s="16"/>
      <c r="E453" s="6"/>
      <c r="F453" s="16"/>
      <c r="G453" s="6"/>
      <c r="H453" s="16"/>
      <c r="I453" s="16"/>
      <c r="J453" s="16"/>
      <c r="K453" s="16"/>
      <c r="L453" s="16"/>
      <c r="M453" s="16"/>
      <c r="N453" s="16"/>
      <c r="O453" s="16"/>
      <c r="P453" s="16"/>
      <c r="Q453" s="16"/>
      <c r="R453" s="16"/>
      <c r="S453" s="16"/>
      <c r="T453" s="16"/>
      <c r="U453" s="16"/>
      <c r="V453" s="16"/>
      <c r="W453" s="16"/>
      <c r="X453" s="16"/>
      <c r="Y453" s="16"/>
    </row>
    <row r="454" spans="1:25" x14ac:dyDescent="0.2">
      <c r="A454" s="14"/>
      <c r="B454" s="6"/>
      <c r="C454" s="6"/>
      <c r="D454" s="16"/>
      <c r="E454" s="6"/>
      <c r="F454" s="16"/>
      <c r="G454" s="6"/>
      <c r="H454" s="16"/>
      <c r="I454" s="16"/>
      <c r="J454" s="16"/>
      <c r="K454" s="16"/>
      <c r="L454" s="16"/>
      <c r="M454" s="16"/>
      <c r="N454" s="16"/>
      <c r="O454" s="16"/>
      <c r="P454" s="16"/>
      <c r="Q454" s="16"/>
      <c r="R454" s="16"/>
      <c r="S454" s="16"/>
      <c r="T454" s="16"/>
      <c r="U454" s="16"/>
      <c r="V454" s="16"/>
      <c r="W454" s="16"/>
      <c r="X454" s="16"/>
      <c r="Y454" s="16"/>
    </row>
    <row r="455" spans="1:25" x14ac:dyDescent="0.2">
      <c r="A455" s="14"/>
      <c r="B455" s="6"/>
      <c r="C455" s="6"/>
      <c r="D455" s="16"/>
      <c r="E455" s="6"/>
      <c r="F455" s="16"/>
      <c r="G455" s="6"/>
      <c r="H455" s="16"/>
      <c r="I455" s="16"/>
      <c r="J455" s="16"/>
      <c r="K455" s="16"/>
      <c r="L455" s="16"/>
      <c r="M455" s="16"/>
      <c r="N455" s="16"/>
      <c r="O455" s="16"/>
      <c r="P455" s="16"/>
      <c r="Q455" s="16"/>
      <c r="R455" s="16"/>
      <c r="S455" s="16"/>
      <c r="T455" s="16"/>
      <c r="U455" s="16"/>
      <c r="V455" s="16"/>
      <c r="W455" s="16"/>
      <c r="X455" s="16"/>
      <c r="Y455" s="16"/>
    </row>
    <row r="456" spans="1:25" x14ac:dyDescent="0.2">
      <c r="A456" s="14"/>
      <c r="B456" s="6"/>
      <c r="C456" s="6"/>
      <c r="D456" s="16"/>
      <c r="E456" s="6"/>
      <c r="F456" s="16"/>
      <c r="G456" s="6"/>
      <c r="H456" s="16"/>
      <c r="I456" s="16"/>
      <c r="J456" s="16"/>
      <c r="K456" s="16"/>
      <c r="L456" s="16"/>
      <c r="M456" s="16"/>
      <c r="N456" s="16"/>
      <c r="O456" s="16"/>
      <c r="P456" s="16"/>
      <c r="Q456" s="16"/>
      <c r="R456" s="16"/>
      <c r="S456" s="16"/>
      <c r="T456" s="16"/>
      <c r="U456" s="16"/>
      <c r="V456" s="16"/>
      <c r="W456" s="16"/>
      <c r="X456" s="16"/>
      <c r="Y456" s="16"/>
    </row>
    <row r="457" spans="1:25" x14ac:dyDescent="0.2">
      <c r="A457" s="14"/>
      <c r="B457" s="6"/>
      <c r="C457" s="6"/>
      <c r="D457" s="16"/>
      <c r="E457" s="6"/>
      <c r="F457" s="16"/>
      <c r="G457" s="6"/>
      <c r="H457" s="16"/>
      <c r="I457" s="16"/>
      <c r="J457" s="16"/>
      <c r="K457" s="16"/>
      <c r="L457" s="16"/>
      <c r="M457" s="16"/>
      <c r="N457" s="16"/>
      <c r="O457" s="16"/>
      <c r="P457" s="16"/>
      <c r="Q457" s="16"/>
      <c r="R457" s="16"/>
      <c r="S457" s="16"/>
      <c r="T457" s="16"/>
      <c r="U457" s="16"/>
      <c r="V457" s="16"/>
      <c r="W457" s="16"/>
      <c r="X457" s="16"/>
      <c r="Y457" s="16"/>
    </row>
    <row r="458" spans="1:25" x14ac:dyDescent="0.2">
      <c r="A458" s="14"/>
      <c r="B458" s="6"/>
      <c r="C458" s="6"/>
      <c r="D458" s="16"/>
      <c r="E458" s="6"/>
      <c r="F458" s="16"/>
      <c r="G458" s="6"/>
      <c r="H458" s="16"/>
      <c r="I458" s="16"/>
      <c r="J458" s="16"/>
      <c r="K458" s="16"/>
      <c r="L458" s="16"/>
      <c r="M458" s="16"/>
      <c r="N458" s="16"/>
      <c r="O458" s="16"/>
      <c r="P458" s="16"/>
      <c r="Q458" s="16"/>
      <c r="R458" s="16"/>
      <c r="S458" s="16"/>
      <c r="T458" s="16"/>
      <c r="U458" s="16"/>
      <c r="V458" s="16"/>
      <c r="W458" s="16"/>
      <c r="X458" s="16"/>
      <c r="Y458" s="16"/>
    </row>
    <row r="459" spans="1:25" x14ac:dyDescent="0.2">
      <c r="A459" s="14"/>
      <c r="B459" s="6"/>
      <c r="C459" s="6"/>
      <c r="D459" s="16"/>
      <c r="E459" s="6"/>
      <c r="F459" s="16"/>
      <c r="G459" s="6"/>
      <c r="H459" s="16"/>
      <c r="I459" s="16"/>
      <c r="J459" s="16"/>
      <c r="K459" s="16"/>
      <c r="L459" s="16"/>
      <c r="M459" s="16"/>
      <c r="N459" s="16"/>
      <c r="O459" s="16"/>
      <c r="P459" s="16"/>
      <c r="Q459" s="16"/>
      <c r="R459" s="16"/>
      <c r="S459" s="16"/>
      <c r="T459" s="16"/>
      <c r="U459" s="16"/>
      <c r="V459" s="16"/>
      <c r="W459" s="16"/>
      <c r="X459" s="16"/>
      <c r="Y459" s="16"/>
    </row>
    <row r="460" spans="1:25" x14ac:dyDescent="0.2">
      <c r="A460" s="14"/>
      <c r="B460" s="6"/>
      <c r="C460" s="6"/>
      <c r="D460" s="16"/>
      <c r="E460" s="6"/>
      <c r="F460" s="16"/>
      <c r="G460" s="6"/>
      <c r="H460" s="16"/>
      <c r="I460" s="16"/>
      <c r="J460" s="16"/>
      <c r="K460" s="16"/>
      <c r="L460" s="16"/>
      <c r="M460" s="16"/>
      <c r="N460" s="16"/>
      <c r="O460" s="16"/>
      <c r="P460" s="16"/>
      <c r="Q460" s="16"/>
      <c r="R460" s="16"/>
      <c r="S460" s="16"/>
      <c r="T460" s="16"/>
      <c r="U460" s="16"/>
      <c r="V460" s="16"/>
      <c r="W460" s="16"/>
      <c r="X460" s="16"/>
      <c r="Y460" s="16"/>
    </row>
    <row r="461" spans="1:25" x14ac:dyDescent="0.2">
      <c r="A461" s="14"/>
      <c r="B461" s="6"/>
      <c r="C461" s="6"/>
      <c r="D461" s="16"/>
      <c r="E461" s="6"/>
      <c r="F461" s="16"/>
      <c r="G461" s="6"/>
      <c r="H461" s="16"/>
      <c r="I461" s="16"/>
      <c r="J461" s="16"/>
      <c r="K461" s="16"/>
      <c r="L461" s="16"/>
      <c r="M461" s="16"/>
      <c r="N461" s="16"/>
      <c r="O461" s="16"/>
      <c r="P461" s="16"/>
      <c r="Q461" s="16"/>
      <c r="R461" s="16"/>
      <c r="S461" s="16"/>
      <c r="T461" s="16"/>
      <c r="U461" s="16"/>
      <c r="V461" s="16"/>
      <c r="W461" s="16"/>
      <c r="X461" s="16"/>
      <c r="Y461" s="16"/>
    </row>
    <row r="462" spans="1:25" x14ac:dyDescent="0.2">
      <c r="A462" s="14"/>
      <c r="B462" s="6"/>
      <c r="C462" s="6"/>
      <c r="D462" s="16"/>
      <c r="E462" s="6"/>
      <c r="F462" s="16"/>
      <c r="G462" s="6"/>
      <c r="H462" s="16"/>
      <c r="I462" s="16"/>
      <c r="J462" s="16"/>
      <c r="K462" s="16"/>
      <c r="L462" s="16"/>
      <c r="M462" s="16"/>
      <c r="N462" s="16"/>
      <c r="O462" s="16"/>
      <c r="P462" s="16"/>
      <c r="Q462" s="16"/>
      <c r="R462" s="16"/>
      <c r="S462" s="16"/>
      <c r="T462" s="16"/>
      <c r="U462" s="16"/>
      <c r="V462" s="16"/>
      <c r="W462" s="16"/>
      <c r="X462" s="16"/>
      <c r="Y462" s="16"/>
    </row>
    <row r="463" spans="1:25" x14ac:dyDescent="0.2">
      <c r="A463" s="14"/>
      <c r="B463" s="6"/>
      <c r="C463" s="6"/>
      <c r="D463" s="16"/>
      <c r="E463" s="6"/>
      <c r="F463" s="16"/>
      <c r="G463" s="6"/>
      <c r="H463" s="16"/>
      <c r="I463" s="16"/>
      <c r="J463" s="16"/>
      <c r="K463" s="16"/>
      <c r="L463" s="16"/>
      <c r="M463" s="16"/>
      <c r="N463" s="16"/>
      <c r="O463" s="16"/>
      <c r="P463" s="16"/>
      <c r="Q463" s="16"/>
      <c r="R463" s="16"/>
      <c r="S463" s="16"/>
      <c r="T463" s="16"/>
      <c r="U463" s="16"/>
      <c r="V463" s="16"/>
      <c r="W463" s="16"/>
      <c r="X463" s="16"/>
      <c r="Y463" s="16"/>
    </row>
    <row r="464" spans="1:25" x14ac:dyDescent="0.2">
      <c r="A464" s="14"/>
      <c r="B464" s="6"/>
      <c r="C464" s="6"/>
      <c r="D464" s="16"/>
      <c r="E464" s="6"/>
      <c r="F464" s="16"/>
      <c r="G464" s="6"/>
      <c r="H464" s="16"/>
      <c r="I464" s="16"/>
      <c r="J464" s="16"/>
      <c r="K464" s="16"/>
      <c r="L464" s="16"/>
      <c r="M464" s="16"/>
      <c r="N464" s="16"/>
      <c r="O464" s="16"/>
      <c r="P464" s="16"/>
      <c r="Q464" s="16"/>
      <c r="R464" s="16"/>
      <c r="S464" s="16"/>
      <c r="T464" s="16"/>
      <c r="U464" s="16"/>
      <c r="V464" s="16"/>
      <c r="W464" s="16"/>
      <c r="X464" s="16"/>
      <c r="Y464" s="16"/>
    </row>
    <row r="465" spans="1:25" x14ac:dyDescent="0.2">
      <c r="A465" s="14"/>
      <c r="B465" s="6"/>
      <c r="C465" s="6"/>
      <c r="D465" s="16"/>
      <c r="E465" s="6"/>
      <c r="F465" s="16"/>
      <c r="G465" s="6"/>
      <c r="H465" s="16"/>
      <c r="I465" s="16"/>
      <c r="J465" s="16"/>
      <c r="K465" s="16"/>
      <c r="L465" s="16"/>
      <c r="M465" s="16"/>
      <c r="N465" s="16"/>
      <c r="O465" s="16"/>
      <c r="P465" s="16"/>
      <c r="Q465" s="16"/>
      <c r="R465" s="16"/>
      <c r="S465" s="16"/>
      <c r="T465" s="16"/>
      <c r="U465" s="16"/>
      <c r="V465" s="16"/>
      <c r="W465" s="16"/>
      <c r="X465" s="16"/>
      <c r="Y465" s="16"/>
    </row>
    <row r="466" spans="1:25" x14ac:dyDescent="0.2">
      <c r="A466" s="14"/>
      <c r="B466" s="6"/>
      <c r="C466" s="6"/>
      <c r="D466" s="16"/>
      <c r="E466" s="6"/>
      <c r="F466" s="16"/>
      <c r="G466" s="6"/>
      <c r="H466" s="16"/>
      <c r="I466" s="16"/>
      <c r="J466" s="16"/>
      <c r="K466" s="16"/>
      <c r="L466" s="16"/>
      <c r="M466" s="16"/>
      <c r="N466" s="16"/>
      <c r="O466" s="16"/>
      <c r="P466" s="16"/>
      <c r="Q466" s="16"/>
      <c r="R466" s="16"/>
      <c r="S466" s="16"/>
      <c r="T466" s="16"/>
      <c r="U466" s="16"/>
      <c r="V466" s="16"/>
      <c r="W466" s="16"/>
      <c r="X466" s="16"/>
      <c r="Y466" s="16"/>
    </row>
    <row r="467" spans="1:25" x14ac:dyDescent="0.2">
      <c r="A467" s="14"/>
      <c r="B467" s="6"/>
      <c r="C467" s="6"/>
      <c r="D467" s="16"/>
      <c r="E467" s="6"/>
      <c r="F467" s="16"/>
      <c r="G467" s="6"/>
      <c r="H467" s="16"/>
      <c r="I467" s="16"/>
      <c r="J467" s="16"/>
      <c r="K467" s="16"/>
      <c r="L467" s="16"/>
      <c r="M467" s="16"/>
      <c r="N467" s="16"/>
      <c r="O467" s="16"/>
      <c r="P467" s="16"/>
      <c r="Q467" s="16"/>
      <c r="R467" s="16"/>
      <c r="S467" s="16"/>
      <c r="T467" s="16"/>
      <c r="U467" s="16"/>
      <c r="V467" s="16"/>
      <c r="W467" s="16"/>
      <c r="X467" s="16"/>
      <c r="Y467" s="16"/>
    </row>
    <row r="468" spans="1:25" x14ac:dyDescent="0.2">
      <c r="A468" s="14"/>
      <c r="B468" s="6"/>
      <c r="C468" s="6"/>
      <c r="D468" s="16"/>
      <c r="E468" s="6"/>
      <c r="F468" s="16"/>
      <c r="G468" s="6"/>
      <c r="H468" s="16"/>
      <c r="I468" s="16"/>
      <c r="J468" s="16"/>
      <c r="K468" s="16"/>
      <c r="L468" s="16"/>
      <c r="M468" s="16"/>
      <c r="N468" s="16"/>
      <c r="O468" s="16"/>
      <c r="P468" s="16"/>
      <c r="Q468" s="16"/>
      <c r="R468" s="16"/>
      <c r="S468" s="16"/>
      <c r="T468" s="16"/>
      <c r="U468" s="16"/>
      <c r="V468" s="16"/>
      <c r="W468" s="16"/>
      <c r="X468" s="16"/>
      <c r="Y468" s="16"/>
    </row>
    <row r="469" spans="1:25" x14ac:dyDescent="0.2">
      <c r="A469" s="14"/>
      <c r="B469" s="6"/>
      <c r="C469" s="6"/>
      <c r="D469" s="16"/>
      <c r="E469" s="6"/>
      <c r="F469" s="16"/>
      <c r="G469" s="6"/>
      <c r="H469" s="16"/>
      <c r="I469" s="16"/>
      <c r="J469" s="16"/>
      <c r="K469" s="16"/>
      <c r="L469" s="16"/>
      <c r="M469" s="16"/>
      <c r="N469" s="16"/>
      <c r="O469" s="16"/>
      <c r="P469" s="16"/>
      <c r="Q469" s="16"/>
      <c r="R469" s="16"/>
      <c r="S469" s="16"/>
      <c r="T469" s="16"/>
      <c r="U469" s="16"/>
      <c r="V469" s="16"/>
      <c r="W469" s="16"/>
      <c r="X469" s="16"/>
      <c r="Y469" s="16"/>
    </row>
    <row r="470" spans="1:25" x14ac:dyDescent="0.2">
      <c r="A470" s="14"/>
      <c r="B470" s="6"/>
      <c r="C470" s="6"/>
      <c r="D470" s="16"/>
      <c r="E470" s="6"/>
      <c r="F470" s="16"/>
      <c r="G470" s="6"/>
      <c r="H470" s="16"/>
      <c r="I470" s="16"/>
      <c r="J470" s="16"/>
      <c r="K470" s="16"/>
      <c r="L470" s="16"/>
      <c r="M470" s="16"/>
      <c r="N470" s="16"/>
      <c r="O470" s="16"/>
      <c r="P470" s="16"/>
      <c r="Q470" s="16"/>
      <c r="R470" s="16"/>
      <c r="S470" s="16"/>
      <c r="T470" s="16"/>
      <c r="U470" s="16"/>
      <c r="V470" s="16"/>
      <c r="W470" s="16"/>
      <c r="X470" s="16"/>
      <c r="Y470" s="16"/>
    </row>
    <row r="471" spans="1:25" x14ac:dyDescent="0.2">
      <c r="A471" s="14"/>
      <c r="B471" s="6"/>
      <c r="C471" s="6"/>
      <c r="D471" s="16"/>
      <c r="E471" s="6"/>
      <c r="F471" s="16"/>
      <c r="G471" s="6"/>
      <c r="H471" s="16"/>
      <c r="I471" s="16"/>
      <c r="J471" s="16"/>
      <c r="K471" s="16"/>
      <c r="L471" s="16"/>
      <c r="M471" s="16"/>
      <c r="N471" s="16"/>
      <c r="O471" s="16"/>
      <c r="P471" s="16"/>
      <c r="Q471" s="16"/>
      <c r="R471" s="16"/>
      <c r="S471" s="16"/>
      <c r="T471" s="16"/>
      <c r="U471" s="16"/>
      <c r="V471" s="16"/>
      <c r="W471" s="16"/>
      <c r="X471" s="16"/>
      <c r="Y471" s="16"/>
    </row>
    <row r="472" spans="1:25" x14ac:dyDescent="0.2">
      <c r="A472" s="14"/>
      <c r="B472" s="6"/>
      <c r="C472" s="6"/>
      <c r="D472" s="16"/>
      <c r="E472" s="6"/>
      <c r="F472" s="16"/>
      <c r="G472" s="6"/>
      <c r="H472" s="16"/>
      <c r="I472" s="16"/>
      <c r="J472" s="16"/>
      <c r="K472" s="16"/>
      <c r="L472" s="16"/>
      <c r="M472" s="16"/>
      <c r="N472" s="16"/>
      <c r="O472" s="16"/>
      <c r="P472" s="16"/>
      <c r="Q472" s="16"/>
      <c r="R472" s="16"/>
      <c r="S472" s="16"/>
      <c r="T472" s="16"/>
      <c r="U472" s="16"/>
      <c r="V472" s="16"/>
      <c r="W472" s="16"/>
      <c r="X472" s="16"/>
      <c r="Y472" s="16"/>
    </row>
    <row r="473" spans="1:25" x14ac:dyDescent="0.2">
      <c r="A473" s="14"/>
      <c r="B473" s="6"/>
      <c r="C473" s="6"/>
      <c r="D473" s="16"/>
      <c r="E473" s="6"/>
      <c r="F473" s="16"/>
      <c r="G473" s="6"/>
      <c r="H473" s="16"/>
      <c r="I473" s="16"/>
      <c r="J473" s="16"/>
      <c r="K473" s="16"/>
      <c r="L473" s="16"/>
      <c r="M473" s="16"/>
      <c r="N473" s="16"/>
      <c r="O473" s="16"/>
      <c r="P473" s="16"/>
      <c r="Q473" s="16"/>
      <c r="R473" s="16"/>
      <c r="S473" s="16"/>
      <c r="T473" s="16"/>
      <c r="U473" s="16"/>
      <c r="V473" s="16"/>
      <c r="W473" s="16"/>
      <c r="X473" s="16"/>
      <c r="Y473" s="16"/>
    </row>
    <row r="474" spans="1:25" x14ac:dyDescent="0.2">
      <c r="A474" s="14"/>
      <c r="B474" s="6"/>
      <c r="C474" s="6"/>
      <c r="D474" s="16"/>
      <c r="E474" s="6"/>
      <c r="F474" s="16"/>
      <c r="G474" s="6"/>
      <c r="H474" s="16"/>
      <c r="I474" s="16"/>
      <c r="J474" s="16"/>
      <c r="K474" s="16"/>
      <c r="L474" s="16"/>
      <c r="M474" s="16"/>
      <c r="N474" s="16"/>
      <c r="O474" s="16"/>
      <c r="P474" s="16"/>
      <c r="Q474" s="16"/>
      <c r="R474" s="16"/>
      <c r="S474" s="16"/>
      <c r="T474" s="16"/>
      <c r="U474" s="16"/>
      <c r="V474" s="16"/>
      <c r="W474" s="16"/>
      <c r="X474" s="16"/>
      <c r="Y474" s="16"/>
    </row>
    <row r="475" spans="1:25" x14ac:dyDescent="0.2">
      <c r="A475" s="14"/>
      <c r="B475" s="6"/>
      <c r="C475" s="6"/>
      <c r="D475" s="16"/>
      <c r="E475" s="6"/>
      <c r="F475" s="16"/>
      <c r="G475" s="6"/>
      <c r="H475" s="16"/>
      <c r="I475" s="16"/>
      <c r="J475" s="16"/>
      <c r="K475" s="16"/>
      <c r="L475" s="16"/>
      <c r="M475" s="16"/>
      <c r="N475" s="16"/>
      <c r="O475" s="16"/>
      <c r="P475" s="16"/>
      <c r="Q475" s="16"/>
      <c r="R475" s="16"/>
      <c r="S475" s="16"/>
      <c r="T475" s="16"/>
      <c r="U475" s="16"/>
      <c r="V475" s="16"/>
      <c r="W475" s="16"/>
      <c r="X475" s="16"/>
      <c r="Y475" s="16"/>
    </row>
    <row r="476" spans="1:25" x14ac:dyDescent="0.2">
      <c r="A476" s="14"/>
      <c r="B476" s="6"/>
      <c r="C476" s="6"/>
      <c r="D476" s="16"/>
      <c r="E476" s="6"/>
      <c r="F476" s="16"/>
      <c r="G476" s="6"/>
      <c r="H476" s="16"/>
      <c r="I476" s="16"/>
      <c r="J476" s="16"/>
      <c r="K476" s="16"/>
      <c r="L476" s="16"/>
      <c r="M476" s="16"/>
      <c r="N476" s="16"/>
      <c r="O476" s="16"/>
      <c r="P476" s="16"/>
      <c r="Q476" s="16"/>
      <c r="R476" s="16"/>
      <c r="S476" s="16"/>
      <c r="T476" s="16"/>
      <c r="U476" s="16"/>
      <c r="V476" s="16"/>
      <c r="W476" s="16"/>
      <c r="X476" s="16"/>
      <c r="Y476" s="16"/>
    </row>
    <row r="477" spans="1:25" x14ac:dyDescent="0.2">
      <c r="A477" s="14"/>
      <c r="B477" s="6"/>
      <c r="C477" s="6"/>
      <c r="D477" s="16"/>
      <c r="E477" s="6"/>
      <c r="F477" s="16"/>
      <c r="G477" s="6"/>
      <c r="H477" s="16"/>
      <c r="I477" s="16"/>
      <c r="J477" s="16"/>
      <c r="K477" s="16"/>
      <c r="L477" s="16"/>
      <c r="M477" s="16"/>
      <c r="N477" s="16"/>
      <c r="O477" s="16"/>
      <c r="P477" s="16"/>
      <c r="Q477" s="16"/>
      <c r="R477" s="16"/>
      <c r="S477" s="16"/>
      <c r="T477" s="16"/>
      <c r="U477" s="16"/>
      <c r="V477" s="16"/>
      <c r="W477" s="16"/>
      <c r="X477" s="16"/>
      <c r="Y477" s="16"/>
    </row>
    <row r="478" spans="1:25" x14ac:dyDescent="0.2">
      <c r="A478" s="14"/>
      <c r="B478" s="6"/>
      <c r="C478" s="6"/>
      <c r="D478" s="16"/>
      <c r="E478" s="6"/>
      <c r="F478" s="16"/>
      <c r="G478" s="6"/>
      <c r="H478" s="16"/>
      <c r="I478" s="16"/>
      <c r="J478" s="16"/>
      <c r="K478" s="16"/>
      <c r="L478" s="16"/>
      <c r="M478" s="16"/>
      <c r="N478" s="16"/>
      <c r="O478" s="16"/>
      <c r="P478" s="16"/>
      <c r="Q478" s="16"/>
      <c r="R478" s="16"/>
      <c r="S478" s="16"/>
      <c r="T478" s="16"/>
      <c r="U478" s="16"/>
      <c r="V478" s="16"/>
      <c r="W478" s="16"/>
      <c r="X478" s="16"/>
      <c r="Y478" s="16"/>
    </row>
    <row r="479" spans="1:25" x14ac:dyDescent="0.2">
      <c r="A479" s="14"/>
      <c r="B479" s="6"/>
      <c r="C479" s="6"/>
      <c r="D479" s="16"/>
      <c r="E479" s="6"/>
      <c r="F479" s="16"/>
      <c r="G479" s="6"/>
      <c r="H479" s="16"/>
      <c r="I479" s="16"/>
      <c r="J479" s="16"/>
      <c r="K479" s="16"/>
      <c r="L479" s="16"/>
      <c r="M479" s="16"/>
      <c r="N479" s="16"/>
      <c r="O479" s="16"/>
      <c r="P479" s="16"/>
      <c r="Q479" s="16"/>
      <c r="R479" s="16"/>
      <c r="S479" s="16"/>
      <c r="T479" s="16"/>
      <c r="U479" s="16"/>
      <c r="V479" s="16"/>
      <c r="W479" s="16"/>
      <c r="X479" s="16"/>
      <c r="Y479" s="16"/>
    </row>
    <row r="480" spans="1:25" x14ac:dyDescent="0.2">
      <c r="A480" s="14"/>
      <c r="B480" s="6"/>
      <c r="C480" s="6"/>
      <c r="D480" s="16"/>
      <c r="E480" s="6"/>
      <c r="F480" s="16"/>
      <c r="G480" s="6"/>
      <c r="H480" s="16"/>
      <c r="I480" s="16"/>
      <c r="J480" s="16"/>
      <c r="K480" s="16"/>
      <c r="L480" s="16"/>
      <c r="M480" s="16"/>
      <c r="N480" s="16"/>
      <c r="O480" s="16"/>
      <c r="P480" s="16"/>
      <c r="Q480" s="16"/>
      <c r="R480" s="16"/>
      <c r="S480" s="16"/>
      <c r="T480" s="16"/>
      <c r="U480" s="16"/>
      <c r="V480" s="16"/>
      <c r="W480" s="16"/>
      <c r="X480" s="16"/>
      <c r="Y480" s="16"/>
    </row>
    <row r="481" spans="1:25" x14ac:dyDescent="0.2">
      <c r="A481" s="14"/>
      <c r="B481" s="6"/>
      <c r="C481" s="6"/>
      <c r="D481" s="16"/>
      <c r="E481" s="6"/>
      <c r="F481" s="16"/>
      <c r="G481" s="6"/>
      <c r="H481" s="16"/>
      <c r="I481" s="16"/>
      <c r="J481" s="16"/>
      <c r="K481" s="16"/>
      <c r="L481" s="16"/>
      <c r="M481" s="16"/>
      <c r="N481" s="16"/>
      <c r="O481" s="16"/>
      <c r="P481" s="16"/>
      <c r="Q481" s="16"/>
      <c r="R481" s="16"/>
      <c r="S481" s="16"/>
      <c r="T481" s="16"/>
      <c r="U481" s="16"/>
      <c r="V481" s="16"/>
      <c r="W481" s="16"/>
      <c r="X481" s="16"/>
      <c r="Y481" s="16"/>
    </row>
    <row r="482" spans="1:25" x14ac:dyDescent="0.2">
      <c r="A482" s="14"/>
      <c r="B482" s="6"/>
      <c r="C482" s="6"/>
      <c r="D482" s="16"/>
      <c r="E482" s="6"/>
      <c r="F482" s="16"/>
      <c r="G482" s="6"/>
      <c r="H482" s="16"/>
      <c r="I482" s="16"/>
      <c r="J482" s="16"/>
      <c r="K482" s="16"/>
      <c r="L482" s="16"/>
      <c r="M482" s="16"/>
      <c r="N482" s="16"/>
      <c r="O482" s="16"/>
      <c r="P482" s="16"/>
      <c r="Q482" s="16"/>
      <c r="R482" s="16"/>
      <c r="S482" s="16"/>
      <c r="T482" s="16"/>
      <c r="U482" s="16"/>
      <c r="V482" s="16"/>
      <c r="W482" s="16"/>
      <c r="X482" s="16"/>
      <c r="Y482" s="16"/>
    </row>
    <row r="483" spans="1:25" x14ac:dyDescent="0.2">
      <c r="A483" s="14"/>
      <c r="B483" s="6"/>
      <c r="C483" s="6"/>
      <c r="D483" s="16"/>
      <c r="E483" s="6"/>
      <c r="F483" s="16"/>
      <c r="G483" s="6"/>
      <c r="H483" s="16"/>
      <c r="I483" s="16"/>
      <c r="J483" s="16"/>
      <c r="K483" s="16"/>
      <c r="L483" s="16"/>
      <c r="M483" s="16"/>
      <c r="N483" s="16"/>
      <c r="O483" s="16"/>
      <c r="P483" s="16"/>
      <c r="Q483" s="16"/>
      <c r="R483" s="16"/>
      <c r="S483" s="16"/>
      <c r="T483" s="16"/>
      <c r="U483" s="16"/>
      <c r="V483" s="16"/>
      <c r="W483" s="16"/>
      <c r="X483" s="16"/>
      <c r="Y483" s="16"/>
    </row>
    <row r="484" spans="1:25" x14ac:dyDescent="0.2">
      <c r="A484" s="14"/>
      <c r="B484" s="6"/>
      <c r="C484" s="6"/>
      <c r="D484" s="16"/>
      <c r="E484" s="6"/>
      <c r="F484" s="16"/>
      <c r="G484" s="6"/>
      <c r="H484" s="16"/>
      <c r="I484" s="16"/>
      <c r="J484" s="16"/>
      <c r="K484" s="16"/>
      <c r="L484" s="16"/>
      <c r="M484" s="16"/>
      <c r="N484" s="16"/>
      <c r="O484" s="16"/>
      <c r="P484" s="16"/>
      <c r="Q484" s="16"/>
      <c r="R484" s="16"/>
      <c r="S484" s="16"/>
      <c r="T484" s="16"/>
      <c r="U484" s="16"/>
      <c r="V484" s="16"/>
      <c r="W484" s="16"/>
      <c r="X484" s="16"/>
      <c r="Y484" s="16"/>
    </row>
    <row r="485" spans="1:25" x14ac:dyDescent="0.2">
      <c r="A485" s="14"/>
      <c r="B485" s="6"/>
      <c r="C485" s="6"/>
      <c r="D485" s="16"/>
      <c r="E485" s="6"/>
      <c r="F485" s="16"/>
      <c r="G485" s="6"/>
      <c r="H485" s="16"/>
      <c r="I485" s="16"/>
      <c r="J485" s="16"/>
      <c r="K485" s="16"/>
      <c r="L485" s="16"/>
      <c r="M485" s="16"/>
      <c r="N485" s="16"/>
      <c r="O485" s="16"/>
      <c r="P485" s="16"/>
      <c r="Q485" s="16"/>
      <c r="R485" s="16"/>
      <c r="S485" s="16"/>
      <c r="T485" s="16"/>
      <c r="U485" s="16"/>
      <c r="V485" s="16"/>
      <c r="W485" s="16"/>
      <c r="X485" s="16"/>
      <c r="Y485" s="16"/>
    </row>
    <row r="486" spans="1:25" x14ac:dyDescent="0.2">
      <c r="A486" s="14"/>
      <c r="B486" s="6"/>
      <c r="C486" s="6"/>
      <c r="D486" s="16"/>
      <c r="E486" s="6"/>
      <c r="F486" s="16"/>
      <c r="G486" s="6"/>
      <c r="H486" s="16"/>
      <c r="I486" s="16"/>
      <c r="J486" s="16"/>
      <c r="K486" s="16"/>
      <c r="L486" s="16"/>
      <c r="M486" s="16"/>
      <c r="N486" s="16"/>
      <c r="O486" s="16"/>
      <c r="P486" s="16"/>
      <c r="Q486" s="16"/>
      <c r="R486" s="16"/>
      <c r="S486" s="16"/>
      <c r="T486" s="16"/>
      <c r="U486" s="16"/>
      <c r="V486" s="16"/>
      <c r="W486" s="16"/>
      <c r="X486" s="16"/>
      <c r="Y486" s="16"/>
    </row>
    <row r="487" spans="1:25" x14ac:dyDescent="0.2">
      <c r="A487" s="14"/>
      <c r="B487" s="6"/>
      <c r="C487" s="6"/>
      <c r="D487" s="16"/>
      <c r="E487" s="6"/>
      <c r="F487" s="16"/>
      <c r="G487" s="6"/>
      <c r="H487" s="16"/>
      <c r="I487" s="16"/>
      <c r="J487" s="16"/>
      <c r="K487" s="16"/>
      <c r="L487" s="16"/>
      <c r="M487" s="16"/>
      <c r="N487" s="16"/>
      <c r="O487" s="16"/>
      <c r="P487" s="16"/>
      <c r="Q487" s="16"/>
      <c r="R487" s="16"/>
      <c r="S487" s="16"/>
      <c r="T487" s="16"/>
      <c r="U487" s="16"/>
      <c r="V487" s="16"/>
      <c r="W487" s="16"/>
      <c r="X487" s="16"/>
      <c r="Y487" s="16"/>
    </row>
    <row r="488" spans="1:25" x14ac:dyDescent="0.2">
      <c r="A488" s="14"/>
      <c r="B488" s="6"/>
      <c r="C488" s="6"/>
      <c r="D488" s="16"/>
      <c r="E488" s="6"/>
      <c r="F488" s="16"/>
      <c r="G488" s="6"/>
      <c r="H488" s="16"/>
      <c r="I488" s="16"/>
      <c r="J488" s="16"/>
      <c r="K488" s="16"/>
      <c r="L488" s="16"/>
      <c r="M488" s="16"/>
      <c r="N488" s="16"/>
      <c r="O488" s="16"/>
      <c r="P488" s="16"/>
      <c r="Q488" s="16"/>
      <c r="R488" s="16"/>
      <c r="S488" s="16"/>
      <c r="T488" s="16"/>
      <c r="U488" s="16"/>
      <c r="V488" s="16"/>
      <c r="W488" s="16"/>
      <c r="X488" s="16"/>
      <c r="Y488" s="16"/>
    </row>
    <row r="489" spans="1:25" x14ac:dyDescent="0.2">
      <c r="A489" s="14"/>
      <c r="B489" s="6"/>
      <c r="C489" s="6"/>
      <c r="D489" s="16"/>
      <c r="E489" s="6"/>
      <c r="F489" s="16"/>
      <c r="G489" s="6"/>
      <c r="H489" s="16"/>
      <c r="I489" s="16"/>
      <c r="J489" s="16"/>
      <c r="K489" s="16"/>
      <c r="L489" s="16"/>
      <c r="M489" s="16"/>
      <c r="N489" s="16"/>
      <c r="O489" s="16"/>
      <c r="P489" s="16"/>
      <c r="Q489" s="16"/>
      <c r="R489" s="16"/>
      <c r="S489" s="16"/>
      <c r="T489" s="16"/>
      <c r="U489" s="16"/>
      <c r="V489" s="16"/>
      <c r="W489" s="16"/>
      <c r="X489" s="16"/>
      <c r="Y489" s="16"/>
    </row>
    <row r="490" spans="1:25" x14ac:dyDescent="0.2">
      <c r="A490" s="14"/>
      <c r="B490" s="6"/>
      <c r="C490" s="6"/>
      <c r="D490" s="16"/>
      <c r="E490" s="6"/>
      <c r="F490" s="16"/>
      <c r="G490" s="6"/>
      <c r="H490" s="16"/>
      <c r="I490" s="16"/>
      <c r="J490" s="16"/>
      <c r="K490" s="16"/>
      <c r="L490" s="16"/>
      <c r="M490" s="16"/>
      <c r="N490" s="16"/>
      <c r="O490" s="16"/>
      <c r="P490" s="16"/>
      <c r="Q490" s="16"/>
      <c r="R490" s="16"/>
      <c r="S490" s="16"/>
      <c r="T490" s="16"/>
      <c r="U490" s="16"/>
      <c r="V490" s="16"/>
      <c r="W490" s="16"/>
      <c r="X490" s="16"/>
      <c r="Y490" s="16"/>
    </row>
    <row r="491" spans="1:25" x14ac:dyDescent="0.2">
      <c r="A491" s="14"/>
      <c r="B491" s="6"/>
      <c r="C491" s="6"/>
      <c r="D491" s="16"/>
      <c r="E491" s="6"/>
      <c r="F491" s="16"/>
      <c r="G491" s="6"/>
      <c r="H491" s="16"/>
      <c r="I491" s="16"/>
      <c r="J491" s="16"/>
      <c r="K491" s="16"/>
      <c r="L491" s="16"/>
      <c r="M491" s="16"/>
      <c r="N491" s="16"/>
      <c r="O491" s="16"/>
      <c r="P491" s="16"/>
      <c r="Q491" s="16"/>
      <c r="R491" s="16"/>
      <c r="S491" s="16"/>
      <c r="T491" s="16"/>
      <c r="U491" s="16"/>
      <c r="V491" s="16"/>
      <c r="W491" s="16"/>
      <c r="X491" s="16"/>
      <c r="Y491" s="16"/>
    </row>
    <row r="492" spans="1:25" x14ac:dyDescent="0.2">
      <c r="A492" s="14"/>
      <c r="B492" s="6"/>
      <c r="C492" s="6"/>
      <c r="D492" s="16"/>
      <c r="E492" s="6"/>
      <c r="F492" s="16"/>
      <c r="G492" s="6"/>
      <c r="H492" s="16"/>
      <c r="I492" s="16"/>
      <c r="J492" s="16"/>
      <c r="K492" s="16"/>
      <c r="L492" s="16"/>
      <c r="M492" s="16"/>
      <c r="N492" s="16"/>
      <c r="O492" s="16"/>
      <c r="P492" s="16"/>
      <c r="Q492" s="16"/>
      <c r="R492" s="16"/>
      <c r="S492" s="16"/>
      <c r="T492" s="16"/>
      <c r="U492" s="16"/>
      <c r="V492" s="16"/>
      <c r="W492" s="16"/>
      <c r="X492" s="16"/>
      <c r="Y492" s="16"/>
    </row>
    <row r="493" spans="1:25" x14ac:dyDescent="0.2">
      <c r="A493" s="14"/>
      <c r="B493" s="6"/>
      <c r="C493" s="6"/>
      <c r="D493" s="16"/>
      <c r="E493" s="6"/>
      <c r="F493" s="16"/>
      <c r="G493" s="6"/>
      <c r="H493" s="16"/>
      <c r="I493" s="16"/>
      <c r="J493" s="16"/>
      <c r="K493" s="16"/>
      <c r="L493" s="16"/>
      <c r="M493" s="16"/>
      <c r="N493" s="16"/>
      <c r="O493" s="16"/>
      <c r="P493" s="16"/>
      <c r="Q493" s="16"/>
      <c r="R493" s="16"/>
      <c r="S493" s="16"/>
      <c r="T493" s="16"/>
      <c r="U493" s="16"/>
      <c r="V493" s="16"/>
      <c r="W493" s="16"/>
      <c r="X493" s="16"/>
      <c r="Y493" s="16"/>
    </row>
    <row r="494" spans="1:25" x14ac:dyDescent="0.2">
      <c r="A494" s="14"/>
      <c r="B494" s="6"/>
      <c r="C494" s="6"/>
      <c r="D494" s="16"/>
      <c r="E494" s="6"/>
      <c r="F494" s="16"/>
      <c r="G494" s="6"/>
      <c r="H494" s="16"/>
      <c r="I494" s="16"/>
      <c r="J494" s="16"/>
      <c r="K494" s="16"/>
      <c r="L494" s="16"/>
      <c r="M494" s="16"/>
      <c r="N494" s="16"/>
      <c r="O494" s="16"/>
      <c r="P494" s="16"/>
      <c r="Q494" s="16"/>
      <c r="R494" s="16"/>
      <c r="S494" s="16"/>
      <c r="T494" s="16"/>
      <c r="U494" s="16"/>
      <c r="V494" s="16"/>
      <c r="W494" s="16"/>
      <c r="X494" s="16"/>
      <c r="Y494" s="16"/>
    </row>
    <row r="495" spans="1:25" x14ac:dyDescent="0.2">
      <c r="A495" s="14"/>
      <c r="B495" s="6"/>
      <c r="C495" s="6"/>
      <c r="D495" s="16"/>
      <c r="E495" s="6"/>
      <c r="F495" s="16"/>
      <c r="G495" s="6"/>
      <c r="H495" s="16"/>
      <c r="I495" s="16"/>
      <c r="J495" s="16"/>
      <c r="K495" s="16"/>
      <c r="L495" s="16"/>
      <c r="M495" s="16"/>
      <c r="N495" s="16"/>
      <c r="O495" s="16"/>
      <c r="P495" s="16"/>
      <c r="Q495" s="16"/>
      <c r="R495" s="16"/>
      <c r="S495" s="16"/>
      <c r="T495" s="16"/>
      <c r="U495" s="16"/>
      <c r="V495" s="16"/>
      <c r="W495" s="16"/>
      <c r="X495" s="16"/>
      <c r="Y495" s="16"/>
    </row>
    <row r="496" spans="1:25" x14ac:dyDescent="0.2">
      <c r="A496" s="14"/>
      <c r="B496" s="6"/>
      <c r="C496" s="6"/>
      <c r="D496" s="16"/>
      <c r="E496" s="6"/>
      <c r="F496" s="16"/>
      <c r="G496" s="6"/>
      <c r="H496" s="16"/>
      <c r="I496" s="16"/>
      <c r="J496" s="16"/>
      <c r="K496" s="16"/>
      <c r="L496" s="16"/>
      <c r="M496" s="16"/>
      <c r="N496" s="16"/>
      <c r="O496" s="16"/>
      <c r="P496" s="16"/>
      <c r="Q496" s="16"/>
      <c r="R496" s="16"/>
      <c r="S496" s="16"/>
      <c r="T496" s="16"/>
      <c r="U496" s="16"/>
      <c r="V496" s="16"/>
      <c r="W496" s="16"/>
      <c r="X496" s="16"/>
      <c r="Y496" s="16"/>
    </row>
    <row r="497" spans="1:25" x14ac:dyDescent="0.2">
      <c r="A497" s="14"/>
      <c r="B497" s="6"/>
      <c r="C497" s="6"/>
      <c r="D497" s="16"/>
      <c r="E497" s="6"/>
      <c r="F497" s="16"/>
      <c r="G497" s="6"/>
      <c r="H497" s="16"/>
      <c r="I497" s="16"/>
      <c r="J497" s="16"/>
      <c r="K497" s="16"/>
      <c r="L497" s="16"/>
      <c r="M497" s="16"/>
      <c r="N497" s="16"/>
      <c r="O497" s="16"/>
      <c r="P497" s="16"/>
      <c r="Q497" s="16"/>
      <c r="R497" s="16"/>
      <c r="S497" s="16"/>
      <c r="T497" s="16"/>
      <c r="U497" s="16"/>
      <c r="V497" s="16"/>
      <c r="W497" s="16"/>
      <c r="X497" s="16"/>
      <c r="Y497" s="16"/>
    </row>
    <row r="498" spans="1:25" x14ac:dyDescent="0.2">
      <c r="A498" s="14"/>
      <c r="B498" s="6"/>
      <c r="C498" s="6"/>
      <c r="D498" s="16"/>
      <c r="E498" s="6"/>
      <c r="F498" s="16"/>
      <c r="G498" s="6"/>
      <c r="H498" s="16"/>
      <c r="I498" s="16"/>
      <c r="J498" s="16"/>
      <c r="K498" s="16"/>
      <c r="L498" s="16"/>
      <c r="M498" s="16"/>
      <c r="N498" s="16"/>
      <c r="O498" s="16"/>
      <c r="P498" s="16"/>
      <c r="Q498" s="16"/>
      <c r="R498" s="16"/>
      <c r="S498" s="16"/>
      <c r="T498" s="16"/>
      <c r="U498" s="16"/>
      <c r="V498" s="16"/>
      <c r="W498" s="16"/>
      <c r="X498" s="16"/>
      <c r="Y498" s="16"/>
    </row>
    <row r="499" spans="1:25" x14ac:dyDescent="0.2">
      <c r="A499" s="14"/>
      <c r="B499" s="6"/>
      <c r="C499" s="6"/>
      <c r="D499" s="16"/>
      <c r="E499" s="6"/>
      <c r="F499" s="16"/>
      <c r="G499" s="6"/>
      <c r="H499" s="16"/>
      <c r="I499" s="16"/>
      <c r="J499" s="16"/>
      <c r="K499" s="16"/>
      <c r="L499" s="16"/>
      <c r="M499" s="16"/>
      <c r="N499" s="16"/>
      <c r="O499" s="16"/>
      <c r="P499" s="16"/>
      <c r="Q499" s="16"/>
      <c r="R499" s="16"/>
      <c r="S499" s="16"/>
      <c r="T499" s="16"/>
      <c r="U499" s="16"/>
      <c r="V499" s="16"/>
      <c r="W499" s="16"/>
      <c r="X499" s="16"/>
      <c r="Y499" s="16"/>
    </row>
    <row r="500" spans="1:25" x14ac:dyDescent="0.2">
      <c r="A500" s="14"/>
      <c r="B500" s="6"/>
      <c r="C500" s="6"/>
      <c r="D500" s="16"/>
      <c r="E500" s="6"/>
      <c r="F500" s="16"/>
      <c r="G500" s="6"/>
      <c r="H500" s="16"/>
      <c r="I500" s="16"/>
      <c r="J500" s="16"/>
      <c r="K500" s="16"/>
      <c r="L500" s="16"/>
      <c r="M500" s="16"/>
      <c r="N500" s="16"/>
      <c r="O500" s="16"/>
      <c r="P500" s="16"/>
      <c r="Q500" s="16"/>
      <c r="R500" s="16"/>
      <c r="S500" s="16"/>
      <c r="T500" s="16"/>
      <c r="U500" s="16"/>
      <c r="V500" s="16"/>
      <c r="W500" s="16"/>
      <c r="X500" s="16"/>
      <c r="Y500" s="16"/>
    </row>
    <row r="501" spans="1:25" x14ac:dyDescent="0.2">
      <c r="A501" s="14"/>
      <c r="B501" s="6"/>
      <c r="C501" s="6"/>
      <c r="D501" s="16"/>
      <c r="E501" s="6"/>
      <c r="F501" s="16"/>
      <c r="G501" s="6"/>
      <c r="H501" s="16"/>
      <c r="I501" s="16"/>
      <c r="J501" s="16"/>
      <c r="K501" s="16"/>
      <c r="L501" s="16"/>
      <c r="M501" s="16"/>
      <c r="N501" s="16"/>
      <c r="O501" s="16"/>
      <c r="P501" s="16"/>
      <c r="Q501" s="16"/>
      <c r="R501" s="16"/>
      <c r="S501" s="16"/>
      <c r="T501" s="16"/>
      <c r="U501" s="16"/>
      <c r="V501" s="16"/>
      <c r="W501" s="16"/>
      <c r="X501" s="16"/>
      <c r="Y501" s="16"/>
    </row>
    <row r="502" spans="1:25" x14ac:dyDescent="0.2">
      <c r="A502" s="14"/>
      <c r="B502" s="6"/>
      <c r="C502" s="6"/>
      <c r="D502" s="16"/>
      <c r="E502" s="6"/>
      <c r="F502" s="16"/>
      <c r="G502" s="6"/>
      <c r="H502" s="16"/>
      <c r="I502" s="16"/>
      <c r="J502" s="16"/>
      <c r="K502" s="16"/>
      <c r="L502" s="16"/>
      <c r="M502" s="16"/>
      <c r="N502" s="16"/>
      <c r="O502" s="16"/>
      <c r="P502" s="16"/>
      <c r="Q502" s="16"/>
      <c r="R502" s="16"/>
      <c r="S502" s="16"/>
      <c r="T502" s="16"/>
      <c r="U502" s="16"/>
      <c r="V502" s="16"/>
      <c r="W502" s="16"/>
      <c r="X502" s="16"/>
      <c r="Y502" s="16"/>
    </row>
    <row r="503" spans="1:25" x14ac:dyDescent="0.2">
      <c r="A503" s="14"/>
      <c r="B503" s="6"/>
      <c r="C503" s="6"/>
      <c r="D503" s="16"/>
      <c r="E503" s="6"/>
      <c r="F503" s="16"/>
      <c r="G503" s="6"/>
      <c r="H503" s="16"/>
      <c r="I503" s="16"/>
      <c r="J503" s="16"/>
      <c r="K503" s="16"/>
      <c r="L503" s="16"/>
      <c r="M503" s="16"/>
      <c r="N503" s="16"/>
      <c r="O503" s="16"/>
      <c r="P503" s="16"/>
      <c r="Q503" s="16"/>
      <c r="R503" s="16"/>
      <c r="S503" s="16"/>
      <c r="T503" s="16"/>
      <c r="U503" s="16"/>
      <c r="V503" s="16"/>
      <c r="W503" s="16"/>
      <c r="X503" s="16"/>
      <c r="Y503" s="16"/>
    </row>
    <row r="504" spans="1:25" x14ac:dyDescent="0.2">
      <c r="A504" s="14"/>
      <c r="B504" s="6"/>
      <c r="C504" s="6"/>
      <c r="D504" s="16"/>
      <c r="E504" s="6"/>
      <c r="F504" s="16"/>
      <c r="G504" s="6"/>
      <c r="H504" s="16"/>
      <c r="I504" s="16"/>
      <c r="J504" s="16"/>
      <c r="K504" s="16"/>
      <c r="L504" s="16"/>
      <c r="M504" s="16"/>
      <c r="N504" s="16"/>
      <c r="O504" s="16"/>
      <c r="P504" s="16"/>
      <c r="Q504" s="16"/>
      <c r="R504" s="16"/>
      <c r="S504" s="16"/>
      <c r="T504" s="16"/>
      <c r="U504" s="16"/>
      <c r="V504" s="16"/>
      <c r="W504" s="16"/>
      <c r="X504" s="16"/>
      <c r="Y504" s="16"/>
    </row>
    <row r="505" spans="1:25" x14ac:dyDescent="0.2">
      <c r="A505" s="14"/>
      <c r="B505" s="6"/>
      <c r="C505" s="6"/>
      <c r="D505" s="16"/>
      <c r="E505" s="6"/>
      <c r="F505" s="16"/>
      <c r="G505" s="6"/>
      <c r="H505" s="16"/>
      <c r="I505" s="16"/>
      <c r="J505" s="16"/>
      <c r="K505" s="16"/>
      <c r="L505" s="16"/>
      <c r="M505" s="16"/>
      <c r="N505" s="16"/>
      <c r="O505" s="16"/>
      <c r="P505" s="16"/>
      <c r="Q505" s="16"/>
      <c r="R505" s="16"/>
      <c r="S505" s="16"/>
      <c r="T505" s="16"/>
      <c r="U505" s="16"/>
      <c r="V505" s="16"/>
      <c r="W505" s="16"/>
      <c r="X505" s="16"/>
      <c r="Y505" s="16"/>
    </row>
    <row r="506" spans="1:25" x14ac:dyDescent="0.2">
      <c r="A506" s="14"/>
      <c r="B506" s="6"/>
      <c r="C506" s="6"/>
      <c r="D506" s="16"/>
      <c r="E506" s="6"/>
      <c r="F506" s="16"/>
      <c r="G506" s="6"/>
      <c r="H506" s="16"/>
      <c r="I506" s="16"/>
      <c r="J506" s="16"/>
      <c r="K506" s="16"/>
      <c r="L506" s="16"/>
      <c r="M506" s="16"/>
      <c r="N506" s="16"/>
      <c r="O506" s="16"/>
      <c r="P506" s="16"/>
      <c r="Q506" s="16"/>
      <c r="R506" s="16"/>
      <c r="S506" s="16"/>
      <c r="T506" s="16"/>
      <c r="U506" s="16"/>
      <c r="V506" s="16"/>
      <c r="W506" s="16"/>
      <c r="X506" s="16"/>
      <c r="Y506" s="16"/>
    </row>
    <row r="507" spans="1:25" x14ac:dyDescent="0.2">
      <c r="A507" s="14"/>
      <c r="B507" s="6"/>
      <c r="C507" s="6"/>
      <c r="D507" s="16"/>
      <c r="E507" s="6"/>
      <c r="F507" s="16"/>
      <c r="G507" s="6"/>
      <c r="H507" s="16"/>
      <c r="I507" s="16"/>
      <c r="J507" s="16"/>
      <c r="K507" s="16"/>
      <c r="L507" s="16"/>
      <c r="M507" s="16"/>
      <c r="N507" s="16"/>
      <c r="O507" s="16"/>
      <c r="P507" s="16"/>
      <c r="Q507" s="16"/>
      <c r="R507" s="16"/>
      <c r="S507" s="16"/>
      <c r="T507" s="16"/>
      <c r="U507" s="16"/>
      <c r="V507" s="16"/>
      <c r="W507" s="16"/>
      <c r="X507" s="16"/>
      <c r="Y507" s="16"/>
    </row>
    <row r="508" spans="1:25" x14ac:dyDescent="0.2">
      <c r="A508" s="14"/>
      <c r="B508" s="6"/>
      <c r="C508" s="6"/>
      <c r="D508" s="16"/>
      <c r="E508" s="6"/>
      <c r="F508" s="16"/>
      <c r="G508" s="6"/>
      <c r="H508" s="16"/>
      <c r="I508" s="16"/>
      <c r="J508" s="16"/>
      <c r="K508" s="16"/>
      <c r="L508" s="16"/>
      <c r="M508" s="16"/>
      <c r="N508" s="16"/>
      <c r="O508" s="16"/>
      <c r="P508" s="16"/>
      <c r="Q508" s="16"/>
      <c r="R508" s="16"/>
      <c r="S508" s="16"/>
      <c r="T508" s="16"/>
      <c r="U508" s="16"/>
      <c r="V508" s="16"/>
      <c r="W508" s="16"/>
      <c r="X508" s="16"/>
      <c r="Y508" s="16"/>
    </row>
    <row r="509" spans="1:25" x14ac:dyDescent="0.2">
      <c r="A509" s="14"/>
      <c r="B509" s="6"/>
      <c r="C509" s="6"/>
      <c r="D509" s="16"/>
      <c r="E509" s="6"/>
      <c r="F509" s="16"/>
      <c r="G509" s="6"/>
      <c r="H509" s="16"/>
      <c r="I509" s="16"/>
      <c r="J509" s="16"/>
      <c r="K509" s="16"/>
      <c r="L509" s="16"/>
      <c r="M509" s="16"/>
      <c r="N509" s="16"/>
      <c r="O509" s="16"/>
      <c r="P509" s="16"/>
      <c r="Q509" s="16"/>
      <c r="R509" s="16"/>
      <c r="S509" s="16"/>
      <c r="T509" s="16"/>
      <c r="U509" s="16"/>
      <c r="V509" s="16"/>
      <c r="W509" s="16"/>
      <c r="X509" s="16"/>
      <c r="Y509" s="16"/>
    </row>
    <row r="510" spans="1:25" x14ac:dyDescent="0.2">
      <c r="A510" s="14"/>
      <c r="B510" s="6"/>
      <c r="C510" s="6"/>
      <c r="D510" s="16"/>
      <c r="E510" s="6"/>
      <c r="F510" s="16"/>
      <c r="G510" s="6"/>
      <c r="H510" s="16"/>
      <c r="I510" s="16"/>
      <c r="J510" s="16"/>
      <c r="K510" s="16"/>
      <c r="L510" s="16"/>
      <c r="M510" s="16"/>
      <c r="N510" s="16"/>
      <c r="O510" s="16"/>
      <c r="P510" s="16"/>
      <c r="Q510" s="16"/>
      <c r="R510" s="16"/>
      <c r="S510" s="16"/>
      <c r="T510" s="16"/>
      <c r="U510" s="16"/>
      <c r="V510" s="16"/>
      <c r="W510" s="16"/>
      <c r="X510" s="16"/>
      <c r="Y510" s="16"/>
    </row>
    <row r="511" spans="1:25" x14ac:dyDescent="0.2">
      <c r="A511" s="14"/>
      <c r="B511" s="6"/>
      <c r="C511" s="6"/>
      <c r="D511" s="16"/>
      <c r="E511" s="6"/>
      <c r="F511" s="16"/>
      <c r="G511" s="6"/>
      <c r="H511" s="16"/>
      <c r="I511" s="16"/>
      <c r="J511" s="16"/>
      <c r="K511" s="16"/>
      <c r="L511" s="16"/>
      <c r="M511" s="16"/>
      <c r="N511" s="16"/>
      <c r="O511" s="16"/>
      <c r="P511" s="16"/>
      <c r="Q511" s="16"/>
      <c r="R511" s="16"/>
      <c r="S511" s="16"/>
      <c r="T511" s="16"/>
      <c r="U511" s="16"/>
      <c r="V511" s="16"/>
      <c r="W511" s="16"/>
      <c r="X511" s="16"/>
      <c r="Y511" s="16"/>
    </row>
    <row r="512" spans="1:25" x14ac:dyDescent="0.2">
      <c r="A512" s="14"/>
      <c r="B512" s="6"/>
      <c r="C512" s="6"/>
      <c r="D512" s="16"/>
      <c r="E512" s="6"/>
      <c r="F512" s="16"/>
      <c r="G512" s="6"/>
      <c r="H512" s="16"/>
      <c r="I512" s="16"/>
      <c r="J512" s="16"/>
      <c r="K512" s="16"/>
      <c r="L512" s="16"/>
      <c r="M512" s="16"/>
      <c r="N512" s="16"/>
      <c r="O512" s="16"/>
      <c r="P512" s="16"/>
      <c r="Q512" s="16"/>
      <c r="R512" s="16"/>
      <c r="S512" s="16"/>
      <c r="T512" s="16"/>
      <c r="U512" s="16"/>
      <c r="V512" s="16"/>
      <c r="W512" s="16"/>
      <c r="X512" s="16"/>
      <c r="Y512" s="16"/>
    </row>
    <row r="513" spans="1:25" x14ac:dyDescent="0.2">
      <c r="A513" s="14"/>
      <c r="B513" s="6"/>
      <c r="C513" s="6"/>
      <c r="D513" s="16"/>
      <c r="E513" s="6"/>
      <c r="F513" s="16"/>
      <c r="G513" s="6"/>
      <c r="H513" s="16"/>
      <c r="I513" s="16"/>
      <c r="J513" s="16"/>
      <c r="K513" s="16"/>
      <c r="L513" s="16"/>
      <c r="M513" s="16"/>
      <c r="N513" s="16"/>
      <c r="O513" s="16"/>
      <c r="P513" s="16"/>
      <c r="Q513" s="16"/>
      <c r="R513" s="16"/>
      <c r="S513" s="16"/>
      <c r="T513" s="16"/>
      <c r="U513" s="16"/>
      <c r="V513" s="16"/>
      <c r="W513" s="16"/>
      <c r="X513" s="16"/>
      <c r="Y513" s="16"/>
    </row>
    <row r="514" spans="1:25" x14ac:dyDescent="0.2">
      <c r="A514" s="14"/>
      <c r="B514" s="6"/>
      <c r="C514" s="6"/>
      <c r="D514" s="16"/>
      <c r="E514" s="6"/>
      <c r="F514" s="16"/>
      <c r="G514" s="6"/>
      <c r="H514" s="16"/>
      <c r="I514" s="16"/>
      <c r="J514" s="16"/>
      <c r="K514" s="16"/>
      <c r="L514" s="16"/>
      <c r="M514" s="16"/>
      <c r="N514" s="16"/>
      <c r="O514" s="16"/>
      <c r="P514" s="16"/>
      <c r="Q514" s="16"/>
      <c r="R514" s="16"/>
      <c r="S514" s="16"/>
      <c r="T514" s="16"/>
      <c r="U514" s="16"/>
      <c r="V514" s="16"/>
      <c r="W514" s="16"/>
      <c r="X514" s="16"/>
      <c r="Y514" s="16"/>
    </row>
    <row r="515" spans="1:25" x14ac:dyDescent="0.2">
      <c r="A515" s="14"/>
      <c r="B515" s="6"/>
      <c r="C515" s="6"/>
      <c r="D515" s="16"/>
      <c r="E515" s="6"/>
      <c r="F515" s="16"/>
      <c r="G515" s="6"/>
      <c r="H515" s="16"/>
      <c r="I515" s="16"/>
      <c r="J515" s="16"/>
      <c r="K515" s="16"/>
      <c r="L515" s="16"/>
      <c r="M515" s="16"/>
      <c r="N515" s="16"/>
      <c r="O515" s="16"/>
      <c r="P515" s="16"/>
      <c r="Q515" s="16"/>
      <c r="R515" s="16"/>
      <c r="S515" s="16"/>
      <c r="T515" s="16"/>
      <c r="U515" s="16"/>
      <c r="V515" s="16"/>
      <c r="W515" s="16"/>
      <c r="X515" s="16"/>
      <c r="Y515" s="16"/>
    </row>
    <row r="516" spans="1:25" x14ac:dyDescent="0.2">
      <c r="A516" s="14"/>
      <c r="B516" s="6"/>
      <c r="C516" s="6"/>
      <c r="D516" s="16"/>
      <c r="E516" s="6"/>
      <c r="F516" s="16"/>
      <c r="G516" s="6"/>
      <c r="H516" s="16"/>
      <c r="I516" s="16"/>
      <c r="J516" s="16"/>
      <c r="K516" s="16"/>
      <c r="L516" s="16"/>
      <c r="M516" s="16"/>
      <c r="N516" s="16"/>
      <c r="O516" s="16"/>
      <c r="P516" s="16"/>
      <c r="Q516" s="16"/>
      <c r="R516" s="16"/>
      <c r="S516" s="16"/>
      <c r="T516" s="16"/>
      <c r="U516" s="16"/>
      <c r="V516" s="16"/>
      <c r="W516" s="16"/>
      <c r="X516" s="16"/>
      <c r="Y516" s="16"/>
    </row>
    <row r="517" spans="1:25" x14ac:dyDescent="0.2">
      <c r="A517" s="14"/>
      <c r="B517" s="6"/>
      <c r="C517" s="6"/>
      <c r="D517" s="16"/>
      <c r="E517" s="6"/>
      <c r="F517" s="16"/>
      <c r="G517" s="6"/>
      <c r="H517" s="16"/>
      <c r="I517" s="16"/>
      <c r="J517" s="16"/>
      <c r="K517" s="16"/>
      <c r="L517" s="16"/>
      <c r="M517" s="16"/>
      <c r="N517" s="16"/>
      <c r="O517" s="16"/>
      <c r="P517" s="16"/>
      <c r="Q517" s="16"/>
      <c r="R517" s="16"/>
      <c r="S517" s="16"/>
      <c r="T517" s="16"/>
      <c r="U517" s="16"/>
      <c r="V517" s="16"/>
      <c r="W517" s="16"/>
      <c r="X517" s="16"/>
      <c r="Y517" s="16"/>
    </row>
    <row r="518" spans="1:25" x14ac:dyDescent="0.2">
      <c r="A518" s="14"/>
      <c r="B518" s="6"/>
      <c r="C518" s="6"/>
      <c r="D518" s="16"/>
      <c r="E518" s="6"/>
      <c r="F518" s="16"/>
      <c r="G518" s="6"/>
      <c r="H518" s="16"/>
      <c r="I518" s="16"/>
      <c r="J518" s="16"/>
      <c r="K518" s="16"/>
      <c r="L518" s="16"/>
      <c r="M518" s="16"/>
      <c r="N518" s="16"/>
      <c r="O518" s="16"/>
      <c r="P518" s="16"/>
      <c r="Q518" s="16"/>
      <c r="R518" s="16"/>
      <c r="S518" s="16"/>
      <c r="T518" s="16"/>
      <c r="U518" s="16"/>
      <c r="V518" s="16"/>
      <c r="W518" s="16"/>
      <c r="X518" s="16"/>
      <c r="Y518" s="16"/>
    </row>
    <row r="519" spans="1:25" x14ac:dyDescent="0.2">
      <c r="A519" s="14"/>
      <c r="B519" s="6"/>
      <c r="C519" s="6"/>
      <c r="D519" s="16"/>
      <c r="E519" s="6"/>
      <c r="F519" s="16"/>
      <c r="G519" s="6"/>
      <c r="H519" s="16"/>
      <c r="I519" s="16"/>
      <c r="J519" s="16"/>
      <c r="K519" s="16"/>
      <c r="L519" s="16"/>
      <c r="M519" s="16"/>
      <c r="N519" s="16"/>
      <c r="O519" s="16"/>
      <c r="P519" s="16"/>
      <c r="Q519" s="16"/>
      <c r="R519" s="16"/>
      <c r="S519" s="16"/>
      <c r="T519" s="16"/>
      <c r="U519" s="16"/>
      <c r="V519" s="16"/>
      <c r="W519" s="16"/>
      <c r="X519" s="16"/>
      <c r="Y519" s="16"/>
    </row>
    <row r="520" spans="1:25" x14ac:dyDescent="0.2">
      <c r="A520" s="14"/>
      <c r="B520" s="6"/>
      <c r="C520" s="6"/>
      <c r="D520" s="16"/>
      <c r="E520" s="6"/>
      <c r="F520" s="16"/>
      <c r="G520" s="6"/>
      <c r="H520" s="16"/>
      <c r="I520" s="16"/>
      <c r="J520" s="16"/>
      <c r="K520" s="16"/>
      <c r="L520" s="16"/>
      <c r="M520" s="16"/>
      <c r="N520" s="16"/>
      <c r="O520" s="16"/>
      <c r="P520" s="16"/>
      <c r="Q520" s="16"/>
      <c r="R520" s="16"/>
      <c r="S520" s="16"/>
      <c r="T520" s="16"/>
      <c r="U520" s="16"/>
      <c r="V520" s="16"/>
      <c r="W520" s="16"/>
      <c r="X520" s="16"/>
      <c r="Y520" s="16"/>
    </row>
    <row r="521" spans="1:25" x14ac:dyDescent="0.2">
      <c r="A521" s="14"/>
      <c r="B521" s="6"/>
      <c r="C521" s="6"/>
      <c r="D521" s="16"/>
      <c r="E521" s="6"/>
      <c r="F521" s="16"/>
      <c r="G521" s="6"/>
      <c r="H521" s="16"/>
      <c r="I521" s="16"/>
      <c r="J521" s="16"/>
      <c r="K521" s="16"/>
      <c r="L521" s="16"/>
      <c r="M521" s="16"/>
      <c r="N521" s="16"/>
      <c r="O521" s="16"/>
      <c r="P521" s="16"/>
      <c r="Q521" s="16"/>
      <c r="R521" s="16"/>
      <c r="S521" s="16"/>
      <c r="T521" s="16"/>
      <c r="U521" s="16"/>
      <c r="V521" s="16"/>
      <c r="W521" s="16"/>
      <c r="X521" s="16"/>
      <c r="Y521" s="16"/>
    </row>
    <row r="522" spans="1:25" x14ac:dyDescent="0.2">
      <c r="A522" s="14"/>
      <c r="B522" s="6"/>
      <c r="C522" s="6"/>
      <c r="D522" s="16"/>
      <c r="E522" s="6"/>
      <c r="F522" s="16"/>
      <c r="G522" s="6"/>
      <c r="H522" s="16"/>
      <c r="I522" s="16"/>
      <c r="J522" s="16"/>
      <c r="K522" s="16"/>
      <c r="L522" s="16"/>
      <c r="M522" s="16"/>
      <c r="N522" s="16"/>
      <c r="O522" s="16"/>
      <c r="P522" s="16"/>
      <c r="Q522" s="16"/>
      <c r="R522" s="16"/>
      <c r="S522" s="16"/>
      <c r="T522" s="16"/>
      <c r="U522" s="16"/>
      <c r="V522" s="16"/>
      <c r="W522" s="16"/>
      <c r="X522" s="16"/>
      <c r="Y522" s="16"/>
    </row>
    <row r="523" spans="1:25" x14ac:dyDescent="0.2">
      <c r="A523" s="14"/>
      <c r="B523" s="6"/>
      <c r="C523" s="6"/>
      <c r="D523" s="16"/>
      <c r="E523" s="6"/>
      <c r="F523" s="16"/>
      <c r="G523" s="6"/>
      <c r="H523" s="16"/>
      <c r="I523" s="16"/>
      <c r="J523" s="16"/>
      <c r="K523" s="16"/>
      <c r="L523" s="16"/>
      <c r="M523" s="16"/>
      <c r="N523" s="16"/>
      <c r="O523" s="16"/>
      <c r="P523" s="16"/>
      <c r="Q523" s="16"/>
      <c r="R523" s="16"/>
      <c r="S523" s="16"/>
      <c r="T523" s="16"/>
      <c r="U523" s="16"/>
      <c r="V523" s="16"/>
      <c r="W523" s="16"/>
      <c r="X523" s="16"/>
      <c r="Y523" s="16"/>
    </row>
    <row r="524" spans="1:25" x14ac:dyDescent="0.2">
      <c r="A524" s="14"/>
      <c r="B524" s="6"/>
      <c r="C524" s="6"/>
      <c r="D524" s="16"/>
      <c r="E524" s="6"/>
      <c r="F524" s="16"/>
      <c r="G524" s="6"/>
      <c r="H524" s="16"/>
      <c r="I524" s="16"/>
      <c r="J524" s="16"/>
      <c r="K524" s="16"/>
      <c r="L524" s="16"/>
      <c r="M524" s="16"/>
      <c r="N524" s="16"/>
      <c r="O524" s="16"/>
      <c r="P524" s="16"/>
      <c r="Q524" s="16"/>
      <c r="R524" s="16"/>
      <c r="S524" s="16"/>
      <c r="T524" s="16"/>
      <c r="U524" s="16"/>
      <c r="V524" s="16"/>
      <c r="W524" s="16"/>
      <c r="X524" s="16"/>
      <c r="Y524" s="16"/>
    </row>
    <row r="525" spans="1:25" x14ac:dyDescent="0.2">
      <c r="A525" s="14"/>
      <c r="B525" s="6"/>
      <c r="C525" s="6"/>
      <c r="D525" s="16"/>
      <c r="E525" s="6"/>
      <c r="F525" s="16"/>
      <c r="G525" s="6"/>
      <c r="H525" s="16"/>
      <c r="I525" s="16"/>
      <c r="J525" s="16"/>
      <c r="K525" s="16"/>
      <c r="L525" s="16"/>
      <c r="M525" s="16"/>
      <c r="N525" s="16"/>
      <c r="O525" s="16"/>
      <c r="P525" s="16"/>
      <c r="Q525" s="16"/>
      <c r="R525" s="16"/>
      <c r="S525" s="16"/>
      <c r="T525" s="16"/>
      <c r="U525" s="16"/>
      <c r="V525" s="16"/>
      <c r="W525" s="16"/>
      <c r="X525" s="16"/>
      <c r="Y525" s="16"/>
    </row>
    <row r="526" spans="1:25" x14ac:dyDescent="0.2">
      <c r="A526" s="14"/>
      <c r="B526" s="6"/>
      <c r="C526" s="6"/>
      <c r="D526" s="16"/>
      <c r="E526" s="6"/>
      <c r="F526" s="16"/>
      <c r="G526" s="6"/>
      <c r="H526" s="16"/>
      <c r="I526" s="16"/>
      <c r="J526" s="16"/>
      <c r="K526" s="16"/>
      <c r="L526" s="16"/>
      <c r="M526" s="16"/>
      <c r="N526" s="16"/>
      <c r="O526" s="16"/>
      <c r="P526" s="16"/>
      <c r="Q526" s="16"/>
      <c r="R526" s="16"/>
      <c r="S526" s="16"/>
      <c r="T526" s="16"/>
      <c r="U526" s="16"/>
      <c r="V526" s="16"/>
      <c r="W526" s="16"/>
      <c r="X526" s="16"/>
      <c r="Y526" s="16"/>
    </row>
    <row r="527" spans="1:25" x14ac:dyDescent="0.2">
      <c r="A527" s="14"/>
      <c r="B527" s="6"/>
      <c r="C527" s="6"/>
      <c r="D527" s="16"/>
      <c r="E527" s="6"/>
      <c r="F527" s="16"/>
      <c r="G527" s="6"/>
      <c r="H527" s="16"/>
      <c r="I527" s="16"/>
      <c r="J527" s="16"/>
      <c r="K527" s="16"/>
      <c r="L527" s="16"/>
      <c r="M527" s="16"/>
      <c r="N527" s="16"/>
      <c r="O527" s="16"/>
      <c r="P527" s="16"/>
      <c r="Q527" s="16"/>
      <c r="R527" s="16"/>
      <c r="S527" s="16"/>
      <c r="T527" s="16"/>
      <c r="U527" s="16"/>
      <c r="V527" s="16"/>
      <c r="W527" s="16"/>
      <c r="X527" s="16"/>
      <c r="Y527" s="16"/>
    </row>
    <row r="528" spans="1:25" x14ac:dyDescent="0.2">
      <c r="A528" s="14"/>
      <c r="B528" s="6"/>
      <c r="C528" s="6"/>
      <c r="D528" s="16"/>
      <c r="E528" s="6"/>
      <c r="F528" s="16"/>
      <c r="G528" s="6"/>
      <c r="H528" s="16"/>
      <c r="I528" s="16"/>
      <c r="J528" s="16"/>
      <c r="K528" s="16"/>
      <c r="L528" s="16"/>
      <c r="M528" s="16"/>
      <c r="N528" s="16"/>
      <c r="O528" s="16"/>
      <c r="P528" s="16"/>
      <c r="Q528" s="16"/>
      <c r="R528" s="16"/>
      <c r="S528" s="16"/>
      <c r="T528" s="16"/>
      <c r="U528" s="16"/>
      <c r="V528" s="16"/>
      <c r="W528" s="16"/>
      <c r="X528" s="16"/>
      <c r="Y528" s="16"/>
    </row>
    <row r="529" spans="1:25" x14ac:dyDescent="0.2">
      <c r="A529" s="14"/>
      <c r="B529" s="6"/>
      <c r="C529" s="6"/>
      <c r="D529" s="16"/>
      <c r="E529" s="6"/>
      <c r="F529" s="16"/>
      <c r="G529" s="6"/>
      <c r="H529" s="16"/>
      <c r="I529" s="16"/>
      <c r="J529" s="16"/>
      <c r="K529" s="16"/>
      <c r="L529" s="16"/>
      <c r="M529" s="16"/>
      <c r="N529" s="16"/>
      <c r="O529" s="16"/>
      <c r="P529" s="16"/>
      <c r="Q529" s="16"/>
      <c r="R529" s="16"/>
      <c r="S529" s="16"/>
      <c r="T529" s="16"/>
      <c r="U529" s="16"/>
      <c r="V529" s="16"/>
      <c r="W529" s="16"/>
      <c r="X529" s="16"/>
      <c r="Y529" s="16"/>
    </row>
    <row r="530" spans="1:25" x14ac:dyDescent="0.2">
      <c r="A530" s="14"/>
      <c r="B530" s="6"/>
      <c r="C530" s="6"/>
      <c r="D530" s="16"/>
      <c r="E530" s="6"/>
      <c r="F530" s="16"/>
      <c r="G530" s="6"/>
      <c r="H530" s="16"/>
      <c r="I530" s="16"/>
      <c r="J530" s="16"/>
      <c r="K530" s="16"/>
      <c r="L530" s="16"/>
      <c r="M530" s="16"/>
      <c r="N530" s="16"/>
      <c r="O530" s="16"/>
      <c r="P530" s="16"/>
      <c r="Q530" s="16"/>
      <c r="R530" s="16"/>
      <c r="S530" s="16"/>
      <c r="T530" s="16"/>
      <c r="U530" s="16"/>
      <c r="V530" s="16"/>
      <c r="W530" s="16"/>
      <c r="X530" s="16"/>
      <c r="Y530" s="16"/>
    </row>
    <row r="531" spans="1:25" x14ac:dyDescent="0.2">
      <c r="A531" s="14"/>
      <c r="B531" s="6"/>
      <c r="C531" s="6"/>
      <c r="D531" s="16"/>
      <c r="E531" s="6"/>
      <c r="F531" s="16"/>
      <c r="G531" s="6"/>
      <c r="H531" s="16"/>
      <c r="I531" s="16"/>
      <c r="J531" s="16"/>
      <c r="K531" s="16"/>
      <c r="L531" s="16"/>
      <c r="M531" s="16"/>
      <c r="N531" s="16"/>
      <c r="O531" s="16"/>
      <c r="P531" s="16"/>
      <c r="Q531" s="16"/>
      <c r="R531" s="16"/>
      <c r="S531" s="16"/>
      <c r="T531" s="16"/>
      <c r="U531" s="16"/>
      <c r="V531" s="16"/>
      <c r="W531" s="16"/>
      <c r="X531" s="16"/>
      <c r="Y531" s="16"/>
    </row>
    <row r="532" spans="1:25" x14ac:dyDescent="0.2">
      <c r="A532" s="14"/>
      <c r="B532" s="6"/>
      <c r="C532" s="6"/>
      <c r="D532" s="16"/>
      <c r="E532" s="6"/>
      <c r="F532" s="16"/>
      <c r="G532" s="6"/>
      <c r="H532" s="16"/>
      <c r="I532" s="16"/>
      <c r="J532" s="16"/>
      <c r="K532" s="16"/>
      <c r="L532" s="16"/>
      <c r="M532" s="16"/>
      <c r="N532" s="16"/>
      <c r="O532" s="16"/>
      <c r="P532" s="16"/>
      <c r="Q532" s="16"/>
      <c r="R532" s="16"/>
      <c r="S532" s="16"/>
      <c r="T532" s="16"/>
      <c r="U532" s="16"/>
      <c r="V532" s="16"/>
      <c r="W532" s="16"/>
      <c r="X532" s="16"/>
      <c r="Y532" s="16"/>
    </row>
    <row r="533" spans="1:25" x14ac:dyDescent="0.2">
      <c r="A533" s="14"/>
      <c r="B533" s="6"/>
      <c r="C533" s="6"/>
      <c r="D533" s="16"/>
      <c r="E533" s="6"/>
      <c r="F533" s="16"/>
      <c r="G533" s="6"/>
      <c r="H533" s="16"/>
      <c r="I533" s="16"/>
      <c r="J533" s="16"/>
      <c r="K533" s="16"/>
      <c r="L533" s="16"/>
      <c r="M533" s="16"/>
      <c r="N533" s="16"/>
      <c r="O533" s="16"/>
      <c r="P533" s="16"/>
      <c r="Q533" s="16"/>
      <c r="R533" s="16"/>
      <c r="S533" s="16"/>
      <c r="T533" s="16"/>
      <c r="U533" s="16"/>
      <c r="V533" s="16"/>
      <c r="W533" s="16"/>
      <c r="X533" s="16"/>
      <c r="Y533" s="16"/>
    </row>
    <row r="534" spans="1:25" x14ac:dyDescent="0.2">
      <c r="A534" s="14"/>
      <c r="B534" s="6"/>
      <c r="C534" s="6"/>
      <c r="D534" s="16"/>
      <c r="E534" s="6"/>
      <c r="F534" s="16"/>
      <c r="G534" s="6"/>
      <c r="H534" s="16"/>
      <c r="I534" s="16"/>
      <c r="J534" s="16"/>
      <c r="K534" s="16"/>
      <c r="L534" s="16"/>
      <c r="M534" s="16"/>
      <c r="N534" s="16"/>
      <c r="O534" s="16"/>
      <c r="P534" s="16"/>
      <c r="Q534" s="16"/>
      <c r="R534" s="16"/>
      <c r="S534" s="16"/>
      <c r="T534" s="16"/>
      <c r="U534" s="16"/>
      <c r="V534" s="16"/>
      <c r="W534" s="16"/>
      <c r="X534" s="16"/>
      <c r="Y534" s="16"/>
    </row>
    <row r="535" spans="1:25" x14ac:dyDescent="0.2">
      <c r="A535" s="14"/>
      <c r="B535" s="6"/>
      <c r="C535" s="6"/>
      <c r="D535" s="16"/>
      <c r="E535" s="6"/>
      <c r="F535" s="16"/>
      <c r="G535" s="6"/>
      <c r="H535" s="16"/>
      <c r="I535" s="16"/>
      <c r="J535" s="16"/>
      <c r="K535" s="16"/>
      <c r="L535" s="16"/>
      <c r="M535" s="16"/>
      <c r="N535" s="16"/>
      <c r="O535" s="16"/>
      <c r="P535" s="16"/>
      <c r="Q535" s="16"/>
      <c r="R535" s="16"/>
      <c r="S535" s="16"/>
      <c r="T535" s="16"/>
      <c r="U535" s="16"/>
      <c r="V535" s="16"/>
      <c r="W535" s="16"/>
      <c r="X535" s="16"/>
      <c r="Y535" s="16"/>
    </row>
    <row r="536" spans="1:25" x14ac:dyDescent="0.2">
      <c r="A536" s="14"/>
      <c r="B536" s="6"/>
      <c r="C536" s="6"/>
      <c r="D536" s="16"/>
      <c r="E536" s="6"/>
      <c r="F536" s="16"/>
      <c r="G536" s="6"/>
      <c r="H536" s="16"/>
      <c r="I536" s="16"/>
      <c r="J536" s="16"/>
      <c r="K536" s="16"/>
      <c r="L536" s="16"/>
      <c r="M536" s="16"/>
      <c r="N536" s="16"/>
      <c r="O536" s="16"/>
      <c r="P536" s="16"/>
      <c r="Q536" s="16"/>
      <c r="R536" s="16"/>
      <c r="S536" s="16"/>
      <c r="T536" s="16"/>
      <c r="U536" s="16"/>
      <c r="V536" s="16"/>
      <c r="W536" s="16"/>
      <c r="X536" s="16"/>
      <c r="Y536" s="16"/>
    </row>
    <row r="537" spans="1:25" x14ac:dyDescent="0.2">
      <c r="A537" s="14"/>
      <c r="B537" s="6"/>
      <c r="C537" s="6"/>
      <c r="D537" s="16"/>
      <c r="E537" s="6"/>
      <c r="F537" s="16"/>
      <c r="G537" s="6"/>
      <c r="H537" s="16"/>
      <c r="I537" s="16"/>
      <c r="J537" s="16"/>
      <c r="K537" s="16"/>
      <c r="L537" s="16"/>
      <c r="M537" s="16"/>
      <c r="N537" s="16"/>
      <c r="O537" s="16"/>
      <c r="P537" s="16"/>
      <c r="Q537" s="16"/>
      <c r="R537" s="16"/>
      <c r="S537" s="16"/>
      <c r="T537" s="16"/>
      <c r="U537" s="16"/>
      <c r="V537" s="16"/>
      <c r="W537" s="16"/>
      <c r="X537" s="16"/>
      <c r="Y537" s="16"/>
    </row>
    <row r="538" spans="1:25" x14ac:dyDescent="0.2">
      <c r="A538" s="14"/>
      <c r="B538" s="6"/>
      <c r="C538" s="6"/>
      <c r="D538" s="16"/>
      <c r="E538" s="6"/>
      <c r="F538" s="16"/>
      <c r="G538" s="6"/>
      <c r="H538" s="16"/>
      <c r="I538" s="16"/>
      <c r="J538" s="16"/>
      <c r="K538" s="16"/>
      <c r="L538" s="16"/>
      <c r="M538" s="16"/>
      <c r="N538" s="16"/>
      <c r="O538" s="16"/>
      <c r="P538" s="16"/>
      <c r="Q538" s="16"/>
      <c r="R538" s="16"/>
      <c r="S538" s="16"/>
      <c r="T538" s="16"/>
      <c r="U538" s="16"/>
      <c r="V538" s="16"/>
      <c r="W538" s="16"/>
      <c r="X538" s="16"/>
      <c r="Y538" s="16"/>
    </row>
    <row r="539" spans="1:25" x14ac:dyDescent="0.2">
      <c r="A539" s="14"/>
      <c r="B539" s="6"/>
      <c r="C539" s="6"/>
      <c r="D539" s="16"/>
      <c r="E539" s="6"/>
      <c r="F539" s="16"/>
      <c r="G539" s="6"/>
      <c r="H539" s="16"/>
      <c r="I539" s="16"/>
      <c r="J539" s="16"/>
      <c r="K539" s="16"/>
      <c r="L539" s="16"/>
      <c r="M539" s="16"/>
      <c r="N539" s="16"/>
      <c r="O539" s="16"/>
      <c r="P539" s="16"/>
      <c r="Q539" s="16"/>
      <c r="R539" s="16"/>
      <c r="S539" s="16"/>
      <c r="T539" s="16"/>
      <c r="U539" s="16"/>
      <c r="V539" s="16"/>
      <c r="W539" s="16"/>
      <c r="X539" s="16"/>
      <c r="Y539" s="16"/>
    </row>
    <row r="540" spans="1:25" x14ac:dyDescent="0.2">
      <c r="A540" s="14"/>
      <c r="B540" s="6"/>
      <c r="C540" s="6"/>
      <c r="D540" s="16"/>
      <c r="E540" s="6"/>
      <c r="F540" s="16"/>
      <c r="G540" s="6"/>
      <c r="H540" s="16"/>
      <c r="I540" s="16"/>
      <c r="J540" s="16"/>
      <c r="K540" s="16"/>
      <c r="L540" s="16"/>
      <c r="M540" s="16"/>
      <c r="N540" s="16"/>
      <c r="O540" s="16"/>
      <c r="P540" s="16"/>
      <c r="Q540" s="16"/>
      <c r="R540" s="16"/>
      <c r="S540" s="16"/>
      <c r="T540" s="16"/>
      <c r="U540" s="16"/>
      <c r="V540" s="16"/>
      <c r="W540" s="16"/>
      <c r="X540" s="16"/>
      <c r="Y540" s="16"/>
    </row>
    <row r="541" spans="1:25" x14ac:dyDescent="0.2">
      <c r="A541" s="14"/>
      <c r="B541" s="6"/>
      <c r="C541" s="6"/>
      <c r="D541" s="16"/>
      <c r="E541" s="6"/>
      <c r="F541" s="16"/>
      <c r="G541" s="6"/>
      <c r="H541" s="16"/>
      <c r="I541" s="16"/>
      <c r="J541" s="16"/>
      <c r="K541" s="16"/>
      <c r="L541" s="16"/>
      <c r="M541" s="16"/>
      <c r="N541" s="16"/>
      <c r="O541" s="16"/>
      <c r="P541" s="16"/>
      <c r="Q541" s="16"/>
      <c r="R541" s="16"/>
      <c r="S541" s="16"/>
      <c r="T541" s="16"/>
      <c r="U541" s="16"/>
      <c r="V541" s="16"/>
      <c r="W541" s="16"/>
      <c r="X541" s="16"/>
      <c r="Y541" s="16"/>
    </row>
    <row r="542" spans="1:25" x14ac:dyDescent="0.2">
      <c r="A542" s="14"/>
      <c r="B542" s="6"/>
      <c r="C542" s="6"/>
      <c r="D542" s="16"/>
      <c r="E542" s="6"/>
      <c r="F542" s="16"/>
      <c r="G542" s="6"/>
      <c r="H542" s="16"/>
      <c r="I542" s="16"/>
      <c r="J542" s="16"/>
      <c r="K542" s="16"/>
      <c r="L542" s="16"/>
      <c r="M542" s="16"/>
      <c r="N542" s="16"/>
      <c r="O542" s="16"/>
      <c r="P542" s="16"/>
      <c r="Q542" s="16"/>
      <c r="R542" s="16"/>
      <c r="S542" s="16"/>
      <c r="T542" s="16"/>
      <c r="U542" s="16"/>
      <c r="V542" s="16"/>
      <c r="W542" s="16"/>
      <c r="X542" s="16"/>
      <c r="Y542" s="16"/>
    </row>
    <row r="543" spans="1:25" x14ac:dyDescent="0.2">
      <c r="A543" s="14"/>
      <c r="B543" s="6"/>
      <c r="C543" s="6"/>
      <c r="D543" s="16"/>
      <c r="E543" s="6"/>
      <c r="F543" s="16"/>
      <c r="G543" s="6"/>
      <c r="H543" s="16"/>
      <c r="I543" s="16"/>
      <c r="J543" s="16"/>
      <c r="K543" s="16"/>
      <c r="L543" s="16"/>
      <c r="M543" s="16"/>
      <c r="N543" s="16"/>
      <c r="O543" s="16"/>
      <c r="P543" s="16"/>
      <c r="Q543" s="16"/>
      <c r="R543" s="16"/>
      <c r="S543" s="16"/>
      <c r="T543" s="16"/>
      <c r="U543" s="16"/>
      <c r="V543" s="16"/>
      <c r="W543" s="16"/>
      <c r="X543" s="16"/>
      <c r="Y543" s="16"/>
    </row>
    <row r="544" spans="1:25" x14ac:dyDescent="0.2">
      <c r="A544" s="14"/>
      <c r="B544" s="6"/>
      <c r="C544" s="6"/>
      <c r="D544" s="16"/>
      <c r="E544" s="6"/>
      <c r="F544" s="16"/>
      <c r="G544" s="6"/>
      <c r="H544" s="16"/>
      <c r="I544" s="16"/>
      <c r="J544" s="16"/>
      <c r="K544" s="16"/>
      <c r="L544" s="16"/>
      <c r="M544" s="16"/>
      <c r="N544" s="16"/>
      <c r="O544" s="16"/>
      <c r="P544" s="16"/>
      <c r="Q544" s="16"/>
      <c r="R544" s="16"/>
      <c r="S544" s="16"/>
      <c r="T544" s="16"/>
      <c r="U544" s="16"/>
      <c r="V544" s="16"/>
      <c r="W544" s="16"/>
      <c r="X544" s="16"/>
      <c r="Y544" s="16"/>
    </row>
    <row r="545" spans="1:25" x14ac:dyDescent="0.2">
      <c r="A545" s="14"/>
      <c r="B545" s="6"/>
      <c r="C545" s="6"/>
      <c r="D545" s="16"/>
      <c r="E545" s="6"/>
      <c r="F545" s="16"/>
      <c r="G545" s="6"/>
      <c r="H545" s="16"/>
      <c r="I545" s="16"/>
      <c r="J545" s="16"/>
      <c r="K545" s="16"/>
      <c r="L545" s="16"/>
      <c r="M545" s="16"/>
      <c r="N545" s="16"/>
      <c r="O545" s="16"/>
      <c r="P545" s="16"/>
      <c r="Q545" s="16"/>
      <c r="R545" s="16"/>
      <c r="S545" s="16"/>
      <c r="T545" s="16"/>
      <c r="U545" s="16"/>
      <c r="V545" s="16"/>
      <c r="W545" s="16"/>
      <c r="X545" s="16"/>
      <c r="Y545" s="16"/>
    </row>
    <row r="546" spans="1:25" x14ac:dyDescent="0.2">
      <c r="A546" s="14"/>
      <c r="B546" s="6"/>
      <c r="C546" s="6"/>
      <c r="D546" s="16"/>
      <c r="E546" s="6"/>
      <c r="F546" s="16"/>
      <c r="G546" s="6"/>
      <c r="H546" s="16"/>
      <c r="I546" s="16"/>
      <c r="J546" s="16"/>
      <c r="K546" s="16"/>
      <c r="L546" s="16"/>
      <c r="M546" s="16"/>
      <c r="N546" s="16"/>
      <c r="O546" s="16"/>
      <c r="P546" s="16"/>
      <c r="Q546" s="16"/>
      <c r="R546" s="16"/>
      <c r="S546" s="16"/>
      <c r="T546" s="16"/>
      <c r="U546" s="16"/>
      <c r="V546" s="16"/>
      <c r="W546" s="16"/>
      <c r="X546" s="16"/>
      <c r="Y546" s="16"/>
    </row>
    <row r="547" spans="1:25" x14ac:dyDescent="0.2">
      <c r="A547" s="14"/>
      <c r="B547" s="6"/>
      <c r="C547" s="6"/>
      <c r="D547" s="16"/>
      <c r="E547" s="6"/>
      <c r="F547" s="16"/>
      <c r="G547" s="6"/>
      <c r="H547" s="16"/>
      <c r="I547" s="16"/>
      <c r="J547" s="16"/>
      <c r="K547" s="16"/>
      <c r="L547" s="16"/>
      <c r="M547" s="16"/>
      <c r="N547" s="16"/>
      <c r="O547" s="16"/>
      <c r="P547" s="16"/>
      <c r="Q547" s="16"/>
      <c r="R547" s="16"/>
      <c r="S547" s="16"/>
      <c r="T547" s="16"/>
      <c r="U547" s="16"/>
      <c r="V547" s="16"/>
      <c r="W547" s="16"/>
      <c r="X547" s="16"/>
      <c r="Y547" s="16"/>
    </row>
    <row r="548" spans="1:25" x14ac:dyDescent="0.2">
      <c r="A548" s="14"/>
      <c r="B548" s="6"/>
      <c r="C548" s="6"/>
      <c r="D548" s="16"/>
      <c r="E548" s="6"/>
      <c r="F548" s="16"/>
      <c r="G548" s="6"/>
      <c r="H548" s="16"/>
      <c r="I548" s="16"/>
      <c r="J548" s="16"/>
      <c r="K548" s="16"/>
      <c r="L548" s="16"/>
      <c r="M548" s="16"/>
      <c r="N548" s="16"/>
      <c r="O548" s="16"/>
      <c r="P548" s="16"/>
      <c r="Q548" s="16"/>
      <c r="R548" s="16"/>
      <c r="S548" s="16"/>
      <c r="T548" s="16"/>
      <c r="U548" s="16"/>
      <c r="V548" s="16"/>
      <c r="W548" s="16"/>
      <c r="X548" s="16"/>
      <c r="Y548" s="16"/>
    </row>
    <row r="549" spans="1:25" x14ac:dyDescent="0.2">
      <c r="A549" s="14"/>
      <c r="B549" s="6"/>
      <c r="C549" s="6"/>
      <c r="D549" s="16"/>
      <c r="E549" s="6"/>
      <c r="F549" s="16"/>
      <c r="G549" s="6"/>
      <c r="H549" s="16"/>
      <c r="I549" s="16"/>
      <c r="J549" s="16"/>
      <c r="K549" s="16"/>
      <c r="L549" s="16"/>
      <c r="M549" s="16"/>
      <c r="N549" s="16"/>
      <c r="O549" s="16"/>
      <c r="P549" s="16"/>
      <c r="Q549" s="16"/>
      <c r="R549" s="16"/>
      <c r="S549" s="16"/>
      <c r="T549" s="16"/>
      <c r="U549" s="16"/>
      <c r="V549" s="16"/>
      <c r="W549" s="16"/>
      <c r="X549" s="16"/>
      <c r="Y549" s="16"/>
    </row>
    <row r="550" spans="1:25" x14ac:dyDescent="0.2">
      <c r="A550" s="14"/>
      <c r="B550" s="6"/>
      <c r="C550" s="6"/>
      <c r="D550" s="16"/>
      <c r="E550" s="6"/>
      <c r="F550" s="16"/>
      <c r="G550" s="6"/>
      <c r="H550" s="16"/>
      <c r="I550" s="16"/>
      <c r="J550" s="16"/>
      <c r="K550" s="16"/>
      <c r="L550" s="16"/>
      <c r="M550" s="16"/>
      <c r="N550" s="16"/>
      <c r="O550" s="16"/>
      <c r="P550" s="16"/>
      <c r="Q550" s="16"/>
      <c r="R550" s="16"/>
      <c r="S550" s="16"/>
      <c r="T550" s="16"/>
      <c r="U550" s="16"/>
      <c r="V550" s="16"/>
      <c r="W550" s="16"/>
      <c r="X550" s="16"/>
      <c r="Y550" s="16"/>
    </row>
    <row r="551" spans="1:25" x14ac:dyDescent="0.2">
      <c r="A551" s="14"/>
      <c r="B551" s="6"/>
      <c r="C551" s="6"/>
      <c r="D551" s="16"/>
      <c r="E551" s="6"/>
      <c r="F551" s="16"/>
      <c r="G551" s="6"/>
      <c r="H551" s="16"/>
      <c r="I551" s="16"/>
      <c r="J551" s="16"/>
      <c r="K551" s="16"/>
      <c r="L551" s="16"/>
      <c r="M551" s="16"/>
      <c r="N551" s="16"/>
      <c r="O551" s="16"/>
      <c r="P551" s="16"/>
      <c r="Q551" s="16"/>
      <c r="R551" s="16"/>
      <c r="S551" s="16"/>
      <c r="T551" s="16"/>
      <c r="U551" s="16"/>
      <c r="V551" s="16"/>
      <c r="W551" s="16"/>
      <c r="X551" s="16"/>
      <c r="Y551" s="16"/>
    </row>
    <row r="552" spans="1:25" x14ac:dyDescent="0.2">
      <c r="A552" s="14"/>
      <c r="B552" s="6"/>
      <c r="C552" s="6"/>
      <c r="D552" s="16"/>
      <c r="E552" s="6"/>
      <c r="F552" s="16"/>
      <c r="G552" s="6"/>
      <c r="H552" s="16"/>
      <c r="I552" s="16"/>
      <c r="J552" s="16"/>
      <c r="K552" s="16"/>
      <c r="L552" s="16"/>
      <c r="M552" s="16"/>
      <c r="N552" s="16"/>
      <c r="O552" s="16"/>
      <c r="P552" s="16"/>
      <c r="Q552" s="16"/>
      <c r="R552" s="16"/>
      <c r="S552" s="16"/>
      <c r="T552" s="16"/>
      <c r="U552" s="16"/>
      <c r="V552" s="16"/>
      <c r="W552" s="16"/>
      <c r="X552" s="16"/>
      <c r="Y552" s="16"/>
    </row>
    <row r="553" spans="1:25" x14ac:dyDescent="0.2">
      <c r="A553" s="14"/>
      <c r="B553" s="6"/>
      <c r="C553" s="6"/>
      <c r="D553" s="16"/>
      <c r="E553" s="6"/>
      <c r="F553" s="16"/>
      <c r="G553" s="6"/>
      <c r="H553" s="16"/>
      <c r="I553" s="16"/>
      <c r="J553" s="16"/>
      <c r="K553" s="16"/>
      <c r="L553" s="16"/>
      <c r="M553" s="16"/>
      <c r="N553" s="16"/>
      <c r="O553" s="16"/>
      <c r="P553" s="16"/>
      <c r="Q553" s="16"/>
      <c r="R553" s="16"/>
      <c r="S553" s="16"/>
      <c r="T553" s="16"/>
      <c r="U553" s="16"/>
      <c r="V553" s="16"/>
      <c r="W553" s="16"/>
      <c r="X553" s="16"/>
      <c r="Y553" s="16"/>
    </row>
    <row r="554" spans="1:25" x14ac:dyDescent="0.2">
      <c r="A554" s="14"/>
      <c r="B554" s="6"/>
      <c r="C554" s="6"/>
      <c r="D554" s="16"/>
      <c r="E554" s="6"/>
      <c r="F554" s="16"/>
      <c r="G554" s="6"/>
      <c r="H554" s="16"/>
      <c r="I554" s="16"/>
      <c r="J554" s="16"/>
      <c r="K554" s="16"/>
      <c r="L554" s="16"/>
      <c r="M554" s="16"/>
      <c r="N554" s="16"/>
      <c r="O554" s="16"/>
      <c r="P554" s="16"/>
      <c r="Q554" s="16"/>
      <c r="R554" s="16"/>
      <c r="S554" s="16"/>
      <c r="T554" s="16"/>
      <c r="U554" s="16"/>
      <c r="V554" s="16"/>
      <c r="W554" s="16"/>
      <c r="X554" s="16"/>
      <c r="Y554" s="16"/>
    </row>
    <row r="555" spans="1:25" x14ac:dyDescent="0.2">
      <c r="A555" s="14"/>
      <c r="B555" s="6"/>
      <c r="C555" s="6"/>
      <c r="D555" s="16"/>
      <c r="E555" s="6"/>
      <c r="F555" s="16"/>
      <c r="G555" s="6"/>
      <c r="H555" s="16"/>
      <c r="I555" s="16"/>
      <c r="J555" s="16"/>
      <c r="K555" s="16"/>
      <c r="L555" s="16"/>
      <c r="M555" s="16"/>
      <c r="N555" s="16"/>
      <c r="O555" s="16"/>
      <c r="P555" s="16"/>
      <c r="Q555" s="16"/>
      <c r="R555" s="16"/>
      <c r="S555" s="16"/>
      <c r="T555" s="16"/>
      <c r="U555" s="16"/>
      <c r="V555" s="16"/>
      <c r="W555" s="16"/>
      <c r="X555" s="16"/>
      <c r="Y555" s="16"/>
    </row>
    <row r="556" spans="1:25" x14ac:dyDescent="0.2">
      <c r="A556" s="14"/>
      <c r="B556" s="6"/>
      <c r="C556" s="6"/>
      <c r="D556" s="16"/>
      <c r="E556" s="6"/>
      <c r="F556" s="16"/>
      <c r="G556" s="6"/>
      <c r="H556" s="16"/>
      <c r="I556" s="16"/>
      <c r="J556" s="16"/>
      <c r="K556" s="16"/>
      <c r="L556" s="16"/>
      <c r="M556" s="16"/>
      <c r="N556" s="16"/>
      <c r="O556" s="16"/>
      <c r="P556" s="16"/>
      <c r="Q556" s="16"/>
      <c r="R556" s="16"/>
      <c r="S556" s="16"/>
      <c r="T556" s="16"/>
      <c r="U556" s="16"/>
      <c r="V556" s="16"/>
      <c r="W556" s="16"/>
      <c r="X556" s="16"/>
      <c r="Y556" s="16"/>
    </row>
    <row r="557" spans="1:25" x14ac:dyDescent="0.2">
      <c r="A557" s="14"/>
      <c r="B557" s="6"/>
      <c r="C557" s="6"/>
      <c r="D557" s="16"/>
      <c r="E557" s="6"/>
      <c r="F557" s="16"/>
      <c r="G557" s="6"/>
      <c r="H557" s="16"/>
      <c r="I557" s="16"/>
      <c r="J557" s="16"/>
      <c r="K557" s="16"/>
      <c r="L557" s="16"/>
      <c r="M557" s="16"/>
      <c r="N557" s="16"/>
      <c r="O557" s="16"/>
      <c r="P557" s="16"/>
      <c r="Q557" s="16"/>
      <c r="R557" s="16"/>
      <c r="S557" s="16"/>
      <c r="T557" s="16"/>
      <c r="U557" s="16"/>
      <c r="V557" s="16"/>
      <c r="W557" s="16"/>
      <c r="X557" s="16"/>
      <c r="Y557" s="16"/>
    </row>
    <row r="558" spans="1:25" x14ac:dyDescent="0.2">
      <c r="A558" s="14"/>
      <c r="B558" s="6"/>
      <c r="C558" s="6"/>
      <c r="D558" s="16"/>
      <c r="E558" s="6"/>
      <c r="F558" s="16"/>
      <c r="G558" s="6"/>
      <c r="H558" s="16"/>
      <c r="I558" s="16"/>
      <c r="J558" s="16"/>
      <c r="K558" s="16"/>
      <c r="L558" s="16"/>
      <c r="M558" s="16"/>
      <c r="N558" s="16"/>
      <c r="O558" s="16"/>
      <c r="P558" s="16"/>
      <c r="Q558" s="16"/>
      <c r="R558" s="16"/>
      <c r="S558" s="16"/>
      <c r="T558" s="16"/>
      <c r="U558" s="16"/>
      <c r="V558" s="16"/>
      <c r="W558" s="16"/>
      <c r="X558" s="16"/>
      <c r="Y558" s="16"/>
    </row>
    <row r="559" spans="1:25" x14ac:dyDescent="0.2">
      <c r="A559" s="14"/>
      <c r="B559" s="6"/>
      <c r="C559" s="6"/>
      <c r="D559" s="16"/>
      <c r="E559" s="6"/>
      <c r="F559" s="16"/>
      <c r="G559" s="6"/>
      <c r="H559" s="16"/>
      <c r="I559" s="16"/>
      <c r="J559" s="16"/>
      <c r="K559" s="16"/>
      <c r="L559" s="16"/>
      <c r="M559" s="16"/>
      <c r="N559" s="16"/>
      <c r="O559" s="16"/>
      <c r="P559" s="16"/>
      <c r="Q559" s="16"/>
      <c r="R559" s="16"/>
      <c r="S559" s="16"/>
      <c r="T559" s="16"/>
      <c r="U559" s="16"/>
      <c r="V559" s="16"/>
      <c r="W559" s="16"/>
      <c r="X559" s="16"/>
      <c r="Y559" s="16"/>
    </row>
    <row r="560" spans="1:25" x14ac:dyDescent="0.2">
      <c r="A560" s="14"/>
      <c r="B560" s="6"/>
      <c r="C560" s="6"/>
      <c r="D560" s="16"/>
      <c r="E560" s="6"/>
      <c r="F560" s="16"/>
      <c r="G560" s="6"/>
      <c r="H560" s="16"/>
      <c r="I560" s="16"/>
      <c r="J560" s="16"/>
      <c r="K560" s="16"/>
      <c r="L560" s="16"/>
      <c r="M560" s="16"/>
      <c r="N560" s="16"/>
      <c r="O560" s="16"/>
      <c r="P560" s="16"/>
      <c r="Q560" s="16"/>
      <c r="R560" s="16"/>
      <c r="S560" s="16"/>
      <c r="T560" s="16"/>
      <c r="U560" s="16"/>
      <c r="V560" s="16"/>
      <c r="W560" s="16"/>
      <c r="X560" s="16"/>
      <c r="Y560" s="16"/>
    </row>
    <row r="561" spans="1:25" x14ac:dyDescent="0.2">
      <c r="A561" s="14"/>
      <c r="B561" s="6"/>
      <c r="C561" s="6"/>
      <c r="D561" s="16"/>
      <c r="E561" s="6"/>
      <c r="F561" s="16"/>
      <c r="G561" s="6"/>
      <c r="H561" s="16"/>
      <c r="I561" s="16"/>
      <c r="J561" s="16"/>
      <c r="K561" s="16"/>
      <c r="L561" s="16"/>
      <c r="M561" s="16"/>
      <c r="N561" s="16"/>
      <c r="O561" s="16"/>
      <c r="P561" s="16"/>
      <c r="Q561" s="16"/>
      <c r="R561" s="16"/>
      <c r="S561" s="16"/>
      <c r="T561" s="16"/>
      <c r="U561" s="16"/>
      <c r="V561" s="16"/>
      <c r="W561" s="16"/>
      <c r="X561" s="16"/>
      <c r="Y561" s="16"/>
    </row>
    <row r="562" spans="1:25" x14ac:dyDescent="0.2">
      <c r="A562" s="14"/>
      <c r="B562" s="6"/>
      <c r="C562" s="6"/>
      <c r="D562" s="16"/>
      <c r="E562" s="6"/>
      <c r="F562" s="16"/>
      <c r="G562" s="6"/>
      <c r="H562" s="16"/>
      <c r="I562" s="16"/>
      <c r="J562" s="16"/>
      <c r="K562" s="16"/>
      <c r="L562" s="16"/>
      <c r="M562" s="16"/>
      <c r="N562" s="16"/>
      <c r="O562" s="16"/>
      <c r="P562" s="16"/>
      <c r="Q562" s="16"/>
      <c r="R562" s="16"/>
      <c r="S562" s="16"/>
      <c r="T562" s="16"/>
      <c r="U562" s="16"/>
      <c r="V562" s="16"/>
      <c r="W562" s="16"/>
      <c r="X562" s="16"/>
      <c r="Y562" s="16"/>
    </row>
    <row r="563" spans="1:25" x14ac:dyDescent="0.2">
      <c r="A563" s="14"/>
      <c r="B563" s="6"/>
      <c r="C563" s="6"/>
      <c r="D563" s="16"/>
      <c r="E563" s="6"/>
      <c r="F563" s="16"/>
      <c r="G563" s="6"/>
      <c r="H563" s="16"/>
      <c r="I563" s="16"/>
      <c r="J563" s="16"/>
      <c r="K563" s="16"/>
      <c r="L563" s="16"/>
      <c r="M563" s="16"/>
      <c r="N563" s="16"/>
      <c r="O563" s="16"/>
      <c r="P563" s="16"/>
      <c r="Q563" s="16"/>
      <c r="R563" s="16"/>
      <c r="S563" s="16"/>
      <c r="T563" s="16"/>
      <c r="U563" s="16"/>
      <c r="V563" s="16"/>
      <c r="W563" s="16"/>
      <c r="X563" s="16"/>
      <c r="Y563" s="16"/>
    </row>
    <row r="564" spans="1:25" x14ac:dyDescent="0.2">
      <c r="A564" s="14"/>
      <c r="B564" s="6"/>
      <c r="C564" s="6"/>
      <c r="D564" s="16"/>
      <c r="E564" s="6"/>
      <c r="F564" s="16"/>
      <c r="G564" s="6"/>
      <c r="H564" s="16"/>
      <c r="I564" s="16"/>
      <c r="J564" s="16"/>
      <c r="K564" s="16"/>
      <c r="L564" s="16"/>
      <c r="M564" s="16"/>
      <c r="N564" s="16"/>
      <c r="O564" s="16"/>
      <c r="P564" s="16"/>
      <c r="Q564" s="16"/>
      <c r="R564" s="16"/>
      <c r="S564" s="16"/>
      <c r="T564" s="16"/>
      <c r="U564" s="16"/>
      <c r="V564" s="16"/>
      <c r="W564" s="16"/>
      <c r="X564" s="16"/>
      <c r="Y564" s="16"/>
    </row>
    <row r="565" spans="1:25" x14ac:dyDescent="0.2">
      <c r="A565" s="14"/>
      <c r="B565" s="6"/>
      <c r="C565" s="6"/>
      <c r="D565" s="16"/>
      <c r="E565" s="6"/>
      <c r="F565" s="16"/>
      <c r="G565" s="6"/>
      <c r="H565" s="16"/>
      <c r="I565" s="16"/>
      <c r="J565" s="16"/>
      <c r="K565" s="16"/>
      <c r="L565" s="16"/>
      <c r="M565" s="16"/>
      <c r="N565" s="16"/>
      <c r="O565" s="16"/>
      <c r="P565" s="16"/>
      <c r="Q565" s="16"/>
      <c r="R565" s="16"/>
      <c r="S565" s="16"/>
      <c r="T565" s="16"/>
      <c r="U565" s="16"/>
      <c r="V565" s="16"/>
      <c r="W565" s="16"/>
      <c r="X565" s="16"/>
      <c r="Y565" s="16"/>
    </row>
    <row r="566" spans="1:25" x14ac:dyDescent="0.2">
      <c r="A566" s="14"/>
      <c r="B566" s="6"/>
      <c r="C566" s="6"/>
      <c r="D566" s="16"/>
      <c r="E566" s="6"/>
      <c r="F566" s="16"/>
      <c r="G566" s="6"/>
      <c r="H566" s="16"/>
      <c r="I566" s="16"/>
      <c r="J566" s="16"/>
      <c r="K566" s="16"/>
      <c r="L566" s="16"/>
      <c r="M566" s="16"/>
      <c r="N566" s="16"/>
      <c r="O566" s="16"/>
      <c r="P566" s="16"/>
      <c r="Q566" s="16"/>
      <c r="R566" s="16"/>
      <c r="S566" s="16"/>
      <c r="T566" s="16"/>
      <c r="U566" s="16"/>
      <c r="V566" s="16"/>
      <c r="W566" s="16"/>
      <c r="X566" s="16"/>
      <c r="Y566" s="16"/>
    </row>
    <row r="567" spans="1:25" x14ac:dyDescent="0.2">
      <c r="A567" s="14"/>
      <c r="B567" s="6"/>
      <c r="C567" s="6"/>
      <c r="D567" s="16"/>
      <c r="E567" s="6"/>
      <c r="F567" s="16"/>
      <c r="G567" s="6"/>
      <c r="H567" s="16"/>
      <c r="I567" s="16"/>
      <c r="J567" s="16"/>
      <c r="K567" s="16"/>
      <c r="L567" s="16"/>
      <c r="M567" s="16"/>
      <c r="N567" s="16"/>
      <c r="O567" s="16"/>
      <c r="P567" s="16"/>
      <c r="Q567" s="16"/>
      <c r="R567" s="16"/>
      <c r="S567" s="16"/>
      <c r="T567" s="16"/>
      <c r="U567" s="16"/>
      <c r="V567" s="16"/>
      <c r="W567" s="16"/>
      <c r="X567" s="16"/>
      <c r="Y567" s="16"/>
    </row>
    <row r="568" spans="1:25" x14ac:dyDescent="0.2">
      <c r="A568" s="14"/>
      <c r="B568" s="6"/>
      <c r="C568" s="6"/>
      <c r="D568" s="16"/>
      <c r="E568" s="6"/>
      <c r="F568" s="16"/>
      <c r="G568" s="6"/>
      <c r="H568" s="16"/>
      <c r="I568" s="16"/>
      <c r="J568" s="16"/>
      <c r="K568" s="16"/>
      <c r="L568" s="16"/>
      <c r="M568" s="16"/>
      <c r="N568" s="16"/>
      <c r="O568" s="16"/>
      <c r="P568" s="16"/>
      <c r="Q568" s="16"/>
      <c r="R568" s="16"/>
      <c r="S568" s="16"/>
      <c r="T568" s="16"/>
      <c r="U568" s="16"/>
      <c r="V568" s="16"/>
      <c r="W568" s="16"/>
      <c r="X568" s="16"/>
      <c r="Y568" s="16"/>
    </row>
    <row r="569" spans="1:25" x14ac:dyDescent="0.2">
      <c r="A569" s="14"/>
      <c r="B569" s="6"/>
      <c r="C569" s="6"/>
      <c r="D569" s="16"/>
      <c r="E569" s="6"/>
      <c r="F569" s="16"/>
      <c r="G569" s="6"/>
      <c r="H569" s="16"/>
      <c r="I569" s="16"/>
      <c r="J569" s="16"/>
      <c r="K569" s="16"/>
      <c r="L569" s="16"/>
      <c r="M569" s="16"/>
      <c r="N569" s="16"/>
      <c r="O569" s="16"/>
      <c r="P569" s="16"/>
      <c r="Q569" s="16"/>
      <c r="R569" s="16"/>
      <c r="S569" s="16"/>
      <c r="T569" s="16"/>
      <c r="U569" s="16"/>
      <c r="V569" s="16"/>
      <c r="W569" s="16"/>
      <c r="X569" s="16"/>
      <c r="Y569" s="16"/>
    </row>
    <row r="570" spans="1:25" x14ac:dyDescent="0.2">
      <c r="A570" s="14"/>
      <c r="B570" s="6"/>
      <c r="C570" s="6"/>
      <c r="D570" s="16"/>
      <c r="E570" s="6"/>
      <c r="F570" s="16"/>
      <c r="G570" s="6"/>
      <c r="H570" s="16"/>
      <c r="I570" s="16"/>
      <c r="J570" s="16"/>
      <c r="K570" s="16"/>
      <c r="L570" s="16"/>
      <c r="M570" s="16"/>
      <c r="N570" s="16"/>
      <c r="O570" s="16"/>
      <c r="P570" s="16"/>
      <c r="Q570" s="16"/>
      <c r="R570" s="16"/>
      <c r="S570" s="16"/>
      <c r="T570" s="16"/>
      <c r="U570" s="16"/>
      <c r="V570" s="16"/>
      <c r="W570" s="16"/>
      <c r="X570" s="16"/>
      <c r="Y570" s="16"/>
    </row>
    <row r="571" spans="1:25" x14ac:dyDescent="0.2">
      <c r="A571" s="14"/>
      <c r="B571" s="6"/>
      <c r="C571" s="6"/>
      <c r="D571" s="16"/>
      <c r="E571" s="6"/>
      <c r="F571" s="16"/>
      <c r="G571" s="6"/>
      <c r="H571" s="16"/>
      <c r="I571" s="16"/>
      <c r="J571" s="16"/>
      <c r="K571" s="16"/>
      <c r="L571" s="16"/>
      <c r="M571" s="16"/>
      <c r="N571" s="16"/>
      <c r="O571" s="16"/>
      <c r="P571" s="16"/>
      <c r="Q571" s="16"/>
      <c r="R571" s="16"/>
      <c r="S571" s="16"/>
      <c r="T571" s="16"/>
      <c r="U571" s="16"/>
      <c r="V571" s="16"/>
      <c r="W571" s="16"/>
      <c r="X571" s="16"/>
      <c r="Y571" s="16"/>
    </row>
    <row r="572" spans="1:25" x14ac:dyDescent="0.2">
      <c r="A572" s="14"/>
      <c r="B572" s="6"/>
      <c r="C572" s="6"/>
      <c r="D572" s="16"/>
      <c r="E572" s="6"/>
      <c r="F572" s="16"/>
      <c r="G572" s="6"/>
      <c r="H572" s="16"/>
      <c r="I572" s="16"/>
      <c r="J572" s="16"/>
      <c r="K572" s="16"/>
      <c r="L572" s="16"/>
      <c r="M572" s="16"/>
      <c r="N572" s="16"/>
      <c r="O572" s="16"/>
      <c r="P572" s="16"/>
      <c r="Q572" s="16"/>
      <c r="R572" s="16"/>
      <c r="S572" s="16"/>
      <c r="T572" s="16"/>
      <c r="U572" s="16"/>
      <c r="V572" s="16"/>
      <c r="W572" s="16"/>
      <c r="X572" s="16"/>
      <c r="Y572" s="16"/>
    </row>
    <row r="573" spans="1:25" x14ac:dyDescent="0.2">
      <c r="A573" s="14"/>
      <c r="B573" s="6"/>
      <c r="C573" s="6"/>
      <c r="D573" s="16"/>
      <c r="E573" s="6"/>
      <c r="F573" s="16"/>
      <c r="G573" s="6"/>
      <c r="H573" s="16"/>
      <c r="I573" s="16"/>
      <c r="J573" s="16"/>
      <c r="K573" s="16"/>
      <c r="L573" s="16"/>
      <c r="M573" s="16"/>
      <c r="N573" s="16"/>
      <c r="O573" s="16"/>
      <c r="P573" s="16"/>
      <c r="Q573" s="16"/>
      <c r="R573" s="16"/>
      <c r="S573" s="16"/>
      <c r="T573" s="16"/>
      <c r="U573" s="16"/>
      <c r="V573" s="16"/>
      <c r="W573" s="16"/>
      <c r="X573" s="16"/>
      <c r="Y573" s="16"/>
    </row>
    <row r="574" spans="1:25" x14ac:dyDescent="0.2">
      <c r="A574" s="14"/>
      <c r="B574" s="6"/>
      <c r="C574" s="6"/>
      <c r="D574" s="16"/>
      <c r="E574" s="6"/>
      <c r="F574" s="16"/>
      <c r="G574" s="6"/>
      <c r="H574" s="16"/>
      <c r="I574" s="16"/>
      <c r="J574" s="16"/>
      <c r="K574" s="16"/>
      <c r="L574" s="16"/>
      <c r="M574" s="16"/>
      <c r="N574" s="16"/>
      <c r="O574" s="16"/>
      <c r="P574" s="16"/>
      <c r="Q574" s="16"/>
      <c r="R574" s="16"/>
      <c r="S574" s="16"/>
      <c r="T574" s="16"/>
      <c r="U574" s="16"/>
      <c r="V574" s="16"/>
      <c r="W574" s="16"/>
      <c r="X574" s="16"/>
      <c r="Y574" s="16"/>
    </row>
    <row r="575" spans="1:25" x14ac:dyDescent="0.2">
      <c r="A575" s="14"/>
      <c r="B575" s="6"/>
      <c r="C575" s="6"/>
      <c r="D575" s="16"/>
      <c r="E575" s="6"/>
      <c r="F575" s="16"/>
      <c r="G575" s="6"/>
      <c r="H575" s="16"/>
      <c r="I575" s="16"/>
      <c r="J575" s="16"/>
      <c r="K575" s="16"/>
      <c r="L575" s="16"/>
      <c r="M575" s="16"/>
      <c r="N575" s="16"/>
      <c r="O575" s="16"/>
      <c r="P575" s="16"/>
      <c r="Q575" s="16"/>
      <c r="R575" s="16"/>
      <c r="S575" s="16"/>
      <c r="T575" s="16"/>
      <c r="U575" s="16"/>
      <c r="V575" s="16"/>
      <c r="W575" s="16"/>
      <c r="X575" s="16"/>
      <c r="Y575" s="16"/>
    </row>
    <row r="576" spans="1:25" x14ac:dyDescent="0.2">
      <c r="A576" s="14"/>
      <c r="B576" s="6"/>
      <c r="C576" s="6"/>
      <c r="D576" s="16"/>
      <c r="E576" s="6"/>
      <c r="F576" s="16"/>
      <c r="G576" s="6"/>
      <c r="H576" s="16"/>
      <c r="I576" s="16"/>
      <c r="J576" s="16"/>
      <c r="K576" s="16"/>
      <c r="L576" s="16"/>
      <c r="M576" s="16"/>
      <c r="N576" s="16"/>
      <c r="O576" s="16"/>
      <c r="P576" s="16"/>
      <c r="Q576" s="16"/>
      <c r="R576" s="16"/>
      <c r="S576" s="16"/>
      <c r="T576" s="16"/>
      <c r="U576" s="16"/>
      <c r="V576" s="16"/>
      <c r="W576" s="16"/>
      <c r="X576" s="16"/>
      <c r="Y576" s="16"/>
    </row>
    <row r="577" spans="1:25" x14ac:dyDescent="0.2">
      <c r="A577" s="14"/>
      <c r="B577" s="6"/>
      <c r="C577" s="6"/>
      <c r="D577" s="16"/>
      <c r="E577" s="6"/>
      <c r="F577" s="16"/>
      <c r="G577" s="6"/>
      <c r="H577" s="16"/>
      <c r="I577" s="16"/>
      <c r="J577" s="16"/>
      <c r="K577" s="16"/>
      <c r="L577" s="16"/>
      <c r="M577" s="16"/>
      <c r="N577" s="16"/>
      <c r="O577" s="16"/>
      <c r="P577" s="16"/>
      <c r="Q577" s="16"/>
      <c r="R577" s="16"/>
      <c r="S577" s="16"/>
      <c r="T577" s="16"/>
      <c r="U577" s="16"/>
      <c r="V577" s="16"/>
      <c r="W577" s="16"/>
      <c r="X577" s="16"/>
      <c r="Y577" s="16"/>
    </row>
    <row r="578" spans="1:25" x14ac:dyDescent="0.2">
      <c r="A578" s="14"/>
      <c r="B578" s="6"/>
      <c r="C578" s="6"/>
      <c r="D578" s="16"/>
      <c r="E578" s="6"/>
      <c r="F578" s="16"/>
      <c r="G578" s="6"/>
      <c r="H578" s="16"/>
      <c r="I578" s="16"/>
      <c r="J578" s="16"/>
      <c r="K578" s="16"/>
      <c r="L578" s="16"/>
      <c r="M578" s="16"/>
      <c r="N578" s="16"/>
      <c r="O578" s="16"/>
      <c r="P578" s="16"/>
      <c r="Q578" s="16"/>
      <c r="R578" s="16"/>
      <c r="S578" s="16"/>
      <c r="T578" s="16"/>
      <c r="U578" s="16"/>
      <c r="V578" s="16"/>
      <c r="W578" s="16"/>
      <c r="X578" s="16"/>
      <c r="Y578" s="16"/>
    </row>
    <row r="579" spans="1:25" x14ac:dyDescent="0.2">
      <c r="A579" s="14"/>
      <c r="B579" s="6"/>
      <c r="C579" s="6"/>
      <c r="D579" s="16"/>
      <c r="E579" s="6"/>
      <c r="F579" s="16"/>
      <c r="G579" s="6"/>
      <c r="H579" s="16"/>
      <c r="I579" s="16"/>
      <c r="J579" s="16"/>
      <c r="K579" s="16"/>
      <c r="L579" s="16"/>
      <c r="M579" s="16"/>
      <c r="N579" s="16"/>
      <c r="O579" s="16"/>
      <c r="P579" s="16"/>
      <c r="Q579" s="16"/>
      <c r="R579" s="16"/>
      <c r="S579" s="16"/>
      <c r="T579" s="16"/>
      <c r="U579" s="16"/>
      <c r="V579" s="16"/>
      <c r="W579" s="16"/>
      <c r="X579" s="16"/>
      <c r="Y579" s="16"/>
    </row>
    <row r="580" spans="1:25" x14ac:dyDescent="0.2">
      <c r="A580" s="14"/>
      <c r="B580" s="6"/>
      <c r="C580" s="6"/>
      <c r="D580" s="16"/>
      <c r="E580" s="6"/>
      <c r="F580" s="16"/>
      <c r="G580" s="6"/>
      <c r="H580" s="16"/>
      <c r="I580" s="16"/>
      <c r="J580" s="16"/>
      <c r="K580" s="16"/>
      <c r="L580" s="16"/>
      <c r="M580" s="16"/>
      <c r="N580" s="16"/>
      <c r="O580" s="16"/>
      <c r="P580" s="16"/>
      <c r="Q580" s="16"/>
      <c r="R580" s="16"/>
      <c r="S580" s="16"/>
      <c r="T580" s="16"/>
      <c r="U580" s="16"/>
      <c r="V580" s="16"/>
      <c r="W580" s="16"/>
      <c r="X580" s="16"/>
      <c r="Y580" s="16"/>
    </row>
    <row r="581" spans="1:25" x14ac:dyDescent="0.2">
      <c r="A581" s="14"/>
      <c r="B581" s="6"/>
      <c r="C581" s="6"/>
      <c r="D581" s="16"/>
      <c r="E581" s="6"/>
      <c r="F581" s="16"/>
      <c r="G581" s="6"/>
      <c r="H581" s="16"/>
      <c r="I581" s="16"/>
      <c r="J581" s="16"/>
      <c r="K581" s="16"/>
      <c r="L581" s="16"/>
      <c r="M581" s="16"/>
      <c r="N581" s="16"/>
      <c r="O581" s="16"/>
      <c r="P581" s="16"/>
      <c r="Q581" s="16"/>
      <c r="R581" s="16"/>
      <c r="S581" s="16"/>
      <c r="T581" s="16"/>
      <c r="U581" s="16"/>
      <c r="V581" s="16"/>
      <c r="W581" s="16"/>
      <c r="X581" s="16"/>
      <c r="Y581" s="16"/>
    </row>
    <row r="582" spans="1:25" x14ac:dyDescent="0.2">
      <c r="A582" s="14"/>
      <c r="B582" s="6"/>
      <c r="C582" s="6"/>
      <c r="D582" s="16"/>
      <c r="E582" s="6"/>
      <c r="F582" s="16"/>
      <c r="G582" s="6"/>
      <c r="H582" s="16"/>
      <c r="I582" s="16"/>
      <c r="J582" s="16"/>
      <c r="K582" s="16"/>
      <c r="L582" s="16"/>
      <c r="M582" s="16"/>
      <c r="N582" s="16"/>
      <c r="O582" s="16"/>
      <c r="P582" s="16"/>
      <c r="Q582" s="16"/>
      <c r="R582" s="16"/>
      <c r="S582" s="16"/>
      <c r="T582" s="16"/>
      <c r="U582" s="16"/>
      <c r="V582" s="16"/>
      <c r="W582" s="16"/>
      <c r="X582" s="16"/>
      <c r="Y582" s="16"/>
    </row>
    <row r="583" spans="1:25" x14ac:dyDescent="0.2">
      <c r="A583" s="14"/>
      <c r="B583" s="6"/>
      <c r="C583" s="6"/>
      <c r="D583" s="16"/>
      <c r="E583" s="6"/>
      <c r="F583" s="16"/>
      <c r="G583" s="6"/>
      <c r="H583" s="16"/>
      <c r="I583" s="16"/>
      <c r="J583" s="16"/>
      <c r="K583" s="16"/>
      <c r="L583" s="16"/>
      <c r="M583" s="16"/>
      <c r="N583" s="16"/>
      <c r="O583" s="16"/>
      <c r="P583" s="16"/>
      <c r="Q583" s="16"/>
      <c r="R583" s="16"/>
      <c r="S583" s="16"/>
      <c r="T583" s="16"/>
      <c r="U583" s="16"/>
      <c r="V583" s="16"/>
      <c r="W583" s="16"/>
      <c r="X583" s="16"/>
      <c r="Y583" s="16"/>
    </row>
    <row r="584" spans="1:25" x14ac:dyDescent="0.2">
      <c r="A584" s="14"/>
      <c r="B584" s="6"/>
      <c r="C584" s="6"/>
      <c r="D584" s="16"/>
      <c r="E584" s="6"/>
      <c r="F584" s="16"/>
      <c r="G584" s="6"/>
      <c r="H584" s="16"/>
      <c r="I584" s="16"/>
      <c r="J584" s="16"/>
      <c r="K584" s="16"/>
      <c r="L584" s="16"/>
      <c r="M584" s="16"/>
      <c r="N584" s="16"/>
      <c r="O584" s="16"/>
      <c r="P584" s="16"/>
      <c r="Q584" s="16"/>
      <c r="R584" s="16"/>
      <c r="S584" s="16"/>
      <c r="T584" s="16"/>
      <c r="U584" s="16"/>
      <c r="V584" s="16"/>
      <c r="W584" s="16"/>
      <c r="X584" s="16"/>
      <c r="Y584" s="16"/>
    </row>
    <row r="585" spans="1:25" x14ac:dyDescent="0.2">
      <c r="A585" s="14"/>
      <c r="B585" s="6"/>
      <c r="C585" s="6"/>
      <c r="D585" s="16"/>
      <c r="E585" s="6"/>
      <c r="F585" s="16"/>
      <c r="G585" s="6"/>
      <c r="H585" s="16"/>
      <c r="I585" s="16"/>
      <c r="J585" s="16"/>
      <c r="K585" s="16"/>
      <c r="L585" s="16"/>
      <c r="M585" s="16"/>
      <c r="N585" s="16"/>
      <c r="O585" s="16"/>
      <c r="P585" s="16"/>
      <c r="Q585" s="16"/>
      <c r="R585" s="16"/>
      <c r="S585" s="16"/>
      <c r="T585" s="16"/>
      <c r="U585" s="16"/>
      <c r="V585" s="16"/>
      <c r="W585" s="16"/>
      <c r="X585" s="16"/>
      <c r="Y585" s="16"/>
    </row>
    <row r="586" spans="1:25" x14ac:dyDescent="0.2">
      <c r="A586" s="14"/>
      <c r="B586" s="6"/>
      <c r="C586" s="6"/>
      <c r="D586" s="16"/>
      <c r="E586" s="6"/>
      <c r="F586" s="16"/>
      <c r="G586" s="6"/>
      <c r="H586" s="16"/>
      <c r="I586" s="16"/>
      <c r="J586" s="16"/>
      <c r="K586" s="16"/>
      <c r="L586" s="16"/>
      <c r="M586" s="16"/>
      <c r="N586" s="16"/>
      <c r="O586" s="16"/>
      <c r="P586" s="16"/>
      <c r="Q586" s="16"/>
      <c r="R586" s="16"/>
      <c r="S586" s="16"/>
      <c r="T586" s="16"/>
      <c r="U586" s="16"/>
      <c r="V586" s="16"/>
      <c r="W586" s="16"/>
      <c r="X586" s="16"/>
      <c r="Y586" s="16"/>
    </row>
    <row r="587" spans="1:25" x14ac:dyDescent="0.2">
      <c r="A587" s="14"/>
      <c r="B587" s="6"/>
      <c r="C587" s="6"/>
      <c r="D587" s="16"/>
      <c r="E587" s="6"/>
      <c r="F587" s="16"/>
      <c r="G587" s="6"/>
      <c r="H587" s="16"/>
      <c r="I587" s="16"/>
      <c r="J587" s="16"/>
      <c r="K587" s="16"/>
      <c r="L587" s="16"/>
      <c r="M587" s="16"/>
      <c r="N587" s="16"/>
      <c r="O587" s="16"/>
      <c r="P587" s="16"/>
      <c r="Q587" s="16"/>
      <c r="R587" s="16"/>
      <c r="S587" s="16"/>
      <c r="T587" s="16"/>
      <c r="U587" s="16"/>
      <c r="V587" s="16"/>
      <c r="W587" s="16"/>
      <c r="X587" s="16"/>
      <c r="Y587" s="16"/>
    </row>
    <row r="588" spans="1:25" x14ac:dyDescent="0.2">
      <c r="A588" s="14"/>
      <c r="B588" s="6"/>
      <c r="C588" s="6"/>
      <c r="D588" s="16"/>
      <c r="E588" s="6"/>
      <c r="F588" s="16"/>
      <c r="G588" s="6"/>
      <c r="H588" s="16"/>
      <c r="I588" s="16"/>
      <c r="J588" s="16"/>
      <c r="K588" s="16"/>
      <c r="L588" s="16"/>
      <c r="M588" s="16"/>
      <c r="N588" s="16"/>
      <c r="O588" s="16"/>
      <c r="P588" s="16"/>
      <c r="Q588" s="16"/>
      <c r="R588" s="16"/>
      <c r="S588" s="16"/>
      <c r="T588" s="16"/>
      <c r="U588" s="16"/>
      <c r="V588" s="16"/>
      <c r="W588" s="16"/>
      <c r="X588" s="16"/>
      <c r="Y588" s="16"/>
    </row>
    <row r="589" spans="1:25" x14ac:dyDescent="0.2">
      <c r="A589" s="14"/>
      <c r="B589" s="6"/>
      <c r="C589" s="6"/>
      <c r="D589" s="16"/>
      <c r="E589" s="6"/>
      <c r="F589" s="16"/>
      <c r="G589" s="6"/>
      <c r="H589" s="16"/>
      <c r="I589" s="16"/>
      <c r="J589" s="16"/>
      <c r="K589" s="16"/>
      <c r="L589" s="16"/>
      <c r="M589" s="16"/>
      <c r="N589" s="16"/>
      <c r="O589" s="16"/>
      <c r="P589" s="16"/>
      <c r="Q589" s="16"/>
      <c r="R589" s="16"/>
      <c r="S589" s="16"/>
      <c r="T589" s="16"/>
      <c r="U589" s="16"/>
      <c r="V589" s="16"/>
      <c r="W589" s="16"/>
      <c r="X589" s="16"/>
      <c r="Y589" s="16"/>
    </row>
    <row r="590" spans="1:25" x14ac:dyDescent="0.2">
      <c r="A590" s="14"/>
      <c r="B590" s="6"/>
      <c r="C590" s="6"/>
      <c r="D590" s="16"/>
      <c r="E590" s="6"/>
      <c r="F590" s="16"/>
      <c r="G590" s="6"/>
      <c r="H590" s="16"/>
      <c r="I590" s="16"/>
      <c r="J590" s="16"/>
      <c r="K590" s="16"/>
      <c r="L590" s="16"/>
      <c r="M590" s="16"/>
      <c r="N590" s="16"/>
      <c r="O590" s="16"/>
      <c r="P590" s="16"/>
      <c r="Q590" s="16"/>
      <c r="R590" s="16"/>
      <c r="S590" s="16"/>
      <c r="T590" s="16"/>
      <c r="U590" s="16"/>
      <c r="V590" s="16"/>
      <c r="W590" s="16"/>
      <c r="X590" s="16"/>
      <c r="Y590" s="16"/>
    </row>
    <row r="591" spans="1:25" x14ac:dyDescent="0.2">
      <c r="A591" s="14"/>
      <c r="B591" s="6"/>
      <c r="C591" s="6"/>
      <c r="D591" s="16"/>
      <c r="E591" s="6"/>
      <c r="F591" s="16"/>
      <c r="G591" s="6"/>
      <c r="H591" s="16"/>
      <c r="I591" s="16"/>
      <c r="J591" s="16"/>
      <c r="K591" s="16"/>
      <c r="L591" s="16"/>
      <c r="M591" s="16"/>
      <c r="N591" s="16"/>
      <c r="O591" s="16"/>
      <c r="P591" s="16"/>
      <c r="Q591" s="16"/>
      <c r="R591" s="16"/>
      <c r="S591" s="16"/>
      <c r="T591" s="16"/>
      <c r="U591" s="16"/>
      <c r="V591" s="16"/>
      <c r="W591" s="16"/>
      <c r="X591" s="16"/>
      <c r="Y591" s="16"/>
    </row>
    <row r="592" spans="1:25" x14ac:dyDescent="0.2">
      <c r="A592" s="14"/>
      <c r="B592" s="6"/>
      <c r="C592" s="6"/>
      <c r="D592" s="16"/>
      <c r="E592" s="6"/>
      <c r="F592" s="16"/>
      <c r="G592" s="6"/>
      <c r="H592" s="16"/>
      <c r="I592" s="16"/>
      <c r="J592" s="16"/>
      <c r="K592" s="16"/>
      <c r="L592" s="16"/>
      <c r="M592" s="16"/>
      <c r="N592" s="16"/>
      <c r="O592" s="16"/>
      <c r="P592" s="16"/>
      <c r="Q592" s="16"/>
      <c r="R592" s="16"/>
      <c r="S592" s="16"/>
      <c r="T592" s="16"/>
      <c r="U592" s="16"/>
      <c r="V592" s="16"/>
      <c r="W592" s="16"/>
      <c r="X592" s="16"/>
      <c r="Y592" s="16"/>
    </row>
    <row r="593" spans="1:25" x14ac:dyDescent="0.2">
      <c r="A593" s="14"/>
      <c r="B593" s="6"/>
      <c r="C593" s="6"/>
      <c r="D593" s="16"/>
      <c r="E593" s="6"/>
      <c r="F593" s="16"/>
      <c r="G593" s="6"/>
      <c r="H593" s="16"/>
      <c r="I593" s="16"/>
      <c r="J593" s="16"/>
      <c r="K593" s="16"/>
      <c r="L593" s="16"/>
      <c r="M593" s="16"/>
      <c r="N593" s="16"/>
      <c r="O593" s="16"/>
      <c r="P593" s="16"/>
      <c r="Q593" s="16"/>
      <c r="R593" s="16"/>
      <c r="S593" s="16"/>
      <c r="T593" s="16"/>
      <c r="U593" s="16"/>
      <c r="V593" s="16"/>
      <c r="W593" s="16"/>
      <c r="X593" s="16"/>
      <c r="Y593" s="16"/>
    </row>
    <row r="594" spans="1:25" x14ac:dyDescent="0.2">
      <c r="A594" s="14"/>
      <c r="B594" s="6"/>
      <c r="C594" s="6"/>
      <c r="D594" s="16"/>
      <c r="E594" s="6"/>
      <c r="F594" s="16"/>
      <c r="G594" s="6"/>
      <c r="H594" s="16"/>
      <c r="I594" s="16"/>
      <c r="J594" s="16"/>
      <c r="K594" s="16"/>
      <c r="L594" s="16"/>
      <c r="M594" s="16"/>
      <c r="N594" s="16"/>
      <c r="O594" s="16"/>
      <c r="P594" s="16"/>
      <c r="Q594" s="16"/>
      <c r="R594" s="16"/>
      <c r="S594" s="16"/>
      <c r="T594" s="16"/>
      <c r="U594" s="16"/>
      <c r="V594" s="16"/>
      <c r="W594" s="16"/>
      <c r="X594" s="16"/>
      <c r="Y594" s="16"/>
    </row>
    <row r="595" spans="1:25" x14ac:dyDescent="0.2">
      <c r="A595" s="14"/>
      <c r="B595" s="6"/>
      <c r="C595" s="6"/>
      <c r="D595" s="16"/>
      <c r="E595" s="6"/>
      <c r="F595" s="16"/>
      <c r="G595" s="6"/>
      <c r="H595" s="16"/>
      <c r="I595" s="16"/>
      <c r="J595" s="16"/>
      <c r="K595" s="16"/>
      <c r="L595" s="16"/>
      <c r="M595" s="16"/>
      <c r="N595" s="16"/>
      <c r="O595" s="16"/>
      <c r="P595" s="16"/>
      <c r="Q595" s="16"/>
      <c r="R595" s="16"/>
      <c r="S595" s="16"/>
      <c r="T595" s="16"/>
      <c r="U595" s="16"/>
      <c r="V595" s="16"/>
      <c r="W595" s="16"/>
      <c r="X595" s="16"/>
      <c r="Y595" s="16"/>
    </row>
    <row r="596" spans="1:25" x14ac:dyDescent="0.2">
      <c r="A596" s="14"/>
      <c r="B596" s="6"/>
      <c r="C596" s="6"/>
      <c r="D596" s="16"/>
      <c r="E596" s="6"/>
      <c r="F596" s="16"/>
      <c r="G596" s="6"/>
      <c r="H596" s="16"/>
      <c r="I596" s="16"/>
      <c r="J596" s="16"/>
      <c r="K596" s="16"/>
      <c r="L596" s="16"/>
      <c r="M596" s="16"/>
      <c r="N596" s="16"/>
      <c r="O596" s="16"/>
      <c r="P596" s="16"/>
      <c r="Q596" s="16"/>
      <c r="R596" s="16"/>
      <c r="S596" s="16"/>
      <c r="T596" s="16"/>
      <c r="U596" s="16"/>
      <c r="V596" s="16"/>
      <c r="W596" s="16"/>
      <c r="X596" s="16"/>
      <c r="Y596" s="16"/>
    </row>
    <row r="597" spans="1:25" x14ac:dyDescent="0.2">
      <c r="A597" s="14"/>
      <c r="B597" s="6"/>
      <c r="C597" s="6"/>
      <c r="D597" s="16"/>
      <c r="E597" s="6"/>
      <c r="F597" s="16"/>
      <c r="G597" s="6"/>
      <c r="H597" s="16"/>
      <c r="I597" s="16"/>
      <c r="J597" s="16"/>
      <c r="K597" s="16"/>
      <c r="L597" s="16"/>
      <c r="M597" s="16"/>
      <c r="N597" s="16"/>
      <c r="O597" s="16"/>
      <c r="P597" s="16"/>
      <c r="Q597" s="16"/>
      <c r="R597" s="16"/>
      <c r="S597" s="16"/>
      <c r="T597" s="16"/>
      <c r="U597" s="16"/>
      <c r="V597" s="16"/>
      <c r="W597" s="16"/>
      <c r="X597" s="16"/>
      <c r="Y597" s="16"/>
    </row>
    <row r="598" spans="1:25" x14ac:dyDescent="0.2">
      <c r="A598" s="14"/>
      <c r="B598" s="6"/>
      <c r="C598" s="6"/>
      <c r="D598" s="16"/>
      <c r="E598" s="6"/>
      <c r="F598" s="16"/>
      <c r="G598" s="6"/>
      <c r="H598" s="16"/>
      <c r="I598" s="16"/>
      <c r="J598" s="16"/>
      <c r="K598" s="16"/>
      <c r="L598" s="16"/>
      <c r="M598" s="16"/>
      <c r="N598" s="16"/>
      <c r="O598" s="16"/>
      <c r="P598" s="16"/>
      <c r="Q598" s="16"/>
      <c r="R598" s="16"/>
      <c r="S598" s="16"/>
      <c r="T598" s="16"/>
      <c r="U598" s="16"/>
      <c r="V598" s="16"/>
      <c r="W598" s="16"/>
      <c r="X598" s="16"/>
      <c r="Y598" s="16"/>
    </row>
    <row r="599" spans="1:25" x14ac:dyDescent="0.2">
      <c r="A599" s="14"/>
      <c r="B599" s="6"/>
      <c r="C599" s="6"/>
      <c r="D599" s="16"/>
      <c r="E599" s="6"/>
      <c r="F599" s="16"/>
      <c r="G599" s="6"/>
      <c r="H599" s="16"/>
      <c r="I599" s="16"/>
      <c r="J599" s="16"/>
      <c r="K599" s="16"/>
      <c r="L599" s="16"/>
      <c r="M599" s="16"/>
      <c r="N599" s="16"/>
      <c r="O599" s="16"/>
      <c r="P599" s="16"/>
      <c r="Q599" s="16"/>
      <c r="R599" s="16"/>
      <c r="S599" s="16"/>
      <c r="T599" s="16"/>
      <c r="U599" s="16"/>
      <c r="V599" s="16"/>
      <c r="W599" s="16"/>
      <c r="X599" s="16"/>
      <c r="Y599" s="16"/>
    </row>
    <row r="600" spans="1:25" x14ac:dyDescent="0.2">
      <c r="A600" s="14"/>
      <c r="B600" s="6"/>
      <c r="C600" s="6"/>
      <c r="D600" s="16"/>
      <c r="E600" s="6"/>
      <c r="F600" s="16"/>
      <c r="G600" s="6"/>
      <c r="H600" s="16"/>
      <c r="I600" s="16"/>
      <c r="J600" s="16"/>
      <c r="K600" s="16"/>
      <c r="L600" s="16"/>
      <c r="M600" s="16"/>
      <c r="N600" s="16"/>
      <c r="O600" s="16"/>
      <c r="P600" s="16"/>
      <c r="Q600" s="16"/>
      <c r="R600" s="16"/>
      <c r="S600" s="16"/>
      <c r="T600" s="16"/>
      <c r="U600" s="16"/>
      <c r="V600" s="16"/>
      <c r="W600" s="16"/>
      <c r="X600" s="16"/>
      <c r="Y600" s="16"/>
    </row>
    <row r="601" spans="1:25" x14ac:dyDescent="0.2">
      <c r="A601" s="14"/>
      <c r="B601" s="6"/>
      <c r="C601" s="6"/>
      <c r="D601" s="16"/>
      <c r="E601" s="6"/>
      <c r="F601" s="16"/>
      <c r="G601" s="6"/>
      <c r="H601" s="16"/>
      <c r="I601" s="16"/>
      <c r="J601" s="16"/>
      <c r="K601" s="16"/>
      <c r="L601" s="16"/>
      <c r="M601" s="16"/>
      <c r="N601" s="16"/>
      <c r="O601" s="16"/>
      <c r="P601" s="16"/>
      <c r="Q601" s="16"/>
      <c r="R601" s="16"/>
      <c r="S601" s="16"/>
      <c r="T601" s="16"/>
      <c r="U601" s="16"/>
      <c r="V601" s="16"/>
      <c r="W601" s="16"/>
      <c r="X601" s="16"/>
      <c r="Y601" s="16"/>
    </row>
    <row r="602" spans="1:25" x14ac:dyDescent="0.2">
      <c r="A602" s="14"/>
      <c r="B602" s="6"/>
      <c r="C602" s="6"/>
      <c r="D602" s="16"/>
      <c r="E602" s="6"/>
      <c r="F602" s="16"/>
      <c r="G602" s="6"/>
      <c r="H602" s="16"/>
      <c r="I602" s="16"/>
      <c r="J602" s="16"/>
      <c r="K602" s="16"/>
      <c r="L602" s="16"/>
      <c r="M602" s="16"/>
      <c r="N602" s="16"/>
      <c r="O602" s="16"/>
      <c r="P602" s="16"/>
      <c r="Q602" s="16"/>
      <c r="R602" s="16"/>
      <c r="S602" s="16"/>
      <c r="T602" s="16"/>
      <c r="U602" s="16"/>
      <c r="V602" s="16"/>
      <c r="W602" s="16"/>
      <c r="X602" s="16"/>
      <c r="Y602" s="16"/>
    </row>
    <row r="603" spans="1:25" x14ac:dyDescent="0.2">
      <c r="A603" s="14"/>
      <c r="B603" s="6"/>
      <c r="C603" s="6"/>
      <c r="D603" s="16"/>
      <c r="E603" s="6"/>
      <c r="F603" s="16"/>
      <c r="G603" s="6"/>
      <c r="H603" s="16"/>
      <c r="I603" s="16"/>
      <c r="J603" s="16"/>
      <c r="K603" s="16"/>
      <c r="L603" s="16"/>
      <c r="M603" s="16"/>
      <c r="N603" s="16"/>
      <c r="O603" s="16"/>
      <c r="P603" s="16"/>
      <c r="Q603" s="16"/>
      <c r="R603" s="16"/>
      <c r="S603" s="16"/>
      <c r="T603" s="16"/>
      <c r="U603" s="16"/>
      <c r="V603" s="16"/>
      <c r="W603" s="16"/>
      <c r="X603" s="16"/>
      <c r="Y603" s="16"/>
    </row>
    <row r="604" spans="1:25" x14ac:dyDescent="0.2">
      <c r="A604" s="14"/>
      <c r="B604" s="6"/>
      <c r="C604" s="6"/>
      <c r="D604" s="16"/>
      <c r="E604" s="6"/>
      <c r="F604" s="16"/>
      <c r="G604" s="6"/>
      <c r="H604" s="16"/>
      <c r="I604" s="16"/>
      <c r="J604" s="16"/>
      <c r="K604" s="16"/>
      <c r="L604" s="16"/>
      <c r="M604" s="16"/>
      <c r="N604" s="16"/>
      <c r="O604" s="16"/>
      <c r="P604" s="16"/>
      <c r="Q604" s="16"/>
      <c r="R604" s="16"/>
      <c r="S604" s="16"/>
      <c r="T604" s="16"/>
      <c r="U604" s="16"/>
      <c r="V604" s="16"/>
      <c r="W604" s="16"/>
      <c r="X604" s="16"/>
      <c r="Y604" s="16"/>
    </row>
    <row r="605" spans="1:25" x14ac:dyDescent="0.2">
      <c r="A605" s="14"/>
      <c r="B605" s="6"/>
      <c r="C605" s="6"/>
      <c r="D605" s="16"/>
      <c r="E605" s="6"/>
      <c r="F605" s="16"/>
      <c r="G605" s="6"/>
      <c r="H605" s="16"/>
      <c r="I605" s="16"/>
      <c r="J605" s="16"/>
      <c r="K605" s="16"/>
      <c r="L605" s="16"/>
      <c r="M605" s="16"/>
      <c r="N605" s="16"/>
      <c r="O605" s="16"/>
      <c r="P605" s="16"/>
      <c r="Q605" s="16"/>
      <c r="R605" s="16"/>
      <c r="S605" s="16"/>
      <c r="T605" s="16"/>
      <c r="U605" s="16"/>
      <c r="V605" s="16"/>
      <c r="W605" s="16"/>
      <c r="X605" s="16"/>
      <c r="Y605" s="16"/>
    </row>
    <row r="606" spans="1:25" x14ac:dyDescent="0.2">
      <c r="A606" s="14"/>
      <c r="B606" s="6"/>
      <c r="C606" s="6"/>
      <c r="D606" s="16"/>
      <c r="E606" s="6"/>
      <c r="F606" s="16"/>
      <c r="G606" s="6"/>
      <c r="H606" s="16"/>
      <c r="I606" s="16"/>
      <c r="J606" s="16"/>
      <c r="K606" s="16"/>
      <c r="L606" s="16"/>
      <c r="M606" s="16"/>
      <c r="N606" s="16"/>
      <c r="O606" s="16"/>
      <c r="P606" s="16"/>
      <c r="Q606" s="16"/>
      <c r="R606" s="16"/>
      <c r="S606" s="16"/>
      <c r="T606" s="16"/>
      <c r="U606" s="16"/>
      <c r="V606" s="16"/>
      <c r="W606" s="16"/>
      <c r="X606" s="16"/>
      <c r="Y606" s="16"/>
    </row>
    <row r="607" spans="1:25" x14ac:dyDescent="0.2">
      <c r="A607" s="14"/>
      <c r="B607" s="6"/>
      <c r="C607" s="6"/>
      <c r="D607" s="16"/>
      <c r="E607" s="6"/>
      <c r="F607" s="16"/>
      <c r="G607" s="6"/>
      <c r="H607" s="16"/>
      <c r="I607" s="16"/>
      <c r="J607" s="16"/>
      <c r="K607" s="16"/>
      <c r="L607" s="16"/>
      <c r="M607" s="16"/>
      <c r="N607" s="16"/>
      <c r="O607" s="16"/>
      <c r="P607" s="16"/>
      <c r="Q607" s="16"/>
      <c r="R607" s="16"/>
      <c r="S607" s="16"/>
      <c r="T607" s="16"/>
      <c r="U607" s="16"/>
      <c r="V607" s="16"/>
      <c r="W607" s="16"/>
      <c r="X607" s="16"/>
      <c r="Y607" s="16"/>
    </row>
    <row r="608" spans="1:25" x14ac:dyDescent="0.2">
      <c r="A608" s="14"/>
      <c r="B608" s="6"/>
      <c r="C608" s="6"/>
      <c r="D608" s="16"/>
      <c r="E608" s="6"/>
      <c r="F608" s="16"/>
      <c r="G608" s="6"/>
      <c r="H608" s="16"/>
      <c r="I608" s="16"/>
      <c r="J608" s="16"/>
      <c r="K608" s="16"/>
      <c r="L608" s="16"/>
      <c r="M608" s="16"/>
      <c r="N608" s="16"/>
      <c r="O608" s="16"/>
      <c r="P608" s="16"/>
      <c r="Q608" s="16"/>
      <c r="R608" s="16"/>
      <c r="S608" s="16"/>
      <c r="T608" s="16"/>
      <c r="U608" s="16"/>
      <c r="V608" s="16"/>
      <c r="W608" s="16"/>
      <c r="X608" s="16"/>
      <c r="Y608" s="16"/>
    </row>
    <row r="609" spans="1:25" x14ac:dyDescent="0.2">
      <c r="A609" s="14"/>
      <c r="B609" s="6"/>
      <c r="C609" s="6"/>
      <c r="D609" s="16"/>
      <c r="E609" s="6"/>
      <c r="F609" s="16"/>
      <c r="G609" s="6"/>
      <c r="H609" s="16"/>
      <c r="I609" s="16"/>
      <c r="J609" s="16"/>
      <c r="K609" s="16"/>
      <c r="L609" s="16"/>
      <c r="M609" s="16"/>
      <c r="N609" s="16"/>
      <c r="O609" s="16"/>
      <c r="P609" s="16"/>
      <c r="Q609" s="16"/>
      <c r="R609" s="16"/>
      <c r="S609" s="16"/>
      <c r="T609" s="16"/>
      <c r="U609" s="16"/>
      <c r="V609" s="16"/>
      <c r="W609" s="16"/>
      <c r="X609" s="16"/>
      <c r="Y609" s="16"/>
    </row>
    <row r="610" spans="1:25" x14ac:dyDescent="0.2">
      <c r="A610" s="14"/>
      <c r="B610" s="6"/>
      <c r="C610" s="6"/>
      <c r="D610" s="16"/>
      <c r="E610" s="6"/>
      <c r="F610" s="16"/>
      <c r="G610" s="6"/>
      <c r="H610" s="16"/>
      <c r="I610" s="16"/>
      <c r="J610" s="16"/>
      <c r="K610" s="16"/>
      <c r="L610" s="16"/>
      <c r="M610" s="16"/>
      <c r="N610" s="16"/>
      <c r="O610" s="16"/>
      <c r="P610" s="16"/>
      <c r="Q610" s="16"/>
      <c r="R610" s="16"/>
      <c r="S610" s="16"/>
      <c r="T610" s="16"/>
      <c r="U610" s="16"/>
      <c r="V610" s="16"/>
      <c r="W610" s="16"/>
      <c r="X610" s="16"/>
      <c r="Y610" s="16"/>
    </row>
    <row r="611" spans="1:25" x14ac:dyDescent="0.2">
      <c r="A611" s="14"/>
      <c r="B611" s="6"/>
      <c r="C611" s="6"/>
      <c r="D611" s="16"/>
      <c r="E611" s="6"/>
      <c r="F611" s="16"/>
      <c r="G611" s="6"/>
      <c r="H611" s="16"/>
      <c r="I611" s="16"/>
      <c r="J611" s="16"/>
      <c r="K611" s="16"/>
      <c r="L611" s="16"/>
      <c r="M611" s="16"/>
      <c r="N611" s="16"/>
      <c r="O611" s="16"/>
      <c r="P611" s="16"/>
      <c r="Q611" s="16"/>
      <c r="R611" s="16"/>
      <c r="S611" s="16"/>
      <c r="T611" s="16"/>
      <c r="U611" s="16"/>
      <c r="V611" s="16"/>
      <c r="W611" s="16"/>
      <c r="X611" s="16"/>
      <c r="Y611" s="16"/>
    </row>
    <row r="612" spans="1:25" x14ac:dyDescent="0.2">
      <c r="A612" s="14"/>
      <c r="B612" s="6"/>
      <c r="C612" s="6"/>
      <c r="D612" s="16"/>
      <c r="E612" s="6"/>
      <c r="F612" s="16"/>
      <c r="G612" s="6"/>
      <c r="H612" s="16"/>
      <c r="I612" s="16"/>
      <c r="J612" s="16"/>
      <c r="K612" s="16"/>
      <c r="L612" s="16"/>
      <c r="M612" s="16"/>
      <c r="N612" s="16"/>
      <c r="O612" s="16"/>
      <c r="P612" s="16"/>
      <c r="Q612" s="16"/>
      <c r="R612" s="16"/>
      <c r="S612" s="16"/>
      <c r="T612" s="16"/>
      <c r="U612" s="16"/>
      <c r="V612" s="16"/>
      <c r="W612" s="16"/>
      <c r="X612" s="16"/>
      <c r="Y612" s="16"/>
    </row>
    <row r="613" spans="1:25" x14ac:dyDescent="0.2">
      <c r="A613" s="14"/>
      <c r="B613" s="6"/>
      <c r="C613" s="6"/>
      <c r="D613" s="16"/>
      <c r="E613" s="6"/>
      <c r="F613" s="16"/>
      <c r="G613" s="6"/>
      <c r="H613" s="16"/>
      <c r="I613" s="16"/>
      <c r="J613" s="16"/>
      <c r="K613" s="16"/>
      <c r="L613" s="16"/>
      <c r="M613" s="16"/>
      <c r="N613" s="16"/>
      <c r="O613" s="16"/>
      <c r="P613" s="16"/>
      <c r="Q613" s="16"/>
      <c r="R613" s="16"/>
      <c r="S613" s="16"/>
      <c r="T613" s="16"/>
      <c r="U613" s="16"/>
      <c r="V613" s="16"/>
      <c r="W613" s="16"/>
      <c r="X613" s="16"/>
      <c r="Y613" s="16"/>
    </row>
    <row r="614" spans="1:25" x14ac:dyDescent="0.2">
      <c r="A614" s="14"/>
      <c r="B614" s="6"/>
      <c r="C614" s="6"/>
      <c r="D614" s="16"/>
      <c r="E614" s="6"/>
      <c r="F614" s="16"/>
      <c r="G614" s="6"/>
      <c r="H614" s="16"/>
      <c r="I614" s="16"/>
      <c r="J614" s="16"/>
      <c r="K614" s="16"/>
      <c r="L614" s="16"/>
      <c r="M614" s="16"/>
      <c r="N614" s="16"/>
      <c r="O614" s="16"/>
      <c r="P614" s="16"/>
      <c r="Q614" s="16"/>
      <c r="R614" s="16"/>
      <c r="S614" s="16"/>
      <c r="T614" s="16"/>
      <c r="U614" s="16"/>
      <c r="V614" s="16"/>
      <c r="W614" s="16"/>
      <c r="X614" s="16"/>
      <c r="Y614" s="16"/>
    </row>
    <row r="615" spans="1:25" x14ac:dyDescent="0.2">
      <c r="A615" s="14"/>
      <c r="B615" s="6"/>
      <c r="C615" s="6"/>
      <c r="D615" s="16"/>
      <c r="E615" s="6"/>
      <c r="F615" s="16"/>
      <c r="G615" s="6"/>
      <c r="H615" s="16"/>
      <c r="I615" s="16"/>
      <c r="J615" s="16"/>
      <c r="K615" s="16"/>
      <c r="L615" s="16"/>
      <c r="M615" s="16"/>
      <c r="N615" s="16"/>
      <c r="O615" s="16"/>
      <c r="P615" s="16"/>
      <c r="Q615" s="16"/>
      <c r="R615" s="16"/>
      <c r="S615" s="16"/>
      <c r="T615" s="16"/>
      <c r="U615" s="16"/>
      <c r="V615" s="16"/>
      <c r="W615" s="16"/>
      <c r="X615" s="16"/>
      <c r="Y615" s="16"/>
    </row>
    <row r="616" spans="1:25" x14ac:dyDescent="0.2">
      <c r="A616" s="14"/>
      <c r="B616" s="6"/>
      <c r="C616" s="6"/>
      <c r="D616" s="16"/>
      <c r="E616" s="6"/>
      <c r="F616" s="16"/>
      <c r="G616" s="6"/>
      <c r="H616" s="16"/>
      <c r="I616" s="16"/>
      <c r="J616" s="16"/>
      <c r="K616" s="16"/>
      <c r="L616" s="16"/>
      <c r="M616" s="16"/>
      <c r="N616" s="16"/>
      <c r="O616" s="16"/>
      <c r="P616" s="16"/>
      <c r="Q616" s="16"/>
      <c r="R616" s="16"/>
      <c r="S616" s="16"/>
      <c r="T616" s="16"/>
      <c r="U616" s="16"/>
      <c r="V616" s="16"/>
      <c r="W616" s="16"/>
      <c r="X616" s="16"/>
      <c r="Y616" s="16"/>
    </row>
    <row r="617" spans="1:25" x14ac:dyDescent="0.2">
      <c r="A617" s="14"/>
      <c r="B617" s="6"/>
      <c r="C617" s="6"/>
      <c r="D617" s="16"/>
      <c r="E617" s="6"/>
      <c r="F617" s="16"/>
      <c r="G617" s="6"/>
      <c r="H617" s="16"/>
      <c r="I617" s="16"/>
      <c r="J617" s="16"/>
      <c r="K617" s="16"/>
      <c r="L617" s="16"/>
      <c r="M617" s="16"/>
      <c r="N617" s="16"/>
      <c r="O617" s="16"/>
      <c r="P617" s="16"/>
      <c r="Q617" s="16"/>
      <c r="R617" s="16"/>
      <c r="S617" s="16"/>
      <c r="T617" s="16"/>
      <c r="U617" s="16"/>
      <c r="V617" s="16"/>
      <c r="W617" s="16"/>
      <c r="X617" s="16"/>
      <c r="Y617" s="16"/>
    </row>
    <row r="618" spans="1:25" x14ac:dyDescent="0.2">
      <c r="A618" s="14"/>
      <c r="B618" s="6"/>
      <c r="C618" s="6"/>
      <c r="D618" s="16"/>
      <c r="E618" s="6"/>
      <c r="F618" s="16"/>
      <c r="G618" s="6"/>
      <c r="H618" s="16"/>
      <c r="I618" s="16"/>
      <c r="J618" s="16"/>
      <c r="K618" s="16"/>
      <c r="L618" s="16"/>
      <c r="M618" s="16"/>
      <c r="N618" s="16"/>
      <c r="O618" s="16"/>
      <c r="P618" s="16"/>
      <c r="Q618" s="16"/>
      <c r="R618" s="16"/>
      <c r="S618" s="16"/>
      <c r="T618" s="16"/>
      <c r="U618" s="16"/>
      <c r="V618" s="16"/>
      <c r="W618" s="16"/>
      <c r="X618" s="16"/>
      <c r="Y618" s="16"/>
    </row>
    <row r="619" spans="1:25" x14ac:dyDescent="0.2">
      <c r="A619" s="14"/>
      <c r="B619" s="6"/>
      <c r="C619" s="6"/>
      <c r="D619" s="16"/>
      <c r="E619" s="6"/>
      <c r="F619" s="16"/>
      <c r="G619" s="6"/>
      <c r="H619" s="16"/>
      <c r="I619" s="16"/>
      <c r="J619" s="16"/>
      <c r="K619" s="16"/>
      <c r="L619" s="16"/>
      <c r="M619" s="16"/>
      <c r="N619" s="16"/>
      <c r="O619" s="16"/>
      <c r="P619" s="16"/>
      <c r="Q619" s="16"/>
      <c r="R619" s="16"/>
      <c r="S619" s="16"/>
      <c r="T619" s="16"/>
      <c r="U619" s="16"/>
      <c r="V619" s="16"/>
      <c r="W619" s="16"/>
      <c r="X619" s="16"/>
      <c r="Y619" s="16"/>
    </row>
    <row r="620" spans="1:25" x14ac:dyDescent="0.2">
      <c r="A620" s="14"/>
      <c r="B620" s="6"/>
      <c r="C620" s="6"/>
      <c r="D620" s="16"/>
      <c r="E620" s="6"/>
      <c r="F620" s="16"/>
      <c r="G620" s="6"/>
      <c r="H620" s="16"/>
      <c r="I620" s="16"/>
      <c r="J620" s="16"/>
      <c r="K620" s="16"/>
      <c r="L620" s="16"/>
      <c r="M620" s="16"/>
      <c r="N620" s="16"/>
      <c r="O620" s="16"/>
      <c r="P620" s="16"/>
      <c r="Q620" s="16"/>
      <c r="R620" s="16"/>
      <c r="S620" s="16"/>
      <c r="T620" s="16"/>
      <c r="U620" s="16"/>
      <c r="V620" s="16"/>
      <c r="W620" s="16"/>
      <c r="X620" s="16"/>
      <c r="Y620" s="16"/>
    </row>
    <row r="621" spans="1:25" x14ac:dyDescent="0.2">
      <c r="A621" s="14"/>
      <c r="B621" s="6"/>
      <c r="C621" s="6"/>
      <c r="D621" s="16"/>
      <c r="E621" s="6"/>
      <c r="F621" s="16"/>
      <c r="G621" s="6"/>
      <c r="H621" s="16"/>
      <c r="I621" s="16"/>
      <c r="J621" s="16"/>
      <c r="K621" s="16"/>
      <c r="L621" s="16"/>
      <c r="M621" s="16"/>
      <c r="N621" s="16"/>
      <c r="O621" s="16"/>
      <c r="P621" s="16"/>
      <c r="Q621" s="16"/>
      <c r="R621" s="16"/>
      <c r="S621" s="16"/>
      <c r="T621" s="16"/>
      <c r="U621" s="16"/>
      <c r="V621" s="16"/>
      <c r="W621" s="16"/>
      <c r="X621" s="16"/>
      <c r="Y621" s="16"/>
    </row>
    <row r="622" spans="1:25" x14ac:dyDescent="0.2">
      <c r="A622" s="14"/>
      <c r="B622" s="6"/>
      <c r="C622" s="6"/>
      <c r="D622" s="16"/>
      <c r="E622" s="6"/>
      <c r="F622" s="16"/>
      <c r="G622" s="6"/>
      <c r="H622" s="16"/>
      <c r="I622" s="16"/>
      <c r="J622" s="16"/>
      <c r="K622" s="16"/>
      <c r="L622" s="16"/>
      <c r="M622" s="16"/>
      <c r="N622" s="16"/>
      <c r="O622" s="16"/>
      <c r="P622" s="16"/>
      <c r="Q622" s="16"/>
      <c r="R622" s="16"/>
      <c r="S622" s="16"/>
      <c r="T622" s="16"/>
      <c r="U622" s="16"/>
      <c r="V622" s="16"/>
      <c r="W622" s="16"/>
      <c r="X622" s="16"/>
      <c r="Y622" s="16"/>
    </row>
    <row r="623" spans="1:25" x14ac:dyDescent="0.2">
      <c r="A623" s="14"/>
      <c r="B623" s="6"/>
      <c r="C623" s="6"/>
      <c r="D623" s="16"/>
      <c r="E623" s="6"/>
      <c r="F623" s="16"/>
      <c r="G623" s="6"/>
      <c r="H623" s="16"/>
      <c r="I623" s="16"/>
      <c r="J623" s="16"/>
      <c r="K623" s="16"/>
      <c r="L623" s="16"/>
      <c r="M623" s="16"/>
      <c r="N623" s="16"/>
      <c r="O623" s="16"/>
      <c r="P623" s="16"/>
      <c r="Q623" s="16"/>
      <c r="R623" s="16"/>
      <c r="S623" s="16"/>
      <c r="T623" s="16"/>
      <c r="U623" s="16"/>
      <c r="V623" s="16"/>
      <c r="W623" s="16"/>
      <c r="X623" s="16"/>
      <c r="Y623" s="16"/>
    </row>
    <row r="624" spans="1:25" x14ac:dyDescent="0.2">
      <c r="A624" s="14"/>
      <c r="B624" s="6"/>
      <c r="C624" s="6"/>
      <c r="D624" s="16"/>
      <c r="E624" s="6"/>
      <c r="F624" s="16"/>
      <c r="G624" s="6"/>
      <c r="H624" s="16"/>
      <c r="I624" s="16"/>
      <c r="J624" s="16"/>
      <c r="K624" s="16"/>
      <c r="L624" s="16"/>
      <c r="M624" s="16"/>
      <c r="N624" s="16"/>
      <c r="O624" s="16"/>
      <c r="P624" s="16"/>
      <c r="Q624" s="16"/>
      <c r="R624" s="16"/>
      <c r="S624" s="16"/>
      <c r="T624" s="16"/>
      <c r="U624" s="16"/>
      <c r="V624" s="16"/>
      <c r="W624" s="16"/>
      <c r="X624" s="16"/>
      <c r="Y624" s="16"/>
    </row>
    <row r="625" spans="1:25" x14ac:dyDescent="0.2">
      <c r="A625" s="14"/>
      <c r="B625" s="6"/>
      <c r="C625" s="6"/>
      <c r="D625" s="16"/>
      <c r="E625" s="6"/>
      <c r="F625" s="16"/>
      <c r="G625" s="6"/>
      <c r="H625" s="16"/>
      <c r="I625" s="16"/>
      <c r="J625" s="16"/>
      <c r="K625" s="16"/>
      <c r="L625" s="16"/>
      <c r="M625" s="16"/>
      <c r="N625" s="16"/>
      <c r="O625" s="16"/>
      <c r="P625" s="16"/>
      <c r="Q625" s="16"/>
      <c r="R625" s="16"/>
      <c r="S625" s="16"/>
      <c r="T625" s="16"/>
      <c r="U625" s="16"/>
      <c r="V625" s="16"/>
      <c r="W625" s="16"/>
      <c r="X625" s="16"/>
      <c r="Y625" s="16"/>
    </row>
    <row r="626" spans="1:25" x14ac:dyDescent="0.2">
      <c r="A626" s="14"/>
      <c r="B626" s="6"/>
      <c r="C626" s="6"/>
      <c r="D626" s="16"/>
      <c r="E626" s="6"/>
      <c r="F626" s="16"/>
      <c r="G626" s="6"/>
      <c r="H626" s="16"/>
      <c r="I626" s="16"/>
      <c r="J626" s="16"/>
      <c r="K626" s="16"/>
      <c r="L626" s="16"/>
      <c r="M626" s="16"/>
      <c r="N626" s="16"/>
      <c r="O626" s="16"/>
      <c r="P626" s="16"/>
      <c r="Q626" s="16"/>
      <c r="R626" s="16"/>
      <c r="S626" s="16"/>
      <c r="T626" s="16"/>
      <c r="U626" s="16"/>
      <c r="V626" s="16"/>
      <c r="W626" s="16"/>
      <c r="X626" s="16"/>
      <c r="Y626" s="16"/>
    </row>
    <row r="627" spans="1:25" x14ac:dyDescent="0.2">
      <c r="A627" s="14"/>
      <c r="B627" s="6"/>
      <c r="C627" s="6"/>
      <c r="D627" s="16"/>
      <c r="E627" s="6"/>
      <c r="F627" s="16"/>
      <c r="G627" s="6"/>
      <c r="H627" s="16"/>
      <c r="I627" s="16"/>
      <c r="J627" s="16"/>
      <c r="K627" s="16"/>
      <c r="L627" s="16"/>
      <c r="M627" s="16"/>
      <c r="N627" s="16"/>
      <c r="O627" s="16"/>
      <c r="P627" s="16"/>
      <c r="Q627" s="16"/>
      <c r="R627" s="16"/>
      <c r="S627" s="16"/>
      <c r="T627" s="16"/>
      <c r="U627" s="16"/>
      <c r="V627" s="16"/>
      <c r="W627" s="16"/>
      <c r="X627" s="16"/>
      <c r="Y627" s="16"/>
    </row>
    <row r="628" spans="1:25" x14ac:dyDescent="0.2">
      <c r="A628" s="14"/>
      <c r="B628" s="6"/>
      <c r="C628" s="6"/>
      <c r="D628" s="16"/>
      <c r="E628" s="6"/>
      <c r="F628" s="16"/>
      <c r="G628" s="6"/>
      <c r="H628" s="16"/>
      <c r="I628" s="16"/>
      <c r="J628" s="16"/>
      <c r="K628" s="16"/>
      <c r="L628" s="16"/>
      <c r="M628" s="16"/>
      <c r="N628" s="16"/>
      <c r="O628" s="16"/>
      <c r="P628" s="16"/>
      <c r="Q628" s="16"/>
      <c r="R628" s="16"/>
      <c r="S628" s="16"/>
      <c r="T628" s="16"/>
      <c r="U628" s="16"/>
      <c r="V628" s="16"/>
      <c r="W628" s="16"/>
      <c r="X628" s="16"/>
      <c r="Y628" s="16"/>
    </row>
    <row r="629" spans="1:25" x14ac:dyDescent="0.2">
      <c r="A629" s="14"/>
      <c r="B629" s="6"/>
      <c r="C629" s="6"/>
      <c r="D629" s="16"/>
      <c r="E629" s="6"/>
      <c r="F629" s="16"/>
      <c r="G629" s="6"/>
      <c r="H629" s="16"/>
      <c r="I629" s="16"/>
      <c r="J629" s="16"/>
      <c r="K629" s="16"/>
      <c r="L629" s="16"/>
      <c r="M629" s="16"/>
      <c r="N629" s="16"/>
      <c r="O629" s="16"/>
      <c r="P629" s="16"/>
      <c r="Q629" s="16"/>
      <c r="R629" s="16"/>
      <c r="S629" s="16"/>
      <c r="T629" s="16"/>
      <c r="U629" s="16"/>
      <c r="V629" s="16"/>
      <c r="W629" s="16"/>
      <c r="X629" s="16"/>
      <c r="Y629" s="16"/>
    </row>
    <row r="630" spans="1:25" x14ac:dyDescent="0.2">
      <c r="A630" s="14"/>
      <c r="B630" s="6"/>
      <c r="C630" s="6"/>
      <c r="D630" s="16"/>
      <c r="E630" s="6"/>
      <c r="F630" s="16"/>
      <c r="G630" s="6"/>
      <c r="H630" s="16"/>
      <c r="I630" s="16"/>
      <c r="J630" s="16"/>
      <c r="K630" s="16"/>
      <c r="L630" s="16"/>
      <c r="M630" s="16"/>
      <c r="N630" s="16"/>
      <c r="O630" s="16"/>
      <c r="P630" s="16"/>
      <c r="Q630" s="16"/>
      <c r="R630" s="16"/>
      <c r="S630" s="16"/>
      <c r="T630" s="16"/>
      <c r="U630" s="16"/>
      <c r="V630" s="16"/>
      <c r="W630" s="16"/>
      <c r="X630" s="16"/>
      <c r="Y630" s="16"/>
    </row>
    <row r="631" spans="1:25" x14ac:dyDescent="0.2">
      <c r="A631" s="14"/>
      <c r="B631" s="6"/>
      <c r="C631" s="6"/>
      <c r="D631" s="16"/>
      <c r="E631" s="6"/>
      <c r="F631" s="16"/>
      <c r="G631" s="6"/>
      <c r="H631" s="16"/>
      <c r="I631" s="16"/>
      <c r="J631" s="16"/>
      <c r="K631" s="16"/>
      <c r="L631" s="16"/>
      <c r="M631" s="16"/>
      <c r="N631" s="16"/>
      <c r="O631" s="16"/>
      <c r="P631" s="16"/>
      <c r="Q631" s="16"/>
      <c r="R631" s="16"/>
      <c r="S631" s="16"/>
      <c r="T631" s="16"/>
      <c r="U631" s="16"/>
      <c r="V631" s="16"/>
      <c r="W631" s="16"/>
      <c r="X631" s="16"/>
      <c r="Y631" s="16"/>
    </row>
    <row r="632" spans="1:25" x14ac:dyDescent="0.2">
      <c r="A632" s="14"/>
      <c r="B632" s="6"/>
      <c r="C632" s="6"/>
      <c r="D632" s="16"/>
      <c r="E632" s="6"/>
      <c r="F632" s="16"/>
      <c r="G632" s="6"/>
      <c r="H632" s="16"/>
      <c r="I632" s="16"/>
      <c r="J632" s="16"/>
      <c r="K632" s="16"/>
      <c r="L632" s="16"/>
      <c r="M632" s="16"/>
      <c r="N632" s="16"/>
      <c r="O632" s="16"/>
      <c r="P632" s="16"/>
      <c r="Q632" s="16"/>
      <c r="R632" s="16"/>
      <c r="S632" s="16"/>
      <c r="T632" s="16"/>
      <c r="U632" s="16"/>
      <c r="V632" s="16"/>
      <c r="W632" s="16"/>
      <c r="X632" s="16"/>
      <c r="Y632" s="16"/>
    </row>
    <row r="633" spans="1:25" x14ac:dyDescent="0.2">
      <c r="A633" s="14"/>
      <c r="B633" s="6"/>
      <c r="C633" s="6"/>
      <c r="D633" s="16"/>
      <c r="E633" s="6"/>
      <c r="F633" s="16"/>
      <c r="G633" s="6"/>
      <c r="H633" s="16"/>
      <c r="I633" s="16"/>
      <c r="J633" s="16"/>
      <c r="K633" s="16"/>
      <c r="L633" s="16"/>
      <c r="M633" s="16"/>
      <c r="N633" s="16"/>
      <c r="O633" s="16"/>
      <c r="P633" s="16"/>
      <c r="Q633" s="16"/>
      <c r="R633" s="16"/>
      <c r="S633" s="16"/>
      <c r="T633" s="16"/>
      <c r="U633" s="16"/>
      <c r="V633" s="16"/>
      <c r="W633" s="16"/>
      <c r="X633" s="16"/>
      <c r="Y633" s="16"/>
    </row>
    <row r="634" spans="1:25" x14ac:dyDescent="0.2">
      <c r="A634" s="14"/>
      <c r="B634" s="6"/>
      <c r="C634" s="6"/>
      <c r="D634" s="16"/>
      <c r="E634" s="6"/>
      <c r="F634" s="16"/>
      <c r="G634" s="6"/>
      <c r="H634" s="16"/>
      <c r="I634" s="16"/>
      <c r="J634" s="16"/>
      <c r="K634" s="16"/>
      <c r="L634" s="16"/>
      <c r="M634" s="16"/>
      <c r="N634" s="16"/>
      <c r="O634" s="16"/>
      <c r="P634" s="16"/>
      <c r="Q634" s="16"/>
      <c r="R634" s="16"/>
      <c r="S634" s="16"/>
      <c r="T634" s="16"/>
      <c r="U634" s="16"/>
      <c r="V634" s="16"/>
      <c r="W634" s="16"/>
      <c r="X634" s="16"/>
      <c r="Y634" s="16"/>
    </row>
    <row r="635" spans="1:25" x14ac:dyDescent="0.2">
      <c r="A635" s="14"/>
      <c r="B635" s="6"/>
      <c r="C635" s="6"/>
      <c r="D635" s="16"/>
      <c r="E635" s="6"/>
      <c r="F635" s="16"/>
      <c r="G635" s="6"/>
      <c r="H635" s="16"/>
      <c r="I635" s="16"/>
      <c r="J635" s="16"/>
      <c r="K635" s="16"/>
      <c r="L635" s="16"/>
      <c r="M635" s="16"/>
      <c r="N635" s="16"/>
      <c r="O635" s="16"/>
      <c r="P635" s="16"/>
      <c r="Q635" s="16"/>
      <c r="R635" s="16"/>
      <c r="S635" s="16"/>
      <c r="T635" s="16"/>
      <c r="U635" s="16"/>
      <c r="V635" s="16"/>
      <c r="W635" s="16"/>
      <c r="X635" s="16"/>
      <c r="Y635" s="16"/>
    </row>
    <row r="636" spans="1:25" x14ac:dyDescent="0.2">
      <c r="A636" s="14"/>
      <c r="B636" s="6"/>
      <c r="C636" s="6"/>
      <c r="D636" s="16"/>
      <c r="E636" s="6"/>
      <c r="F636" s="16"/>
      <c r="G636" s="6"/>
      <c r="H636" s="16"/>
      <c r="I636" s="16"/>
      <c r="J636" s="16"/>
      <c r="K636" s="16"/>
      <c r="L636" s="16"/>
      <c r="M636" s="16"/>
      <c r="N636" s="16"/>
      <c r="O636" s="16"/>
      <c r="P636" s="16"/>
      <c r="Q636" s="16"/>
      <c r="R636" s="16"/>
      <c r="S636" s="16"/>
      <c r="T636" s="16"/>
      <c r="U636" s="16"/>
      <c r="V636" s="16"/>
      <c r="W636" s="16"/>
      <c r="X636" s="16"/>
      <c r="Y636" s="16"/>
    </row>
    <row r="637" spans="1:25" x14ac:dyDescent="0.2">
      <c r="A637" s="14"/>
      <c r="B637" s="6"/>
      <c r="C637" s="6"/>
      <c r="D637" s="16"/>
      <c r="E637" s="6"/>
      <c r="F637" s="16"/>
      <c r="G637" s="6"/>
      <c r="H637" s="16"/>
      <c r="I637" s="16"/>
      <c r="J637" s="16"/>
      <c r="K637" s="16"/>
      <c r="L637" s="16"/>
      <c r="M637" s="16"/>
      <c r="N637" s="16"/>
      <c r="O637" s="16"/>
      <c r="P637" s="16"/>
      <c r="Q637" s="16"/>
      <c r="R637" s="16"/>
      <c r="S637" s="16"/>
      <c r="T637" s="16"/>
      <c r="U637" s="16"/>
      <c r="V637" s="16"/>
      <c r="W637" s="16"/>
      <c r="X637" s="16"/>
      <c r="Y637" s="16"/>
    </row>
    <row r="638" spans="1:25" x14ac:dyDescent="0.2">
      <c r="A638" s="14"/>
      <c r="B638" s="6"/>
      <c r="C638" s="6"/>
      <c r="D638" s="16"/>
      <c r="E638" s="6"/>
      <c r="F638" s="16"/>
      <c r="G638" s="6"/>
      <c r="H638" s="16"/>
      <c r="I638" s="16"/>
      <c r="J638" s="16"/>
      <c r="K638" s="16"/>
      <c r="L638" s="16"/>
      <c r="M638" s="16"/>
      <c r="N638" s="16"/>
      <c r="O638" s="16"/>
      <c r="P638" s="16"/>
      <c r="Q638" s="16"/>
      <c r="R638" s="16"/>
      <c r="S638" s="16"/>
      <c r="T638" s="16"/>
      <c r="U638" s="16"/>
      <c r="V638" s="16"/>
      <c r="W638" s="16"/>
      <c r="X638" s="16"/>
      <c r="Y638" s="16"/>
    </row>
    <row r="639" spans="1:25" x14ac:dyDescent="0.2">
      <c r="A639" s="14"/>
      <c r="B639" s="6"/>
      <c r="C639" s="6"/>
      <c r="D639" s="16"/>
      <c r="E639" s="6"/>
      <c r="F639" s="16"/>
      <c r="G639" s="6"/>
      <c r="H639" s="16"/>
      <c r="I639" s="16"/>
      <c r="J639" s="16"/>
      <c r="K639" s="16"/>
      <c r="L639" s="16"/>
      <c r="M639" s="16"/>
      <c r="N639" s="16"/>
      <c r="O639" s="16"/>
      <c r="P639" s="16"/>
      <c r="Q639" s="16"/>
      <c r="R639" s="16"/>
      <c r="S639" s="16"/>
      <c r="T639" s="16"/>
      <c r="U639" s="16"/>
      <c r="V639" s="16"/>
      <c r="W639" s="16"/>
      <c r="X639" s="16"/>
      <c r="Y639" s="16"/>
    </row>
    <row r="640" spans="1:25" x14ac:dyDescent="0.2">
      <c r="A640" s="14"/>
      <c r="B640" s="6"/>
      <c r="C640" s="6"/>
      <c r="D640" s="16"/>
      <c r="E640" s="6"/>
      <c r="F640" s="16"/>
      <c r="G640" s="6"/>
      <c r="H640" s="16"/>
      <c r="I640" s="16"/>
      <c r="J640" s="16"/>
      <c r="K640" s="16"/>
      <c r="L640" s="16"/>
      <c r="M640" s="16"/>
      <c r="N640" s="16"/>
      <c r="O640" s="16"/>
      <c r="P640" s="16"/>
      <c r="Q640" s="16"/>
      <c r="R640" s="16"/>
      <c r="S640" s="16"/>
      <c r="T640" s="16"/>
      <c r="U640" s="16"/>
      <c r="V640" s="16"/>
      <c r="W640" s="16"/>
      <c r="X640" s="16"/>
      <c r="Y640" s="16"/>
    </row>
    <row r="641" spans="1:25" x14ac:dyDescent="0.2">
      <c r="A641" s="14"/>
      <c r="B641" s="6"/>
      <c r="C641" s="6"/>
      <c r="D641" s="16"/>
      <c r="E641" s="6"/>
      <c r="F641" s="16"/>
      <c r="G641" s="6"/>
      <c r="H641" s="16"/>
      <c r="I641" s="16"/>
      <c r="J641" s="16"/>
      <c r="K641" s="16"/>
      <c r="L641" s="16"/>
      <c r="M641" s="16"/>
      <c r="N641" s="16"/>
      <c r="O641" s="16"/>
      <c r="P641" s="16"/>
      <c r="Q641" s="16"/>
      <c r="R641" s="16"/>
      <c r="S641" s="16"/>
      <c r="T641" s="16"/>
      <c r="U641" s="16"/>
      <c r="V641" s="16"/>
      <c r="W641" s="16"/>
      <c r="X641" s="16"/>
      <c r="Y641" s="16"/>
    </row>
    <row r="642" spans="1:25" x14ac:dyDescent="0.2">
      <c r="A642" s="14"/>
      <c r="B642" s="6"/>
      <c r="C642" s="6"/>
      <c r="D642" s="16"/>
      <c r="E642" s="6"/>
      <c r="F642" s="16"/>
      <c r="G642" s="6"/>
      <c r="H642" s="16"/>
      <c r="I642" s="16"/>
      <c r="J642" s="16"/>
      <c r="K642" s="16"/>
      <c r="L642" s="16"/>
      <c r="M642" s="16"/>
      <c r="N642" s="16"/>
      <c r="O642" s="16"/>
      <c r="P642" s="16"/>
      <c r="Q642" s="16"/>
      <c r="R642" s="16"/>
      <c r="S642" s="16"/>
      <c r="T642" s="16"/>
      <c r="U642" s="16"/>
      <c r="V642" s="16"/>
      <c r="W642" s="16"/>
      <c r="X642" s="16"/>
      <c r="Y642" s="16"/>
    </row>
    <row r="643" spans="1:25" x14ac:dyDescent="0.2">
      <c r="A643" s="14"/>
      <c r="B643" s="6"/>
      <c r="C643" s="6"/>
      <c r="D643" s="16"/>
      <c r="E643" s="6"/>
      <c r="F643" s="16"/>
      <c r="G643" s="6"/>
      <c r="H643" s="16"/>
      <c r="I643" s="16"/>
      <c r="J643" s="16"/>
      <c r="K643" s="16"/>
      <c r="L643" s="16"/>
      <c r="M643" s="16"/>
      <c r="N643" s="16"/>
      <c r="O643" s="16"/>
      <c r="P643" s="16"/>
      <c r="Q643" s="16"/>
      <c r="R643" s="16"/>
      <c r="S643" s="16"/>
      <c r="T643" s="16"/>
      <c r="U643" s="16"/>
      <c r="V643" s="16"/>
      <c r="W643" s="16"/>
      <c r="X643" s="16"/>
      <c r="Y643" s="16"/>
    </row>
    <row r="644" spans="1:25" x14ac:dyDescent="0.2">
      <c r="A644" s="14"/>
      <c r="B644" s="6"/>
      <c r="C644" s="6"/>
      <c r="D644" s="16"/>
      <c r="E644" s="6"/>
      <c r="F644" s="16"/>
      <c r="G644" s="6"/>
      <c r="H644" s="16"/>
      <c r="I644" s="16"/>
      <c r="J644" s="16"/>
      <c r="K644" s="16"/>
      <c r="L644" s="16"/>
      <c r="M644" s="16"/>
      <c r="N644" s="16"/>
      <c r="O644" s="16"/>
      <c r="P644" s="16"/>
      <c r="Q644" s="16"/>
      <c r="R644" s="16"/>
      <c r="S644" s="16"/>
      <c r="T644" s="16"/>
      <c r="U644" s="16"/>
      <c r="V644" s="16"/>
      <c r="W644" s="16"/>
      <c r="X644" s="16"/>
      <c r="Y644" s="16"/>
    </row>
    <row r="645" spans="1:25" x14ac:dyDescent="0.2">
      <c r="A645" s="14"/>
      <c r="B645" s="6"/>
      <c r="C645" s="6"/>
      <c r="D645" s="16"/>
      <c r="E645" s="6"/>
      <c r="F645" s="16"/>
      <c r="G645" s="6"/>
      <c r="H645" s="16"/>
      <c r="I645" s="16"/>
      <c r="J645" s="16"/>
      <c r="K645" s="16"/>
      <c r="L645" s="16"/>
      <c r="M645" s="16"/>
      <c r="N645" s="16"/>
      <c r="O645" s="16"/>
      <c r="P645" s="16"/>
      <c r="Q645" s="16"/>
      <c r="R645" s="16"/>
      <c r="S645" s="16"/>
      <c r="T645" s="16"/>
      <c r="U645" s="16"/>
      <c r="V645" s="16"/>
      <c r="W645" s="16"/>
      <c r="X645" s="16"/>
      <c r="Y645" s="16"/>
    </row>
    <row r="646" spans="1:25" x14ac:dyDescent="0.2">
      <c r="A646" s="14"/>
      <c r="B646" s="6"/>
      <c r="C646" s="6"/>
      <c r="D646" s="16"/>
      <c r="E646" s="6"/>
      <c r="F646" s="16"/>
      <c r="G646" s="6"/>
      <c r="H646" s="16"/>
      <c r="I646" s="16"/>
      <c r="J646" s="16"/>
      <c r="K646" s="16"/>
      <c r="L646" s="16"/>
      <c r="M646" s="16"/>
      <c r="N646" s="16"/>
      <c r="O646" s="16"/>
      <c r="P646" s="16"/>
      <c r="Q646" s="16"/>
      <c r="R646" s="16"/>
      <c r="S646" s="16"/>
      <c r="T646" s="16"/>
      <c r="U646" s="16"/>
      <c r="V646" s="16"/>
      <c r="W646" s="16"/>
      <c r="X646" s="16"/>
      <c r="Y646" s="16"/>
    </row>
    <row r="647" spans="1:25" x14ac:dyDescent="0.2">
      <c r="A647" s="14"/>
      <c r="B647" s="6"/>
      <c r="C647" s="6"/>
      <c r="D647" s="16"/>
      <c r="E647" s="6"/>
      <c r="F647" s="16"/>
      <c r="G647" s="6"/>
      <c r="H647" s="16"/>
      <c r="I647" s="16"/>
      <c r="J647" s="16"/>
      <c r="K647" s="16"/>
      <c r="L647" s="16"/>
      <c r="M647" s="16"/>
      <c r="N647" s="16"/>
      <c r="O647" s="16"/>
      <c r="P647" s="16"/>
      <c r="Q647" s="16"/>
      <c r="R647" s="16"/>
      <c r="S647" s="16"/>
      <c r="T647" s="16"/>
      <c r="U647" s="16"/>
      <c r="V647" s="16"/>
      <c r="W647" s="16"/>
      <c r="X647" s="16"/>
      <c r="Y647" s="16"/>
    </row>
    <row r="648" spans="1:25" x14ac:dyDescent="0.2">
      <c r="A648" s="14"/>
      <c r="B648" s="6"/>
      <c r="C648" s="6"/>
      <c r="D648" s="16"/>
      <c r="E648" s="6"/>
      <c r="F648" s="16"/>
      <c r="G648" s="6"/>
      <c r="H648" s="16"/>
      <c r="I648" s="16"/>
      <c r="J648" s="16"/>
      <c r="K648" s="16"/>
      <c r="L648" s="16"/>
      <c r="M648" s="16"/>
      <c r="N648" s="16"/>
      <c r="O648" s="16"/>
      <c r="P648" s="16"/>
      <c r="Q648" s="16"/>
      <c r="R648" s="16"/>
      <c r="S648" s="16"/>
      <c r="T648" s="16"/>
      <c r="U648" s="16"/>
      <c r="V648" s="16"/>
      <c r="W648" s="16"/>
      <c r="X648" s="16"/>
      <c r="Y648" s="16"/>
    </row>
    <row r="649" spans="1:25" x14ac:dyDescent="0.2">
      <c r="A649" s="14"/>
      <c r="B649" s="6"/>
      <c r="C649" s="6"/>
      <c r="D649" s="16"/>
      <c r="E649" s="6"/>
      <c r="F649" s="16"/>
      <c r="G649" s="6"/>
      <c r="H649" s="16"/>
      <c r="I649" s="16"/>
      <c r="J649" s="16"/>
      <c r="K649" s="16"/>
      <c r="L649" s="16"/>
      <c r="M649" s="16"/>
      <c r="N649" s="16"/>
      <c r="O649" s="16"/>
      <c r="P649" s="16"/>
      <c r="Q649" s="16"/>
      <c r="R649" s="16"/>
      <c r="S649" s="16"/>
      <c r="T649" s="16"/>
      <c r="U649" s="16"/>
      <c r="V649" s="16"/>
      <c r="W649" s="16"/>
      <c r="X649" s="16"/>
      <c r="Y649" s="16"/>
    </row>
    <row r="650" spans="1:25" x14ac:dyDescent="0.2">
      <c r="A650" s="14"/>
      <c r="B650" s="6"/>
      <c r="C650" s="6"/>
      <c r="D650" s="16"/>
      <c r="E650" s="6"/>
      <c r="F650" s="16"/>
      <c r="G650" s="6"/>
      <c r="H650" s="16"/>
      <c r="I650" s="16"/>
      <c r="J650" s="16"/>
      <c r="K650" s="16"/>
      <c r="L650" s="16"/>
      <c r="M650" s="16"/>
      <c r="N650" s="16"/>
      <c r="O650" s="16"/>
      <c r="P650" s="16"/>
      <c r="Q650" s="16"/>
      <c r="R650" s="16"/>
      <c r="S650" s="16"/>
      <c r="T650" s="16"/>
      <c r="U650" s="16"/>
      <c r="V650" s="16"/>
      <c r="W650" s="16"/>
      <c r="X650" s="16"/>
      <c r="Y650" s="16"/>
    </row>
    <row r="651" spans="1:25" x14ac:dyDescent="0.2">
      <c r="A651" s="14"/>
      <c r="B651" s="6"/>
      <c r="C651" s="6"/>
      <c r="D651" s="16"/>
      <c r="E651" s="6"/>
      <c r="F651" s="16"/>
      <c r="G651" s="6"/>
      <c r="H651" s="16"/>
      <c r="I651" s="16"/>
      <c r="J651" s="16"/>
      <c r="K651" s="16"/>
      <c r="L651" s="16"/>
      <c r="M651" s="16"/>
      <c r="N651" s="16"/>
      <c r="O651" s="16"/>
      <c r="P651" s="16"/>
      <c r="Q651" s="16"/>
      <c r="R651" s="16"/>
      <c r="S651" s="16"/>
      <c r="T651" s="16"/>
      <c r="U651" s="16"/>
      <c r="V651" s="16"/>
      <c r="W651" s="16"/>
      <c r="X651" s="16"/>
      <c r="Y651" s="16"/>
    </row>
    <row r="652" spans="1:25" x14ac:dyDescent="0.2">
      <c r="A652" s="14"/>
      <c r="B652" s="6"/>
      <c r="C652" s="6"/>
      <c r="D652" s="16"/>
      <c r="E652" s="6"/>
      <c r="F652" s="16"/>
      <c r="G652" s="6"/>
      <c r="H652" s="16"/>
      <c r="I652" s="16"/>
      <c r="J652" s="16"/>
      <c r="K652" s="16"/>
      <c r="L652" s="16"/>
      <c r="M652" s="16"/>
      <c r="N652" s="16"/>
      <c r="O652" s="16"/>
      <c r="P652" s="16"/>
      <c r="Q652" s="16"/>
      <c r="R652" s="16"/>
      <c r="S652" s="16"/>
      <c r="T652" s="16"/>
      <c r="U652" s="16"/>
      <c r="V652" s="16"/>
      <c r="W652" s="16"/>
      <c r="X652" s="16"/>
      <c r="Y652" s="16"/>
    </row>
    <row r="653" spans="1:25" x14ac:dyDescent="0.2">
      <c r="A653" s="14"/>
      <c r="B653" s="6"/>
      <c r="C653" s="6"/>
      <c r="D653" s="16"/>
      <c r="E653" s="6"/>
      <c r="F653" s="16"/>
      <c r="G653" s="6"/>
      <c r="H653" s="16"/>
      <c r="I653" s="16"/>
      <c r="J653" s="16"/>
      <c r="K653" s="16"/>
      <c r="L653" s="16"/>
      <c r="M653" s="16"/>
      <c r="N653" s="16"/>
      <c r="O653" s="16"/>
      <c r="P653" s="16"/>
      <c r="Q653" s="16"/>
      <c r="R653" s="16"/>
      <c r="S653" s="16"/>
      <c r="T653" s="16"/>
      <c r="U653" s="16"/>
      <c r="V653" s="16"/>
      <c r="W653" s="16"/>
      <c r="X653" s="16"/>
      <c r="Y653" s="16"/>
    </row>
    <row r="654" spans="1:25" x14ac:dyDescent="0.2">
      <c r="A654" s="14"/>
      <c r="B654" s="6"/>
      <c r="C654" s="6"/>
      <c r="D654" s="16"/>
      <c r="E654" s="6"/>
      <c r="F654" s="16"/>
      <c r="G654" s="6"/>
      <c r="H654" s="16"/>
      <c r="I654" s="16"/>
      <c r="J654" s="16"/>
      <c r="K654" s="16"/>
      <c r="L654" s="16"/>
      <c r="M654" s="16"/>
      <c r="N654" s="16"/>
      <c r="O654" s="16"/>
      <c r="P654" s="16"/>
      <c r="Q654" s="16"/>
      <c r="R654" s="16"/>
      <c r="S654" s="16"/>
      <c r="T654" s="16"/>
      <c r="U654" s="16"/>
      <c r="V654" s="16"/>
      <c r="W654" s="16"/>
      <c r="X654" s="16"/>
      <c r="Y654" s="16"/>
    </row>
    <row r="655" spans="1:25" x14ac:dyDescent="0.2">
      <c r="A655" s="14"/>
      <c r="B655" s="6"/>
      <c r="C655" s="6"/>
      <c r="D655" s="16"/>
      <c r="E655" s="6"/>
      <c r="F655" s="16"/>
      <c r="G655" s="6"/>
      <c r="H655" s="16"/>
      <c r="I655" s="16"/>
      <c r="J655" s="16"/>
      <c r="K655" s="16"/>
      <c r="L655" s="16"/>
      <c r="M655" s="16"/>
      <c r="N655" s="16"/>
      <c r="O655" s="16"/>
      <c r="P655" s="16"/>
      <c r="Q655" s="16"/>
      <c r="R655" s="16"/>
      <c r="S655" s="16"/>
      <c r="T655" s="16"/>
      <c r="U655" s="16"/>
      <c r="V655" s="16"/>
      <c r="W655" s="16"/>
      <c r="X655" s="16"/>
      <c r="Y655" s="16"/>
    </row>
    <row r="656" spans="1:25" x14ac:dyDescent="0.2">
      <c r="A656" s="14"/>
      <c r="B656" s="6"/>
      <c r="C656" s="6"/>
      <c r="D656" s="16"/>
      <c r="E656" s="6"/>
      <c r="F656" s="16"/>
      <c r="G656" s="6"/>
      <c r="H656" s="16"/>
      <c r="I656" s="16"/>
      <c r="J656" s="16"/>
      <c r="K656" s="16"/>
      <c r="L656" s="16"/>
      <c r="M656" s="16"/>
      <c r="N656" s="16"/>
      <c r="O656" s="16"/>
      <c r="P656" s="16"/>
      <c r="Q656" s="16"/>
      <c r="R656" s="16"/>
      <c r="S656" s="16"/>
      <c r="T656" s="16"/>
      <c r="U656" s="16"/>
      <c r="V656" s="16"/>
      <c r="W656" s="16"/>
      <c r="X656" s="16"/>
      <c r="Y656" s="16"/>
    </row>
    <row r="657" spans="1:25" x14ac:dyDescent="0.2">
      <c r="A657" s="14"/>
      <c r="B657" s="6"/>
      <c r="C657" s="6"/>
      <c r="D657" s="16"/>
      <c r="E657" s="6"/>
      <c r="F657" s="16"/>
      <c r="G657" s="6"/>
      <c r="H657" s="16"/>
      <c r="I657" s="16"/>
      <c r="J657" s="16"/>
      <c r="K657" s="16"/>
      <c r="L657" s="16"/>
      <c r="M657" s="16"/>
      <c r="N657" s="16"/>
      <c r="O657" s="16"/>
      <c r="P657" s="16"/>
      <c r="Q657" s="16"/>
      <c r="R657" s="16"/>
      <c r="S657" s="16"/>
      <c r="T657" s="16"/>
      <c r="U657" s="16"/>
      <c r="V657" s="16"/>
      <c r="W657" s="16"/>
      <c r="X657" s="16"/>
      <c r="Y657" s="16"/>
    </row>
    <row r="658" spans="1:25" x14ac:dyDescent="0.2">
      <c r="A658" s="14"/>
      <c r="B658" s="6"/>
      <c r="C658" s="6"/>
      <c r="D658" s="16"/>
      <c r="E658" s="6"/>
      <c r="F658" s="16"/>
      <c r="G658" s="6"/>
      <c r="H658" s="16"/>
      <c r="I658" s="16"/>
      <c r="J658" s="16"/>
      <c r="K658" s="16"/>
      <c r="L658" s="16"/>
      <c r="M658" s="16"/>
      <c r="N658" s="16"/>
      <c r="O658" s="16"/>
      <c r="P658" s="16"/>
      <c r="Q658" s="16"/>
      <c r="R658" s="16"/>
      <c r="S658" s="16"/>
      <c r="T658" s="16"/>
      <c r="U658" s="16"/>
      <c r="V658" s="16"/>
      <c r="W658" s="16"/>
      <c r="X658" s="16"/>
      <c r="Y658" s="16"/>
    </row>
    <row r="659" spans="1:25" x14ac:dyDescent="0.2">
      <c r="A659" s="14"/>
      <c r="B659" s="6"/>
      <c r="C659" s="6"/>
      <c r="D659" s="16"/>
      <c r="E659" s="6"/>
      <c r="F659" s="16"/>
      <c r="G659" s="6"/>
      <c r="H659" s="16"/>
      <c r="I659" s="16"/>
      <c r="J659" s="16"/>
      <c r="K659" s="16"/>
      <c r="L659" s="16"/>
      <c r="M659" s="16"/>
      <c r="N659" s="16"/>
      <c r="O659" s="16"/>
      <c r="P659" s="16"/>
      <c r="Q659" s="16"/>
      <c r="R659" s="16"/>
      <c r="S659" s="16"/>
      <c r="T659" s="16"/>
      <c r="U659" s="16"/>
      <c r="V659" s="16"/>
      <c r="W659" s="16"/>
      <c r="X659" s="16"/>
      <c r="Y659" s="16"/>
    </row>
    <row r="660" spans="1:25" x14ac:dyDescent="0.2">
      <c r="A660" s="14"/>
      <c r="B660" s="6"/>
      <c r="C660" s="6"/>
      <c r="D660" s="16"/>
      <c r="E660" s="6"/>
      <c r="F660" s="16"/>
      <c r="G660" s="6"/>
      <c r="H660" s="16"/>
      <c r="I660" s="16"/>
      <c r="J660" s="16"/>
      <c r="K660" s="16"/>
      <c r="L660" s="16"/>
      <c r="M660" s="16"/>
      <c r="N660" s="16"/>
      <c r="O660" s="16"/>
      <c r="P660" s="16"/>
      <c r="Q660" s="16"/>
      <c r="R660" s="16"/>
      <c r="S660" s="16"/>
      <c r="T660" s="16"/>
      <c r="U660" s="16"/>
      <c r="V660" s="16"/>
      <c r="W660" s="16"/>
      <c r="X660" s="16"/>
      <c r="Y660" s="16"/>
    </row>
    <row r="661" spans="1:25" x14ac:dyDescent="0.2">
      <c r="A661" s="14"/>
      <c r="B661" s="6"/>
      <c r="C661" s="6"/>
      <c r="D661" s="16"/>
      <c r="E661" s="6"/>
      <c r="F661" s="16"/>
      <c r="G661" s="6"/>
      <c r="H661" s="16"/>
      <c r="I661" s="16"/>
      <c r="J661" s="16"/>
      <c r="K661" s="16"/>
      <c r="L661" s="16"/>
      <c r="M661" s="16"/>
      <c r="N661" s="16"/>
      <c r="O661" s="16"/>
      <c r="P661" s="16"/>
      <c r="Q661" s="16"/>
      <c r="R661" s="16"/>
      <c r="S661" s="16"/>
      <c r="T661" s="16"/>
      <c r="U661" s="16"/>
      <c r="V661" s="16"/>
      <c r="W661" s="16"/>
      <c r="X661" s="16"/>
      <c r="Y661" s="16"/>
    </row>
    <row r="662" spans="1:25" x14ac:dyDescent="0.2">
      <c r="A662" s="14"/>
      <c r="B662" s="6"/>
      <c r="C662" s="6"/>
      <c r="D662" s="16"/>
      <c r="E662" s="6"/>
      <c r="F662" s="16"/>
      <c r="G662" s="6"/>
      <c r="H662" s="16"/>
      <c r="I662" s="16"/>
      <c r="J662" s="16"/>
      <c r="K662" s="16"/>
      <c r="L662" s="16"/>
      <c r="M662" s="16"/>
      <c r="N662" s="16"/>
      <c r="O662" s="16"/>
      <c r="P662" s="16"/>
      <c r="Q662" s="16"/>
      <c r="R662" s="16"/>
      <c r="S662" s="16"/>
      <c r="T662" s="16"/>
      <c r="U662" s="16"/>
      <c r="V662" s="16"/>
      <c r="W662" s="16"/>
      <c r="X662" s="16"/>
      <c r="Y662" s="16"/>
    </row>
    <row r="663" spans="1:25" x14ac:dyDescent="0.2">
      <c r="A663" s="14"/>
      <c r="B663" s="6"/>
      <c r="C663" s="6"/>
      <c r="D663" s="16"/>
      <c r="E663" s="6"/>
      <c r="F663" s="16"/>
      <c r="G663" s="6"/>
      <c r="H663" s="16"/>
      <c r="I663" s="16"/>
      <c r="J663" s="16"/>
      <c r="K663" s="16"/>
      <c r="L663" s="16"/>
      <c r="M663" s="16"/>
      <c r="N663" s="16"/>
      <c r="O663" s="16"/>
      <c r="P663" s="16"/>
      <c r="Q663" s="16"/>
      <c r="R663" s="16"/>
      <c r="S663" s="16"/>
      <c r="T663" s="16"/>
      <c r="U663" s="16"/>
      <c r="V663" s="16"/>
      <c r="W663" s="16"/>
      <c r="X663" s="16"/>
      <c r="Y663" s="16"/>
    </row>
    <row r="664" spans="1:25" x14ac:dyDescent="0.2">
      <c r="A664" s="14"/>
      <c r="B664" s="6"/>
      <c r="C664" s="6"/>
      <c r="D664" s="16"/>
      <c r="E664" s="6"/>
      <c r="F664" s="16"/>
      <c r="G664" s="6"/>
      <c r="H664" s="16"/>
      <c r="I664" s="16"/>
      <c r="J664" s="16"/>
      <c r="K664" s="16"/>
      <c r="L664" s="16"/>
      <c r="M664" s="16"/>
      <c r="N664" s="16"/>
      <c r="O664" s="16"/>
      <c r="P664" s="16"/>
      <c r="Q664" s="16"/>
      <c r="R664" s="16"/>
      <c r="S664" s="16"/>
      <c r="T664" s="16"/>
      <c r="U664" s="16"/>
      <c r="V664" s="16"/>
      <c r="W664" s="16"/>
      <c r="X664" s="16"/>
      <c r="Y664" s="16"/>
    </row>
    <row r="665" spans="1:25" x14ac:dyDescent="0.2">
      <c r="A665" s="14"/>
      <c r="B665" s="6"/>
      <c r="C665" s="6"/>
      <c r="D665" s="16"/>
      <c r="E665" s="6"/>
      <c r="F665" s="16"/>
      <c r="G665" s="6"/>
      <c r="H665" s="16"/>
      <c r="I665" s="16"/>
      <c r="J665" s="16"/>
      <c r="K665" s="16"/>
      <c r="L665" s="16"/>
      <c r="M665" s="16"/>
      <c r="N665" s="16"/>
      <c r="O665" s="16"/>
      <c r="P665" s="16"/>
      <c r="Q665" s="16"/>
      <c r="R665" s="16"/>
      <c r="S665" s="16"/>
      <c r="T665" s="16"/>
      <c r="U665" s="16"/>
      <c r="V665" s="16"/>
      <c r="W665" s="16"/>
      <c r="X665" s="16"/>
      <c r="Y665" s="16"/>
    </row>
    <row r="666" spans="1:25" x14ac:dyDescent="0.2">
      <c r="A666" s="14"/>
      <c r="B666" s="6"/>
      <c r="C666" s="6"/>
      <c r="D666" s="16"/>
      <c r="E666" s="6"/>
      <c r="F666" s="16"/>
      <c r="G666" s="6"/>
      <c r="H666" s="16"/>
      <c r="I666" s="16"/>
      <c r="J666" s="16"/>
      <c r="K666" s="16"/>
      <c r="L666" s="16"/>
      <c r="M666" s="16"/>
      <c r="N666" s="16"/>
      <c r="O666" s="16"/>
      <c r="P666" s="16"/>
      <c r="Q666" s="16"/>
      <c r="R666" s="16"/>
      <c r="S666" s="16"/>
      <c r="T666" s="16"/>
      <c r="U666" s="16"/>
      <c r="V666" s="16"/>
      <c r="W666" s="16"/>
      <c r="X666" s="16"/>
      <c r="Y666" s="16"/>
    </row>
    <row r="667" spans="1:25" x14ac:dyDescent="0.2">
      <c r="A667" s="14"/>
      <c r="B667" s="6"/>
      <c r="C667" s="6"/>
      <c r="D667" s="16"/>
      <c r="E667" s="6"/>
      <c r="F667" s="16"/>
      <c r="G667" s="6"/>
      <c r="H667" s="16"/>
      <c r="I667" s="16"/>
      <c r="J667" s="16"/>
      <c r="K667" s="16"/>
      <c r="L667" s="16"/>
      <c r="M667" s="16"/>
      <c r="N667" s="16"/>
      <c r="O667" s="16"/>
      <c r="P667" s="16"/>
      <c r="Q667" s="16"/>
      <c r="R667" s="16"/>
      <c r="S667" s="16"/>
      <c r="T667" s="16"/>
      <c r="U667" s="16"/>
      <c r="V667" s="16"/>
      <c r="W667" s="16"/>
      <c r="X667" s="16"/>
      <c r="Y667" s="16"/>
    </row>
    <row r="668" spans="1:25" x14ac:dyDescent="0.2">
      <c r="A668" s="14"/>
      <c r="B668" s="6"/>
      <c r="C668" s="6"/>
      <c r="D668" s="16"/>
      <c r="E668" s="6"/>
      <c r="F668" s="16"/>
      <c r="G668" s="6"/>
      <c r="H668" s="16"/>
      <c r="I668" s="16"/>
      <c r="J668" s="16"/>
      <c r="K668" s="16"/>
      <c r="L668" s="16"/>
      <c r="M668" s="16"/>
      <c r="N668" s="16"/>
      <c r="O668" s="16"/>
      <c r="P668" s="16"/>
      <c r="Q668" s="16"/>
      <c r="R668" s="16"/>
      <c r="S668" s="16"/>
      <c r="T668" s="16"/>
      <c r="U668" s="16"/>
      <c r="V668" s="16"/>
      <c r="W668" s="16"/>
      <c r="X668" s="16"/>
      <c r="Y668" s="16"/>
    </row>
    <row r="669" spans="1:25" x14ac:dyDescent="0.2">
      <c r="A669" s="14"/>
      <c r="B669" s="6"/>
      <c r="C669" s="6"/>
      <c r="D669" s="16"/>
      <c r="E669" s="6"/>
      <c r="F669" s="16"/>
      <c r="G669" s="6"/>
      <c r="H669" s="16"/>
      <c r="I669" s="16"/>
      <c r="J669" s="16"/>
      <c r="K669" s="16"/>
      <c r="L669" s="16"/>
      <c r="M669" s="16"/>
      <c r="N669" s="16"/>
      <c r="O669" s="16"/>
      <c r="P669" s="16"/>
      <c r="Q669" s="16"/>
      <c r="R669" s="16"/>
      <c r="S669" s="16"/>
      <c r="T669" s="16"/>
      <c r="U669" s="16"/>
      <c r="V669" s="16"/>
      <c r="W669" s="16"/>
      <c r="X669" s="16"/>
      <c r="Y669" s="16"/>
    </row>
    <row r="670" spans="1:25" x14ac:dyDescent="0.2">
      <c r="A670" s="14"/>
      <c r="B670" s="6"/>
      <c r="C670" s="6"/>
      <c r="D670" s="16"/>
      <c r="E670" s="6"/>
      <c r="F670" s="16"/>
      <c r="G670" s="6"/>
      <c r="H670" s="16"/>
      <c r="I670" s="16"/>
      <c r="J670" s="16"/>
      <c r="K670" s="16"/>
      <c r="L670" s="16"/>
      <c r="M670" s="16"/>
      <c r="N670" s="16"/>
      <c r="O670" s="16"/>
      <c r="P670" s="16"/>
      <c r="Q670" s="16"/>
      <c r="R670" s="16"/>
      <c r="S670" s="16"/>
      <c r="T670" s="16"/>
      <c r="U670" s="16"/>
      <c r="V670" s="16"/>
      <c r="W670" s="16"/>
      <c r="X670" s="16"/>
      <c r="Y670" s="16"/>
    </row>
    <row r="671" spans="1:25" x14ac:dyDescent="0.2">
      <c r="A671" s="14"/>
      <c r="B671" s="6"/>
      <c r="C671" s="6"/>
      <c r="D671" s="16"/>
      <c r="E671" s="6"/>
      <c r="F671" s="16"/>
      <c r="G671" s="6"/>
      <c r="H671" s="16"/>
      <c r="I671" s="16"/>
      <c r="J671" s="16"/>
      <c r="K671" s="16"/>
      <c r="L671" s="16"/>
      <c r="M671" s="16"/>
      <c r="N671" s="16"/>
      <c r="O671" s="16"/>
      <c r="P671" s="16"/>
      <c r="Q671" s="16"/>
      <c r="R671" s="16"/>
      <c r="S671" s="16"/>
      <c r="T671" s="16"/>
      <c r="U671" s="16"/>
      <c r="V671" s="16"/>
      <c r="W671" s="16"/>
      <c r="X671" s="16"/>
      <c r="Y671" s="16"/>
    </row>
    <row r="672" spans="1:25" x14ac:dyDescent="0.2">
      <c r="A672" s="14"/>
      <c r="B672" s="6"/>
      <c r="C672" s="6"/>
      <c r="D672" s="16"/>
      <c r="E672" s="6"/>
      <c r="F672" s="16"/>
      <c r="G672" s="6"/>
      <c r="H672" s="16"/>
      <c r="I672" s="16"/>
      <c r="J672" s="16"/>
      <c r="K672" s="16"/>
      <c r="L672" s="16"/>
      <c r="M672" s="16"/>
      <c r="N672" s="16"/>
      <c r="O672" s="16"/>
      <c r="P672" s="16"/>
      <c r="Q672" s="16"/>
      <c r="R672" s="16"/>
      <c r="S672" s="16"/>
      <c r="T672" s="16"/>
      <c r="U672" s="16"/>
      <c r="V672" s="16"/>
      <c r="W672" s="16"/>
      <c r="X672" s="16"/>
      <c r="Y672" s="16"/>
    </row>
    <row r="673" spans="1:25" x14ac:dyDescent="0.2">
      <c r="A673" s="14"/>
      <c r="B673" s="6"/>
      <c r="C673" s="6"/>
      <c r="D673" s="16"/>
      <c r="E673" s="6"/>
      <c r="F673" s="16"/>
      <c r="G673" s="6"/>
      <c r="H673" s="16"/>
      <c r="I673" s="16"/>
      <c r="J673" s="16"/>
      <c r="K673" s="16"/>
      <c r="L673" s="16"/>
      <c r="M673" s="16"/>
      <c r="N673" s="16"/>
      <c r="O673" s="16"/>
      <c r="P673" s="16"/>
      <c r="Q673" s="16"/>
      <c r="R673" s="16"/>
      <c r="S673" s="16"/>
      <c r="T673" s="16"/>
      <c r="U673" s="16"/>
      <c r="V673" s="16"/>
      <c r="W673" s="16"/>
      <c r="X673" s="16"/>
      <c r="Y673" s="16"/>
    </row>
    <row r="674" spans="1:25" x14ac:dyDescent="0.2">
      <c r="A674" s="14"/>
      <c r="B674" s="6"/>
      <c r="C674" s="6"/>
      <c r="D674" s="16"/>
      <c r="E674" s="6"/>
      <c r="F674" s="16"/>
      <c r="G674" s="6"/>
      <c r="H674" s="16"/>
      <c r="I674" s="16"/>
      <c r="J674" s="16"/>
      <c r="K674" s="16"/>
      <c r="L674" s="16"/>
      <c r="M674" s="16"/>
      <c r="N674" s="16"/>
      <c r="O674" s="16"/>
      <c r="P674" s="16"/>
      <c r="Q674" s="16"/>
      <c r="R674" s="16"/>
      <c r="S674" s="16"/>
      <c r="T674" s="16"/>
      <c r="U674" s="16"/>
      <c r="V674" s="16"/>
      <c r="W674" s="16"/>
      <c r="X674" s="16"/>
      <c r="Y674" s="16"/>
    </row>
    <row r="675" spans="1:25" x14ac:dyDescent="0.2">
      <c r="A675" s="14"/>
      <c r="B675" s="6"/>
      <c r="C675" s="6"/>
      <c r="D675" s="16"/>
      <c r="E675" s="6"/>
      <c r="F675" s="16"/>
      <c r="G675" s="6"/>
      <c r="H675" s="16"/>
      <c r="I675" s="16"/>
      <c r="J675" s="16"/>
      <c r="K675" s="16"/>
      <c r="L675" s="16"/>
      <c r="M675" s="16"/>
      <c r="N675" s="16"/>
      <c r="O675" s="16"/>
      <c r="P675" s="16"/>
      <c r="Q675" s="16"/>
      <c r="R675" s="16"/>
      <c r="S675" s="16"/>
      <c r="T675" s="16"/>
      <c r="U675" s="16"/>
      <c r="V675" s="16"/>
      <c r="W675" s="16"/>
      <c r="X675" s="16"/>
      <c r="Y675" s="16"/>
    </row>
    <row r="676" spans="1:25" x14ac:dyDescent="0.2">
      <c r="A676" s="14"/>
      <c r="B676" s="6"/>
      <c r="C676" s="6"/>
      <c r="D676" s="16"/>
      <c r="E676" s="6"/>
      <c r="F676" s="16"/>
      <c r="G676" s="6"/>
      <c r="H676" s="16"/>
      <c r="I676" s="16"/>
      <c r="J676" s="16"/>
      <c r="K676" s="16"/>
      <c r="L676" s="16"/>
      <c r="M676" s="16"/>
      <c r="N676" s="16"/>
      <c r="O676" s="16"/>
      <c r="P676" s="16"/>
      <c r="Q676" s="16"/>
      <c r="R676" s="16"/>
      <c r="S676" s="16"/>
      <c r="T676" s="16"/>
      <c r="U676" s="16"/>
      <c r="V676" s="16"/>
      <c r="W676" s="16"/>
      <c r="X676" s="16"/>
      <c r="Y676" s="16"/>
    </row>
    <row r="677" spans="1:25" x14ac:dyDescent="0.2">
      <c r="A677" s="14"/>
      <c r="B677" s="6"/>
      <c r="C677" s="6"/>
      <c r="D677" s="16"/>
      <c r="E677" s="6"/>
      <c r="F677" s="16"/>
      <c r="G677" s="6"/>
      <c r="H677" s="16"/>
      <c r="I677" s="16"/>
      <c r="J677" s="16"/>
      <c r="K677" s="16"/>
      <c r="L677" s="16"/>
      <c r="M677" s="16"/>
      <c r="N677" s="16"/>
      <c r="O677" s="16"/>
      <c r="P677" s="16"/>
      <c r="Q677" s="16"/>
      <c r="R677" s="16"/>
      <c r="S677" s="16"/>
      <c r="T677" s="16"/>
      <c r="U677" s="16"/>
      <c r="V677" s="16"/>
      <c r="W677" s="16"/>
      <c r="X677" s="16"/>
      <c r="Y677" s="16"/>
    </row>
    <row r="678" spans="1:25" x14ac:dyDescent="0.2">
      <c r="A678" s="14"/>
      <c r="B678" s="6"/>
      <c r="C678" s="6"/>
      <c r="D678" s="16"/>
      <c r="E678" s="6"/>
      <c r="F678" s="16"/>
      <c r="G678" s="6"/>
      <c r="H678" s="16"/>
      <c r="I678" s="16"/>
      <c r="J678" s="16"/>
      <c r="K678" s="16"/>
      <c r="L678" s="16"/>
      <c r="M678" s="16"/>
      <c r="N678" s="16"/>
      <c r="O678" s="16"/>
      <c r="P678" s="16"/>
      <c r="Q678" s="16"/>
      <c r="R678" s="16"/>
      <c r="S678" s="16"/>
      <c r="T678" s="16"/>
      <c r="U678" s="16"/>
      <c r="V678" s="16"/>
      <c r="W678" s="16"/>
      <c r="X678" s="16"/>
      <c r="Y678" s="16"/>
    </row>
    <row r="679" spans="1:25" x14ac:dyDescent="0.2">
      <c r="A679" s="14"/>
      <c r="B679" s="6"/>
      <c r="C679" s="6"/>
      <c r="D679" s="16"/>
      <c r="E679" s="6"/>
      <c r="F679" s="16"/>
      <c r="G679" s="6"/>
      <c r="H679" s="16"/>
      <c r="I679" s="16"/>
      <c r="J679" s="16"/>
      <c r="K679" s="16"/>
      <c r="L679" s="16"/>
      <c r="M679" s="16"/>
      <c r="N679" s="16"/>
      <c r="O679" s="16"/>
      <c r="P679" s="16"/>
      <c r="Q679" s="16"/>
      <c r="R679" s="16"/>
      <c r="S679" s="16"/>
      <c r="T679" s="16"/>
      <c r="U679" s="16"/>
      <c r="V679" s="16"/>
      <c r="W679" s="16"/>
      <c r="X679" s="16"/>
      <c r="Y679" s="16"/>
    </row>
    <row r="680" spans="1:25" x14ac:dyDescent="0.2">
      <c r="A680" s="14"/>
      <c r="B680" s="6"/>
      <c r="C680" s="6"/>
      <c r="D680" s="16"/>
      <c r="E680" s="6"/>
      <c r="F680" s="16"/>
      <c r="G680" s="6"/>
      <c r="H680" s="16"/>
      <c r="I680" s="16"/>
      <c r="J680" s="16"/>
      <c r="K680" s="16"/>
      <c r="L680" s="16"/>
      <c r="M680" s="16"/>
      <c r="N680" s="16"/>
      <c r="O680" s="16"/>
      <c r="P680" s="16"/>
      <c r="Q680" s="16"/>
      <c r="R680" s="16"/>
      <c r="S680" s="16"/>
      <c r="T680" s="16"/>
      <c r="U680" s="16"/>
      <c r="V680" s="16"/>
      <c r="W680" s="16"/>
      <c r="X680" s="16"/>
      <c r="Y680" s="16"/>
    </row>
    <row r="681" spans="1:25" x14ac:dyDescent="0.2">
      <c r="A681" s="14"/>
      <c r="B681" s="6"/>
      <c r="C681" s="6"/>
      <c r="D681" s="16"/>
      <c r="E681" s="6"/>
      <c r="F681" s="16"/>
      <c r="G681" s="6"/>
      <c r="H681" s="16"/>
      <c r="I681" s="16"/>
      <c r="J681" s="16"/>
      <c r="K681" s="16"/>
      <c r="L681" s="16"/>
      <c r="M681" s="16"/>
      <c r="N681" s="16"/>
      <c r="O681" s="16"/>
      <c r="P681" s="16"/>
      <c r="Q681" s="16"/>
      <c r="R681" s="16"/>
      <c r="S681" s="16"/>
      <c r="T681" s="16"/>
      <c r="U681" s="16"/>
      <c r="V681" s="16"/>
      <c r="W681" s="16"/>
      <c r="X681" s="16"/>
      <c r="Y681" s="16"/>
    </row>
    <row r="682" spans="1:25" x14ac:dyDescent="0.2">
      <c r="A682" s="14"/>
      <c r="B682" s="6"/>
      <c r="C682" s="6"/>
      <c r="D682" s="16"/>
      <c r="E682" s="6"/>
      <c r="F682" s="16"/>
      <c r="G682" s="6"/>
      <c r="H682" s="16"/>
      <c r="I682" s="16"/>
      <c r="J682" s="16"/>
      <c r="K682" s="16"/>
      <c r="L682" s="16"/>
      <c r="M682" s="16"/>
      <c r="N682" s="16"/>
      <c r="O682" s="16"/>
      <c r="P682" s="16"/>
      <c r="Q682" s="16"/>
      <c r="R682" s="16"/>
      <c r="S682" s="16"/>
      <c r="T682" s="16"/>
      <c r="U682" s="16"/>
      <c r="V682" s="16"/>
      <c r="W682" s="16"/>
      <c r="X682" s="16"/>
      <c r="Y682" s="16"/>
    </row>
    <row r="683" spans="1:25" x14ac:dyDescent="0.2">
      <c r="A683" s="14"/>
      <c r="B683" s="6"/>
      <c r="C683" s="6"/>
      <c r="D683" s="16"/>
      <c r="E683" s="6"/>
      <c r="F683" s="16"/>
      <c r="G683" s="6"/>
      <c r="H683" s="16"/>
      <c r="I683" s="16"/>
      <c r="J683" s="16"/>
      <c r="K683" s="16"/>
      <c r="L683" s="16"/>
      <c r="M683" s="16"/>
      <c r="N683" s="16"/>
      <c r="O683" s="16"/>
      <c r="P683" s="16"/>
      <c r="Q683" s="16"/>
      <c r="R683" s="16"/>
      <c r="S683" s="16"/>
      <c r="T683" s="16"/>
      <c r="U683" s="16"/>
      <c r="V683" s="16"/>
      <c r="W683" s="16"/>
      <c r="X683" s="16"/>
      <c r="Y683" s="16"/>
    </row>
    <row r="684" spans="1:25" x14ac:dyDescent="0.2">
      <c r="A684" s="14"/>
      <c r="B684" s="6"/>
      <c r="C684" s="6"/>
      <c r="D684" s="16"/>
      <c r="E684" s="6"/>
      <c r="F684" s="16"/>
      <c r="G684" s="6"/>
      <c r="H684" s="16"/>
      <c r="I684" s="16"/>
      <c r="J684" s="16"/>
      <c r="K684" s="16"/>
      <c r="L684" s="16"/>
      <c r="M684" s="16"/>
      <c r="N684" s="16"/>
      <c r="O684" s="16"/>
      <c r="P684" s="16"/>
      <c r="Q684" s="16"/>
      <c r="R684" s="16"/>
      <c r="S684" s="16"/>
      <c r="T684" s="16"/>
      <c r="U684" s="16"/>
      <c r="V684" s="16"/>
      <c r="W684" s="16"/>
      <c r="X684" s="16"/>
      <c r="Y684" s="16"/>
    </row>
    <row r="685" spans="1:25" x14ac:dyDescent="0.2">
      <c r="A685" s="14"/>
      <c r="B685" s="6"/>
      <c r="C685" s="6"/>
      <c r="D685" s="16"/>
      <c r="E685" s="6"/>
      <c r="F685" s="16"/>
      <c r="G685" s="6"/>
      <c r="H685" s="16"/>
      <c r="I685" s="16"/>
      <c r="J685" s="16"/>
      <c r="K685" s="16"/>
      <c r="L685" s="16"/>
      <c r="M685" s="16"/>
      <c r="N685" s="16"/>
      <c r="O685" s="16"/>
      <c r="P685" s="16"/>
      <c r="Q685" s="16"/>
      <c r="R685" s="16"/>
      <c r="S685" s="16"/>
      <c r="T685" s="16"/>
      <c r="U685" s="16"/>
      <c r="V685" s="16"/>
      <c r="W685" s="16"/>
      <c r="X685" s="16"/>
      <c r="Y685" s="16"/>
    </row>
    <row r="686" spans="1:25" x14ac:dyDescent="0.2">
      <c r="A686" s="14"/>
      <c r="B686" s="6"/>
      <c r="C686" s="6"/>
      <c r="D686" s="16"/>
      <c r="E686" s="6"/>
      <c r="F686" s="16"/>
      <c r="G686" s="6"/>
      <c r="H686" s="16"/>
      <c r="I686" s="16"/>
      <c r="J686" s="16"/>
      <c r="K686" s="16"/>
      <c r="L686" s="16"/>
      <c r="M686" s="16"/>
      <c r="N686" s="16"/>
      <c r="O686" s="16"/>
      <c r="P686" s="16"/>
      <c r="Q686" s="16"/>
      <c r="R686" s="16"/>
      <c r="S686" s="16"/>
      <c r="T686" s="16"/>
      <c r="U686" s="16"/>
      <c r="V686" s="16"/>
      <c r="W686" s="16"/>
      <c r="X686" s="16"/>
      <c r="Y686" s="16"/>
    </row>
    <row r="687" spans="1:25" x14ac:dyDescent="0.2">
      <c r="A687" s="14"/>
      <c r="B687" s="6"/>
      <c r="C687" s="6"/>
      <c r="D687" s="16"/>
      <c r="E687" s="6"/>
      <c r="F687" s="16"/>
      <c r="G687" s="6"/>
      <c r="H687" s="16"/>
      <c r="I687" s="16"/>
      <c r="J687" s="16"/>
      <c r="K687" s="16"/>
      <c r="L687" s="16"/>
      <c r="M687" s="16"/>
      <c r="N687" s="16"/>
      <c r="O687" s="16"/>
      <c r="P687" s="16"/>
      <c r="Q687" s="16"/>
      <c r="R687" s="16"/>
      <c r="S687" s="16"/>
      <c r="T687" s="16"/>
      <c r="U687" s="16"/>
      <c r="V687" s="16"/>
      <c r="W687" s="16"/>
      <c r="X687" s="16"/>
      <c r="Y687" s="16"/>
    </row>
    <row r="688" spans="1:25" x14ac:dyDescent="0.2">
      <c r="A688" s="14"/>
      <c r="B688" s="6"/>
      <c r="C688" s="6"/>
      <c r="D688" s="16"/>
      <c r="E688" s="6"/>
      <c r="F688" s="16"/>
      <c r="G688" s="6"/>
      <c r="H688" s="16"/>
      <c r="I688" s="16"/>
      <c r="J688" s="16"/>
      <c r="K688" s="16"/>
      <c r="L688" s="16"/>
      <c r="M688" s="16"/>
      <c r="N688" s="16"/>
      <c r="O688" s="16"/>
      <c r="P688" s="16"/>
      <c r="Q688" s="16"/>
      <c r="R688" s="16"/>
      <c r="S688" s="16"/>
      <c r="T688" s="16"/>
      <c r="U688" s="16"/>
      <c r="V688" s="16"/>
      <c r="W688" s="16"/>
      <c r="X688" s="16"/>
      <c r="Y688" s="16"/>
    </row>
    <row r="689" spans="1:25" x14ac:dyDescent="0.2">
      <c r="A689" s="14"/>
      <c r="B689" s="6"/>
      <c r="C689" s="6"/>
      <c r="D689" s="16"/>
      <c r="E689" s="6"/>
      <c r="F689" s="16"/>
      <c r="G689" s="6"/>
      <c r="H689" s="16"/>
      <c r="I689" s="16"/>
      <c r="J689" s="16"/>
      <c r="K689" s="16"/>
      <c r="L689" s="16"/>
      <c r="M689" s="16"/>
      <c r="N689" s="16"/>
      <c r="O689" s="16"/>
      <c r="P689" s="16"/>
      <c r="Q689" s="16"/>
      <c r="R689" s="16"/>
      <c r="S689" s="16"/>
      <c r="T689" s="16"/>
      <c r="U689" s="16"/>
      <c r="V689" s="16"/>
      <c r="W689" s="16"/>
      <c r="X689" s="16"/>
      <c r="Y689" s="16"/>
    </row>
    <row r="690" spans="1:25" x14ac:dyDescent="0.2">
      <c r="A690" s="14"/>
      <c r="B690" s="6"/>
      <c r="C690" s="6"/>
      <c r="D690" s="16"/>
      <c r="E690" s="6"/>
      <c r="F690" s="16"/>
      <c r="G690" s="6"/>
      <c r="H690" s="16"/>
      <c r="I690" s="16"/>
      <c r="J690" s="16"/>
      <c r="K690" s="16"/>
      <c r="L690" s="16"/>
      <c r="M690" s="16"/>
      <c r="N690" s="16"/>
      <c r="O690" s="16"/>
      <c r="P690" s="16"/>
      <c r="Q690" s="16"/>
      <c r="R690" s="16"/>
      <c r="S690" s="16"/>
      <c r="T690" s="16"/>
      <c r="U690" s="16"/>
      <c r="V690" s="16"/>
      <c r="W690" s="16"/>
      <c r="X690" s="16"/>
      <c r="Y690" s="16"/>
    </row>
    <row r="691" spans="1:25" x14ac:dyDescent="0.2">
      <c r="A691" s="14"/>
      <c r="B691" s="6"/>
      <c r="C691" s="6"/>
      <c r="D691" s="16"/>
      <c r="E691" s="6"/>
      <c r="F691" s="16"/>
      <c r="G691" s="6"/>
      <c r="H691" s="16"/>
      <c r="I691" s="16"/>
      <c r="J691" s="16"/>
      <c r="K691" s="16"/>
      <c r="L691" s="16"/>
      <c r="M691" s="16"/>
      <c r="N691" s="16"/>
      <c r="O691" s="16"/>
      <c r="P691" s="16"/>
      <c r="Q691" s="16"/>
      <c r="R691" s="16"/>
      <c r="S691" s="16"/>
      <c r="T691" s="16"/>
      <c r="U691" s="16"/>
      <c r="V691" s="16"/>
      <c r="W691" s="16"/>
      <c r="X691" s="16"/>
      <c r="Y691" s="16"/>
    </row>
    <row r="692" spans="1:25" x14ac:dyDescent="0.2">
      <c r="A692" s="14"/>
      <c r="B692" s="6"/>
      <c r="C692" s="6"/>
      <c r="D692" s="16"/>
      <c r="E692" s="6"/>
      <c r="F692" s="16"/>
      <c r="G692" s="6"/>
      <c r="H692" s="16"/>
      <c r="I692" s="16"/>
      <c r="J692" s="16"/>
      <c r="K692" s="16"/>
      <c r="L692" s="16"/>
      <c r="M692" s="16"/>
      <c r="N692" s="16"/>
      <c r="O692" s="16"/>
      <c r="P692" s="16"/>
      <c r="Q692" s="16"/>
      <c r="R692" s="16"/>
      <c r="S692" s="16"/>
      <c r="T692" s="16"/>
      <c r="U692" s="16"/>
      <c r="V692" s="16"/>
      <c r="W692" s="16"/>
      <c r="X692" s="16"/>
      <c r="Y692" s="16"/>
    </row>
    <row r="693" spans="1:25" x14ac:dyDescent="0.2">
      <c r="A693" s="14"/>
      <c r="B693" s="6"/>
      <c r="C693" s="6"/>
      <c r="D693" s="16"/>
      <c r="E693" s="6"/>
      <c r="F693" s="16"/>
      <c r="G693" s="6"/>
      <c r="H693" s="16"/>
      <c r="I693" s="16"/>
      <c r="J693" s="16"/>
      <c r="K693" s="16"/>
      <c r="L693" s="16"/>
      <c r="M693" s="16"/>
      <c r="N693" s="16"/>
      <c r="O693" s="16"/>
      <c r="P693" s="16"/>
      <c r="Q693" s="16"/>
      <c r="R693" s="16"/>
      <c r="S693" s="16"/>
      <c r="T693" s="16"/>
      <c r="U693" s="16"/>
      <c r="V693" s="16"/>
      <c r="W693" s="16"/>
      <c r="X693" s="16"/>
      <c r="Y693" s="16"/>
    </row>
    <row r="694" spans="1:25" x14ac:dyDescent="0.2">
      <c r="A694" s="14"/>
      <c r="B694" s="6"/>
      <c r="C694" s="6"/>
      <c r="D694" s="16"/>
      <c r="E694" s="6"/>
      <c r="F694" s="16"/>
      <c r="G694" s="6"/>
      <c r="H694" s="16"/>
      <c r="I694" s="16"/>
      <c r="J694" s="16"/>
      <c r="K694" s="16"/>
      <c r="L694" s="16"/>
      <c r="M694" s="16"/>
      <c r="N694" s="16"/>
      <c r="O694" s="16"/>
      <c r="P694" s="16"/>
      <c r="Q694" s="16"/>
      <c r="R694" s="16"/>
      <c r="S694" s="16"/>
      <c r="T694" s="16"/>
      <c r="U694" s="16"/>
      <c r="V694" s="16"/>
      <c r="W694" s="16"/>
      <c r="X694" s="16"/>
      <c r="Y694" s="16"/>
    </row>
    <row r="695" spans="1:25" x14ac:dyDescent="0.2">
      <c r="A695" s="14"/>
      <c r="B695" s="6"/>
      <c r="C695" s="6"/>
      <c r="D695" s="16"/>
      <c r="E695" s="6"/>
      <c r="F695" s="16"/>
      <c r="G695" s="6"/>
      <c r="H695" s="16"/>
      <c r="I695" s="16"/>
      <c r="J695" s="16"/>
      <c r="K695" s="16"/>
      <c r="L695" s="16"/>
      <c r="M695" s="16"/>
      <c r="N695" s="16"/>
      <c r="O695" s="16"/>
      <c r="P695" s="16"/>
      <c r="Q695" s="16"/>
      <c r="R695" s="16"/>
      <c r="S695" s="16"/>
      <c r="T695" s="16"/>
      <c r="U695" s="16"/>
      <c r="V695" s="16"/>
      <c r="W695" s="16"/>
      <c r="X695" s="16"/>
      <c r="Y695" s="16"/>
    </row>
    <row r="696" spans="1:25" x14ac:dyDescent="0.2">
      <c r="A696" s="14"/>
      <c r="B696" s="6"/>
      <c r="C696" s="6"/>
      <c r="D696" s="16"/>
      <c r="E696" s="6"/>
      <c r="F696" s="16"/>
      <c r="G696" s="6"/>
      <c r="H696" s="16"/>
      <c r="I696" s="16"/>
      <c r="J696" s="16"/>
      <c r="K696" s="16"/>
      <c r="L696" s="16"/>
      <c r="M696" s="16"/>
      <c r="N696" s="16"/>
      <c r="O696" s="16"/>
      <c r="P696" s="16"/>
      <c r="Q696" s="16"/>
      <c r="R696" s="16"/>
      <c r="S696" s="16"/>
      <c r="T696" s="16"/>
      <c r="U696" s="16"/>
      <c r="V696" s="16"/>
      <c r="W696" s="16"/>
      <c r="X696" s="16"/>
      <c r="Y696" s="16"/>
    </row>
    <row r="697" spans="1:25" x14ac:dyDescent="0.2">
      <c r="A697" s="14"/>
      <c r="B697" s="6"/>
      <c r="C697" s="6"/>
      <c r="D697" s="16"/>
      <c r="E697" s="6"/>
      <c r="F697" s="16"/>
      <c r="G697" s="6"/>
      <c r="H697" s="16"/>
      <c r="I697" s="16"/>
      <c r="J697" s="16"/>
      <c r="K697" s="16"/>
      <c r="L697" s="16"/>
      <c r="M697" s="16"/>
      <c r="N697" s="16"/>
      <c r="O697" s="16"/>
      <c r="P697" s="16"/>
      <c r="Q697" s="16"/>
      <c r="R697" s="16"/>
      <c r="S697" s="16"/>
      <c r="T697" s="16"/>
      <c r="U697" s="16"/>
      <c r="V697" s="16"/>
      <c r="W697" s="16"/>
      <c r="X697" s="16"/>
      <c r="Y697" s="16"/>
    </row>
    <row r="698" spans="1:25" x14ac:dyDescent="0.2">
      <c r="A698" s="14"/>
      <c r="B698" s="6"/>
      <c r="C698" s="6"/>
      <c r="D698" s="16"/>
      <c r="E698" s="6"/>
      <c r="F698" s="16"/>
      <c r="G698" s="6"/>
      <c r="H698" s="16"/>
      <c r="I698" s="16"/>
      <c r="J698" s="16"/>
      <c r="K698" s="16"/>
      <c r="L698" s="16"/>
      <c r="M698" s="16"/>
      <c r="N698" s="16"/>
      <c r="O698" s="16"/>
      <c r="P698" s="16"/>
      <c r="Q698" s="16"/>
      <c r="R698" s="16"/>
      <c r="S698" s="16"/>
      <c r="T698" s="16"/>
      <c r="U698" s="16"/>
      <c r="V698" s="16"/>
      <c r="W698" s="16"/>
      <c r="X698" s="16"/>
      <c r="Y698" s="16"/>
    </row>
    <row r="699" spans="1:25" x14ac:dyDescent="0.2">
      <c r="A699" s="14"/>
      <c r="B699" s="6"/>
      <c r="C699" s="6"/>
      <c r="D699" s="16"/>
      <c r="E699" s="6"/>
      <c r="F699" s="16"/>
      <c r="G699" s="6"/>
      <c r="H699" s="16"/>
      <c r="I699" s="16"/>
      <c r="J699" s="16"/>
      <c r="K699" s="16"/>
      <c r="L699" s="16"/>
      <c r="M699" s="16"/>
      <c r="N699" s="16"/>
      <c r="O699" s="16"/>
      <c r="P699" s="16"/>
      <c r="Q699" s="16"/>
      <c r="R699" s="16"/>
      <c r="S699" s="16"/>
      <c r="T699" s="16"/>
      <c r="U699" s="16"/>
      <c r="V699" s="16"/>
      <c r="W699" s="16"/>
      <c r="X699" s="16"/>
      <c r="Y699" s="16"/>
    </row>
    <row r="700" spans="1:25" x14ac:dyDescent="0.2">
      <c r="A700" s="14"/>
      <c r="B700" s="6"/>
      <c r="C700" s="6"/>
      <c r="D700" s="16"/>
      <c r="E700" s="6"/>
      <c r="F700" s="16"/>
      <c r="G700" s="6"/>
      <c r="H700" s="16"/>
      <c r="I700" s="16"/>
      <c r="J700" s="16"/>
      <c r="K700" s="16"/>
      <c r="L700" s="16"/>
      <c r="M700" s="16"/>
      <c r="N700" s="16"/>
      <c r="O700" s="16"/>
      <c r="P700" s="16"/>
      <c r="Q700" s="16"/>
      <c r="R700" s="16"/>
      <c r="S700" s="16"/>
      <c r="T700" s="16"/>
      <c r="U700" s="16"/>
      <c r="V700" s="16"/>
      <c r="W700" s="16"/>
      <c r="X700" s="16"/>
      <c r="Y700" s="16"/>
    </row>
    <row r="701" spans="1:25" x14ac:dyDescent="0.2">
      <c r="A701" s="14"/>
      <c r="B701" s="6"/>
      <c r="C701" s="6"/>
      <c r="D701" s="16"/>
      <c r="E701" s="6"/>
      <c r="F701" s="16"/>
      <c r="G701" s="6"/>
      <c r="H701" s="16"/>
      <c r="I701" s="16"/>
      <c r="J701" s="16"/>
      <c r="K701" s="16"/>
      <c r="L701" s="16"/>
      <c r="M701" s="16"/>
      <c r="N701" s="16"/>
      <c r="O701" s="16"/>
      <c r="P701" s="16"/>
      <c r="Q701" s="16"/>
      <c r="R701" s="16"/>
      <c r="S701" s="16"/>
      <c r="T701" s="16"/>
      <c r="U701" s="16"/>
      <c r="V701" s="16"/>
      <c r="W701" s="16"/>
      <c r="X701" s="16"/>
      <c r="Y701" s="16"/>
    </row>
    <row r="702" spans="1:25" x14ac:dyDescent="0.2">
      <c r="A702" s="14"/>
      <c r="B702" s="6"/>
      <c r="C702" s="6"/>
      <c r="D702" s="16"/>
      <c r="E702" s="6"/>
      <c r="F702" s="16"/>
      <c r="G702" s="6"/>
      <c r="H702" s="16"/>
      <c r="I702" s="16"/>
      <c r="J702" s="16"/>
      <c r="K702" s="16"/>
      <c r="L702" s="16"/>
      <c r="M702" s="16"/>
      <c r="N702" s="16"/>
      <c r="O702" s="16"/>
      <c r="P702" s="16"/>
      <c r="Q702" s="16"/>
      <c r="R702" s="16"/>
      <c r="S702" s="16"/>
      <c r="T702" s="16"/>
      <c r="U702" s="16"/>
      <c r="V702" s="16"/>
      <c r="W702" s="16"/>
      <c r="X702" s="16"/>
      <c r="Y702" s="16"/>
    </row>
    <row r="703" spans="1:25" x14ac:dyDescent="0.2">
      <c r="A703" s="14"/>
      <c r="B703" s="6"/>
      <c r="C703" s="6"/>
      <c r="D703" s="16"/>
      <c r="E703" s="6"/>
      <c r="F703" s="16"/>
      <c r="G703" s="6"/>
      <c r="H703" s="16"/>
      <c r="I703" s="16"/>
      <c r="J703" s="16"/>
      <c r="K703" s="16"/>
      <c r="L703" s="16"/>
      <c r="M703" s="16"/>
      <c r="N703" s="16"/>
      <c r="O703" s="16"/>
      <c r="P703" s="16"/>
      <c r="Q703" s="16"/>
      <c r="R703" s="16"/>
      <c r="S703" s="16"/>
      <c r="T703" s="16"/>
      <c r="U703" s="16"/>
      <c r="V703" s="16"/>
      <c r="W703" s="16"/>
      <c r="X703" s="16"/>
      <c r="Y703" s="16"/>
    </row>
    <row r="704" spans="1:25" x14ac:dyDescent="0.2">
      <c r="A704" s="14"/>
      <c r="B704" s="6"/>
      <c r="C704" s="6"/>
      <c r="D704" s="16"/>
      <c r="E704" s="6"/>
      <c r="F704" s="16"/>
      <c r="G704" s="6"/>
      <c r="H704" s="16"/>
      <c r="I704" s="16"/>
      <c r="J704" s="16"/>
      <c r="K704" s="16"/>
      <c r="L704" s="16"/>
      <c r="M704" s="16"/>
      <c r="N704" s="16"/>
      <c r="O704" s="16"/>
      <c r="P704" s="16"/>
      <c r="Q704" s="16"/>
      <c r="R704" s="16"/>
      <c r="S704" s="16"/>
      <c r="T704" s="16"/>
      <c r="U704" s="16"/>
      <c r="V704" s="16"/>
      <c r="W704" s="16"/>
      <c r="X704" s="16"/>
      <c r="Y704" s="16"/>
    </row>
    <row r="705" spans="1:25" x14ac:dyDescent="0.2">
      <c r="A705" s="14"/>
      <c r="B705" s="6"/>
      <c r="C705" s="6"/>
      <c r="D705" s="16"/>
      <c r="E705" s="6"/>
      <c r="F705" s="16"/>
      <c r="G705" s="6"/>
      <c r="H705" s="16"/>
      <c r="I705" s="16"/>
      <c r="J705" s="16"/>
      <c r="K705" s="16"/>
      <c r="L705" s="16"/>
      <c r="M705" s="16"/>
      <c r="N705" s="16"/>
      <c r="O705" s="16"/>
      <c r="P705" s="16"/>
      <c r="Q705" s="16"/>
      <c r="R705" s="16"/>
      <c r="S705" s="16"/>
      <c r="T705" s="16"/>
      <c r="U705" s="16"/>
      <c r="V705" s="16"/>
      <c r="W705" s="16"/>
      <c r="X705" s="16"/>
      <c r="Y705" s="16"/>
    </row>
    <row r="706" spans="1:25" x14ac:dyDescent="0.2">
      <c r="A706" s="14"/>
      <c r="B706" s="6"/>
      <c r="C706" s="6"/>
      <c r="D706" s="16"/>
      <c r="E706" s="6"/>
      <c r="F706" s="16"/>
      <c r="G706" s="6"/>
      <c r="H706" s="16"/>
      <c r="I706" s="16"/>
      <c r="J706" s="16"/>
      <c r="K706" s="16"/>
      <c r="L706" s="16"/>
      <c r="M706" s="16"/>
      <c r="N706" s="16"/>
      <c r="O706" s="16"/>
      <c r="P706" s="16"/>
      <c r="Q706" s="16"/>
      <c r="R706" s="16"/>
      <c r="S706" s="16"/>
      <c r="T706" s="16"/>
      <c r="U706" s="16"/>
      <c r="V706" s="16"/>
      <c r="W706" s="16"/>
      <c r="X706" s="16"/>
      <c r="Y706" s="16"/>
    </row>
    <row r="707" spans="1:25" x14ac:dyDescent="0.2">
      <c r="A707" s="14"/>
      <c r="B707" s="6"/>
      <c r="C707" s="6"/>
      <c r="D707" s="16"/>
      <c r="E707" s="6"/>
      <c r="F707" s="16"/>
      <c r="G707" s="6"/>
      <c r="H707" s="16"/>
      <c r="I707" s="16"/>
      <c r="J707" s="16"/>
      <c r="K707" s="16"/>
      <c r="L707" s="16"/>
      <c r="M707" s="16"/>
      <c r="N707" s="16"/>
      <c r="O707" s="16"/>
      <c r="P707" s="16"/>
      <c r="Q707" s="16"/>
      <c r="R707" s="16"/>
      <c r="S707" s="16"/>
      <c r="T707" s="16"/>
      <c r="U707" s="16"/>
      <c r="V707" s="16"/>
      <c r="W707" s="16"/>
      <c r="X707" s="16"/>
      <c r="Y707" s="16"/>
    </row>
    <row r="708" spans="1:25" x14ac:dyDescent="0.2">
      <c r="A708" s="14"/>
      <c r="B708" s="6"/>
      <c r="C708" s="6"/>
      <c r="D708" s="16"/>
      <c r="E708" s="6"/>
      <c r="F708" s="16"/>
      <c r="G708" s="6"/>
      <c r="H708" s="16"/>
      <c r="I708" s="16"/>
      <c r="J708" s="16"/>
      <c r="K708" s="16"/>
      <c r="L708" s="16"/>
      <c r="M708" s="16"/>
      <c r="N708" s="16"/>
      <c r="O708" s="16"/>
      <c r="P708" s="16"/>
      <c r="Q708" s="16"/>
      <c r="R708" s="16"/>
      <c r="S708" s="16"/>
      <c r="T708" s="16"/>
      <c r="U708" s="16"/>
      <c r="V708" s="16"/>
      <c r="W708" s="16"/>
      <c r="X708" s="16"/>
      <c r="Y708" s="16"/>
    </row>
    <row r="709" spans="1:25" x14ac:dyDescent="0.2">
      <c r="A709" s="14"/>
      <c r="B709" s="6"/>
      <c r="C709" s="6"/>
      <c r="D709" s="16"/>
      <c r="E709" s="6"/>
      <c r="F709" s="16"/>
      <c r="G709" s="6"/>
      <c r="H709" s="16"/>
      <c r="I709" s="16"/>
      <c r="J709" s="16"/>
      <c r="K709" s="16"/>
      <c r="L709" s="16"/>
      <c r="M709" s="16"/>
      <c r="N709" s="16"/>
      <c r="O709" s="16"/>
      <c r="P709" s="16"/>
      <c r="Q709" s="16"/>
      <c r="R709" s="16"/>
      <c r="S709" s="16"/>
      <c r="T709" s="16"/>
      <c r="U709" s="16"/>
      <c r="V709" s="16"/>
      <c r="W709" s="16"/>
      <c r="X709" s="16"/>
      <c r="Y709" s="16"/>
    </row>
    <row r="710" spans="1:25" x14ac:dyDescent="0.2">
      <c r="A710" s="14"/>
      <c r="B710" s="6"/>
      <c r="C710" s="6"/>
      <c r="D710" s="16"/>
      <c r="E710" s="6"/>
      <c r="F710" s="16"/>
      <c r="G710" s="6"/>
      <c r="H710" s="16"/>
      <c r="I710" s="16"/>
      <c r="J710" s="16"/>
      <c r="K710" s="16"/>
      <c r="L710" s="16"/>
      <c r="M710" s="16"/>
      <c r="N710" s="16"/>
      <c r="O710" s="16"/>
      <c r="P710" s="16"/>
      <c r="Q710" s="16"/>
      <c r="R710" s="16"/>
      <c r="S710" s="16"/>
      <c r="T710" s="16"/>
      <c r="U710" s="16"/>
      <c r="V710" s="16"/>
      <c r="W710" s="16"/>
      <c r="X710" s="16"/>
      <c r="Y710" s="16"/>
    </row>
    <row r="711" spans="1:25" x14ac:dyDescent="0.2">
      <c r="A711" s="14"/>
      <c r="B711" s="6"/>
      <c r="C711" s="6"/>
      <c r="D711" s="16"/>
      <c r="E711" s="6"/>
      <c r="F711" s="16"/>
      <c r="G711" s="6"/>
      <c r="H711" s="16"/>
      <c r="I711" s="16"/>
      <c r="J711" s="16"/>
      <c r="K711" s="16"/>
      <c r="L711" s="16"/>
      <c r="M711" s="16"/>
      <c r="N711" s="16"/>
      <c r="O711" s="16"/>
      <c r="P711" s="16"/>
      <c r="Q711" s="16"/>
      <c r="R711" s="16"/>
      <c r="S711" s="16"/>
      <c r="T711" s="16"/>
      <c r="U711" s="16"/>
      <c r="V711" s="16"/>
      <c r="W711" s="16"/>
      <c r="X711" s="16"/>
      <c r="Y711" s="16"/>
    </row>
    <row r="712" spans="1:25" x14ac:dyDescent="0.2">
      <c r="A712" s="14"/>
      <c r="B712" s="6"/>
      <c r="C712" s="6"/>
      <c r="D712" s="16"/>
      <c r="E712" s="6"/>
      <c r="F712" s="16"/>
      <c r="G712" s="6"/>
      <c r="H712" s="16"/>
      <c r="I712" s="16"/>
      <c r="J712" s="16"/>
      <c r="K712" s="16"/>
      <c r="L712" s="16"/>
      <c r="M712" s="16"/>
      <c r="N712" s="16"/>
      <c r="O712" s="16"/>
      <c r="P712" s="16"/>
      <c r="Q712" s="16"/>
      <c r="R712" s="16"/>
      <c r="S712" s="16"/>
      <c r="T712" s="16"/>
      <c r="U712" s="16"/>
      <c r="V712" s="16"/>
      <c r="W712" s="16"/>
      <c r="X712" s="16"/>
      <c r="Y712" s="16"/>
    </row>
    <row r="713" spans="1:25" x14ac:dyDescent="0.2">
      <c r="A713" s="14"/>
      <c r="B713" s="6"/>
      <c r="C713" s="6"/>
      <c r="D713" s="16"/>
      <c r="E713" s="6"/>
      <c r="F713" s="16"/>
      <c r="G713" s="6"/>
      <c r="H713" s="16"/>
      <c r="I713" s="16"/>
      <c r="J713" s="16"/>
      <c r="K713" s="16"/>
      <c r="L713" s="16"/>
      <c r="M713" s="16"/>
      <c r="N713" s="16"/>
      <c r="O713" s="16"/>
      <c r="P713" s="16"/>
      <c r="Q713" s="16"/>
      <c r="R713" s="16"/>
      <c r="S713" s="16"/>
      <c r="T713" s="16"/>
      <c r="U713" s="16"/>
      <c r="V713" s="16"/>
      <c r="W713" s="16"/>
      <c r="X713" s="16"/>
      <c r="Y713" s="16"/>
    </row>
    <row r="714" spans="1:25" x14ac:dyDescent="0.2">
      <c r="A714" s="14"/>
      <c r="B714" s="6"/>
      <c r="C714" s="6"/>
      <c r="D714" s="16"/>
      <c r="E714" s="6"/>
      <c r="F714" s="16"/>
      <c r="G714" s="6"/>
      <c r="H714" s="16"/>
      <c r="I714" s="16"/>
      <c r="J714" s="16"/>
      <c r="K714" s="16"/>
      <c r="L714" s="16"/>
      <c r="M714" s="16"/>
      <c r="N714" s="16"/>
      <c r="O714" s="16"/>
      <c r="P714" s="16"/>
      <c r="Q714" s="16"/>
      <c r="R714" s="16"/>
      <c r="S714" s="16"/>
      <c r="T714" s="16"/>
      <c r="U714" s="16"/>
      <c r="V714" s="16"/>
      <c r="W714" s="16"/>
      <c r="X714" s="16"/>
      <c r="Y714" s="16"/>
    </row>
    <row r="715" spans="1:25" x14ac:dyDescent="0.2">
      <c r="A715" s="14"/>
      <c r="B715" s="6"/>
      <c r="C715" s="6"/>
      <c r="D715" s="16"/>
      <c r="E715" s="6"/>
      <c r="F715" s="16"/>
      <c r="G715" s="6"/>
      <c r="H715" s="16"/>
      <c r="I715" s="16"/>
      <c r="J715" s="16"/>
      <c r="K715" s="16"/>
      <c r="L715" s="16"/>
      <c r="M715" s="16"/>
      <c r="N715" s="16"/>
      <c r="O715" s="16"/>
      <c r="P715" s="16"/>
      <c r="Q715" s="16"/>
      <c r="R715" s="16"/>
      <c r="S715" s="16"/>
      <c r="T715" s="16"/>
      <c r="U715" s="16"/>
      <c r="V715" s="16"/>
      <c r="W715" s="16"/>
      <c r="X715" s="16"/>
      <c r="Y715" s="16"/>
    </row>
    <row r="716" spans="1:25" x14ac:dyDescent="0.2">
      <c r="A716" s="14"/>
      <c r="B716" s="6"/>
      <c r="C716" s="6"/>
      <c r="D716" s="16"/>
      <c r="E716" s="6"/>
      <c r="F716" s="16"/>
      <c r="G716" s="6"/>
      <c r="H716" s="16"/>
      <c r="I716" s="16"/>
      <c r="J716" s="16"/>
      <c r="K716" s="16"/>
      <c r="L716" s="16"/>
      <c r="M716" s="16"/>
      <c r="N716" s="16"/>
      <c r="O716" s="16"/>
      <c r="P716" s="16"/>
      <c r="Q716" s="16"/>
      <c r="R716" s="16"/>
      <c r="S716" s="16"/>
      <c r="T716" s="16"/>
      <c r="U716" s="16"/>
      <c r="V716" s="16"/>
      <c r="W716" s="16"/>
      <c r="X716" s="16"/>
      <c r="Y716" s="16"/>
    </row>
    <row r="717" spans="1:25" x14ac:dyDescent="0.2">
      <c r="A717" s="14"/>
      <c r="B717" s="6"/>
      <c r="C717" s="6"/>
      <c r="D717" s="16"/>
      <c r="E717" s="6"/>
      <c r="F717" s="16"/>
      <c r="G717" s="6"/>
      <c r="H717" s="16"/>
      <c r="I717" s="16"/>
      <c r="J717" s="16"/>
      <c r="K717" s="16"/>
      <c r="L717" s="16"/>
      <c r="M717" s="16"/>
      <c r="N717" s="16"/>
      <c r="O717" s="16"/>
      <c r="P717" s="16"/>
      <c r="Q717" s="16"/>
      <c r="R717" s="16"/>
      <c r="S717" s="16"/>
      <c r="T717" s="16"/>
      <c r="U717" s="16"/>
      <c r="V717" s="16"/>
      <c r="W717" s="16"/>
      <c r="X717" s="16"/>
      <c r="Y717" s="16"/>
    </row>
    <row r="718" spans="1:25" x14ac:dyDescent="0.2">
      <c r="A718" s="14"/>
      <c r="B718" s="6"/>
      <c r="C718" s="6"/>
      <c r="D718" s="16"/>
      <c r="E718" s="6"/>
      <c r="F718" s="16"/>
      <c r="G718" s="6"/>
      <c r="H718" s="16"/>
      <c r="I718" s="16"/>
      <c r="J718" s="16"/>
      <c r="K718" s="16"/>
      <c r="L718" s="16"/>
      <c r="M718" s="16"/>
      <c r="N718" s="16"/>
      <c r="O718" s="16"/>
      <c r="P718" s="16"/>
      <c r="Q718" s="16"/>
      <c r="R718" s="16"/>
      <c r="S718" s="16"/>
      <c r="T718" s="16"/>
      <c r="U718" s="16"/>
      <c r="V718" s="16"/>
      <c r="W718" s="16"/>
      <c r="X718" s="16"/>
      <c r="Y718" s="16"/>
    </row>
    <row r="719" spans="1:25" x14ac:dyDescent="0.2">
      <c r="A719" s="14"/>
      <c r="B719" s="6"/>
      <c r="C719" s="6"/>
      <c r="D719" s="16"/>
      <c r="E719" s="6"/>
      <c r="F719" s="16"/>
      <c r="G719" s="6"/>
      <c r="H719" s="16"/>
      <c r="I719" s="16"/>
      <c r="J719" s="16"/>
      <c r="K719" s="16"/>
      <c r="L719" s="16"/>
      <c r="M719" s="16"/>
      <c r="N719" s="16"/>
      <c r="O719" s="16"/>
      <c r="P719" s="16"/>
      <c r="Q719" s="16"/>
      <c r="R719" s="16"/>
      <c r="S719" s="16"/>
      <c r="T719" s="16"/>
      <c r="U719" s="16"/>
      <c r="V719" s="16"/>
      <c r="W719" s="16"/>
      <c r="X719" s="16"/>
      <c r="Y719" s="16"/>
    </row>
    <row r="720" spans="1:25" x14ac:dyDescent="0.2">
      <c r="A720" s="14"/>
      <c r="B720" s="6"/>
      <c r="C720" s="6"/>
      <c r="D720" s="16"/>
      <c r="E720" s="6"/>
      <c r="F720" s="16"/>
      <c r="G720" s="6"/>
      <c r="H720" s="16"/>
      <c r="I720" s="16"/>
      <c r="J720" s="16"/>
      <c r="K720" s="16"/>
      <c r="L720" s="16"/>
      <c r="M720" s="16"/>
      <c r="N720" s="16"/>
      <c r="O720" s="16"/>
      <c r="P720" s="16"/>
      <c r="Q720" s="16"/>
      <c r="R720" s="16"/>
      <c r="S720" s="16"/>
      <c r="T720" s="16"/>
      <c r="U720" s="16"/>
      <c r="V720" s="16"/>
      <c r="W720" s="16"/>
      <c r="X720" s="16"/>
      <c r="Y720" s="16"/>
    </row>
    <row r="721" spans="1:25" x14ac:dyDescent="0.2">
      <c r="A721" s="14"/>
      <c r="B721" s="6"/>
      <c r="C721" s="6"/>
      <c r="D721" s="16"/>
      <c r="E721" s="6"/>
      <c r="F721" s="16"/>
      <c r="G721" s="6"/>
      <c r="H721" s="16"/>
      <c r="I721" s="16"/>
      <c r="J721" s="16"/>
      <c r="K721" s="16"/>
      <c r="L721" s="16"/>
      <c r="M721" s="16"/>
      <c r="N721" s="16"/>
      <c r="O721" s="16"/>
      <c r="P721" s="16"/>
      <c r="Q721" s="16"/>
      <c r="R721" s="16"/>
      <c r="S721" s="16"/>
      <c r="T721" s="16"/>
      <c r="U721" s="16"/>
      <c r="V721" s="16"/>
      <c r="W721" s="16"/>
      <c r="X721" s="16"/>
      <c r="Y721" s="16"/>
    </row>
    <row r="722" spans="1:25" x14ac:dyDescent="0.2">
      <c r="A722" s="14"/>
      <c r="B722" s="6"/>
      <c r="C722" s="6"/>
      <c r="D722" s="16"/>
      <c r="E722" s="6"/>
      <c r="F722" s="16"/>
      <c r="G722" s="6"/>
      <c r="H722" s="16"/>
      <c r="I722" s="16"/>
      <c r="J722" s="16"/>
      <c r="K722" s="16"/>
      <c r="L722" s="16"/>
      <c r="M722" s="16"/>
      <c r="N722" s="16"/>
      <c r="O722" s="16"/>
      <c r="P722" s="16"/>
      <c r="Q722" s="16"/>
      <c r="R722" s="16"/>
      <c r="S722" s="16"/>
      <c r="T722" s="16"/>
      <c r="U722" s="16"/>
      <c r="V722" s="16"/>
      <c r="W722" s="16"/>
      <c r="X722" s="16"/>
      <c r="Y722" s="16"/>
    </row>
    <row r="723" spans="1:25" x14ac:dyDescent="0.2">
      <c r="A723" s="14"/>
      <c r="B723" s="6"/>
      <c r="C723" s="6"/>
      <c r="D723" s="16"/>
      <c r="E723" s="6"/>
      <c r="F723" s="16"/>
      <c r="G723" s="6"/>
      <c r="H723" s="16"/>
      <c r="I723" s="16"/>
      <c r="J723" s="16"/>
      <c r="K723" s="16"/>
      <c r="L723" s="16"/>
      <c r="M723" s="16"/>
      <c r="N723" s="16"/>
      <c r="O723" s="16"/>
      <c r="P723" s="16"/>
      <c r="Q723" s="16"/>
      <c r="R723" s="16"/>
      <c r="S723" s="16"/>
      <c r="T723" s="16"/>
      <c r="U723" s="16"/>
      <c r="V723" s="16"/>
      <c r="W723" s="16"/>
      <c r="X723" s="16"/>
      <c r="Y723" s="16"/>
    </row>
    <row r="724" spans="1:25" x14ac:dyDescent="0.2">
      <c r="A724" s="14"/>
      <c r="B724" s="6"/>
      <c r="C724" s="6"/>
      <c r="D724" s="16"/>
      <c r="E724" s="6"/>
      <c r="F724" s="16"/>
      <c r="G724" s="6"/>
      <c r="H724" s="16"/>
      <c r="I724" s="16"/>
      <c r="J724" s="16"/>
      <c r="K724" s="16"/>
      <c r="L724" s="16"/>
      <c r="M724" s="16"/>
      <c r="N724" s="16"/>
      <c r="O724" s="16"/>
      <c r="P724" s="16"/>
      <c r="Q724" s="16"/>
      <c r="R724" s="16"/>
      <c r="S724" s="16"/>
      <c r="T724" s="16"/>
      <c r="U724" s="16"/>
      <c r="V724" s="16"/>
      <c r="W724" s="16"/>
      <c r="X724" s="16"/>
      <c r="Y724" s="16"/>
    </row>
    <row r="725" spans="1:25" x14ac:dyDescent="0.2">
      <c r="A725" s="14"/>
      <c r="B725" s="6"/>
      <c r="C725" s="6"/>
      <c r="D725" s="16"/>
      <c r="E725" s="6"/>
      <c r="F725" s="16"/>
      <c r="G725" s="6"/>
      <c r="H725" s="16"/>
      <c r="I725" s="16"/>
      <c r="J725" s="16"/>
      <c r="K725" s="16"/>
      <c r="L725" s="16"/>
      <c r="M725" s="16"/>
      <c r="N725" s="16"/>
      <c r="O725" s="16"/>
      <c r="P725" s="16"/>
      <c r="Q725" s="16"/>
      <c r="R725" s="16"/>
      <c r="S725" s="16"/>
      <c r="T725" s="16"/>
      <c r="U725" s="16"/>
      <c r="V725" s="16"/>
      <c r="W725" s="16"/>
      <c r="X725" s="16"/>
      <c r="Y725" s="16"/>
    </row>
    <row r="726" spans="1:25" x14ac:dyDescent="0.2">
      <c r="A726" s="14"/>
      <c r="B726" s="6"/>
      <c r="C726" s="6"/>
      <c r="D726" s="16"/>
      <c r="E726" s="6"/>
      <c r="F726" s="16"/>
      <c r="G726" s="6"/>
      <c r="H726" s="16"/>
      <c r="I726" s="16"/>
      <c r="J726" s="16"/>
      <c r="K726" s="16"/>
      <c r="L726" s="16"/>
      <c r="M726" s="16"/>
      <c r="N726" s="16"/>
      <c r="O726" s="16"/>
      <c r="P726" s="16"/>
      <c r="Q726" s="16"/>
      <c r="R726" s="16"/>
      <c r="S726" s="16"/>
      <c r="T726" s="16"/>
      <c r="U726" s="16"/>
      <c r="V726" s="16"/>
      <c r="W726" s="16"/>
      <c r="X726" s="16"/>
      <c r="Y726" s="16"/>
    </row>
    <row r="727" spans="1:25" x14ac:dyDescent="0.2">
      <c r="A727" s="14"/>
      <c r="B727" s="6"/>
      <c r="C727" s="6"/>
      <c r="D727" s="16"/>
      <c r="E727" s="6"/>
      <c r="F727" s="16"/>
      <c r="G727" s="6"/>
      <c r="H727" s="16"/>
      <c r="I727" s="16"/>
      <c r="J727" s="16"/>
      <c r="K727" s="16"/>
      <c r="L727" s="16"/>
      <c r="M727" s="16"/>
      <c r="N727" s="16"/>
      <c r="O727" s="16"/>
      <c r="P727" s="16"/>
      <c r="Q727" s="16"/>
      <c r="R727" s="16"/>
      <c r="S727" s="16"/>
      <c r="T727" s="16"/>
      <c r="U727" s="16"/>
      <c r="V727" s="16"/>
      <c r="W727" s="16"/>
      <c r="X727" s="16"/>
      <c r="Y727" s="16"/>
    </row>
    <row r="728" spans="1:25" x14ac:dyDescent="0.2">
      <c r="A728" s="14"/>
      <c r="B728" s="6"/>
      <c r="C728" s="6"/>
      <c r="D728" s="16"/>
      <c r="E728" s="6"/>
      <c r="F728" s="16"/>
      <c r="G728" s="6"/>
      <c r="H728" s="16"/>
      <c r="I728" s="16"/>
      <c r="J728" s="16"/>
      <c r="K728" s="16"/>
      <c r="L728" s="16"/>
      <c r="M728" s="16"/>
      <c r="N728" s="16"/>
      <c r="O728" s="16"/>
      <c r="P728" s="16"/>
      <c r="Q728" s="16"/>
      <c r="R728" s="16"/>
      <c r="S728" s="16"/>
      <c r="T728" s="16"/>
      <c r="U728" s="16"/>
      <c r="V728" s="16"/>
      <c r="W728" s="16"/>
      <c r="X728" s="16"/>
      <c r="Y728" s="16"/>
    </row>
    <row r="729" spans="1:25" x14ac:dyDescent="0.2">
      <c r="A729" s="14"/>
      <c r="B729" s="6"/>
      <c r="C729" s="6"/>
      <c r="D729" s="16"/>
      <c r="E729" s="6"/>
      <c r="F729" s="16"/>
      <c r="G729" s="6"/>
      <c r="H729" s="16"/>
      <c r="I729" s="16"/>
      <c r="J729" s="16"/>
      <c r="K729" s="16"/>
      <c r="L729" s="16"/>
      <c r="M729" s="16"/>
      <c r="N729" s="16"/>
      <c r="O729" s="16"/>
      <c r="P729" s="16"/>
      <c r="Q729" s="16"/>
      <c r="R729" s="16"/>
      <c r="S729" s="16"/>
      <c r="T729" s="16"/>
      <c r="U729" s="16"/>
      <c r="V729" s="16"/>
      <c r="W729" s="16"/>
      <c r="X729" s="16"/>
      <c r="Y729" s="16"/>
    </row>
    <row r="730" spans="1:25" x14ac:dyDescent="0.2">
      <c r="A730" s="14"/>
      <c r="B730" s="6"/>
      <c r="C730" s="6"/>
      <c r="D730" s="16"/>
      <c r="E730" s="6"/>
      <c r="F730" s="16"/>
      <c r="G730" s="6"/>
      <c r="H730" s="16"/>
      <c r="I730" s="16"/>
      <c r="J730" s="16"/>
      <c r="K730" s="16"/>
      <c r="L730" s="16"/>
      <c r="M730" s="16"/>
      <c r="N730" s="16"/>
      <c r="O730" s="16"/>
      <c r="P730" s="16"/>
      <c r="Q730" s="16"/>
      <c r="R730" s="16"/>
      <c r="S730" s="16"/>
      <c r="T730" s="16"/>
      <c r="U730" s="16"/>
      <c r="V730" s="16"/>
      <c r="W730" s="16"/>
      <c r="X730" s="16"/>
      <c r="Y730" s="16"/>
    </row>
    <row r="731" spans="1:25" x14ac:dyDescent="0.2">
      <c r="A731" s="14"/>
      <c r="B731" s="6"/>
      <c r="C731" s="6"/>
      <c r="D731" s="16"/>
      <c r="E731" s="6"/>
      <c r="F731" s="16"/>
      <c r="G731" s="6"/>
      <c r="H731" s="16"/>
      <c r="I731" s="16"/>
      <c r="J731" s="16"/>
      <c r="K731" s="16"/>
      <c r="L731" s="16"/>
      <c r="M731" s="16"/>
      <c r="N731" s="16"/>
      <c r="O731" s="16"/>
      <c r="P731" s="16"/>
      <c r="Q731" s="16"/>
      <c r="R731" s="16"/>
      <c r="S731" s="16"/>
      <c r="T731" s="16"/>
      <c r="U731" s="16"/>
      <c r="V731" s="16"/>
      <c r="W731" s="16"/>
      <c r="X731" s="16"/>
      <c r="Y731" s="16"/>
    </row>
    <row r="732" spans="1:25" x14ac:dyDescent="0.2">
      <c r="A732" s="14"/>
      <c r="B732" s="6"/>
      <c r="C732" s="6"/>
      <c r="D732" s="16"/>
      <c r="E732" s="6"/>
      <c r="F732" s="16"/>
      <c r="G732" s="6"/>
      <c r="H732" s="16"/>
      <c r="I732" s="16"/>
      <c r="J732" s="16"/>
      <c r="K732" s="16"/>
      <c r="L732" s="16"/>
      <c r="M732" s="16"/>
      <c r="N732" s="16"/>
      <c r="O732" s="16"/>
      <c r="P732" s="16"/>
      <c r="Q732" s="16"/>
      <c r="R732" s="16"/>
      <c r="S732" s="16"/>
      <c r="T732" s="16"/>
      <c r="U732" s="16"/>
      <c r="V732" s="16"/>
      <c r="W732" s="16"/>
      <c r="X732" s="16"/>
      <c r="Y732" s="16"/>
    </row>
    <row r="733" spans="1:25" x14ac:dyDescent="0.2">
      <c r="A733" s="14"/>
      <c r="B733" s="6"/>
      <c r="C733" s="6"/>
      <c r="D733" s="16"/>
      <c r="E733" s="6"/>
      <c r="F733" s="16"/>
      <c r="G733" s="6"/>
      <c r="H733" s="16"/>
      <c r="I733" s="16"/>
      <c r="J733" s="16"/>
      <c r="K733" s="16"/>
      <c r="L733" s="16"/>
      <c r="M733" s="16"/>
      <c r="N733" s="16"/>
      <c r="O733" s="16"/>
      <c r="P733" s="16"/>
      <c r="Q733" s="16"/>
      <c r="R733" s="16"/>
      <c r="S733" s="16"/>
      <c r="T733" s="16"/>
      <c r="U733" s="16"/>
      <c r="V733" s="16"/>
      <c r="W733" s="16"/>
      <c r="X733" s="16"/>
      <c r="Y733" s="16"/>
    </row>
    <row r="734" spans="1:25" x14ac:dyDescent="0.2">
      <c r="A734" s="14"/>
      <c r="B734" s="6"/>
      <c r="C734" s="6"/>
      <c r="D734" s="16"/>
      <c r="E734" s="6"/>
      <c r="F734" s="16"/>
      <c r="G734" s="6"/>
      <c r="H734" s="16"/>
      <c r="I734" s="16"/>
      <c r="J734" s="16"/>
      <c r="K734" s="16"/>
      <c r="L734" s="16"/>
      <c r="M734" s="16"/>
      <c r="N734" s="16"/>
      <c r="O734" s="16"/>
      <c r="P734" s="16"/>
      <c r="Q734" s="16"/>
      <c r="R734" s="16"/>
      <c r="S734" s="16"/>
      <c r="T734" s="16"/>
      <c r="U734" s="16"/>
      <c r="V734" s="16"/>
      <c r="W734" s="16"/>
      <c r="X734" s="16"/>
      <c r="Y734" s="16"/>
    </row>
    <row r="735" spans="1:25" x14ac:dyDescent="0.2">
      <c r="A735" s="14"/>
      <c r="B735" s="6"/>
      <c r="C735" s="6"/>
      <c r="D735" s="16"/>
      <c r="E735" s="6"/>
      <c r="F735" s="16"/>
      <c r="G735" s="6"/>
      <c r="H735" s="16"/>
      <c r="I735" s="16"/>
      <c r="J735" s="16"/>
      <c r="K735" s="16"/>
      <c r="L735" s="16"/>
      <c r="M735" s="16"/>
      <c r="N735" s="16"/>
      <c r="O735" s="16"/>
      <c r="P735" s="16"/>
      <c r="Q735" s="16"/>
      <c r="R735" s="16"/>
      <c r="S735" s="16"/>
      <c r="T735" s="16"/>
      <c r="U735" s="16"/>
      <c r="V735" s="16"/>
      <c r="W735" s="16"/>
      <c r="X735" s="16"/>
      <c r="Y735" s="16"/>
    </row>
    <row r="736" spans="1:25" x14ac:dyDescent="0.2">
      <c r="A736" s="14"/>
      <c r="B736" s="6"/>
      <c r="C736" s="6"/>
      <c r="D736" s="16"/>
      <c r="E736" s="6"/>
      <c r="F736" s="16"/>
      <c r="G736" s="6"/>
      <c r="H736" s="16"/>
      <c r="I736" s="16"/>
      <c r="J736" s="16"/>
      <c r="K736" s="16"/>
      <c r="L736" s="16"/>
      <c r="M736" s="16"/>
      <c r="N736" s="16"/>
      <c r="O736" s="16"/>
      <c r="P736" s="16"/>
      <c r="Q736" s="16"/>
      <c r="R736" s="16"/>
      <c r="S736" s="16"/>
      <c r="T736" s="16"/>
      <c r="U736" s="16"/>
      <c r="V736" s="16"/>
      <c r="W736" s="16"/>
      <c r="X736" s="16"/>
      <c r="Y736" s="16"/>
    </row>
    <row r="737" spans="1:25" x14ac:dyDescent="0.2">
      <c r="A737" s="14"/>
      <c r="B737" s="6"/>
      <c r="C737" s="6"/>
      <c r="D737" s="16"/>
      <c r="E737" s="6"/>
      <c r="F737" s="16"/>
      <c r="G737" s="6"/>
      <c r="H737" s="16"/>
      <c r="I737" s="16"/>
      <c r="J737" s="16"/>
      <c r="K737" s="16"/>
      <c r="L737" s="16"/>
      <c r="M737" s="16"/>
      <c r="N737" s="16"/>
      <c r="O737" s="16"/>
      <c r="P737" s="16"/>
      <c r="Q737" s="16"/>
      <c r="R737" s="16"/>
      <c r="S737" s="16"/>
      <c r="T737" s="16"/>
      <c r="U737" s="16"/>
      <c r="V737" s="16"/>
      <c r="W737" s="16"/>
      <c r="X737" s="16"/>
      <c r="Y737" s="16"/>
    </row>
    <row r="738" spans="1:25" x14ac:dyDescent="0.2">
      <c r="A738" s="14"/>
      <c r="B738" s="6"/>
      <c r="C738" s="6"/>
      <c r="D738" s="16"/>
      <c r="E738" s="6"/>
      <c r="F738" s="16"/>
      <c r="G738" s="6"/>
      <c r="H738" s="16"/>
      <c r="I738" s="16"/>
      <c r="J738" s="16"/>
      <c r="K738" s="16"/>
      <c r="L738" s="16"/>
      <c r="M738" s="16"/>
      <c r="N738" s="16"/>
      <c r="O738" s="16"/>
      <c r="P738" s="16"/>
      <c r="Q738" s="16"/>
      <c r="R738" s="16"/>
      <c r="S738" s="16"/>
      <c r="T738" s="16"/>
      <c r="U738" s="16"/>
      <c r="V738" s="16"/>
      <c r="W738" s="16"/>
      <c r="X738" s="16"/>
      <c r="Y738" s="16"/>
    </row>
    <row r="739" spans="1:25" x14ac:dyDescent="0.2">
      <c r="A739" s="14"/>
      <c r="B739" s="6"/>
      <c r="C739" s="6"/>
      <c r="D739" s="16"/>
      <c r="E739" s="6"/>
      <c r="F739" s="16"/>
      <c r="G739" s="6"/>
      <c r="H739" s="16"/>
      <c r="I739" s="16"/>
      <c r="J739" s="16"/>
      <c r="K739" s="16"/>
      <c r="L739" s="16"/>
      <c r="M739" s="16"/>
      <c r="N739" s="16"/>
      <c r="O739" s="16"/>
      <c r="P739" s="16"/>
      <c r="Q739" s="16"/>
      <c r="R739" s="16"/>
      <c r="S739" s="16"/>
      <c r="T739" s="16"/>
      <c r="U739" s="16"/>
      <c r="V739" s="16"/>
      <c r="W739" s="16"/>
      <c r="X739" s="16"/>
      <c r="Y739" s="16"/>
    </row>
    <row r="740" spans="1:25" x14ac:dyDescent="0.2">
      <c r="A740" s="14"/>
      <c r="B740" s="6"/>
      <c r="C740" s="6"/>
      <c r="D740" s="16"/>
      <c r="E740" s="6"/>
      <c r="F740" s="16"/>
      <c r="G740" s="6"/>
      <c r="H740" s="16"/>
      <c r="I740" s="16"/>
      <c r="J740" s="16"/>
      <c r="K740" s="16"/>
      <c r="L740" s="16"/>
      <c r="M740" s="16"/>
      <c r="N740" s="16"/>
      <c r="O740" s="16"/>
      <c r="P740" s="16"/>
      <c r="Q740" s="16"/>
      <c r="R740" s="16"/>
      <c r="S740" s="16"/>
      <c r="T740" s="16"/>
      <c r="U740" s="16"/>
      <c r="V740" s="16"/>
      <c r="W740" s="16"/>
      <c r="X740" s="16"/>
      <c r="Y740" s="16"/>
    </row>
    <row r="741" spans="1:25" x14ac:dyDescent="0.2">
      <c r="A741" s="14"/>
      <c r="B741" s="6"/>
      <c r="C741" s="6"/>
      <c r="D741" s="16"/>
      <c r="E741" s="6"/>
      <c r="F741" s="16"/>
      <c r="G741" s="6"/>
      <c r="H741" s="16"/>
      <c r="I741" s="16"/>
      <c r="J741" s="16"/>
      <c r="K741" s="16"/>
      <c r="L741" s="16"/>
      <c r="M741" s="16"/>
      <c r="N741" s="16"/>
      <c r="O741" s="16"/>
      <c r="P741" s="16"/>
      <c r="Q741" s="16"/>
      <c r="R741" s="16"/>
      <c r="S741" s="16"/>
      <c r="T741" s="16"/>
      <c r="U741" s="16"/>
      <c r="V741" s="16"/>
      <c r="W741" s="16"/>
      <c r="X741" s="16"/>
      <c r="Y741" s="16"/>
    </row>
    <row r="742" spans="1:25" x14ac:dyDescent="0.2">
      <c r="A742" s="14"/>
      <c r="B742" s="6"/>
      <c r="C742" s="6"/>
      <c r="D742" s="16"/>
      <c r="E742" s="6"/>
      <c r="F742" s="16"/>
      <c r="G742" s="6"/>
      <c r="H742" s="16"/>
      <c r="I742" s="16"/>
      <c r="J742" s="16"/>
      <c r="K742" s="16"/>
      <c r="L742" s="16"/>
      <c r="M742" s="16"/>
      <c r="N742" s="16"/>
      <c r="O742" s="16"/>
      <c r="P742" s="16"/>
      <c r="Q742" s="16"/>
      <c r="R742" s="16"/>
      <c r="S742" s="16"/>
      <c r="T742" s="16"/>
      <c r="U742" s="16"/>
      <c r="V742" s="16"/>
      <c r="W742" s="16"/>
      <c r="X742" s="16"/>
      <c r="Y742" s="16"/>
    </row>
    <row r="743" spans="1:25" x14ac:dyDescent="0.2">
      <c r="A743" s="14"/>
      <c r="B743" s="6"/>
      <c r="C743" s="6"/>
      <c r="D743" s="16"/>
      <c r="E743" s="6"/>
      <c r="F743" s="16"/>
      <c r="G743" s="6"/>
      <c r="H743" s="16"/>
      <c r="I743" s="16"/>
      <c r="J743" s="16"/>
      <c r="K743" s="16"/>
      <c r="L743" s="16"/>
      <c r="M743" s="16"/>
      <c r="N743" s="16"/>
      <c r="O743" s="16"/>
      <c r="P743" s="16"/>
      <c r="Q743" s="16"/>
      <c r="R743" s="16"/>
      <c r="S743" s="16"/>
      <c r="T743" s="16"/>
      <c r="U743" s="16"/>
      <c r="V743" s="16"/>
      <c r="W743" s="16"/>
      <c r="X743" s="16"/>
      <c r="Y743" s="16"/>
    </row>
    <row r="744" spans="1:25" x14ac:dyDescent="0.2">
      <c r="A744" s="14"/>
      <c r="B744" s="6"/>
      <c r="C744" s="6"/>
      <c r="D744" s="16"/>
      <c r="E744" s="6"/>
      <c r="F744" s="16"/>
      <c r="G744" s="6"/>
      <c r="H744" s="16"/>
      <c r="I744" s="16"/>
      <c r="J744" s="16"/>
      <c r="K744" s="16"/>
      <c r="L744" s="16"/>
      <c r="M744" s="16"/>
      <c r="N744" s="16"/>
      <c r="O744" s="16"/>
      <c r="P744" s="16"/>
      <c r="Q744" s="16"/>
      <c r="R744" s="16"/>
      <c r="S744" s="16"/>
      <c r="T744" s="16"/>
      <c r="U744" s="16"/>
      <c r="V744" s="16"/>
      <c r="W744" s="16"/>
      <c r="X744" s="16"/>
      <c r="Y744" s="16"/>
    </row>
    <row r="745" spans="1:25" x14ac:dyDescent="0.2">
      <c r="A745" s="14"/>
      <c r="B745" s="6"/>
      <c r="C745" s="6"/>
      <c r="D745" s="16"/>
      <c r="E745" s="6"/>
      <c r="F745" s="16"/>
      <c r="G745" s="6"/>
      <c r="H745" s="16"/>
      <c r="I745" s="16"/>
      <c r="J745" s="16"/>
      <c r="K745" s="16"/>
      <c r="L745" s="16"/>
      <c r="M745" s="16"/>
      <c r="N745" s="16"/>
      <c r="O745" s="16"/>
      <c r="P745" s="16"/>
      <c r="Q745" s="16"/>
      <c r="R745" s="16"/>
      <c r="S745" s="16"/>
      <c r="T745" s="16"/>
      <c r="U745" s="16"/>
      <c r="V745" s="16"/>
      <c r="W745" s="16"/>
      <c r="X745" s="16"/>
      <c r="Y745" s="16"/>
    </row>
    <row r="746" spans="1:25" x14ac:dyDescent="0.2">
      <c r="A746" s="14"/>
      <c r="B746" s="6"/>
      <c r="C746" s="6"/>
      <c r="D746" s="16"/>
      <c r="E746" s="6"/>
      <c r="F746" s="16"/>
      <c r="G746" s="6"/>
      <c r="H746" s="16"/>
      <c r="I746" s="16"/>
      <c r="J746" s="16"/>
      <c r="K746" s="16"/>
      <c r="L746" s="16"/>
      <c r="M746" s="16"/>
      <c r="N746" s="16"/>
      <c r="O746" s="16"/>
      <c r="P746" s="16"/>
      <c r="Q746" s="16"/>
      <c r="R746" s="16"/>
      <c r="S746" s="16"/>
      <c r="T746" s="16"/>
      <c r="U746" s="16"/>
      <c r="V746" s="16"/>
      <c r="W746" s="16"/>
      <c r="X746" s="16"/>
      <c r="Y746" s="16"/>
    </row>
    <row r="747" spans="1:25" x14ac:dyDescent="0.2">
      <c r="A747" s="14"/>
      <c r="B747" s="6"/>
      <c r="C747" s="6"/>
      <c r="D747" s="16"/>
      <c r="E747" s="6"/>
      <c r="F747" s="16"/>
      <c r="G747" s="6"/>
      <c r="H747" s="16"/>
      <c r="I747" s="16"/>
      <c r="J747" s="16"/>
      <c r="K747" s="16"/>
      <c r="L747" s="16"/>
      <c r="M747" s="16"/>
      <c r="N747" s="16"/>
      <c r="O747" s="16"/>
      <c r="P747" s="16"/>
      <c r="Q747" s="16"/>
      <c r="R747" s="16"/>
      <c r="S747" s="16"/>
      <c r="T747" s="16"/>
      <c r="U747" s="16"/>
      <c r="V747" s="16"/>
      <c r="W747" s="16"/>
      <c r="X747" s="16"/>
      <c r="Y747" s="16"/>
    </row>
    <row r="748" spans="1:25" x14ac:dyDescent="0.2">
      <c r="A748" s="14"/>
      <c r="B748" s="6"/>
      <c r="C748" s="6"/>
      <c r="D748" s="16"/>
      <c r="E748" s="6"/>
      <c r="F748" s="16"/>
      <c r="G748" s="6"/>
      <c r="H748" s="16"/>
      <c r="I748" s="16"/>
      <c r="J748" s="16"/>
      <c r="K748" s="16"/>
      <c r="L748" s="16"/>
      <c r="M748" s="16"/>
      <c r="N748" s="16"/>
      <c r="O748" s="16"/>
      <c r="P748" s="16"/>
      <c r="Q748" s="16"/>
      <c r="R748" s="16"/>
      <c r="S748" s="16"/>
      <c r="T748" s="16"/>
      <c r="U748" s="16"/>
      <c r="V748" s="16"/>
      <c r="W748" s="16"/>
      <c r="X748" s="16"/>
      <c r="Y748" s="16"/>
    </row>
    <row r="749" spans="1:25" x14ac:dyDescent="0.2">
      <c r="A749" s="14"/>
      <c r="B749" s="6"/>
      <c r="C749" s="6"/>
      <c r="D749" s="16"/>
      <c r="E749" s="6"/>
      <c r="F749" s="16"/>
      <c r="G749" s="6"/>
      <c r="H749" s="16"/>
      <c r="I749" s="16"/>
      <c r="J749" s="16"/>
      <c r="K749" s="16"/>
      <c r="L749" s="16"/>
      <c r="M749" s="16"/>
      <c r="N749" s="16"/>
      <c r="O749" s="16"/>
      <c r="P749" s="16"/>
      <c r="Q749" s="16"/>
      <c r="R749" s="16"/>
      <c r="S749" s="16"/>
      <c r="T749" s="16"/>
      <c r="U749" s="16"/>
      <c r="V749" s="16"/>
      <c r="W749" s="16"/>
      <c r="X749" s="16"/>
      <c r="Y749" s="16"/>
    </row>
    <row r="750" spans="1:25" x14ac:dyDescent="0.2">
      <c r="A750" s="14"/>
      <c r="B750" s="6"/>
      <c r="C750" s="6"/>
      <c r="D750" s="16"/>
      <c r="E750" s="6"/>
      <c r="F750" s="16"/>
      <c r="G750" s="6"/>
      <c r="H750" s="16"/>
      <c r="I750" s="16"/>
      <c r="J750" s="16"/>
      <c r="K750" s="16"/>
      <c r="L750" s="16"/>
      <c r="M750" s="16"/>
      <c r="N750" s="16"/>
      <c r="O750" s="16"/>
      <c r="P750" s="16"/>
      <c r="Q750" s="16"/>
      <c r="R750" s="16"/>
      <c r="S750" s="16"/>
      <c r="T750" s="16"/>
      <c r="U750" s="16"/>
      <c r="V750" s="16"/>
      <c r="W750" s="16"/>
      <c r="X750" s="16"/>
      <c r="Y750" s="16"/>
    </row>
    <row r="751" spans="1:25" x14ac:dyDescent="0.2">
      <c r="A751" s="14"/>
      <c r="B751" s="6"/>
      <c r="C751" s="6"/>
      <c r="D751" s="16"/>
      <c r="E751" s="6"/>
      <c r="F751" s="16"/>
      <c r="G751" s="6"/>
      <c r="H751" s="16"/>
      <c r="I751" s="16"/>
      <c r="J751" s="16"/>
      <c r="K751" s="16"/>
      <c r="L751" s="16"/>
      <c r="M751" s="16"/>
      <c r="N751" s="16"/>
      <c r="O751" s="16"/>
      <c r="P751" s="16"/>
      <c r="Q751" s="16"/>
      <c r="R751" s="16"/>
      <c r="S751" s="16"/>
      <c r="T751" s="16"/>
      <c r="U751" s="16"/>
      <c r="V751" s="16"/>
      <c r="W751" s="16"/>
      <c r="X751" s="16"/>
      <c r="Y751" s="16"/>
    </row>
    <row r="752" spans="1:25" x14ac:dyDescent="0.2">
      <c r="A752" s="14"/>
      <c r="B752" s="6"/>
      <c r="C752" s="6"/>
      <c r="D752" s="16"/>
      <c r="E752" s="6"/>
      <c r="F752" s="16"/>
      <c r="G752" s="6"/>
      <c r="H752" s="16"/>
      <c r="I752" s="16"/>
      <c r="J752" s="16"/>
      <c r="K752" s="16"/>
      <c r="L752" s="16"/>
      <c r="M752" s="16"/>
      <c r="N752" s="16"/>
      <c r="O752" s="16"/>
      <c r="P752" s="16"/>
      <c r="Q752" s="16"/>
      <c r="R752" s="16"/>
      <c r="S752" s="16"/>
      <c r="T752" s="16"/>
      <c r="U752" s="16"/>
      <c r="V752" s="16"/>
      <c r="W752" s="16"/>
      <c r="X752" s="16"/>
      <c r="Y752" s="16"/>
    </row>
    <row r="753" spans="1:25" x14ac:dyDescent="0.2">
      <c r="A753" s="14"/>
      <c r="B753" s="6"/>
      <c r="C753" s="6"/>
      <c r="D753" s="16"/>
      <c r="E753" s="6"/>
      <c r="F753" s="16"/>
      <c r="G753" s="6"/>
      <c r="H753" s="16"/>
      <c r="I753" s="16"/>
      <c r="J753" s="16"/>
      <c r="K753" s="16"/>
      <c r="L753" s="16"/>
      <c r="M753" s="16"/>
      <c r="N753" s="16"/>
      <c r="O753" s="16"/>
      <c r="P753" s="16"/>
      <c r="Q753" s="16"/>
      <c r="R753" s="16"/>
      <c r="S753" s="16"/>
      <c r="T753" s="16"/>
      <c r="U753" s="16"/>
      <c r="V753" s="16"/>
      <c r="W753" s="16"/>
      <c r="X753" s="16"/>
      <c r="Y753" s="16"/>
    </row>
    <row r="754" spans="1:25" x14ac:dyDescent="0.2">
      <c r="A754" s="14"/>
      <c r="B754" s="6"/>
      <c r="C754" s="6"/>
      <c r="D754" s="16"/>
      <c r="E754" s="6"/>
      <c r="F754" s="16"/>
      <c r="G754" s="6"/>
      <c r="H754" s="16"/>
      <c r="I754" s="16"/>
      <c r="J754" s="16"/>
      <c r="K754" s="16"/>
      <c r="L754" s="16"/>
      <c r="M754" s="16"/>
      <c r="N754" s="16"/>
      <c r="O754" s="16"/>
      <c r="P754" s="16"/>
      <c r="Q754" s="16"/>
      <c r="R754" s="16"/>
      <c r="S754" s="16"/>
      <c r="T754" s="16"/>
      <c r="U754" s="16"/>
      <c r="V754" s="16"/>
      <c r="W754" s="16"/>
      <c r="X754" s="16"/>
      <c r="Y754" s="16"/>
    </row>
    <row r="755" spans="1:25" x14ac:dyDescent="0.2">
      <c r="A755" s="14"/>
      <c r="B755" s="6"/>
      <c r="C755" s="6"/>
      <c r="D755" s="16"/>
      <c r="E755" s="6"/>
      <c r="F755" s="16"/>
      <c r="G755" s="6"/>
      <c r="H755" s="16"/>
      <c r="I755" s="16"/>
      <c r="J755" s="16"/>
      <c r="K755" s="16"/>
      <c r="L755" s="16"/>
      <c r="M755" s="16"/>
      <c r="N755" s="16"/>
      <c r="O755" s="16"/>
      <c r="P755" s="16"/>
      <c r="Q755" s="16"/>
      <c r="R755" s="16"/>
      <c r="S755" s="16"/>
      <c r="T755" s="16"/>
      <c r="U755" s="16"/>
      <c r="V755" s="16"/>
      <c r="W755" s="16"/>
      <c r="X755" s="16"/>
      <c r="Y755" s="16"/>
    </row>
    <row r="756" spans="1:25" x14ac:dyDescent="0.2">
      <c r="A756" s="14"/>
      <c r="B756" s="6"/>
      <c r="C756" s="6"/>
      <c r="D756" s="16"/>
      <c r="E756" s="6"/>
      <c r="F756" s="16"/>
      <c r="G756" s="6"/>
      <c r="H756" s="16"/>
      <c r="I756" s="16"/>
      <c r="J756" s="16"/>
      <c r="K756" s="16"/>
      <c r="L756" s="16"/>
      <c r="M756" s="16"/>
      <c r="N756" s="16"/>
      <c r="O756" s="16"/>
      <c r="P756" s="16"/>
      <c r="Q756" s="16"/>
      <c r="R756" s="16"/>
      <c r="S756" s="16"/>
      <c r="T756" s="16"/>
      <c r="U756" s="16"/>
      <c r="V756" s="16"/>
      <c r="W756" s="16"/>
      <c r="X756" s="16"/>
      <c r="Y756" s="16"/>
    </row>
    <row r="757" spans="1:25" x14ac:dyDescent="0.2">
      <c r="A757" s="14"/>
      <c r="B757" s="6"/>
      <c r="C757" s="6"/>
      <c r="D757" s="16"/>
      <c r="E757" s="6"/>
      <c r="F757" s="16"/>
      <c r="G757" s="6"/>
      <c r="H757" s="16"/>
      <c r="I757" s="16"/>
      <c r="J757" s="16"/>
      <c r="K757" s="16"/>
      <c r="L757" s="16"/>
      <c r="M757" s="16"/>
      <c r="N757" s="16"/>
      <c r="O757" s="16"/>
      <c r="P757" s="16"/>
      <c r="Q757" s="16"/>
      <c r="R757" s="16"/>
      <c r="S757" s="16"/>
      <c r="T757" s="16"/>
      <c r="U757" s="16"/>
      <c r="V757" s="16"/>
      <c r="W757" s="16"/>
      <c r="X757" s="16"/>
      <c r="Y757" s="16"/>
    </row>
    <row r="758" spans="1:25" x14ac:dyDescent="0.2">
      <c r="A758" s="14"/>
      <c r="B758" s="6"/>
      <c r="C758" s="6"/>
      <c r="D758" s="16"/>
      <c r="E758" s="6"/>
      <c r="F758" s="16"/>
      <c r="G758" s="6"/>
      <c r="H758" s="16"/>
      <c r="I758" s="16"/>
      <c r="J758" s="16"/>
      <c r="K758" s="16"/>
      <c r="L758" s="16"/>
      <c r="M758" s="16"/>
      <c r="N758" s="16"/>
      <c r="O758" s="16"/>
      <c r="P758" s="16"/>
      <c r="Q758" s="16"/>
      <c r="R758" s="16"/>
      <c r="S758" s="16"/>
      <c r="T758" s="16"/>
      <c r="U758" s="16"/>
      <c r="V758" s="16"/>
      <c r="W758" s="16"/>
      <c r="X758" s="16"/>
      <c r="Y758" s="16"/>
    </row>
    <row r="759" spans="1:25" x14ac:dyDescent="0.2">
      <c r="A759" s="14"/>
      <c r="B759" s="6"/>
      <c r="C759" s="6"/>
      <c r="D759" s="16"/>
      <c r="E759" s="6"/>
      <c r="F759" s="16"/>
      <c r="G759" s="6"/>
      <c r="H759" s="16"/>
      <c r="I759" s="16"/>
      <c r="J759" s="16"/>
      <c r="K759" s="16"/>
      <c r="L759" s="16"/>
      <c r="M759" s="16"/>
      <c r="N759" s="16"/>
      <c r="O759" s="16"/>
      <c r="P759" s="16"/>
      <c r="Q759" s="16"/>
      <c r="R759" s="16"/>
      <c r="S759" s="16"/>
      <c r="T759" s="16"/>
      <c r="U759" s="16"/>
      <c r="V759" s="16"/>
      <c r="W759" s="16"/>
      <c r="X759" s="16"/>
      <c r="Y759" s="16"/>
    </row>
    <row r="760" spans="1:25" x14ac:dyDescent="0.2">
      <c r="A760" s="14"/>
      <c r="B760" s="6"/>
      <c r="C760" s="6"/>
      <c r="D760" s="16"/>
      <c r="E760" s="6"/>
      <c r="F760" s="16"/>
      <c r="G760" s="6"/>
      <c r="H760" s="16"/>
      <c r="I760" s="16"/>
      <c r="J760" s="16"/>
      <c r="K760" s="16"/>
      <c r="L760" s="16"/>
      <c r="M760" s="16"/>
      <c r="N760" s="16"/>
      <c r="O760" s="16"/>
      <c r="P760" s="16"/>
      <c r="Q760" s="16"/>
      <c r="R760" s="16"/>
      <c r="S760" s="16"/>
      <c r="T760" s="16"/>
      <c r="U760" s="16"/>
      <c r="V760" s="16"/>
      <c r="W760" s="16"/>
      <c r="X760" s="16"/>
      <c r="Y760" s="16"/>
    </row>
    <row r="761" spans="1:25" x14ac:dyDescent="0.2">
      <c r="A761" s="14"/>
      <c r="B761" s="6"/>
      <c r="C761" s="6"/>
      <c r="D761" s="16"/>
      <c r="E761" s="6"/>
      <c r="F761" s="16"/>
      <c r="G761" s="6"/>
      <c r="H761" s="16"/>
      <c r="I761" s="16"/>
      <c r="J761" s="16"/>
      <c r="K761" s="16"/>
      <c r="L761" s="16"/>
      <c r="M761" s="16"/>
      <c r="N761" s="16"/>
      <c r="O761" s="16"/>
      <c r="P761" s="16"/>
      <c r="Q761" s="16"/>
      <c r="R761" s="16"/>
      <c r="S761" s="16"/>
      <c r="T761" s="16"/>
      <c r="U761" s="16"/>
      <c r="V761" s="16"/>
      <c r="W761" s="16"/>
      <c r="X761" s="16"/>
      <c r="Y761" s="16"/>
    </row>
    <row r="762" spans="1:25" x14ac:dyDescent="0.2">
      <c r="A762" s="14"/>
      <c r="B762" s="6"/>
      <c r="C762" s="6"/>
      <c r="D762" s="16"/>
      <c r="E762" s="6"/>
      <c r="F762" s="16"/>
      <c r="G762" s="6"/>
      <c r="H762" s="16"/>
      <c r="I762" s="16"/>
      <c r="J762" s="16"/>
      <c r="K762" s="16"/>
      <c r="L762" s="16"/>
      <c r="M762" s="16"/>
      <c r="N762" s="16"/>
      <c r="O762" s="16"/>
      <c r="P762" s="16"/>
      <c r="Q762" s="16"/>
      <c r="R762" s="16"/>
      <c r="S762" s="16"/>
      <c r="T762" s="16"/>
      <c r="U762" s="16"/>
      <c r="V762" s="16"/>
      <c r="W762" s="16"/>
      <c r="X762" s="16"/>
      <c r="Y762" s="16"/>
    </row>
    <row r="763" spans="1:25" x14ac:dyDescent="0.2">
      <c r="A763" s="14"/>
      <c r="B763" s="6"/>
      <c r="C763" s="6"/>
      <c r="D763" s="16"/>
      <c r="E763" s="6"/>
      <c r="F763" s="16"/>
      <c r="G763" s="6"/>
      <c r="H763" s="16"/>
      <c r="I763" s="16"/>
      <c r="J763" s="16"/>
      <c r="K763" s="16"/>
      <c r="L763" s="16"/>
      <c r="M763" s="16"/>
      <c r="N763" s="16"/>
      <c r="O763" s="16"/>
      <c r="P763" s="16"/>
      <c r="Q763" s="16"/>
      <c r="R763" s="16"/>
      <c r="S763" s="16"/>
      <c r="T763" s="16"/>
      <c r="U763" s="16"/>
      <c r="V763" s="16"/>
      <c r="W763" s="16"/>
      <c r="X763" s="16"/>
      <c r="Y763" s="16"/>
    </row>
    <row r="764" spans="1:25" x14ac:dyDescent="0.2">
      <c r="A764" s="14"/>
      <c r="B764" s="6"/>
      <c r="C764" s="6"/>
      <c r="D764" s="16"/>
      <c r="E764" s="6"/>
      <c r="F764" s="16"/>
      <c r="G764" s="6"/>
      <c r="H764" s="16"/>
      <c r="I764" s="16"/>
      <c r="J764" s="16"/>
      <c r="K764" s="16"/>
      <c r="L764" s="16"/>
      <c r="M764" s="16"/>
      <c r="N764" s="16"/>
      <c r="O764" s="16"/>
      <c r="P764" s="16"/>
      <c r="Q764" s="16"/>
      <c r="R764" s="16"/>
      <c r="S764" s="16"/>
      <c r="T764" s="16"/>
      <c r="U764" s="16"/>
      <c r="V764" s="16"/>
      <c r="W764" s="16"/>
      <c r="X764" s="16"/>
      <c r="Y764" s="16"/>
    </row>
    <row r="765" spans="1:25" x14ac:dyDescent="0.2">
      <c r="A765" s="14"/>
      <c r="B765" s="6"/>
      <c r="C765" s="6"/>
      <c r="D765" s="16"/>
      <c r="E765" s="6"/>
      <c r="F765" s="16"/>
      <c r="G765" s="6"/>
      <c r="H765" s="16"/>
      <c r="I765" s="16"/>
      <c r="J765" s="16"/>
      <c r="K765" s="16"/>
      <c r="L765" s="16"/>
      <c r="M765" s="16"/>
      <c r="N765" s="16"/>
      <c r="O765" s="16"/>
      <c r="P765" s="16"/>
      <c r="Q765" s="16"/>
      <c r="R765" s="16"/>
      <c r="S765" s="16"/>
      <c r="T765" s="16"/>
      <c r="U765" s="16"/>
      <c r="V765" s="16"/>
      <c r="W765" s="16"/>
      <c r="X765" s="16"/>
      <c r="Y765" s="16"/>
    </row>
    <row r="766" spans="1:25" x14ac:dyDescent="0.2">
      <c r="A766" s="14"/>
      <c r="B766" s="6"/>
      <c r="C766" s="6"/>
      <c r="D766" s="16"/>
      <c r="E766" s="6"/>
      <c r="F766" s="16"/>
      <c r="G766" s="6"/>
      <c r="H766" s="16"/>
      <c r="I766" s="16"/>
      <c r="J766" s="16"/>
      <c r="K766" s="16"/>
      <c r="L766" s="16"/>
      <c r="M766" s="16"/>
      <c r="N766" s="16"/>
      <c r="O766" s="16"/>
      <c r="P766" s="16"/>
      <c r="Q766" s="16"/>
      <c r="R766" s="16"/>
      <c r="S766" s="16"/>
      <c r="T766" s="16"/>
      <c r="U766" s="16"/>
      <c r="V766" s="16"/>
      <c r="W766" s="16"/>
      <c r="X766" s="16"/>
      <c r="Y766" s="16"/>
    </row>
    <row r="767" spans="1:25" x14ac:dyDescent="0.2">
      <c r="A767" s="14"/>
      <c r="B767" s="6"/>
      <c r="C767" s="6"/>
      <c r="D767" s="16"/>
      <c r="E767" s="6"/>
      <c r="F767" s="16"/>
      <c r="G767" s="6"/>
      <c r="H767" s="16"/>
      <c r="I767" s="16"/>
      <c r="J767" s="16"/>
      <c r="K767" s="16"/>
      <c r="L767" s="16"/>
      <c r="M767" s="16"/>
      <c r="N767" s="16"/>
      <c r="O767" s="16"/>
      <c r="P767" s="16"/>
      <c r="Q767" s="16"/>
      <c r="R767" s="16"/>
      <c r="S767" s="16"/>
      <c r="T767" s="16"/>
      <c r="U767" s="16"/>
      <c r="V767" s="16"/>
      <c r="W767" s="16"/>
      <c r="X767" s="16"/>
      <c r="Y767" s="16"/>
    </row>
    <row r="768" spans="1:25" x14ac:dyDescent="0.2">
      <c r="A768" s="14"/>
      <c r="B768" s="6"/>
      <c r="C768" s="6"/>
      <c r="D768" s="16"/>
      <c r="E768" s="6"/>
      <c r="F768" s="16"/>
      <c r="G768" s="6"/>
      <c r="H768" s="16"/>
      <c r="I768" s="16"/>
      <c r="J768" s="16"/>
      <c r="K768" s="16"/>
      <c r="L768" s="16"/>
      <c r="M768" s="16"/>
      <c r="N768" s="16"/>
      <c r="O768" s="16"/>
      <c r="P768" s="16"/>
      <c r="Q768" s="16"/>
      <c r="R768" s="16"/>
      <c r="S768" s="16"/>
      <c r="T768" s="16"/>
      <c r="U768" s="16"/>
      <c r="V768" s="16"/>
      <c r="W768" s="16"/>
      <c r="X768" s="16"/>
      <c r="Y768" s="16"/>
    </row>
    <row r="769" spans="1:25" x14ac:dyDescent="0.2">
      <c r="A769" s="14"/>
      <c r="B769" s="6"/>
      <c r="C769" s="6"/>
      <c r="D769" s="16"/>
      <c r="E769" s="6"/>
      <c r="F769" s="16"/>
      <c r="G769" s="6"/>
      <c r="H769" s="16"/>
      <c r="I769" s="16"/>
      <c r="J769" s="16"/>
      <c r="K769" s="16"/>
      <c r="L769" s="16"/>
      <c r="M769" s="16"/>
      <c r="N769" s="16"/>
      <c r="O769" s="16"/>
      <c r="P769" s="16"/>
      <c r="Q769" s="16"/>
      <c r="R769" s="16"/>
      <c r="S769" s="16"/>
      <c r="T769" s="16"/>
      <c r="U769" s="16"/>
      <c r="V769" s="16"/>
      <c r="W769" s="16"/>
      <c r="X769" s="16"/>
      <c r="Y769" s="16"/>
    </row>
    <row r="770" spans="1:25" x14ac:dyDescent="0.2">
      <c r="A770" s="14"/>
      <c r="B770" s="6"/>
      <c r="C770" s="6"/>
      <c r="D770" s="16"/>
      <c r="E770" s="6"/>
      <c r="F770" s="16"/>
      <c r="G770" s="6"/>
      <c r="H770" s="16"/>
      <c r="I770" s="16"/>
      <c r="J770" s="16"/>
      <c r="K770" s="16"/>
      <c r="L770" s="16"/>
      <c r="M770" s="16"/>
      <c r="N770" s="16"/>
      <c r="O770" s="16"/>
      <c r="P770" s="16"/>
      <c r="Q770" s="16"/>
      <c r="R770" s="16"/>
      <c r="S770" s="16"/>
      <c r="T770" s="16"/>
      <c r="U770" s="16"/>
      <c r="V770" s="16"/>
      <c r="W770" s="16"/>
      <c r="X770" s="16"/>
      <c r="Y770" s="16"/>
    </row>
    <row r="771" spans="1:25" x14ac:dyDescent="0.2">
      <c r="A771" s="14"/>
      <c r="B771" s="6"/>
      <c r="C771" s="6"/>
      <c r="D771" s="16"/>
      <c r="E771" s="6"/>
      <c r="F771" s="16"/>
      <c r="G771" s="6"/>
      <c r="H771" s="16"/>
      <c r="I771" s="16"/>
      <c r="J771" s="16"/>
      <c r="K771" s="16"/>
      <c r="L771" s="16"/>
      <c r="M771" s="16"/>
      <c r="N771" s="16"/>
      <c r="O771" s="16"/>
      <c r="P771" s="16"/>
      <c r="Q771" s="16"/>
      <c r="R771" s="16"/>
      <c r="S771" s="16"/>
      <c r="T771" s="16"/>
      <c r="U771" s="16"/>
      <c r="V771" s="16"/>
      <c r="W771" s="16"/>
      <c r="X771" s="16"/>
      <c r="Y771" s="16"/>
    </row>
    <row r="772" spans="1:25" x14ac:dyDescent="0.2">
      <c r="A772" s="14"/>
      <c r="B772" s="6"/>
      <c r="C772" s="6"/>
      <c r="D772" s="16"/>
      <c r="E772" s="6"/>
      <c r="F772" s="16"/>
      <c r="G772" s="6"/>
      <c r="H772" s="16"/>
      <c r="I772" s="16"/>
      <c r="J772" s="16"/>
      <c r="K772" s="16"/>
      <c r="L772" s="16"/>
      <c r="M772" s="16"/>
      <c r="N772" s="16"/>
      <c r="O772" s="16"/>
      <c r="P772" s="16"/>
      <c r="Q772" s="16"/>
      <c r="R772" s="16"/>
      <c r="S772" s="16"/>
      <c r="T772" s="16"/>
      <c r="U772" s="16"/>
      <c r="V772" s="16"/>
      <c r="W772" s="16"/>
      <c r="X772" s="16"/>
      <c r="Y772" s="16"/>
    </row>
    <row r="773" spans="1:25" x14ac:dyDescent="0.2">
      <c r="A773" s="14"/>
      <c r="B773" s="6"/>
      <c r="C773" s="6"/>
      <c r="D773" s="16"/>
      <c r="E773" s="6"/>
      <c r="F773" s="16"/>
      <c r="G773" s="6"/>
      <c r="H773" s="16"/>
      <c r="I773" s="16"/>
      <c r="J773" s="16"/>
      <c r="K773" s="16"/>
      <c r="L773" s="16"/>
      <c r="M773" s="16"/>
      <c r="N773" s="16"/>
      <c r="O773" s="16"/>
      <c r="P773" s="16"/>
      <c r="Q773" s="16"/>
      <c r="R773" s="16"/>
      <c r="S773" s="16"/>
      <c r="T773" s="16"/>
      <c r="U773" s="16"/>
      <c r="V773" s="16"/>
      <c r="W773" s="16"/>
      <c r="X773" s="16"/>
      <c r="Y773" s="16"/>
    </row>
    <row r="774" spans="1:25" x14ac:dyDescent="0.2">
      <c r="A774" s="14"/>
      <c r="B774" s="6"/>
      <c r="C774" s="6"/>
      <c r="D774" s="16"/>
      <c r="E774" s="6"/>
      <c r="F774" s="16"/>
      <c r="G774" s="6"/>
      <c r="H774" s="16"/>
      <c r="I774" s="16"/>
      <c r="J774" s="16"/>
      <c r="K774" s="16"/>
      <c r="L774" s="16"/>
      <c r="M774" s="16"/>
      <c r="N774" s="16"/>
      <c r="O774" s="16"/>
      <c r="P774" s="16"/>
      <c r="Q774" s="16"/>
      <c r="R774" s="16"/>
      <c r="S774" s="16"/>
      <c r="T774" s="16"/>
      <c r="U774" s="16"/>
      <c r="V774" s="16"/>
      <c r="W774" s="16"/>
      <c r="X774" s="16"/>
      <c r="Y774" s="16"/>
    </row>
    <row r="775" spans="1:25" x14ac:dyDescent="0.2">
      <c r="A775" s="14"/>
      <c r="B775" s="6"/>
      <c r="C775" s="6"/>
      <c r="D775" s="16"/>
      <c r="E775" s="6"/>
      <c r="F775" s="16"/>
      <c r="G775" s="6"/>
      <c r="H775" s="16"/>
      <c r="I775" s="16"/>
      <c r="J775" s="16"/>
      <c r="K775" s="16"/>
      <c r="L775" s="16"/>
      <c r="M775" s="16"/>
      <c r="N775" s="16"/>
      <c r="O775" s="16"/>
      <c r="P775" s="16"/>
      <c r="Q775" s="16"/>
      <c r="R775" s="16"/>
      <c r="S775" s="16"/>
      <c r="T775" s="16"/>
      <c r="U775" s="16"/>
      <c r="V775" s="16"/>
      <c r="W775" s="16"/>
      <c r="X775" s="16"/>
      <c r="Y775" s="16"/>
    </row>
    <row r="776" spans="1:25" x14ac:dyDescent="0.2">
      <c r="A776" s="14"/>
      <c r="B776" s="6"/>
      <c r="C776" s="6"/>
      <c r="D776" s="16"/>
      <c r="E776" s="6"/>
      <c r="F776" s="16"/>
      <c r="G776" s="6"/>
      <c r="H776" s="16"/>
      <c r="I776" s="16"/>
      <c r="J776" s="16"/>
      <c r="K776" s="16"/>
      <c r="L776" s="16"/>
      <c r="M776" s="16"/>
      <c r="N776" s="16"/>
      <c r="O776" s="16"/>
      <c r="P776" s="16"/>
      <c r="Q776" s="16"/>
      <c r="R776" s="16"/>
      <c r="S776" s="16"/>
      <c r="T776" s="16"/>
      <c r="U776" s="16"/>
      <c r="V776" s="16"/>
      <c r="W776" s="16"/>
      <c r="X776" s="16"/>
      <c r="Y776" s="16"/>
    </row>
    <row r="777" spans="1:25" x14ac:dyDescent="0.2">
      <c r="A777" s="14"/>
      <c r="B777" s="6"/>
      <c r="C777" s="6"/>
      <c r="D777" s="16"/>
      <c r="E777" s="6"/>
      <c r="F777" s="16"/>
      <c r="G777" s="6"/>
      <c r="H777" s="16"/>
      <c r="I777" s="16"/>
      <c r="J777" s="16"/>
      <c r="K777" s="16"/>
      <c r="L777" s="16"/>
      <c r="M777" s="16"/>
      <c r="N777" s="16"/>
      <c r="O777" s="16"/>
      <c r="P777" s="16"/>
      <c r="Q777" s="16"/>
      <c r="R777" s="16"/>
      <c r="S777" s="16"/>
      <c r="T777" s="16"/>
      <c r="U777" s="16"/>
      <c r="V777" s="16"/>
      <c r="W777" s="16"/>
      <c r="X777" s="16"/>
      <c r="Y777" s="16"/>
    </row>
    <row r="778" spans="1:25" x14ac:dyDescent="0.2">
      <c r="A778" s="14"/>
      <c r="B778" s="6"/>
      <c r="C778" s="6"/>
      <c r="D778" s="16"/>
      <c r="E778" s="6"/>
      <c r="F778" s="16"/>
      <c r="G778" s="6"/>
      <c r="H778" s="16"/>
      <c r="I778" s="16"/>
      <c r="J778" s="16"/>
      <c r="K778" s="16"/>
      <c r="L778" s="16"/>
      <c r="M778" s="16"/>
      <c r="N778" s="16"/>
      <c r="O778" s="16"/>
      <c r="P778" s="16"/>
      <c r="Q778" s="16"/>
      <c r="R778" s="16"/>
      <c r="S778" s="16"/>
      <c r="T778" s="16"/>
      <c r="U778" s="16"/>
      <c r="V778" s="16"/>
      <c r="W778" s="16"/>
      <c r="X778" s="16"/>
      <c r="Y778" s="16"/>
    </row>
    <row r="779" spans="1:25" x14ac:dyDescent="0.2">
      <c r="A779" s="14"/>
      <c r="B779" s="6"/>
      <c r="C779" s="6"/>
      <c r="D779" s="16"/>
      <c r="E779" s="6"/>
      <c r="F779" s="16"/>
      <c r="G779" s="6"/>
      <c r="H779" s="16"/>
      <c r="I779" s="16"/>
      <c r="J779" s="16"/>
      <c r="K779" s="16"/>
      <c r="L779" s="16"/>
      <c r="M779" s="16"/>
      <c r="N779" s="16"/>
      <c r="O779" s="16"/>
      <c r="P779" s="16"/>
      <c r="Q779" s="16"/>
      <c r="R779" s="16"/>
      <c r="S779" s="16"/>
      <c r="T779" s="16"/>
      <c r="U779" s="16"/>
      <c r="V779" s="16"/>
      <c r="W779" s="16"/>
      <c r="X779" s="16"/>
      <c r="Y779" s="16"/>
    </row>
    <row r="780" spans="1:25" x14ac:dyDescent="0.2">
      <c r="A780" s="14"/>
      <c r="B780" s="6"/>
      <c r="C780" s="6"/>
      <c r="D780" s="16"/>
      <c r="E780" s="6"/>
      <c r="F780" s="16"/>
      <c r="G780" s="6"/>
      <c r="H780" s="16"/>
      <c r="I780" s="16"/>
      <c r="J780" s="16"/>
      <c r="K780" s="16"/>
      <c r="L780" s="16"/>
      <c r="M780" s="16"/>
      <c r="N780" s="16"/>
      <c r="O780" s="16"/>
      <c r="P780" s="16"/>
      <c r="Q780" s="16"/>
      <c r="R780" s="16"/>
      <c r="S780" s="16"/>
      <c r="T780" s="16"/>
      <c r="U780" s="16"/>
      <c r="V780" s="16"/>
      <c r="W780" s="16"/>
      <c r="X780" s="16"/>
      <c r="Y780" s="16"/>
    </row>
    <row r="781" spans="1:25" x14ac:dyDescent="0.2">
      <c r="A781" s="14"/>
      <c r="B781" s="6"/>
      <c r="C781" s="6"/>
      <c r="D781" s="16"/>
      <c r="E781" s="6"/>
      <c r="F781" s="16"/>
      <c r="G781" s="6"/>
      <c r="H781" s="16"/>
      <c r="I781" s="16"/>
      <c r="J781" s="16"/>
      <c r="K781" s="16"/>
      <c r="L781" s="16"/>
      <c r="M781" s="16"/>
      <c r="N781" s="16"/>
      <c r="O781" s="16"/>
      <c r="P781" s="16"/>
      <c r="Q781" s="16"/>
      <c r="R781" s="16"/>
      <c r="S781" s="16"/>
      <c r="T781" s="16"/>
      <c r="U781" s="16"/>
      <c r="V781" s="16"/>
      <c r="W781" s="16"/>
      <c r="X781" s="16"/>
      <c r="Y781" s="16"/>
    </row>
    <row r="782" spans="1:25" x14ac:dyDescent="0.2">
      <c r="A782" s="14"/>
      <c r="B782" s="6"/>
      <c r="C782" s="6"/>
      <c r="D782" s="16"/>
      <c r="E782" s="6"/>
      <c r="F782" s="16"/>
      <c r="G782" s="6"/>
      <c r="H782" s="16"/>
      <c r="I782" s="16"/>
      <c r="J782" s="16"/>
      <c r="K782" s="16"/>
      <c r="L782" s="16"/>
      <c r="M782" s="16"/>
      <c r="N782" s="16"/>
      <c r="O782" s="16"/>
      <c r="P782" s="16"/>
      <c r="Q782" s="16"/>
      <c r="R782" s="16"/>
      <c r="S782" s="16"/>
      <c r="T782" s="16"/>
      <c r="U782" s="16"/>
      <c r="V782" s="16"/>
      <c r="W782" s="16"/>
      <c r="X782" s="16"/>
      <c r="Y782" s="16"/>
    </row>
    <row r="783" spans="1:25" x14ac:dyDescent="0.2">
      <c r="A783" s="14"/>
      <c r="B783" s="6"/>
      <c r="C783" s="6"/>
      <c r="D783" s="16"/>
      <c r="E783" s="6"/>
      <c r="F783" s="16"/>
      <c r="G783" s="6"/>
      <c r="H783" s="16"/>
      <c r="I783" s="16"/>
      <c r="J783" s="16"/>
      <c r="K783" s="16"/>
      <c r="L783" s="16"/>
      <c r="M783" s="16"/>
      <c r="N783" s="16"/>
      <c r="O783" s="16"/>
      <c r="P783" s="16"/>
      <c r="Q783" s="16"/>
      <c r="R783" s="16"/>
      <c r="S783" s="16"/>
      <c r="T783" s="16"/>
      <c r="U783" s="16"/>
      <c r="V783" s="16"/>
      <c r="W783" s="16"/>
      <c r="X783" s="16"/>
      <c r="Y783" s="16"/>
    </row>
    <row r="784" spans="1:25" x14ac:dyDescent="0.2">
      <c r="A784" s="14"/>
      <c r="B784" s="6"/>
      <c r="C784" s="6"/>
      <c r="D784" s="16"/>
      <c r="E784" s="6"/>
      <c r="F784" s="16"/>
      <c r="G784" s="6"/>
      <c r="H784" s="16"/>
      <c r="I784" s="16"/>
      <c r="J784" s="16"/>
      <c r="K784" s="16"/>
      <c r="L784" s="16"/>
      <c r="M784" s="16"/>
      <c r="N784" s="16"/>
      <c r="O784" s="16"/>
      <c r="P784" s="16"/>
      <c r="Q784" s="16"/>
      <c r="R784" s="16"/>
      <c r="S784" s="16"/>
      <c r="T784" s="16"/>
      <c r="U784" s="16"/>
      <c r="V784" s="16"/>
      <c r="W784" s="16"/>
      <c r="X784" s="16"/>
      <c r="Y784" s="16"/>
    </row>
    <row r="785" spans="1:25" x14ac:dyDescent="0.2">
      <c r="A785" s="14"/>
      <c r="B785" s="6"/>
      <c r="C785" s="6"/>
      <c r="D785" s="16"/>
      <c r="E785" s="6"/>
      <c r="F785" s="16"/>
      <c r="G785" s="6"/>
      <c r="H785" s="16"/>
      <c r="I785" s="16"/>
      <c r="J785" s="16"/>
      <c r="K785" s="16"/>
      <c r="L785" s="16"/>
      <c r="M785" s="16"/>
      <c r="N785" s="16"/>
      <c r="O785" s="16"/>
      <c r="P785" s="16"/>
      <c r="Q785" s="16"/>
      <c r="R785" s="16"/>
      <c r="S785" s="16"/>
      <c r="T785" s="16"/>
      <c r="U785" s="16"/>
      <c r="V785" s="16"/>
      <c r="W785" s="16"/>
      <c r="X785" s="16"/>
      <c r="Y785" s="16"/>
    </row>
    <row r="786" spans="1:25" x14ac:dyDescent="0.2">
      <c r="A786" s="14"/>
      <c r="B786" s="6"/>
      <c r="C786" s="6"/>
      <c r="D786" s="16"/>
      <c r="E786" s="6"/>
      <c r="F786" s="16"/>
      <c r="G786" s="6"/>
      <c r="H786" s="16"/>
      <c r="I786" s="16"/>
      <c r="J786" s="16"/>
      <c r="K786" s="16"/>
      <c r="L786" s="16"/>
      <c r="M786" s="16"/>
      <c r="N786" s="16"/>
      <c r="O786" s="16"/>
      <c r="P786" s="16"/>
      <c r="Q786" s="16"/>
      <c r="R786" s="16"/>
      <c r="S786" s="16"/>
      <c r="T786" s="16"/>
      <c r="U786" s="16"/>
      <c r="V786" s="16"/>
      <c r="W786" s="16"/>
      <c r="X786" s="16"/>
      <c r="Y786" s="16"/>
    </row>
    <row r="787" spans="1:25" x14ac:dyDescent="0.2">
      <c r="A787" s="14"/>
      <c r="B787" s="6"/>
      <c r="C787" s="6"/>
      <c r="D787" s="16"/>
      <c r="E787" s="6"/>
      <c r="F787" s="16"/>
      <c r="G787" s="6"/>
      <c r="H787" s="16"/>
      <c r="I787" s="16"/>
      <c r="J787" s="16"/>
      <c r="K787" s="16"/>
      <c r="L787" s="16"/>
      <c r="M787" s="16"/>
      <c r="N787" s="16"/>
      <c r="O787" s="16"/>
      <c r="P787" s="16"/>
      <c r="Q787" s="16"/>
      <c r="R787" s="16"/>
      <c r="S787" s="16"/>
      <c r="T787" s="16"/>
      <c r="U787" s="16"/>
      <c r="V787" s="16"/>
      <c r="W787" s="16"/>
      <c r="X787" s="16"/>
      <c r="Y787" s="16"/>
    </row>
    <row r="788" spans="1:25" x14ac:dyDescent="0.2">
      <c r="A788" s="14"/>
      <c r="B788" s="6"/>
      <c r="C788" s="6"/>
      <c r="D788" s="16"/>
      <c r="E788" s="6"/>
      <c r="F788" s="16"/>
      <c r="G788" s="6"/>
      <c r="H788" s="16"/>
      <c r="I788" s="16"/>
      <c r="J788" s="16"/>
      <c r="K788" s="16"/>
      <c r="L788" s="16"/>
      <c r="M788" s="16"/>
      <c r="N788" s="16"/>
      <c r="O788" s="16"/>
      <c r="P788" s="16"/>
      <c r="Q788" s="16"/>
      <c r="R788" s="16"/>
      <c r="S788" s="16"/>
      <c r="T788" s="16"/>
      <c r="U788" s="16"/>
      <c r="V788" s="16"/>
      <c r="W788" s="16"/>
      <c r="X788" s="16"/>
      <c r="Y788" s="16"/>
    </row>
    <row r="789" spans="1:25" x14ac:dyDescent="0.2">
      <c r="A789" s="14"/>
      <c r="B789" s="6"/>
      <c r="C789" s="6"/>
      <c r="D789" s="16"/>
      <c r="E789" s="6"/>
      <c r="F789" s="16"/>
      <c r="G789" s="6"/>
      <c r="H789" s="16"/>
      <c r="I789" s="16"/>
      <c r="J789" s="16"/>
      <c r="K789" s="16"/>
      <c r="L789" s="16"/>
      <c r="M789" s="16"/>
      <c r="N789" s="16"/>
      <c r="O789" s="16"/>
      <c r="P789" s="16"/>
      <c r="Q789" s="16"/>
      <c r="R789" s="16"/>
      <c r="S789" s="16"/>
      <c r="T789" s="16"/>
      <c r="U789" s="16"/>
      <c r="V789" s="16"/>
      <c r="W789" s="16"/>
      <c r="X789" s="16"/>
      <c r="Y789" s="16"/>
    </row>
    <row r="790" spans="1:25" x14ac:dyDescent="0.2">
      <c r="A790" s="14"/>
      <c r="B790" s="6"/>
      <c r="C790" s="6"/>
      <c r="D790" s="16"/>
      <c r="E790" s="6"/>
      <c r="F790" s="16"/>
      <c r="G790" s="6"/>
      <c r="H790" s="16"/>
      <c r="I790" s="16"/>
      <c r="J790" s="16"/>
      <c r="K790" s="16"/>
      <c r="L790" s="16"/>
      <c r="M790" s="16"/>
      <c r="N790" s="16"/>
      <c r="O790" s="16"/>
      <c r="P790" s="16"/>
      <c r="Q790" s="16"/>
      <c r="R790" s="16"/>
      <c r="S790" s="16"/>
      <c r="T790" s="16"/>
      <c r="U790" s="16"/>
      <c r="V790" s="16"/>
      <c r="W790" s="16"/>
      <c r="X790" s="16"/>
      <c r="Y790" s="16"/>
    </row>
    <row r="791" spans="1:25" x14ac:dyDescent="0.2">
      <c r="A791" s="14"/>
      <c r="B791" s="6"/>
      <c r="C791" s="6"/>
      <c r="D791" s="16"/>
      <c r="E791" s="6"/>
      <c r="F791" s="16"/>
      <c r="G791" s="6"/>
      <c r="H791" s="16"/>
      <c r="I791" s="16"/>
      <c r="J791" s="16"/>
      <c r="K791" s="16"/>
      <c r="L791" s="16"/>
      <c r="M791" s="16"/>
      <c r="N791" s="16"/>
      <c r="O791" s="16"/>
      <c r="P791" s="16"/>
      <c r="Q791" s="16"/>
      <c r="R791" s="16"/>
      <c r="S791" s="16"/>
      <c r="T791" s="16"/>
      <c r="U791" s="16"/>
      <c r="V791" s="16"/>
      <c r="W791" s="16"/>
      <c r="X791" s="16"/>
      <c r="Y791" s="16"/>
    </row>
    <row r="792" spans="1:25" x14ac:dyDescent="0.2">
      <c r="A792" s="14"/>
      <c r="B792" s="6"/>
      <c r="C792" s="6"/>
      <c r="D792" s="16"/>
      <c r="E792" s="6"/>
      <c r="F792" s="16"/>
      <c r="G792" s="6"/>
      <c r="H792" s="16"/>
      <c r="I792" s="16"/>
      <c r="J792" s="16"/>
      <c r="K792" s="16"/>
      <c r="L792" s="16"/>
      <c r="M792" s="16"/>
      <c r="N792" s="16"/>
      <c r="O792" s="16"/>
      <c r="P792" s="16"/>
      <c r="Q792" s="16"/>
      <c r="R792" s="16"/>
      <c r="S792" s="16"/>
      <c r="T792" s="16"/>
      <c r="U792" s="16"/>
      <c r="V792" s="16"/>
      <c r="W792" s="16"/>
      <c r="X792" s="16"/>
      <c r="Y792" s="16"/>
    </row>
    <row r="793" spans="1:25" x14ac:dyDescent="0.2">
      <c r="A793" s="14"/>
      <c r="B793" s="6"/>
      <c r="C793" s="6"/>
      <c r="D793" s="16"/>
      <c r="E793" s="6"/>
      <c r="F793" s="16"/>
      <c r="G793" s="6"/>
      <c r="H793" s="16"/>
      <c r="I793" s="16"/>
      <c r="J793" s="16"/>
      <c r="K793" s="16"/>
      <c r="L793" s="16"/>
      <c r="M793" s="16"/>
      <c r="N793" s="16"/>
      <c r="O793" s="16"/>
      <c r="P793" s="16"/>
      <c r="Q793" s="16"/>
      <c r="R793" s="16"/>
      <c r="S793" s="16"/>
      <c r="T793" s="16"/>
      <c r="U793" s="16"/>
      <c r="V793" s="16"/>
      <c r="W793" s="16"/>
      <c r="X793" s="16"/>
      <c r="Y793" s="16"/>
    </row>
    <row r="794" spans="1:25" x14ac:dyDescent="0.2">
      <c r="A794" s="14"/>
      <c r="B794" s="6"/>
      <c r="C794" s="6"/>
      <c r="D794" s="16"/>
      <c r="E794" s="6"/>
      <c r="F794" s="16"/>
      <c r="G794" s="6"/>
      <c r="H794" s="16"/>
      <c r="I794" s="16"/>
      <c r="J794" s="16"/>
      <c r="K794" s="16"/>
      <c r="L794" s="16"/>
      <c r="M794" s="16"/>
      <c r="N794" s="16"/>
      <c r="O794" s="16"/>
      <c r="P794" s="16"/>
      <c r="Q794" s="16"/>
      <c r="R794" s="16"/>
      <c r="S794" s="16"/>
      <c r="T794" s="16"/>
      <c r="U794" s="16"/>
      <c r="V794" s="16"/>
      <c r="W794" s="16"/>
      <c r="X794" s="16"/>
      <c r="Y794" s="16"/>
    </row>
    <row r="795" spans="1:25" x14ac:dyDescent="0.2">
      <c r="A795" s="14"/>
      <c r="B795" s="6"/>
      <c r="C795" s="6"/>
      <c r="D795" s="16"/>
      <c r="E795" s="6"/>
      <c r="F795" s="16"/>
      <c r="G795" s="6"/>
      <c r="H795" s="16"/>
      <c r="I795" s="16"/>
      <c r="J795" s="16"/>
      <c r="K795" s="16"/>
      <c r="L795" s="16"/>
      <c r="M795" s="16"/>
      <c r="N795" s="16"/>
      <c r="O795" s="16"/>
      <c r="P795" s="16"/>
      <c r="Q795" s="16"/>
      <c r="R795" s="16"/>
      <c r="S795" s="16"/>
      <c r="T795" s="16"/>
      <c r="U795" s="16"/>
      <c r="V795" s="16"/>
      <c r="W795" s="16"/>
      <c r="X795" s="16"/>
      <c r="Y795" s="16"/>
    </row>
    <row r="796" spans="1:25" x14ac:dyDescent="0.2">
      <c r="A796" s="14"/>
      <c r="B796" s="6"/>
      <c r="C796" s="6"/>
      <c r="D796" s="16"/>
      <c r="E796" s="6"/>
      <c r="F796" s="16"/>
      <c r="G796" s="6"/>
      <c r="H796" s="16"/>
      <c r="I796" s="16"/>
      <c r="J796" s="16"/>
      <c r="K796" s="16"/>
      <c r="L796" s="16"/>
      <c r="M796" s="16"/>
      <c r="N796" s="16"/>
      <c r="O796" s="16"/>
      <c r="P796" s="16"/>
      <c r="Q796" s="16"/>
      <c r="R796" s="16"/>
      <c r="S796" s="16"/>
      <c r="T796" s="16"/>
      <c r="U796" s="16"/>
      <c r="V796" s="16"/>
      <c r="W796" s="16"/>
      <c r="X796" s="16"/>
      <c r="Y796" s="16"/>
    </row>
    <row r="797" spans="1:25" x14ac:dyDescent="0.2">
      <c r="A797" s="14"/>
      <c r="B797" s="6"/>
      <c r="C797" s="6"/>
      <c r="D797" s="16"/>
      <c r="E797" s="6"/>
      <c r="F797" s="16"/>
      <c r="G797" s="6"/>
      <c r="H797" s="16"/>
      <c r="I797" s="16"/>
      <c r="J797" s="16"/>
      <c r="K797" s="16"/>
      <c r="L797" s="16"/>
      <c r="M797" s="16"/>
      <c r="N797" s="16"/>
      <c r="O797" s="16"/>
      <c r="P797" s="16"/>
      <c r="Q797" s="16"/>
      <c r="R797" s="16"/>
      <c r="S797" s="16"/>
      <c r="T797" s="16"/>
      <c r="U797" s="16"/>
      <c r="V797" s="16"/>
      <c r="W797" s="16"/>
      <c r="X797" s="16"/>
      <c r="Y797" s="16"/>
    </row>
    <row r="798" spans="1:25" x14ac:dyDescent="0.2">
      <c r="A798" s="14"/>
      <c r="B798" s="6"/>
      <c r="C798" s="6"/>
      <c r="D798" s="16"/>
      <c r="E798" s="6"/>
      <c r="F798" s="16"/>
      <c r="G798" s="6"/>
      <c r="H798" s="16"/>
      <c r="I798" s="16"/>
      <c r="J798" s="16"/>
      <c r="K798" s="16"/>
      <c r="L798" s="16"/>
      <c r="M798" s="16"/>
      <c r="N798" s="16"/>
      <c r="O798" s="16"/>
      <c r="P798" s="16"/>
      <c r="Q798" s="16"/>
      <c r="R798" s="16"/>
      <c r="S798" s="16"/>
      <c r="T798" s="16"/>
      <c r="U798" s="16"/>
      <c r="V798" s="16"/>
      <c r="W798" s="16"/>
      <c r="X798" s="16"/>
      <c r="Y798" s="16"/>
    </row>
    <row r="799" spans="1:25" x14ac:dyDescent="0.2">
      <c r="A799" s="14"/>
      <c r="B799" s="6"/>
      <c r="C799" s="6"/>
      <c r="D799" s="16"/>
      <c r="E799" s="6"/>
      <c r="F799" s="16"/>
      <c r="G799" s="6"/>
      <c r="H799" s="16"/>
      <c r="I799" s="16"/>
      <c r="J799" s="16"/>
      <c r="K799" s="16"/>
      <c r="L799" s="16"/>
      <c r="M799" s="16"/>
      <c r="N799" s="16"/>
      <c r="O799" s="16"/>
      <c r="P799" s="16"/>
      <c r="Q799" s="16"/>
      <c r="R799" s="16"/>
      <c r="S799" s="16"/>
      <c r="T799" s="16"/>
      <c r="U799" s="16"/>
      <c r="V799" s="16"/>
      <c r="W799" s="16"/>
      <c r="X799" s="16"/>
      <c r="Y799" s="16"/>
    </row>
    <row r="800" spans="1:25" x14ac:dyDescent="0.2">
      <c r="A800" s="14"/>
      <c r="B800" s="6"/>
      <c r="C800" s="6"/>
      <c r="D800" s="16"/>
      <c r="E800" s="6"/>
      <c r="F800" s="16"/>
      <c r="G800" s="6"/>
      <c r="H800" s="16"/>
      <c r="I800" s="16"/>
      <c r="J800" s="16"/>
      <c r="K800" s="16"/>
      <c r="L800" s="16"/>
      <c r="M800" s="16"/>
      <c r="N800" s="16"/>
      <c r="O800" s="16"/>
      <c r="P800" s="16"/>
      <c r="Q800" s="16"/>
      <c r="R800" s="16"/>
      <c r="S800" s="16"/>
      <c r="T800" s="16"/>
      <c r="U800" s="16"/>
      <c r="V800" s="16"/>
      <c r="W800" s="16"/>
      <c r="X800" s="16"/>
      <c r="Y800" s="16"/>
    </row>
    <row r="801" spans="1:25" x14ac:dyDescent="0.2">
      <c r="A801" s="14"/>
      <c r="B801" s="6"/>
      <c r="C801" s="6"/>
      <c r="D801" s="16"/>
      <c r="E801" s="6"/>
      <c r="F801" s="16"/>
      <c r="G801" s="6"/>
      <c r="H801" s="16"/>
      <c r="I801" s="16"/>
      <c r="J801" s="16"/>
      <c r="K801" s="16"/>
      <c r="L801" s="16"/>
      <c r="M801" s="16"/>
      <c r="N801" s="16"/>
      <c r="O801" s="16"/>
      <c r="P801" s="16"/>
      <c r="Q801" s="16"/>
      <c r="R801" s="16"/>
      <c r="S801" s="16"/>
      <c r="T801" s="16"/>
      <c r="U801" s="16"/>
      <c r="V801" s="16"/>
      <c r="W801" s="16"/>
      <c r="X801" s="16"/>
      <c r="Y801" s="16"/>
    </row>
    <row r="802" spans="1:25" x14ac:dyDescent="0.2">
      <c r="A802" s="14"/>
      <c r="B802" s="6"/>
      <c r="C802" s="6"/>
      <c r="D802" s="16"/>
      <c r="E802" s="6"/>
      <c r="F802" s="16"/>
      <c r="G802" s="6"/>
      <c r="H802" s="16"/>
      <c r="I802" s="16"/>
      <c r="J802" s="16"/>
      <c r="K802" s="16"/>
      <c r="L802" s="16"/>
      <c r="M802" s="16"/>
      <c r="N802" s="16"/>
      <c r="O802" s="16"/>
      <c r="P802" s="16"/>
      <c r="Q802" s="16"/>
      <c r="R802" s="16"/>
      <c r="S802" s="16"/>
      <c r="T802" s="16"/>
      <c r="U802" s="16"/>
      <c r="V802" s="16"/>
      <c r="W802" s="16"/>
      <c r="X802" s="16"/>
      <c r="Y802" s="16"/>
    </row>
    <row r="803" spans="1:25" x14ac:dyDescent="0.2">
      <c r="A803" s="14"/>
      <c r="B803" s="6"/>
      <c r="C803" s="6"/>
      <c r="D803" s="16"/>
      <c r="E803" s="6"/>
      <c r="F803" s="16"/>
      <c r="G803" s="6"/>
      <c r="H803" s="16"/>
      <c r="I803" s="16"/>
      <c r="J803" s="16"/>
      <c r="K803" s="16"/>
      <c r="L803" s="16"/>
      <c r="M803" s="16"/>
      <c r="N803" s="16"/>
      <c r="O803" s="16"/>
      <c r="P803" s="16"/>
      <c r="Q803" s="16"/>
      <c r="R803" s="16"/>
      <c r="S803" s="16"/>
      <c r="T803" s="16"/>
      <c r="U803" s="16"/>
      <c r="V803" s="16"/>
      <c r="W803" s="16"/>
      <c r="X803" s="16"/>
      <c r="Y803" s="16"/>
    </row>
    <row r="804" spans="1:25" x14ac:dyDescent="0.2">
      <c r="A804" s="14"/>
      <c r="B804" s="6"/>
      <c r="C804" s="6"/>
      <c r="D804" s="16"/>
      <c r="E804" s="6"/>
      <c r="F804" s="16"/>
      <c r="G804" s="6"/>
      <c r="H804" s="16"/>
      <c r="I804" s="16"/>
      <c r="J804" s="16"/>
      <c r="K804" s="16"/>
      <c r="L804" s="16"/>
      <c r="M804" s="16"/>
      <c r="N804" s="16"/>
      <c r="O804" s="16"/>
      <c r="P804" s="16"/>
      <c r="Q804" s="16"/>
      <c r="R804" s="16"/>
      <c r="S804" s="16"/>
      <c r="T804" s="16"/>
      <c r="U804" s="16"/>
      <c r="V804" s="16"/>
      <c r="W804" s="16"/>
      <c r="X804" s="16"/>
      <c r="Y804" s="16"/>
    </row>
    <row r="805" spans="1:25" x14ac:dyDescent="0.2">
      <c r="A805" s="14"/>
      <c r="B805" s="6"/>
      <c r="C805" s="6"/>
      <c r="D805" s="16"/>
      <c r="E805" s="6"/>
      <c r="F805" s="16"/>
      <c r="G805" s="6"/>
      <c r="H805" s="16"/>
      <c r="I805" s="16"/>
      <c r="J805" s="16"/>
      <c r="K805" s="16"/>
      <c r="L805" s="16"/>
      <c r="M805" s="16"/>
      <c r="N805" s="16"/>
      <c r="O805" s="16"/>
      <c r="P805" s="16"/>
      <c r="Q805" s="16"/>
      <c r="R805" s="16"/>
      <c r="S805" s="16"/>
      <c r="T805" s="16"/>
      <c r="U805" s="16"/>
      <c r="V805" s="16"/>
      <c r="W805" s="16"/>
      <c r="X805" s="16"/>
      <c r="Y805" s="16"/>
    </row>
    <row r="806" spans="1:25" x14ac:dyDescent="0.2">
      <c r="A806" s="14"/>
      <c r="B806" s="6"/>
      <c r="C806" s="6"/>
      <c r="D806" s="16"/>
      <c r="E806" s="6"/>
      <c r="F806" s="16"/>
      <c r="G806" s="6"/>
      <c r="H806" s="16"/>
      <c r="I806" s="16"/>
      <c r="J806" s="16"/>
      <c r="K806" s="16"/>
      <c r="L806" s="16"/>
      <c r="M806" s="16"/>
      <c r="N806" s="16"/>
      <c r="O806" s="16"/>
      <c r="P806" s="16"/>
      <c r="Q806" s="16"/>
      <c r="R806" s="16"/>
      <c r="S806" s="16"/>
      <c r="T806" s="16"/>
      <c r="U806" s="16"/>
      <c r="V806" s="16"/>
      <c r="W806" s="16"/>
      <c r="X806" s="16"/>
      <c r="Y806" s="16"/>
    </row>
    <row r="807" spans="1:25" x14ac:dyDescent="0.2">
      <c r="A807" s="14"/>
      <c r="B807" s="6"/>
      <c r="C807" s="6"/>
      <c r="D807" s="16"/>
      <c r="E807" s="6"/>
      <c r="F807" s="16"/>
      <c r="G807" s="6"/>
      <c r="H807" s="16"/>
      <c r="I807" s="16"/>
      <c r="J807" s="16"/>
      <c r="K807" s="16"/>
      <c r="L807" s="16"/>
      <c r="M807" s="16"/>
      <c r="N807" s="16"/>
      <c r="O807" s="16"/>
      <c r="P807" s="16"/>
      <c r="Q807" s="16"/>
      <c r="R807" s="16"/>
      <c r="S807" s="16"/>
      <c r="T807" s="16"/>
      <c r="U807" s="16"/>
      <c r="V807" s="16"/>
      <c r="W807" s="16"/>
      <c r="X807" s="16"/>
      <c r="Y807" s="16"/>
    </row>
    <row r="808" spans="1:25" x14ac:dyDescent="0.2">
      <c r="A808" s="14"/>
      <c r="B808" s="6"/>
      <c r="C808" s="6"/>
      <c r="D808" s="16"/>
      <c r="E808" s="6"/>
      <c r="F808" s="16"/>
      <c r="G808" s="6"/>
      <c r="H808" s="16"/>
      <c r="I808" s="16"/>
      <c r="J808" s="16"/>
      <c r="K808" s="16"/>
      <c r="L808" s="16"/>
      <c r="M808" s="16"/>
      <c r="N808" s="16"/>
      <c r="O808" s="16"/>
      <c r="P808" s="16"/>
      <c r="Q808" s="16"/>
      <c r="R808" s="16"/>
      <c r="S808" s="16"/>
      <c r="T808" s="16"/>
      <c r="U808" s="16"/>
      <c r="V808" s="16"/>
      <c r="W808" s="16"/>
      <c r="X808" s="16"/>
      <c r="Y808" s="16"/>
    </row>
    <row r="809" spans="1:25" x14ac:dyDescent="0.2">
      <c r="A809" s="14"/>
      <c r="B809" s="6"/>
      <c r="C809" s="6"/>
      <c r="D809" s="16"/>
      <c r="E809" s="6"/>
      <c r="F809" s="16"/>
      <c r="G809" s="6"/>
      <c r="H809" s="16"/>
      <c r="I809" s="16"/>
      <c r="J809" s="16"/>
      <c r="K809" s="16"/>
      <c r="L809" s="16"/>
      <c r="M809" s="16"/>
      <c r="N809" s="16"/>
      <c r="O809" s="16"/>
      <c r="P809" s="16"/>
      <c r="Q809" s="16"/>
      <c r="R809" s="16"/>
      <c r="S809" s="16"/>
      <c r="T809" s="16"/>
      <c r="U809" s="16"/>
      <c r="V809" s="16"/>
      <c r="W809" s="16"/>
      <c r="X809" s="16"/>
      <c r="Y809" s="16"/>
    </row>
    <row r="810" spans="1:25" x14ac:dyDescent="0.2">
      <c r="A810" s="14"/>
      <c r="B810" s="6"/>
      <c r="C810" s="6"/>
      <c r="D810" s="16"/>
      <c r="E810" s="6"/>
      <c r="F810" s="16"/>
      <c r="G810" s="6"/>
      <c r="H810" s="16"/>
      <c r="I810" s="16"/>
      <c r="J810" s="16"/>
      <c r="K810" s="16"/>
      <c r="L810" s="16"/>
      <c r="M810" s="16"/>
      <c r="N810" s="16"/>
      <c r="O810" s="16"/>
      <c r="P810" s="16"/>
      <c r="Q810" s="16"/>
      <c r="R810" s="16"/>
      <c r="S810" s="16"/>
      <c r="T810" s="16"/>
      <c r="U810" s="16"/>
      <c r="V810" s="16"/>
      <c r="W810" s="16"/>
      <c r="X810" s="16"/>
      <c r="Y810" s="16"/>
    </row>
    <row r="811" spans="1:25" x14ac:dyDescent="0.2">
      <c r="A811" s="14"/>
      <c r="B811" s="6"/>
      <c r="C811" s="6"/>
      <c r="D811" s="16"/>
      <c r="E811" s="6"/>
      <c r="F811" s="16"/>
      <c r="G811" s="6"/>
      <c r="H811" s="16"/>
      <c r="I811" s="16"/>
      <c r="J811" s="16"/>
      <c r="K811" s="16"/>
      <c r="L811" s="16"/>
      <c r="M811" s="16"/>
      <c r="N811" s="16"/>
      <c r="O811" s="16"/>
      <c r="P811" s="16"/>
      <c r="Q811" s="16"/>
      <c r="R811" s="16"/>
      <c r="S811" s="16"/>
      <c r="T811" s="16"/>
      <c r="U811" s="16"/>
      <c r="V811" s="16"/>
      <c r="W811" s="16"/>
      <c r="X811" s="16"/>
      <c r="Y811" s="16"/>
    </row>
    <row r="812" spans="1:25" x14ac:dyDescent="0.2">
      <c r="A812" s="14"/>
      <c r="B812" s="6"/>
      <c r="C812" s="6"/>
      <c r="D812" s="16"/>
      <c r="E812" s="6"/>
      <c r="F812" s="16"/>
      <c r="G812" s="6"/>
      <c r="H812" s="16"/>
      <c r="I812" s="16"/>
      <c r="J812" s="16"/>
      <c r="K812" s="16"/>
      <c r="L812" s="16"/>
      <c r="M812" s="16"/>
      <c r="N812" s="16"/>
      <c r="O812" s="16"/>
      <c r="P812" s="16"/>
      <c r="Q812" s="16"/>
      <c r="R812" s="16"/>
      <c r="S812" s="16"/>
      <c r="T812" s="16"/>
      <c r="U812" s="16"/>
      <c r="V812" s="16"/>
      <c r="W812" s="16"/>
      <c r="X812" s="16"/>
      <c r="Y812" s="16"/>
    </row>
    <row r="813" spans="1:25" x14ac:dyDescent="0.2">
      <c r="A813" s="14"/>
      <c r="B813" s="6"/>
      <c r="C813" s="6"/>
      <c r="D813" s="16"/>
      <c r="E813" s="6"/>
      <c r="F813" s="16"/>
      <c r="G813" s="6"/>
      <c r="H813" s="16"/>
      <c r="I813" s="16"/>
      <c r="J813" s="16"/>
      <c r="K813" s="16"/>
      <c r="L813" s="16"/>
      <c r="M813" s="16"/>
      <c r="N813" s="16"/>
      <c r="O813" s="16"/>
      <c r="P813" s="16"/>
      <c r="Q813" s="16"/>
      <c r="R813" s="16"/>
      <c r="S813" s="16"/>
      <c r="T813" s="16"/>
      <c r="U813" s="16"/>
      <c r="V813" s="16"/>
      <c r="W813" s="16"/>
      <c r="X813" s="16"/>
      <c r="Y813" s="16"/>
    </row>
    <row r="814" spans="1:25" x14ac:dyDescent="0.2">
      <c r="A814" s="14"/>
      <c r="B814" s="6"/>
      <c r="C814" s="6"/>
      <c r="D814" s="16"/>
      <c r="E814" s="6"/>
      <c r="F814" s="16"/>
      <c r="G814" s="6"/>
      <c r="H814" s="16"/>
      <c r="I814" s="16"/>
      <c r="J814" s="16"/>
      <c r="K814" s="16"/>
      <c r="L814" s="16"/>
      <c r="M814" s="16"/>
      <c r="N814" s="16"/>
      <c r="O814" s="16"/>
      <c r="P814" s="16"/>
      <c r="Q814" s="16"/>
      <c r="R814" s="16"/>
      <c r="S814" s="16"/>
      <c r="T814" s="16"/>
      <c r="U814" s="16"/>
      <c r="V814" s="16"/>
      <c r="W814" s="16"/>
      <c r="X814" s="16"/>
      <c r="Y814" s="16"/>
    </row>
    <row r="815" spans="1:25" x14ac:dyDescent="0.2">
      <c r="A815" s="14"/>
      <c r="B815" s="6"/>
      <c r="C815" s="6"/>
      <c r="D815" s="16"/>
      <c r="E815" s="6"/>
      <c r="F815" s="16"/>
      <c r="G815" s="6"/>
      <c r="H815" s="16"/>
      <c r="I815" s="16"/>
      <c r="J815" s="16"/>
      <c r="K815" s="16"/>
      <c r="L815" s="16"/>
      <c r="M815" s="16"/>
      <c r="N815" s="16"/>
      <c r="O815" s="16"/>
      <c r="P815" s="16"/>
      <c r="Q815" s="16"/>
      <c r="R815" s="16"/>
      <c r="S815" s="16"/>
      <c r="T815" s="16"/>
      <c r="U815" s="16"/>
      <c r="V815" s="16"/>
      <c r="W815" s="16"/>
      <c r="X815" s="16"/>
      <c r="Y815" s="16"/>
    </row>
    <row r="816" spans="1:25" x14ac:dyDescent="0.2">
      <c r="A816" s="14"/>
      <c r="B816" s="6"/>
      <c r="C816" s="6"/>
      <c r="D816" s="16"/>
      <c r="E816" s="6"/>
      <c r="F816" s="16"/>
      <c r="G816" s="6"/>
      <c r="H816" s="16"/>
      <c r="I816" s="16"/>
      <c r="J816" s="16"/>
      <c r="K816" s="16"/>
      <c r="L816" s="16"/>
      <c r="M816" s="16"/>
      <c r="N816" s="16"/>
      <c r="O816" s="16"/>
      <c r="P816" s="16"/>
      <c r="Q816" s="16"/>
      <c r="R816" s="16"/>
      <c r="S816" s="16"/>
      <c r="T816" s="16"/>
      <c r="U816" s="16"/>
      <c r="V816" s="16"/>
      <c r="W816" s="16"/>
      <c r="X816" s="16"/>
      <c r="Y816" s="16"/>
    </row>
    <row r="817" spans="1:25" x14ac:dyDescent="0.2">
      <c r="A817" s="14"/>
      <c r="B817" s="6"/>
      <c r="C817" s="6"/>
      <c r="D817" s="16"/>
      <c r="E817" s="6"/>
      <c r="F817" s="16"/>
      <c r="G817" s="6"/>
      <c r="H817" s="16"/>
      <c r="I817" s="16"/>
      <c r="J817" s="16"/>
      <c r="K817" s="16"/>
      <c r="L817" s="16"/>
      <c r="M817" s="16"/>
      <c r="N817" s="16"/>
      <c r="O817" s="16"/>
      <c r="P817" s="16"/>
      <c r="Q817" s="16"/>
      <c r="R817" s="16"/>
      <c r="S817" s="16"/>
      <c r="T817" s="16"/>
      <c r="U817" s="16"/>
      <c r="V817" s="16"/>
      <c r="W817" s="16"/>
      <c r="X817" s="16"/>
      <c r="Y817" s="16"/>
    </row>
    <row r="818" spans="1:25" x14ac:dyDescent="0.2">
      <c r="A818" s="14"/>
      <c r="B818" s="6"/>
      <c r="C818" s="6"/>
      <c r="D818" s="16"/>
      <c r="E818" s="6"/>
      <c r="F818" s="16"/>
      <c r="G818" s="6"/>
      <c r="H818" s="16"/>
      <c r="I818" s="16"/>
      <c r="J818" s="16"/>
      <c r="K818" s="16"/>
      <c r="L818" s="16"/>
      <c r="M818" s="16"/>
      <c r="N818" s="16"/>
      <c r="O818" s="16"/>
      <c r="P818" s="16"/>
      <c r="Q818" s="16"/>
      <c r="R818" s="16"/>
      <c r="S818" s="16"/>
      <c r="T818" s="16"/>
      <c r="U818" s="16"/>
      <c r="V818" s="16"/>
      <c r="W818" s="16"/>
      <c r="X818" s="16"/>
      <c r="Y818" s="16"/>
    </row>
    <row r="819" spans="1:25" x14ac:dyDescent="0.2">
      <c r="A819" s="14"/>
      <c r="B819" s="6"/>
      <c r="C819" s="6"/>
      <c r="D819" s="16"/>
      <c r="E819" s="6"/>
      <c r="F819" s="16"/>
      <c r="G819" s="6"/>
      <c r="H819" s="16"/>
      <c r="I819" s="16"/>
      <c r="J819" s="16"/>
      <c r="K819" s="16"/>
      <c r="L819" s="16"/>
      <c r="M819" s="16"/>
      <c r="N819" s="16"/>
      <c r="O819" s="16"/>
      <c r="P819" s="16"/>
      <c r="Q819" s="16"/>
      <c r="R819" s="16"/>
      <c r="S819" s="16"/>
      <c r="T819" s="16"/>
      <c r="U819" s="16"/>
      <c r="V819" s="16"/>
      <c r="W819" s="16"/>
      <c r="X819" s="16"/>
      <c r="Y819" s="16"/>
    </row>
    <row r="820" spans="1:25" x14ac:dyDescent="0.2">
      <c r="A820" s="14"/>
      <c r="B820" s="6"/>
      <c r="C820" s="6"/>
      <c r="D820" s="16"/>
      <c r="E820" s="6"/>
      <c r="F820" s="16"/>
      <c r="G820" s="6"/>
      <c r="H820" s="16"/>
      <c r="I820" s="16"/>
      <c r="J820" s="16"/>
      <c r="K820" s="16"/>
      <c r="L820" s="16"/>
      <c r="M820" s="16"/>
      <c r="N820" s="16"/>
      <c r="O820" s="16"/>
      <c r="P820" s="16"/>
      <c r="Q820" s="16"/>
      <c r="R820" s="16"/>
      <c r="S820" s="16"/>
      <c r="T820" s="16"/>
      <c r="U820" s="16"/>
      <c r="V820" s="16"/>
      <c r="W820" s="16"/>
      <c r="X820" s="16"/>
      <c r="Y820" s="16"/>
    </row>
    <row r="821" spans="1:25" x14ac:dyDescent="0.2">
      <c r="A821" s="14"/>
      <c r="B821" s="6"/>
      <c r="C821" s="6"/>
      <c r="D821" s="16"/>
      <c r="E821" s="6"/>
      <c r="F821" s="16"/>
      <c r="G821" s="6"/>
      <c r="H821" s="16"/>
      <c r="I821" s="16"/>
      <c r="J821" s="16"/>
      <c r="K821" s="16"/>
      <c r="L821" s="16"/>
      <c r="M821" s="16"/>
      <c r="N821" s="16"/>
      <c r="O821" s="16"/>
      <c r="P821" s="16"/>
      <c r="Q821" s="16"/>
      <c r="R821" s="16"/>
      <c r="S821" s="16"/>
      <c r="T821" s="16"/>
      <c r="U821" s="16"/>
      <c r="V821" s="16"/>
      <c r="W821" s="16"/>
      <c r="X821" s="16"/>
      <c r="Y821" s="16"/>
    </row>
    <row r="822" spans="1:25" x14ac:dyDescent="0.2">
      <c r="A822" s="14"/>
      <c r="B822" s="6"/>
      <c r="C822" s="6"/>
      <c r="D822" s="16"/>
      <c r="E822" s="6"/>
      <c r="F822" s="16"/>
      <c r="G822" s="6"/>
      <c r="H822" s="16"/>
      <c r="I822" s="16"/>
      <c r="J822" s="16"/>
      <c r="K822" s="16"/>
      <c r="L822" s="16"/>
      <c r="M822" s="16"/>
      <c r="N822" s="16"/>
      <c r="O822" s="16"/>
      <c r="P822" s="16"/>
      <c r="Q822" s="16"/>
      <c r="R822" s="16"/>
      <c r="S822" s="16"/>
      <c r="T822" s="16"/>
      <c r="U822" s="16"/>
      <c r="V822" s="16"/>
      <c r="W822" s="16"/>
      <c r="X822" s="16"/>
      <c r="Y822" s="16"/>
    </row>
    <row r="823" spans="1:25" x14ac:dyDescent="0.2">
      <c r="A823" s="14"/>
      <c r="B823" s="6"/>
      <c r="C823" s="6"/>
      <c r="D823" s="16"/>
      <c r="E823" s="6"/>
      <c r="F823" s="16"/>
      <c r="G823" s="6"/>
      <c r="H823" s="16"/>
      <c r="I823" s="16"/>
      <c r="J823" s="16"/>
      <c r="K823" s="16"/>
      <c r="L823" s="16"/>
      <c r="M823" s="16"/>
      <c r="N823" s="16"/>
      <c r="O823" s="16"/>
      <c r="P823" s="16"/>
      <c r="Q823" s="16"/>
      <c r="R823" s="16"/>
      <c r="S823" s="16"/>
      <c r="T823" s="16"/>
      <c r="U823" s="16"/>
      <c r="V823" s="16"/>
      <c r="W823" s="16"/>
      <c r="X823" s="16"/>
      <c r="Y823" s="16"/>
    </row>
    <row r="824" spans="1:25" x14ac:dyDescent="0.2">
      <c r="A824" s="14"/>
      <c r="B824" s="6"/>
      <c r="C824" s="6"/>
      <c r="D824" s="16"/>
      <c r="E824" s="6"/>
      <c r="F824" s="16"/>
      <c r="G824" s="6"/>
      <c r="H824" s="16"/>
      <c r="I824" s="16"/>
      <c r="J824" s="16"/>
      <c r="K824" s="16"/>
      <c r="L824" s="16"/>
      <c r="M824" s="16"/>
      <c r="N824" s="16"/>
      <c r="O824" s="16"/>
      <c r="P824" s="16"/>
      <c r="Q824" s="16"/>
      <c r="R824" s="16"/>
      <c r="S824" s="16"/>
      <c r="T824" s="16"/>
      <c r="U824" s="16"/>
      <c r="V824" s="16"/>
      <c r="W824" s="16"/>
      <c r="X824" s="16"/>
      <c r="Y824" s="16"/>
    </row>
    <row r="825" spans="1:25" x14ac:dyDescent="0.2">
      <c r="A825" s="14"/>
      <c r="B825" s="6"/>
      <c r="C825" s="6"/>
      <c r="D825" s="16"/>
      <c r="E825" s="6"/>
      <c r="F825" s="16"/>
      <c r="G825" s="6"/>
      <c r="H825" s="16"/>
      <c r="I825" s="16"/>
      <c r="J825" s="16"/>
      <c r="K825" s="16"/>
      <c r="L825" s="16"/>
      <c r="M825" s="16"/>
      <c r="N825" s="16"/>
      <c r="O825" s="16"/>
      <c r="P825" s="16"/>
      <c r="Q825" s="16"/>
      <c r="R825" s="16"/>
      <c r="S825" s="16"/>
      <c r="T825" s="16"/>
      <c r="U825" s="16"/>
      <c r="V825" s="16"/>
      <c r="W825" s="16"/>
      <c r="X825" s="16"/>
      <c r="Y825" s="16"/>
    </row>
    <row r="826" spans="1:25" x14ac:dyDescent="0.2">
      <c r="A826" s="14"/>
      <c r="B826" s="6"/>
      <c r="C826" s="6"/>
      <c r="D826" s="16"/>
      <c r="E826" s="6"/>
      <c r="F826" s="16"/>
      <c r="G826" s="6"/>
      <c r="H826" s="16"/>
      <c r="I826" s="16"/>
      <c r="J826" s="16"/>
      <c r="K826" s="16"/>
      <c r="L826" s="16"/>
      <c r="M826" s="16"/>
      <c r="N826" s="16"/>
      <c r="O826" s="16"/>
      <c r="P826" s="16"/>
      <c r="Q826" s="16"/>
      <c r="R826" s="16"/>
      <c r="S826" s="16"/>
      <c r="T826" s="16"/>
      <c r="U826" s="16"/>
      <c r="V826" s="16"/>
      <c r="W826" s="16"/>
      <c r="X826" s="16"/>
      <c r="Y826" s="16"/>
    </row>
    <row r="827" spans="1:25" x14ac:dyDescent="0.2">
      <c r="A827" s="14"/>
      <c r="B827" s="6"/>
      <c r="C827" s="6"/>
      <c r="D827" s="16"/>
      <c r="E827" s="6"/>
      <c r="F827" s="16"/>
      <c r="G827" s="6"/>
      <c r="H827" s="16"/>
      <c r="I827" s="16"/>
      <c r="J827" s="16"/>
      <c r="K827" s="16"/>
      <c r="L827" s="16"/>
      <c r="M827" s="16"/>
      <c r="N827" s="16"/>
      <c r="O827" s="16"/>
      <c r="P827" s="16"/>
      <c r="Q827" s="16"/>
      <c r="R827" s="16"/>
      <c r="S827" s="16"/>
      <c r="T827" s="16"/>
      <c r="U827" s="16"/>
      <c r="V827" s="16"/>
      <c r="W827" s="16"/>
      <c r="X827" s="16"/>
      <c r="Y827" s="16"/>
    </row>
    <row r="828" spans="1:25" x14ac:dyDescent="0.2">
      <c r="A828" s="14"/>
      <c r="B828" s="6"/>
      <c r="C828" s="6"/>
      <c r="D828" s="16"/>
      <c r="E828" s="6"/>
      <c r="F828" s="16"/>
      <c r="G828" s="6"/>
      <c r="H828" s="16"/>
      <c r="I828" s="16"/>
      <c r="J828" s="16"/>
      <c r="K828" s="16"/>
      <c r="L828" s="16"/>
      <c r="M828" s="16"/>
      <c r="N828" s="16"/>
      <c r="O828" s="16"/>
      <c r="P828" s="16"/>
      <c r="Q828" s="16"/>
      <c r="R828" s="16"/>
      <c r="S828" s="16"/>
      <c r="T828" s="16"/>
      <c r="U828" s="16"/>
      <c r="V828" s="16"/>
      <c r="W828" s="16"/>
      <c r="X828" s="16"/>
      <c r="Y828" s="16"/>
    </row>
    <row r="829" spans="1:25" x14ac:dyDescent="0.2">
      <c r="A829" s="14"/>
      <c r="B829" s="6"/>
      <c r="C829" s="6"/>
      <c r="D829" s="16"/>
      <c r="E829" s="6"/>
      <c r="F829" s="16"/>
      <c r="G829" s="6"/>
      <c r="H829" s="16"/>
      <c r="I829" s="16"/>
      <c r="J829" s="16"/>
      <c r="K829" s="16"/>
      <c r="L829" s="16"/>
      <c r="M829" s="16"/>
      <c r="N829" s="16"/>
      <c r="O829" s="16"/>
      <c r="P829" s="16"/>
      <c r="Q829" s="16"/>
      <c r="R829" s="16"/>
      <c r="S829" s="16"/>
      <c r="T829" s="16"/>
      <c r="U829" s="16"/>
      <c r="V829" s="16"/>
      <c r="W829" s="16"/>
      <c r="X829" s="16"/>
      <c r="Y829" s="16"/>
    </row>
    <row r="830" spans="1:25" x14ac:dyDescent="0.2">
      <c r="A830" s="14"/>
      <c r="B830" s="6"/>
      <c r="C830" s="6"/>
      <c r="D830" s="16"/>
      <c r="E830" s="6"/>
      <c r="F830" s="16"/>
      <c r="G830" s="6"/>
      <c r="H830" s="16"/>
      <c r="I830" s="16"/>
      <c r="J830" s="16"/>
      <c r="K830" s="16"/>
      <c r="L830" s="16"/>
      <c r="M830" s="16"/>
      <c r="N830" s="16"/>
      <c r="O830" s="16"/>
      <c r="P830" s="16"/>
      <c r="Q830" s="16"/>
      <c r="R830" s="16"/>
      <c r="S830" s="16"/>
      <c r="T830" s="16"/>
      <c r="U830" s="16"/>
      <c r="V830" s="16"/>
      <c r="W830" s="16"/>
      <c r="X830" s="16"/>
      <c r="Y830" s="16"/>
    </row>
    <row r="831" spans="1:25" x14ac:dyDescent="0.2">
      <c r="A831" s="14"/>
      <c r="B831" s="6"/>
      <c r="C831" s="6"/>
      <c r="D831" s="16"/>
      <c r="E831" s="6"/>
      <c r="F831" s="16"/>
      <c r="G831" s="6"/>
      <c r="H831" s="16"/>
      <c r="I831" s="16"/>
      <c r="J831" s="16"/>
      <c r="K831" s="16"/>
      <c r="L831" s="16"/>
      <c r="M831" s="16"/>
      <c r="N831" s="16"/>
      <c r="O831" s="16"/>
      <c r="P831" s="16"/>
      <c r="Q831" s="16"/>
      <c r="R831" s="16"/>
      <c r="S831" s="16"/>
      <c r="T831" s="16"/>
      <c r="U831" s="16"/>
      <c r="V831" s="16"/>
      <c r="W831" s="16"/>
      <c r="X831" s="16"/>
      <c r="Y831" s="16"/>
    </row>
    <row r="832" spans="1:25" x14ac:dyDescent="0.2">
      <c r="A832" s="14"/>
      <c r="B832" s="6"/>
      <c r="C832" s="6"/>
      <c r="D832" s="16"/>
      <c r="E832" s="6"/>
      <c r="F832" s="16"/>
      <c r="G832" s="6"/>
      <c r="H832" s="16"/>
      <c r="I832" s="16"/>
      <c r="J832" s="16"/>
      <c r="K832" s="16"/>
      <c r="L832" s="16"/>
      <c r="M832" s="16"/>
      <c r="N832" s="16"/>
      <c r="O832" s="16"/>
      <c r="P832" s="16"/>
      <c r="Q832" s="16"/>
      <c r="R832" s="16"/>
      <c r="S832" s="16"/>
      <c r="T832" s="16"/>
      <c r="U832" s="16"/>
      <c r="V832" s="16"/>
      <c r="W832" s="16"/>
      <c r="X832" s="16"/>
      <c r="Y832" s="16"/>
    </row>
    <row r="833" spans="1:25" x14ac:dyDescent="0.2">
      <c r="A833" s="14"/>
      <c r="B833" s="6"/>
      <c r="C833" s="6"/>
      <c r="D833" s="16"/>
      <c r="E833" s="6"/>
      <c r="F833" s="16"/>
      <c r="G833" s="6"/>
      <c r="H833" s="16"/>
      <c r="I833" s="16"/>
      <c r="J833" s="16"/>
      <c r="K833" s="16"/>
      <c r="L833" s="16"/>
      <c r="M833" s="16"/>
      <c r="N833" s="16"/>
      <c r="O833" s="16"/>
      <c r="P833" s="16"/>
      <c r="Q833" s="16"/>
      <c r="R833" s="16"/>
      <c r="S833" s="16"/>
      <c r="T833" s="16"/>
      <c r="U833" s="16"/>
      <c r="V833" s="16"/>
      <c r="W833" s="16"/>
      <c r="X833" s="16"/>
      <c r="Y833" s="16"/>
    </row>
    <row r="834" spans="1:25" x14ac:dyDescent="0.2">
      <c r="A834" s="14"/>
      <c r="B834" s="6"/>
      <c r="C834" s="6"/>
      <c r="D834" s="16"/>
      <c r="E834" s="6"/>
      <c r="F834" s="16"/>
      <c r="G834" s="6"/>
      <c r="H834" s="16"/>
      <c r="I834" s="16"/>
      <c r="J834" s="16"/>
      <c r="K834" s="16"/>
      <c r="L834" s="16"/>
      <c r="M834" s="16"/>
      <c r="N834" s="16"/>
      <c r="O834" s="16"/>
      <c r="P834" s="16"/>
      <c r="Q834" s="16"/>
      <c r="R834" s="16"/>
      <c r="S834" s="16"/>
      <c r="T834" s="16"/>
      <c r="U834" s="16"/>
      <c r="V834" s="16"/>
      <c r="W834" s="16"/>
      <c r="X834" s="16"/>
      <c r="Y834" s="16"/>
    </row>
    <row r="835" spans="1:25" x14ac:dyDescent="0.2">
      <c r="A835" s="14"/>
      <c r="B835" s="6"/>
      <c r="C835" s="6"/>
      <c r="D835" s="16"/>
      <c r="E835" s="6"/>
      <c r="F835" s="16"/>
      <c r="G835" s="6"/>
      <c r="H835" s="16"/>
      <c r="I835" s="16"/>
      <c r="J835" s="16"/>
      <c r="K835" s="16"/>
      <c r="L835" s="16"/>
      <c r="M835" s="16"/>
      <c r="N835" s="16"/>
      <c r="O835" s="16"/>
      <c r="P835" s="16"/>
      <c r="Q835" s="16"/>
      <c r="R835" s="16"/>
      <c r="S835" s="16"/>
      <c r="T835" s="16"/>
      <c r="U835" s="16"/>
      <c r="V835" s="16"/>
      <c r="W835" s="16"/>
      <c r="X835" s="16"/>
      <c r="Y835" s="16"/>
    </row>
    <row r="836" spans="1:25" x14ac:dyDescent="0.2">
      <c r="A836" s="14"/>
      <c r="B836" s="6"/>
      <c r="C836" s="6"/>
      <c r="D836" s="16"/>
      <c r="E836" s="6"/>
      <c r="F836" s="16"/>
      <c r="G836" s="6"/>
      <c r="H836" s="16"/>
      <c r="I836" s="16"/>
      <c r="J836" s="16"/>
      <c r="K836" s="16"/>
      <c r="L836" s="16"/>
      <c r="M836" s="16"/>
      <c r="N836" s="16"/>
      <c r="O836" s="16"/>
      <c r="P836" s="16"/>
      <c r="Q836" s="16"/>
      <c r="R836" s="16"/>
      <c r="S836" s="16"/>
      <c r="T836" s="16"/>
      <c r="U836" s="16"/>
      <c r="V836" s="16"/>
      <c r="W836" s="16"/>
      <c r="X836" s="16"/>
      <c r="Y836" s="16"/>
    </row>
    <row r="837" spans="1:25" x14ac:dyDescent="0.2">
      <c r="A837" s="14"/>
      <c r="B837" s="6"/>
      <c r="C837" s="6"/>
      <c r="D837" s="16"/>
      <c r="E837" s="6"/>
      <c r="F837" s="16"/>
      <c r="G837" s="6"/>
      <c r="H837" s="16"/>
      <c r="I837" s="16"/>
      <c r="J837" s="16"/>
      <c r="K837" s="16"/>
      <c r="L837" s="16"/>
      <c r="M837" s="16"/>
      <c r="N837" s="16"/>
      <c r="O837" s="16"/>
      <c r="P837" s="16"/>
      <c r="Q837" s="16"/>
      <c r="R837" s="16"/>
      <c r="S837" s="16"/>
      <c r="T837" s="16"/>
      <c r="U837" s="16"/>
      <c r="V837" s="16"/>
      <c r="W837" s="16"/>
      <c r="X837" s="16"/>
      <c r="Y837" s="16"/>
    </row>
    <row r="838" spans="1:25" x14ac:dyDescent="0.2">
      <c r="A838" s="14"/>
      <c r="B838" s="6"/>
      <c r="C838" s="6"/>
      <c r="D838" s="16"/>
      <c r="E838" s="6"/>
      <c r="F838" s="16"/>
      <c r="G838" s="6"/>
      <c r="H838" s="16"/>
      <c r="I838" s="16"/>
      <c r="J838" s="16"/>
      <c r="K838" s="16"/>
      <c r="L838" s="16"/>
      <c r="M838" s="16"/>
      <c r="N838" s="16"/>
      <c r="O838" s="16"/>
      <c r="P838" s="16"/>
      <c r="Q838" s="16"/>
      <c r="R838" s="16"/>
      <c r="S838" s="16"/>
      <c r="T838" s="16"/>
      <c r="U838" s="16"/>
      <c r="V838" s="16"/>
      <c r="W838" s="16"/>
      <c r="X838" s="16"/>
      <c r="Y838" s="16"/>
    </row>
    <row r="839" spans="1:25" x14ac:dyDescent="0.2">
      <c r="A839" s="14"/>
      <c r="B839" s="6"/>
      <c r="C839" s="6"/>
      <c r="D839" s="16"/>
      <c r="E839" s="6"/>
      <c r="F839" s="16"/>
      <c r="G839" s="6"/>
      <c r="H839" s="16"/>
      <c r="I839" s="16"/>
      <c r="J839" s="16"/>
      <c r="K839" s="16"/>
      <c r="L839" s="16"/>
      <c r="M839" s="16"/>
      <c r="N839" s="16"/>
      <c r="O839" s="16"/>
      <c r="P839" s="16"/>
      <c r="Q839" s="16"/>
      <c r="R839" s="16"/>
      <c r="S839" s="16"/>
      <c r="T839" s="16"/>
      <c r="U839" s="16"/>
      <c r="V839" s="16"/>
      <c r="W839" s="16"/>
      <c r="X839" s="16"/>
      <c r="Y839" s="16"/>
    </row>
    <row r="840" spans="1:25" x14ac:dyDescent="0.2">
      <c r="A840" s="14"/>
      <c r="B840" s="6"/>
      <c r="C840" s="6"/>
      <c r="D840" s="16"/>
      <c r="E840" s="6"/>
      <c r="F840" s="16"/>
      <c r="G840" s="6"/>
      <c r="H840" s="16"/>
      <c r="I840" s="16"/>
      <c r="J840" s="16"/>
      <c r="K840" s="16"/>
      <c r="L840" s="16"/>
      <c r="M840" s="16"/>
      <c r="N840" s="16"/>
      <c r="O840" s="16"/>
      <c r="P840" s="16"/>
      <c r="Q840" s="16"/>
      <c r="R840" s="16"/>
      <c r="S840" s="16"/>
      <c r="T840" s="16"/>
      <c r="U840" s="16"/>
      <c r="V840" s="16"/>
      <c r="W840" s="16"/>
      <c r="X840" s="16"/>
      <c r="Y840" s="16"/>
    </row>
    <row r="841" spans="1:25" x14ac:dyDescent="0.2">
      <c r="A841" s="14"/>
      <c r="B841" s="6"/>
      <c r="C841" s="6"/>
      <c r="D841" s="16"/>
      <c r="E841" s="6"/>
      <c r="F841" s="16"/>
      <c r="G841" s="6"/>
      <c r="H841" s="16"/>
      <c r="I841" s="16"/>
      <c r="J841" s="16"/>
      <c r="K841" s="16"/>
      <c r="L841" s="16"/>
      <c r="M841" s="16"/>
      <c r="N841" s="16"/>
      <c r="O841" s="16"/>
      <c r="P841" s="16"/>
      <c r="Q841" s="16"/>
      <c r="R841" s="16"/>
      <c r="S841" s="16"/>
      <c r="T841" s="16"/>
      <c r="U841" s="16"/>
      <c r="V841" s="16"/>
      <c r="W841" s="16"/>
      <c r="X841" s="16"/>
      <c r="Y841" s="16"/>
    </row>
    <row r="842" spans="1:25" x14ac:dyDescent="0.2">
      <c r="A842" s="14"/>
      <c r="B842" s="6"/>
      <c r="C842" s="6"/>
      <c r="D842" s="16"/>
      <c r="E842" s="6"/>
      <c r="F842" s="16"/>
      <c r="G842" s="6"/>
      <c r="H842" s="16"/>
      <c r="I842" s="16"/>
      <c r="J842" s="16"/>
      <c r="K842" s="16"/>
      <c r="L842" s="16"/>
      <c r="M842" s="16"/>
      <c r="N842" s="16"/>
      <c r="O842" s="16"/>
      <c r="P842" s="16"/>
      <c r="Q842" s="16"/>
      <c r="R842" s="16"/>
      <c r="S842" s="16"/>
      <c r="T842" s="16"/>
      <c r="U842" s="16"/>
      <c r="V842" s="16"/>
      <c r="W842" s="16"/>
      <c r="X842" s="16"/>
      <c r="Y842" s="16"/>
    </row>
    <row r="843" spans="1:25" x14ac:dyDescent="0.2">
      <c r="A843" s="14"/>
      <c r="B843" s="6"/>
      <c r="C843" s="6"/>
      <c r="D843" s="16"/>
      <c r="E843" s="6"/>
      <c r="F843" s="16"/>
      <c r="G843" s="6"/>
      <c r="H843" s="16"/>
      <c r="I843" s="16"/>
      <c r="J843" s="16"/>
      <c r="K843" s="16"/>
      <c r="L843" s="16"/>
      <c r="M843" s="16"/>
      <c r="N843" s="16"/>
      <c r="O843" s="16"/>
      <c r="P843" s="16"/>
      <c r="Q843" s="16"/>
      <c r="R843" s="16"/>
      <c r="S843" s="16"/>
      <c r="T843" s="16"/>
      <c r="U843" s="16"/>
      <c r="V843" s="16"/>
      <c r="W843" s="16"/>
      <c r="X843" s="16"/>
      <c r="Y843" s="16"/>
    </row>
    <row r="844" spans="1:25" x14ac:dyDescent="0.2">
      <c r="A844" s="14"/>
      <c r="B844" s="6"/>
      <c r="C844" s="6"/>
      <c r="D844" s="16"/>
      <c r="E844" s="6"/>
      <c r="F844" s="16"/>
      <c r="G844" s="6"/>
      <c r="H844" s="16"/>
      <c r="I844" s="16"/>
      <c r="J844" s="16"/>
      <c r="K844" s="16"/>
      <c r="L844" s="16"/>
      <c r="M844" s="16"/>
      <c r="N844" s="16"/>
      <c r="O844" s="16"/>
      <c r="P844" s="16"/>
      <c r="Q844" s="16"/>
      <c r="R844" s="16"/>
      <c r="S844" s="16"/>
      <c r="T844" s="16"/>
      <c r="U844" s="16"/>
      <c r="V844" s="16"/>
      <c r="W844" s="16"/>
      <c r="X844" s="16"/>
      <c r="Y844" s="16"/>
    </row>
    <row r="845" spans="1:25" x14ac:dyDescent="0.2">
      <c r="A845" s="14"/>
      <c r="B845" s="6"/>
      <c r="C845" s="6"/>
      <c r="D845" s="16"/>
      <c r="E845" s="6"/>
      <c r="F845" s="16"/>
      <c r="G845" s="6"/>
      <c r="H845" s="16"/>
      <c r="I845" s="16"/>
      <c r="J845" s="16"/>
      <c r="K845" s="16"/>
      <c r="L845" s="16"/>
      <c r="M845" s="16"/>
      <c r="N845" s="16"/>
      <c r="O845" s="16"/>
      <c r="P845" s="16"/>
      <c r="Q845" s="16"/>
      <c r="R845" s="16"/>
      <c r="S845" s="16"/>
      <c r="T845" s="16"/>
      <c r="U845" s="16"/>
      <c r="V845" s="16"/>
      <c r="W845" s="16"/>
      <c r="X845" s="16"/>
      <c r="Y845" s="16"/>
    </row>
    <row r="846" spans="1:25" x14ac:dyDescent="0.2">
      <c r="A846" s="14"/>
      <c r="B846" s="6"/>
      <c r="C846" s="6"/>
      <c r="D846" s="16"/>
      <c r="E846" s="6"/>
      <c r="F846" s="16"/>
      <c r="G846" s="6"/>
      <c r="H846" s="16"/>
      <c r="I846" s="16"/>
      <c r="J846" s="16"/>
      <c r="K846" s="16"/>
      <c r="L846" s="16"/>
      <c r="M846" s="16"/>
      <c r="N846" s="16"/>
      <c r="O846" s="16"/>
      <c r="P846" s="16"/>
      <c r="Q846" s="16"/>
      <c r="R846" s="16"/>
      <c r="S846" s="16"/>
      <c r="T846" s="16"/>
      <c r="U846" s="16"/>
      <c r="V846" s="16"/>
      <c r="W846" s="16"/>
      <c r="X846" s="16"/>
      <c r="Y846" s="16"/>
    </row>
    <row r="847" spans="1:25" x14ac:dyDescent="0.2">
      <c r="A847" s="14"/>
      <c r="B847" s="6"/>
      <c r="C847" s="6"/>
      <c r="D847" s="16"/>
      <c r="E847" s="6"/>
      <c r="F847" s="16"/>
      <c r="G847" s="6"/>
      <c r="H847" s="16"/>
      <c r="I847" s="16"/>
      <c r="J847" s="16"/>
      <c r="K847" s="16"/>
      <c r="L847" s="16"/>
      <c r="M847" s="16"/>
      <c r="N847" s="16"/>
      <c r="O847" s="16"/>
      <c r="P847" s="16"/>
      <c r="Q847" s="16"/>
      <c r="R847" s="16"/>
      <c r="S847" s="16"/>
      <c r="T847" s="16"/>
      <c r="U847" s="16"/>
      <c r="V847" s="16"/>
      <c r="W847" s="16"/>
      <c r="X847" s="16"/>
      <c r="Y847" s="16"/>
    </row>
    <row r="848" spans="1:25" x14ac:dyDescent="0.2">
      <c r="A848" s="14"/>
      <c r="B848" s="6"/>
      <c r="C848" s="6"/>
      <c r="D848" s="16"/>
      <c r="E848" s="6"/>
      <c r="F848" s="16"/>
      <c r="G848" s="6"/>
      <c r="H848" s="16"/>
      <c r="I848" s="16"/>
      <c r="J848" s="16"/>
      <c r="K848" s="16"/>
      <c r="L848" s="16"/>
      <c r="M848" s="16"/>
      <c r="N848" s="16"/>
      <c r="O848" s="16"/>
      <c r="P848" s="16"/>
      <c r="Q848" s="16"/>
      <c r="R848" s="16"/>
      <c r="S848" s="16"/>
      <c r="T848" s="16"/>
      <c r="U848" s="16"/>
      <c r="V848" s="16"/>
      <c r="W848" s="16"/>
      <c r="X848" s="16"/>
      <c r="Y848" s="16"/>
    </row>
    <row r="849" spans="1:25" x14ac:dyDescent="0.2">
      <c r="A849" s="14"/>
      <c r="B849" s="6"/>
      <c r="C849" s="6"/>
      <c r="D849" s="16"/>
      <c r="E849" s="6"/>
      <c r="F849" s="16"/>
      <c r="G849" s="6"/>
      <c r="H849" s="16"/>
      <c r="I849" s="16"/>
      <c r="J849" s="16"/>
      <c r="K849" s="16"/>
      <c r="L849" s="16"/>
      <c r="M849" s="16"/>
      <c r="N849" s="16"/>
      <c r="O849" s="16"/>
      <c r="P849" s="16"/>
      <c r="Q849" s="16"/>
      <c r="R849" s="16"/>
      <c r="S849" s="16"/>
      <c r="T849" s="16"/>
      <c r="U849" s="16"/>
      <c r="V849" s="16"/>
      <c r="W849" s="16"/>
      <c r="X849" s="16"/>
      <c r="Y849" s="16"/>
    </row>
    <row r="850" spans="1:25" x14ac:dyDescent="0.2">
      <c r="A850" s="14"/>
      <c r="B850" s="6"/>
      <c r="C850" s="6"/>
      <c r="D850" s="16"/>
      <c r="E850" s="6"/>
      <c r="F850" s="16"/>
      <c r="G850" s="6"/>
      <c r="H850" s="16"/>
      <c r="I850" s="16"/>
      <c r="J850" s="16"/>
      <c r="K850" s="16"/>
      <c r="L850" s="16"/>
      <c r="M850" s="16"/>
      <c r="N850" s="16"/>
      <c r="O850" s="16"/>
      <c r="P850" s="16"/>
      <c r="Q850" s="16"/>
      <c r="R850" s="16"/>
      <c r="S850" s="16"/>
      <c r="T850" s="16"/>
      <c r="U850" s="16"/>
      <c r="V850" s="16"/>
      <c r="W850" s="16"/>
      <c r="X850" s="16"/>
      <c r="Y850" s="16"/>
    </row>
    <row r="851" spans="1:25" x14ac:dyDescent="0.2">
      <c r="A851" s="14"/>
      <c r="B851" s="6"/>
      <c r="C851" s="6"/>
      <c r="D851" s="16"/>
      <c r="E851" s="6"/>
      <c r="F851" s="16"/>
      <c r="G851" s="6"/>
      <c r="H851" s="16"/>
      <c r="I851" s="16"/>
      <c r="J851" s="16"/>
      <c r="K851" s="16"/>
      <c r="L851" s="16"/>
      <c r="M851" s="16"/>
      <c r="N851" s="16"/>
      <c r="O851" s="16"/>
      <c r="P851" s="16"/>
      <c r="Q851" s="16"/>
      <c r="R851" s="16"/>
      <c r="S851" s="16"/>
      <c r="T851" s="16"/>
      <c r="U851" s="16"/>
      <c r="V851" s="16"/>
      <c r="W851" s="16"/>
      <c r="X851" s="16"/>
      <c r="Y851" s="16"/>
    </row>
    <row r="852" spans="1:25" x14ac:dyDescent="0.2">
      <c r="A852" s="14"/>
      <c r="B852" s="6"/>
      <c r="C852" s="6"/>
      <c r="D852" s="16"/>
      <c r="E852" s="6"/>
      <c r="F852" s="16"/>
      <c r="G852" s="6"/>
      <c r="H852" s="16"/>
      <c r="I852" s="16"/>
      <c r="J852" s="16"/>
      <c r="K852" s="16"/>
      <c r="L852" s="16"/>
      <c r="M852" s="16"/>
      <c r="N852" s="16"/>
      <c r="O852" s="16"/>
      <c r="P852" s="16"/>
      <c r="Q852" s="16"/>
      <c r="R852" s="16"/>
      <c r="S852" s="16"/>
      <c r="T852" s="16"/>
      <c r="U852" s="16"/>
      <c r="V852" s="16"/>
      <c r="W852" s="16"/>
      <c r="X852" s="16"/>
      <c r="Y852" s="16"/>
    </row>
    <row r="853" spans="1:25" x14ac:dyDescent="0.2">
      <c r="A853" s="14"/>
      <c r="B853" s="6"/>
      <c r="C853" s="6"/>
      <c r="D853" s="16"/>
      <c r="E853" s="6"/>
      <c r="F853" s="16"/>
      <c r="G853" s="6"/>
      <c r="H853" s="16"/>
      <c r="I853" s="16"/>
      <c r="J853" s="16"/>
      <c r="K853" s="16"/>
      <c r="L853" s="16"/>
      <c r="M853" s="16"/>
      <c r="N853" s="16"/>
      <c r="O853" s="16"/>
      <c r="P853" s="16"/>
      <c r="Q853" s="16"/>
      <c r="R853" s="16"/>
      <c r="S853" s="16"/>
      <c r="T853" s="16"/>
      <c r="U853" s="16"/>
      <c r="V853" s="16"/>
      <c r="W853" s="16"/>
      <c r="X853" s="16"/>
      <c r="Y853" s="16"/>
    </row>
    <row r="854" spans="1:25" x14ac:dyDescent="0.2">
      <c r="A854" s="14"/>
      <c r="B854" s="6"/>
      <c r="C854" s="6"/>
      <c r="D854" s="16"/>
      <c r="E854" s="6"/>
      <c r="F854" s="16"/>
      <c r="G854" s="6"/>
      <c r="H854" s="16"/>
      <c r="I854" s="16"/>
      <c r="J854" s="16"/>
      <c r="K854" s="16"/>
      <c r="L854" s="16"/>
      <c r="M854" s="16"/>
      <c r="N854" s="16"/>
      <c r="O854" s="16"/>
      <c r="P854" s="16"/>
      <c r="Q854" s="16"/>
      <c r="R854" s="16"/>
      <c r="S854" s="16"/>
      <c r="T854" s="16"/>
      <c r="U854" s="16"/>
      <c r="V854" s="16"/>
      <c r="W854" s="16"/>
      <c r="X854" s="16"/>
      <c r="Y854" s="16"/>
    </row>
    <row r="855" spans="1:25" x14ac:dyDescent="0.2">
      <c r="A855" s="14"/>
      <c r="B855" s="6"/>
      <c r="C855" s="6"/>
      <c r="D855" s="16"/>
      <c r="E855" s="6"/>
      <c r="F855" s="16"/>
      <c r="G855" s="6"/>
      <c r="H855" s="16"/>
      <c r="I855" s="16"/>
      <c r="J855" s="16"/>
      <c r="K855" s="16"/>
      <c r="L855" s="16"/>
      <c r="M855" s="16"/>
      <c r="N855" s="16"/>
      <c r="O855" s="16"/>
      <c r="P855" s="16"/>
      <c r="Q855" s="16"/>
      <c r="R855" s="16"/>
      <c r="S855" s="16"/>
      <c r="T855" s="16"/>
      <c r="U855" s="16"/>
      <c r="V855" s="16"/>
      <c r="W855" s="16"/>
      <c r="X855" s="16"/>
      <c r="Y855" s="16"/>
    </row>
    <row r="856" spans="1:25" x14ac:dyDescent="0.2">
      <c r="A856" s="14"/>
      <c r="B856" s="6"/>
      <c r="C856" s="6"/>
      <c r="D856" s="16"/>
      <c r="E856" s="6"/>
      <c r="F856" s="16"/>
      <c r="G856" s="6"/>
      <c r="H856" s="16"/>
      <c r="I856" s="16"/>
      <c r="J856" s="16"/>
      <c r="K856" s="16"/>
      <c r="L856" s="16"/>
      <c r="M856" s="16"/>
      <c r="N856" s="16"/>
      <c r="O856" s="16"/>
      <c r="P856" s="16"/>
      <c r="Q856" s="16"/>
      <c r="R856" s="16"/>
      <c r="S856" s="16"/>
      <c r="T856" s="16"/>
      <c r="U856" s="16"/>
      <c r="V856" s="16"/>
      <c r="W856" s="16"/>
      <c r="X856" s="16"/>
      <c r="Y856" s="16"/>
    </row>
    <row r="857" spans="1:25" x14ac:dyDescent="0.2">
      <c r="A857" s="14"/>
      <c r="B857" s="6"/>
      <c r="C857" s="6"/>
      <c r="D857" s="16"/>
      <c r="E857" s="6"/>
      <c r="F857" s="16"/>
      <c r="G857" s="6"/>
      <c r="H857" s="16"/>
      <c r="I857" s="16"/>
      <c r="J857" s="16"/>
      <c r="K857" s="16"/>
      <c r="L857" s="16"/>
      <c r="M857" s="16"/>
      <c r="N857" s="16"/>
      <c r="O857" s="16"/>
      <c r="P857" s="16"/>
      <c r="Q857" s="16"/>
      <c r="R857" s="16"/>
      <c r="S857" s="16"/>
      <c r="T857" s="16"/>
      <c r="U857" s="16"/>
      <c r="V857" s="16"/>
      <c r="W857" s="16"/>
      <c r="X857" s="16"/>
      <c r="Y857" s="16"/>
    </row>
    <row r="858" spans="1:25" x14ac:dyDescent="0.2">
      <c r="A858" s="14"/>
      <c r="B858" s="6"/>
      <c r="C858" s="6"/>
      <c r="D858" s="16"/>
      <c r="E858" s="6"/>
      <c r="F858" s="16"/>
      <c r="G858" s="6"/>
      <c r="H858" s="16"/>
      <c r="I858" s="16"/>
      <c r="J858" s="16"/>
      <c r="K858" s="16"/>
      <c r="L858" s="16"/>
      <c r="M858" s="16"/>
      <c r="N858" s="16"/>
      <c r="O858" s="16"/>
      <c r="P858" s="16"/>
      <c r="Q858" s="16"/>
      <c r="R858" s="16"/>
      <c r="S858" s="16"/>
      <c r="T858" s="16"/>
      <c r="U858" s="16"/>
      <c r="V858" s="16"/>
      <c r="W858" s="16"/>
      <c r="X858" s="16"/>
      <c r="Y858" s="16"/>
    </row>
    <row r="859" spans="1:25" x14ac:dyDescent="0.2">
      <c r="A859" s="14"/>
      <c r="B859" s="6"/>
      <c r="C859" s="6"/>
      <c r="D859" s="16"/>
      <c r="E859" s="6"/>
      <c r="F859" s="16"/>
      <c r="G859" s="6"/>
      <c r="H859" s="16"/>
      <c r="I859" s="16"/>
      <c r="J859" s="16"/>
      <c r="K859" s="16"/>
      <c r="L859" s="16"/>
      <c r="M859" s="16"/>
      <c r="N859" s="16"/>
      <c r="O859" s="16"/>
      <c r="P859" s="16"/>
      <c r="Q859" s="16"/>
      <c r="R859" s="16"/>
      <c r="S859" s="16"/>
      <c r="T859" s="16"/>
      <c r="U859" s="16"/>
      <c r="V859" s="16"/>
      <c r="W859" s="16"/>
      <c r="X859" s="16"/>
      <c r="Y859" s="16"/>
    </row>
    <row r="860" spans="1:25" x14ac:dyDescent="0.2">
      <c r="A860" s="14"/>
      <c r="B860" s="6"/>
      <c r="C860" s="6"/>
      <c r="D860" s="16"/>
      <c r="E860" s="6"/>
      <c r="F860" s="16"/>
      <c r="G860" s="6"/>
      <c r="H860" s="16"/>
      <c r="I860" s="16"/>
      <c r="J860" s="16"/>
      <c r="K860" s="16"/>
      <c r="L860" s="16"/>
      <c r="M860" s="16"/>
      <c r="N860" s="16"/>
      <c r="O860" s="16"/>
      <c r="P860" s="16"/>
      <c r="Q860" s="16"/>
      <c r="R860" s="16"/>
      <c r="S860" s="16"/>
      <c r="T860" s="16"/>
      <c r="U860" s="16"/>
      <c r="V860" s="16"/>
      <c r="W860" s="16"/>
      <c r="X860" s="16"/>
      <c r="Y860" s="16"/>
    </row>
    <row r="861" spans="1:25" x14ac:dyDescent="0.2">
      <c r="A861" s="14"/>
      <c r="B861" s="6"/>
      <c r="C861" s="6"/>
      <c r="D861" s="16"/>
      <c r="E861" s="6"/>
      <c r="F861" s="16"/>
      <c r="G861" s="6"/>
      <c r="H861" s="16"/>
      <c r="I861" s="16"/>
      <c r="J861" s="16"/>
      <c r="K861" s="16"/>
      <c r="L861" s="16"/>
      <c r="M861" s="16"/>
      <c r="N861" s="16"/>
      <c r="O861" s="16"/>
      <c r="P861" s="16"/>
      <c r="Q861" s="16"/>
      <c r="R861" s="16"/>
      <c r="S861" s="16"/>
      <c r="T861" s="16"/>
      <c r="U861" s="16"/>
      <c r="V861" s="16"/>
      <c r="W861" s="16"/>
      <c r="X861" s="16"/>
      <c r="Y861" s="16"/>
    </row>
    <row r="862" spans="1:25" x14ac:dyDescent="0.2">
      <c r="A862" s="14"/>
      <c r="B862" s="6"/>
      <c r="C862" s="6"/>
      <c r="D862" s="16"/>
      <c r="E862" s="6"/>
      <c r="F862" s="16"/>
      <c r="G862" s="6"/>
      <c r="H862" s="16"/>
      <c r="I862" s="16"/>
      <c r="J862" s="16"/>
      <c r="K862" s="16"/>
      <c r="L862" s="16"/>
      <c r="M862" s="16"/>
      <c r="N862" s="16"/>
      <c r="O862" s="16"/>
      <c r="P862" s="16"/>
      <c r="Q862" s="16"/>
      <c r="R862" s="16"/>
      <c r="S862" s="16"/>
      <c r="T862" s="16"/>
      <c r="U862" s="16"/>
      <c r="V862" s="16"/>
      <c r="W862" s="16"/>
      <c r="X862" s="16"/>
      <c r="Y862" s="16"/>
    </row>
    <row r="863" spans="1:25" x14ac:dyDescent="0.2">
      <c r="A863" s="14"/>
      <c r="B863" s="6"/>
      <c r="C863" s="6"/>
      <c r="D863" s="16"/>
      <c r="E863" s="6"/>
      <c r="F863" s="16"/>
      <c r="G863" s="6"/>
      <c r="H863" s="16"/>
      <c r="I863" s="16"/>
      <c r="J863" s="16"/>
      <c r="K863" s="16"/>
      <c r="L863" s="16"/>
      <c r="M863" s="16"/>
      <c r="N863" s="16"/>
      <c r="O863" s="16"/>
      <c r="P863" s="16"/>
      <c r="Q863" s="16"/>
      <c r="R863" s="16"/>
      <c r="S863" s="16"/>
      <c r="T863" s="16"/>
      <c r="U863" s="16"/>
      <c r="V863" s="16"/>
      <c r="W863" s="16"/>
      <c r="X863" s="16"/>
      <c r="Y863" s="16"/>
    </row>
    <row r="864" spans="1:25" x14ac:dyDescent="0.2">
      <c r="A864" s="14"/>
      <c r="B864" s="6"/>
      <c r="C864" s="6"/>
      <c r="D864" s="16"/>
      <c r="E864" s="6"/>
      <c r="F864" s="16"/>
      <c r="G864" s="6"/>
      <c r="H864" s="16"/>
      <c r="I864" s="16"/>
      <c r="J864" s="16"/>
      <c r="K864" s="16"/>
      <c r="L864" s="16"/>
      <c r="M864" s="16"/>
      <c r="N864" s="16"/>
      <c r="O864" s="16"/>
      <c r="P864" s="16"/>
      <c r="Q864" s="16"/>
      <c r="R864" s="16"/>
      <c r="S864" s="16"/>
      <c r="T864" s="16"/>
      <c r="U864" s="16"/>
      <c r="V864" s="16"/>
      <c r="W864" s="16"/>
      <c r="X864" s="16"/>
      <c r="Y864" s="16"/>
    </row>
    <row r="865" spans="1:25" x14ac:dyDescent="0.2">
      <c r="A865" s="14"/>
      <c r="B865" s="6"/>
      <c r="C865" s="6"/>
      <c r="D865" s="16"/>
      <c r="E865" s="6"/>
      <c r="F865" s="16"/>
      <c r="G865" s="6"/>
      <c r="H865" s="16"/>
      <c r="I865" s="16"/>
      <c r="J865" s="16"/>
      <c r="K865" s="16"/>
      <c r="L865" s="16"/>
      <c r="M865" s="16"/>
      <c r="N865" s="16"/>
      <c r="O865" s="16"/>
      <c r="P865" s="16"/>
      <c r="Q865" s="16"/>
      <c r="R865" s="16"/>
      <c r="S865" s="16"/>
      <c r="T865" s="16"/>
      <c r="U865" s="16"/>
      <c r="V865" s="16"/>
      <c r="W865" s="16"/>
      <c r="X865" s="16"/>
      <c r="Y865" s="16"/>
    </row>
    <row r="866" spans="1:25" x14ac:dyDescent="0.2">
      <c r="A866" s="14"/>
      <c r="B866" s="6"/>
      <c r="C866" s="6"/>
      <c r="D866" s="16"/>
      <c r="E866" s="6"/>
      <c r="F866" s="16"/>
      <c r="G866" s="6"/>
      <c r="H866" s="16"/>
      <c r="I866" s="16"/>
      <c r="J866" s="16"/>
      <c r="K866" s="16"/>
      <c r="L866" s="16"/>
      <c r="M866" s="16"/>
      <c r="N866" s="16"/>
      <c r="O866" s="16"/>
      <c r="P866" s="16"/>
      <c r="Q866" s="16"/>
      <c r="R866" s="16"/>
      <c r="S866" s="16"/>
      <c r="T866" s="16"/>
      <c r="U866" s="16"/>
      <c r="V866" s="16"/>
      <c r="W866" s="16"/>
      <c r="X866" s="16"/>
      <c r="Y866" s="16"/>
    </row>
    <row r="867" spans="1:25" x14ac:dyDescent="0.2">
      <c r="A867" s="14"/>
      <c r="B867" s="6"/>
      <c r="C867" s="6"/>
      <c r="D867" s="16"/>
      <c r="E867" s="6"/>
      <c r="F867" s="16"/>
      <c r="G867" s="6"/>
      <c r="H867" s="16"/>
      <c r="I867" s="16"/>
      <c r="J867" s="16"/>
      <c r="K867" s="16"/>
      <c r="L867" s="16"/>
      <c r="M867" s="16"/>
      <c r="N867" s="16"/>
      <c r="O867" s="16"/>
      <c r="P867" s="16"/>
      <c r="Q867" s="16"/>
      <c r="R867" s="16"/>
      <c r="S867" s="16"/>
      <c r="T867" s="16"/>
      <c r="U867" s="16"/>
      <c r="V867" s="16"/>
      <c r="W867" s="16"/>
      <c r="X867" s="16"/>
      <c r="Y867" s="16"/>
    </row>
    <row r="868" spans="1:25" x14ac:dyDescent="0.2">
      <c r="A868" s="14"/>
      <c r="B868" s="6"/>
      <c r="C868" s="6"/>
      <c r="D868" s="16"/>
      <c r="E868" s="6"/>
      <c r="F868" s="16"/>
      <c r="G868" s="6"/>
      <c r="H868" s="16"/>
      <c r="I868" s="16"/>
      <c r="J868" s="16"/>
      <c r="K868" s="16"/>
      <c r="L868" s="16"/>
      <c r="M868" s="16"/>
      <c r="N868" s="16"/>
      <c r="O868" s="16"/>
      <c r="P868" s="16"/>
      <c r="Q868" s="16"/>
      <c r="R868" s="16"/>
      <c r="S868" s="16"/>
      <c r="T868" s="16"/>
      <c r="U868" s="16"/>
      <c r="V868" s="16"/>
      <c r="W868" s="16"/>
      <c r="X868" s="16"/>
      <c r="Y868" s="16"/>
    </row>
    <row r="869" spans="1:25" x14ac:dyDescent="0.2">
      <c r="A869" s="14"/>
      <c r="B869" s="6"/>
      <c r="C869" s="6"/>
      <c r="D869" s="16"/>
      <c r="E869" s="6"/>
      <c r="F869" s="16"/>
      <c r="G869" s="6"/>
      <c r="H869" s="16"/>
      <c r="I869" s="16"/>
      <c r="J869" s="16"/>
      <c r="K869" s="16"/>
      <c r="L869" s="16"/>
      <c r="M869" s="16"/>
      <c r="N869" s="16"/>
      <c r="O869" s="16"/>
      <c r="P869" s="16"/>
      <c r="Q869" s="16"/>
      <c r="R869" s="16"/>
      <c r="S869" s="16"/>
      <c r="T869" s="16"/>
      <c r="U869" s="16"/>
      <c r="V869" s="16"/>
      <c r="W869" s="16"/>
      <c r="X869" s="16"/>
      <c r="Y869" s="16"/>
    </row>
    <row r="870" spans="1:25" x14ac:dyDescent="0.2">
      <c r="A870" s="14"/>
      <c r="B870" s="6"/>
      <c r="C870" s="6"/>
      <c r="D870" s="16"/>
      <c r="E870" s="6"/>
      <c r="F870" s="16"/>
      <c r="G870" s="6"/>
      <c r="H870" s="16"/>
      <c r="I870" s="16"/>
      <c r="J870" s="16"/>
      <c r="K870" s="16"/>
      <c r="L870" s="16"/>
      <c r="M870" s="16"/>
      <c r="N870" s="16"/>
      <c r="O870" s="16"/>
      <c r="P870" s="16"/>
      <c r="Q870" s="16"/>
      <c r="R870" s="16"/>
      <c r="S870" s="16"/>
      <c r="T870" s="16"/>
      <c r="U870" s="16"/>
      <c r="V870" s="16"/>
      <c r="W870" s="16"/>
      <c r="X870" s="16"/>
      <c r="Y870" s="16"/>
    </row>
    <row r="871" spans="1:25" x14ac:dyDescent="0.2">
      <c r="A871" s="14"/>
      <c r="B871" s="6"/>
      <c r="C871" s="6"/>
      <c r="D871" s="16"/>
      <c r="E871" s="6"/>
      <c r="F871" s="16"/>
      <c r="G871" s="6"/>
      <c r="H871" s="16"/>
      <c r="I871" s="16"/>
      <c r="J871" s="16"/>
      <c r="K871" s="16"/>
      <c r="L871" s="16"/>
      <c r="M871" s="16"/>
      <c r="N871" s="16"/>
      <c r="O871" s="16"/>
      <c r="P871" s="16"/>
      <c r="Q871" s="16"/>
      <c r="R871" s="16"/>
      <c r="S871" s="16"/>
      <c r="T871" s="16"/>
      <c r="U871" s="16"/>
      <c r="V871" s="16"/>
      <c r="W871" s="16"/>
      <c r="X871" s="16"/>
      <c r="Y871" s="16"/>
    </row>
    <row r="872" spans="1:25" x14ac:dyDescent="0.2">
      <c r="A872" s="14"/>
      <c r="B872" s="6"/>
      <c r="C872" s="6"/>
      <c r="D872" s="16"/>
      <c r="E872" s="6"/>
      <c r="F872" s="16"/>
      <c r="G872" s="6"/>
      <c r="H872" s="16"/>
      <c r="I872" s="16"/>
      <c r="J872" s="16"/>
      <c r="K872" s="16"/>
      <c r="L872" s="16"/>
      <c r="M872" s="16"/>
      <c r="N872" s="16"/>
      <c r="O872" s="16"/>
      <c r="P872" s="16"/>
      <c r="Q872" s="16"/>
      <c r="R872" s="16"/>
      <c r="S872" s="16"/>
      <c r="T872" s="16"/>
      <c r="U872" s="16"/>
      <c r="V872" s="16"/>
      <c r="W872" s="16"/>
      <c r="X872" s="16"/>
      <c r="Y872" s="16"/>
    </row>
    <row r="873" spans="1:25" x14ac:dyDescent="0.2">
      <c r="A873" s="14"/>
      <c r="B873" s="6"/>
      <c r="C873" s="6"/>
      <c r="D873" s="16"/>
      <c r="E873" s="6"/>
      <c r="F873" s="16"/>
      <c r="G873" s="6"/>
      <c r="H873" s="16"/>
      <c r="I873" s="16"/>
      <c r="J873" s="16"/>
      <c r="K873" s="16"/>
      <c r="L873" s="16"/>
      <c r="M873" s="16"/>
      <c r="N873" s="16"/>
      <c r="O873" s="16"/>
      <c r="P873" s="16"/>
      <c r="Q873" s="16"/>
      <c r="R873" s="16"/>
      <c r="S873" s="16"/>
      <c r="T873" s="16"/>
      <c r="U873" s="16"/>
      <c r="V873" s="16"/>
      <c r="W873" s="16"/>
      <c r="X873" s="16"/>
      <c r="Y873" s="16"/>
    </row>
    <row r="874" spans="1:25" x14ac:dyDescent="0.2">
      <c r="A874" s="14"/>
      <c r="B874" s="6"/>
      <c r="C874" s="6"/>
      <c r="D874" s="16"/>
      <c r="E874" s="6"/>
      <c r="F874" s="16"/>
      <c r="G874" s="6"/>
      <c r="H874" s="16"/>
      <c r="I874" s="16"/>
      <c r="J874" s="16"/>
      <c r="K874" s="16"/>
      <c r="L874" s="16"/>
      <c r="M874" s="16"/>
      <c r="N874" s="16"/>
      <c r="O874" s="16"/>
      <c r="P874" s="16"/>
      <c r="Q874" s="16"/>
      <c r="R874" s="16"/>
      <c r="S874" s="16"/>
      <c r="T874" s="16"/>
      <c r="U874" s="16"/>
      <c r="V874" s="16"/>
      <c r="W874" s="16"/>
      <c r="X874" s="16"/>
      <c r="Y874" s="16"/>
    </row>
    <row r="875" spans="1:25" x14ac:dyDescent="0.2">
      <c r="A875" s="14"/>
      <c r="B875" s="6"/>
      <c r="C875" s="6"/>
      <c r="D875" s="16"/>
      <c r="E875" s="6"/>
      <c r="F875" s="16"/>
      <c r="G875" s="6"/>
      <c r="H875" s="16"/>
      <c r="I875" s="16"/>
      <c r="J875" s="16"/>
      <c r="K875" s="16"/>
      <c r="L875" s="16"/>
      <c r="M875" s="16"/>
      <c r="N875" s="16"/>
      <c r="O875" s="16"/>
      <c r="P875" s="16"/>
      <c r="Q875" s="16"/>
      <c r="R875" s="16"/>
      <c r="S875" s="16"/>
      <c r="T875" s="16"/>
      <c r="U875" s="16"/>
      <c r="V875" s="16"/>
      <c r="W875" s="16"/>
      <c r="X875" s="16"/>
      <c r="Y875" s="16"/>
    </row>
    <row r="876" spans="1:25" x14ac:dyDescent="0.2">
      <c r="A876" s="14"/>
      <c r="B876" s="6"/>
      <c r="C876" s="6"/>
      <c r="D876" s="16"/>
      <c r="E876" s="6"/>
      <c r="F876" s="16"/>
      <c r="G876" s="6"/>
      <c r="H876" s="16"/>
      <c r="I876" s="16"/>
      <c r="J876" s="16"/>
      <c r="K876" s="16"/>
      <c r="L876" s="16"/>
      <c r="M876" s="16"/>
      <c r="N876" s="16"/>
      <c r="O876" s="16"/>
      <c r="P876" s="16"/>
      <c r="Q876" s="16"/>
      <c r="R876" s="16"/>
      <c r="S876" s="16"/>
      <c r="T876" s="16"/>
      <c r="U876" s="16"/>
      <c r="V876" s="16"/>
      <c r="W876" s="16"/>
      <c r="X876" s="16"/>
      <c r="Y876" s="16"/>
    </row>
    <row r="877" spans="1:25" x14ac:dyDescent="0.2">
      <c r="A877" s="14"/>
      <c r="B877" s="6"/>
      <c r="C877" s="6"/>
      <c r="D877" s="16"/>
      <c r="E877" s="6"/>
      <c r="F877" s="16"/>
      <c r="G877" s="6"/>
      <c r="H877" s="16"/>
      <c r="I877" s="16"/>
      <c r="J877" s="16"/>
      <c r="K877" s="16"/>
      <c r="L877" s="16"/>
      <c r="M877" s="16"/>
      <c r="N877" s="16"/>
      <c r="O877" s="16"/>
      <c r="P877" s="16"/>
      <c r="Q877" s="16"/>
      <c r="R877" s="16"/>
      <c r="S877" s="16"/>
      <c r="T877" s="16"/>
      <c r="U877" s="16"/>
      <c r="V877" s="16"/>
      <c r="W877" s="16"/>
      <c r="X877" s="16"/>
      <c r="Y877" s="16"/>
    </row>
    <row r="878" spans="1:25" x14ac:dyDescent="0.2">
      <c r="A878" s="14"/>
      <c r="B878" s="6"/>
      <c r="C878" s="6"/>
      <c r="D878" s="16"/>
      <c r="E878" s="6"/>
      <c r="F878" s="16"/>
      <c r="G878" s="6"/>
      <c r="H878" s="16"/>
      <c r="I878" s="16"/>
      <c r="J878" s="16"/>
      <c r="K878" s="16"/>
      <c r="L878" s="16"/>
      <c r="M878" s="16"/>
      <c r="N878" s="16"/>
      <c r="O878" s="16"/>
      <c r="P878" s="16"/>
      <c r="Q878" s="16"/>
      <c r="R878" s="16"/>
      <c r="S878" s="16"/>
      <c r="T878" s="16"/>
      <c r="U878" s="16"/>
      <c r="V878" s="16"/>
      <c r="W878" s="16"/>
      <c r="X878" s="16"/>
      <c r="Y878" s="16"/>
    </row>
    <row r="879" spans="1:25" x14ac:dyDescent="0.2">
      <c r="A879" s="14"/>
      <c r="B879" s="6"/>
      <c r="C879" s="6"/>
      <c r="D879" s="16"/>
      <c r="E879" s="6"/>
      <c r="F879" s="16"/>
      <c r="G879" s="6"/>
      <c r="H879" s="16"/>
      <c r="I879" s="16"/>
      <c r="J879" s="16"/>
      <c r="K879" s="16"/>
      <c r="L879" s="16"/>
      <c r="M879" s="16"/>
      <c r="N879" s="16"/>
      <c r="O879" s="16"/>
      <c r="P879" s="16"/>
      <c r="Q879" s="16"/>
      <c r="R879" s="16"/>
      <c r="S879" s="16"/>
      <c r="T879" s="16"/>
      <c r="U879" s="16"/>
      <c r="V879" s="16"/>
      <c r="W879" s="16"/>
      <c r="X879" s="16"/>
      <c r="Y879" s="16"/>
    </row>
    <row r="880" spans="1:25" x14ac:dyDescent="0.2">
      <c r="A880" s="14"/>
      <c r="B880" s="6"/>
      <c r="C880" s="6"/>
      <c r="D880" s="16"/>
      <c r="E880" s="6"/>
      <c r="F880" s="16"/>
      <c r="G880" s="6"/>
      <c r="H880" s="16"/>
      <c r="I880" s="16"/>
      <c r="J880" s="16"/>
      <c r="K880" s="16"/>
      <c r="L880" s="16"/>
      <c r="M880" s="16"/>
      <c r="N880" s="16"/>
      <c r="O880" s="16"/>
      <c r="P880" s="16"/>
      <c r="Q880" s="16"/>
      <c r="R880" s="16"/>
      <c r="S880" s="16"/>
      <c r="T880" s="16"/>
      <c r="U880" s="16"/>
      <c r="V880" s="16"/>
      <c r="W880" s="16"/>
      <c r="X880" s="16"/>
      <c r="Y880" s="16"/>
    </row>
    <row r="881" spans="1:25" x14ac:dyDescent="0.2">
      <c r="A881" s="14"/>
      <c r="B881" s="6"/>
      <c r="C881" s="6"/>
      <c r="D881" s="16"/>
      <c r="E881" s="6"/>
      <c r="F881" s="16"/>
      <c r="G881" s="6"/>
      <c r="H881" s="16"/>
      <c r="I881" s="16"/>
      <c r="J881" s="16"/>
      <c r="K881" s="16"/>
      <c r="L881" s="16"/>
      <c r="M881" s="16"/>
      <c r="N881" s="16"/>
      <c r="O881" s="16"/>
      <c r="P881" s="16"/>
      <c r="Q881" s="16"/>
      <c r="R881" s="16"/>
      <c r="S881" s="16"/>
      <c r="T881" s="16"/>
      <c r="U881" s="16"/>
      <c r="V881" s="16"/>
      <c r="W881" s="16"/>
      <c r="X881" s="16"/>
      <c r="Y881" s="16"/>
    </row>
    <row r="882" spans="1:25" x14ac:dyDescent="0.2">
      <c r="A882" s="14"/>
      <c r="B882" s="6"/>
      <c r="C882" s="6"/>
      <c r="D882" s="16"/>
      <c r="E882" s="6"/>
      <c r="F882" s="16"/>
      <c r="G882" s="6"/>
      <c r="H882" s="16"/>
      <c r="I882" s="16"/>
      <c r="J882" s="16"/>
      <c r="K882" s="16"/>
      <c r="L882" s="16"/>
      <c r="M882" s="16"/>
      <c r="N882" s="16"/>
      <c r="O882" s="16"/>
      <c r="P882" s="16"/>
      <c r="Q882" s="16"/>
      <c r="R882" s="16"/>
      <c r="S882" s="16"/>
      <c r="T882" s="16"/>
      <c r="U882" s="16"/>
      <c r="V882" s="16"/>
      <c r="W882" s="16"/>
      <c r="X882" s="16"/>
      <c r="Y882" s="16"/>
    </row>
    <row r="883" spans="1:25" x14ac:dyDescent="0.2">
      <c r="A883" s="14"/>
      <c r="B883" s="6"/>
      <c r="C883" s="6"/>
      <c r="D883" s="16"/>
      <c r="E883" s="6"/>
      <c r="F883" s="16"/>
      <c r="G883" s="6"/>
      <c r="H883" s="16"/>
      <c r="I883" s="16"/>
      <c r="J883" s="16"/>
      <c r="K883" s="16"/>
      <c r="L883" s="16"/>
      <c r="M883" s="16"/>
      <c r="N883" s="16"/>
      <c r="O883" s="16"/>
      <c r="P883" s="16"/>
      <c r="Q883" s="16"/>
      <c r="R883" s="16"/>
      <c r="S883" s="16"/>
      <c r="T883" s="16"/>
      <c r="U883" s="16"/>
      <c r="V883" s="16"/>
      <c r="W883" s="16"/>
      <c r="X883" s="16"/>
      <c r="Y883" s="16"/>
    </row>
    <row r="884" spans="1:25" x14ac:dyDescent="0.2">
      <c r="A884" s="14"/>
      <c r="B884" s="6"/>
      <c r="C884" s="6"/>
      <c r="D884" s="16"/>
      <c r="E884" s="6"/>
      <c r="F884" s="16"/>
      <c r="G884" s="6"/>
      <c r="H884" s="16"/>
      <c r="I884" s="16"/>
      <c r="J884" s="16"/>
      <c r="K884" s="16"/>
      <c r="L884" s="16"/>
      <c r="M884" s="16"/>
      <c r="N884" s="16"/>
      <c r="O884" s="16"/>
      <c r="P884" s="16"/>
      <c r="Q884" s="16"/>
      <c r="R884" s="16"/>
      <c r="S884" s="16"/>
      <c r="T884" s="16"/>
      <c r="U884" s="16"/>
      <c r="V884" s="16"/>
      <c r="W884" s="16"/>
      <c r="X884" s="16"/>
      <c r="Y884" s="16"/>
    </row>
    <row r="885" spans="1:25" x14ac:dyDescent="0.2">
      <c r="A885" s="14"/>
      <c r="B885" s="6"/>
      <c r="C885" s="6"/>
      <c r="D885" s="16"/>
      <c r="E885" s="6"/>
      <c r="F885" s="16"/>
      <c r="G885" s="6"/>
      <c r="H885" s="16"/>
      <c r="I885" s="16"/>
      <c r="J885" s="16"/>
      <c r="K885" s="16"/>
      <c r="L885" s="16"/>
      <c r="M885" s="16"/>
      <c r="N885" s="16"/>
      <c r="O885" s="16"/>
      <c r="P885" s="16"/>
      <c r="Q885" s="16"/>
      <c r="R885" s="16"/>
      <c r="S885" s="16"/>
      <c r="T885" s="16"/>
      <c r="U885" s="16"/>
      <c r="V885" s="16"/>
      <c r="W885" s="16"/>
      <c r="X885" s="16"/>
      <c r="Y885" s="16"/>
    </row>
    <row r="886" spans="1:25" x14ac:dyDescent="0.2">
      <c r="A886" s="14"/>
      <c r="B886" s="6"/>
      <c r="C886" s="6"/>
      <c r="D886" s="16"/>
      <c r="E886" s="6"/>
      <c r="F886" s="16"/>
      <c r="G886" s="6"/>
      <c r="H886" s="16"/>
      <c r="I886" s="16"/>
      <c r="J886" s="16"/>
      <c r="K886" s="16"/>
      <c r="L886" s="16"/>
      <c r="M886" s="16"/>
      <c r="N886" s="16"/>
      <c r="O886" s="16"/>
      <c r="P886" s="16"/>
      <c r="Q886" s="16"/>
      <c r="R886" s="16"/>
      <c r="S886" s="16"/>
      <c r="T886" s="16"/>
      <c r="U886" s="16"/>
      <c r="V886" s="16"/>
      <c r="W886" s="16"/>
      <c r="X886" s="16"/>
      <c r="Y886" s="16"/>
    </row>
    <row r="887" spans="1:25" x14ac:dyDescent="0.2">
      <c r="A887" s="14"/>
      <c r="B887" s="6"/>
      <c r="C887" s="6"/>
      <c r="D887" s="16"/>
      <c r="E887" s="6"/>
      <c r="F887" s="16"/>
      <c r="G887" s="6"/>
      <c r="H887" s="16"/>
      <c r="I887" s="16"/>
      <c r="J887" s="16"/>
      <c r="K887" s="16"/>
      <c r="L887" s="16"/>
      <c r="M887" s="16"/>
      <c r="N887" s="16"/>
      <c r="O887" s="16"/>
      <c r="P887" s="16"/>
      <c r="Q887" s="16"/>
      <c r="R887" s="16"/>
      <c r="S887" s="16"/>
      <c r="T887" s="16"/>
      <c r="U887" s="16"/>
      <c r="V887" s="16"/>
      <c r="W887" s="16"/>
      <c r="X887" s="16"/>
      <c r="Y887" s="16"/>
    </row>
    <row r="888" spans="1:25" x14ac:dyDescent="0.2">
      <c r="A888" s="14"/>
      <c r="B888" s="6"/>
      <c r="C888" s="6"/>
      <c r="D888" s="16"/>
      <c r="E888" s="6"/>
      <c r="F888" s="16"/>
      <c r="G888" s="6"/>
      <c r="H888" s="16"/>
      <c r="I888" s="16"/>
      <c r="J888" s="16"/>
      <c r="K888" s="16"/>
      <c r="L888" s="16"/>
      <c r="M888" s="16"/>
      <c r="N888" s="16"/>
      <c r="O888" s="16"/>
      <c r="P888" s="16"/>
      <c r="Q888" s="16"/>
      <c r="R888" s="16"/>
      <c r="S888" s="16"/>
      <c r="T888" s="16"/>
      <c r="U888" s="16"/>
      <c r="V888" s="16"/>
      <c r="W888" s="16"/>
      <c r="X888" s="16"/>
      <c r="Y888" s="16"/>
    </row>
    <row r="889" spans="1:25" x14ac:dyDescent="0.2">
      <c r="A889" s="14"/>
      <c r="B889" s="6"/>
      <c r="C889" s="6"/>
      <c r="D889" s="16"/>
      <c r="E889" s="6"/>
      <c r="F889" s="16"/>
      <c r="G889" s="6"/>
      <c r="H889" s="16"/>
      <c r="I889" s="16"/>
      <c r="J889" s="16"/>
      <c r="K889" s="16"/>
      <c r="L889" s="16"/>
      <c r="M889" s="16"/>
      <c r="N889" s="16"/>
      <c r="O889" s="16"/>
      <c r="P889" s="16"/>
      <c r="Q889" s="16"/>
      <c r="R889" s="16"/>
      <c r="S889" s="16"/>
      <c r="T889" s="16"/>
      <c r="U889" s="16"/>
      <c r="V889" s="16"/>
      <c r="W889" s="16"/>
      <c r="X889" s="16"/>
      <c r="Y889" s="16"/>
    </row>
    <row r="890" spans="1:25" x14ac:dyDescent="0.2">
      <c r="A890" s="14"/>
      <c r="B890" s="6"/>
      <c r="C890" s="6"/>
      <c r="D890" s="16"/>
      <c r="E890" s="6"/>
      <c r="F890" s="16"/>
      <c r="G890" s="6"/>
      <c r="H890" s="16"/>
      <c r="I890" s="16"/>
      <c r="J890" s="16"/>
      <c r="K890" s="16"/>
      <c r="L890" s="16"/>
      <c r="M890" s="16"/>
      <c r="N890" s="16"/>
      <c r="O890" s="16"/>
      <c r="P890" s="16"/>
      <c r="Q890" s="16"/>
      <c r="R890" s="16"/>
      <c r="S890" s="16"/>
      <c r="T890" s="16"/>
      <c r="U890" s="16"/>
      <c r="V890" s="16"/>
      <c r="W890" s="16"/>
      <c r="X890" s="16"/>
      <c r="Y890" s="16"/>
    </row>
    <row r="891" spans="1:25" x14ac:dyDescent="0.2">
      <c r="A891" s="14"/>
      <c r="B891" s="6"/>
      <c r="C891" s="6"/>
      <c r="D891" s="16"/>
      <c r="E891" s="6"/>
      <c r="F891" s="16"/>
      <c r="G891" s="6"/>
      <c r="H891" s="16"/>
      <c r="I891" s="16"/>
      <c r="J891" s="16"/>
      <c r="K891" s="16"/>
      <c r="L891" s="16"/>
      <c r="M891" s="16"/>
      <c r="N891" s="16"/>
      <c r="O891" s="16"/>
      <c r="P891" s="16"/>
      <c r="Q891" s="16"/>
      <c r="R891" s="16"/>
      <c r="S891" s="16"/>
      <c r="T891" s="16"/>
      <c r="U891" s="16"/>
      <c r="V891" s="16"/>
      <c r="W891" s="16"/>
      <c r="X891" s="16"/>
      <c r="Y891" s="16"/>
    </row>
    <row r="892" spans="1:25" x14ac:dyDescent="0.2">
      <c r="A892" s="14"/>
      <c r="B892" s="6"/>
      <c r="C892" s="6"/>
      <c r="D892" s="16"/>
      <c r="E892" s="6"/>
      <c r="F892" s="16"/>
      <c r="G892" s="6"/>
      <c r="H892" s="16"/>
      <c r="I892" s="16"/>
      <c r="J892" s="16"/>
      <c r="K892" s="16"/>
      <c r="L892" s="16"/>
      <c r="M892" s="16"/>
      <c r="N892" s="16"/>
      <c r="O892" s="16"/>
      <c r="P892" s="16"/>
      <c r="Q892" s="16"/>
      <c r="R892" s="16"/>
      <c r="S892" s="16"/>
      <c r="T892" s="16"/>
      <c r="U892" s="16"/>
      <c r="V892" s="16"/>
      <c r="W892" s="16"/>
      <c r="X892" s="16"/>
      <c r="Y892" s="16"/>
    </row>
    <row r="893" spans="1:25" x14ac:dyDescent="0.2">
      <c r="A893" s="14"/>
      <c r="B893" s="6"/>
      <c r="C893" s="6"/>
      <c r="D893" s="16"/>
      <c r="E893" s="6"/>
      <c r="F893" s="16"/>
      <c r="G893" s="6"/>
      <c r="H893" s="16"/>
      <c r="I893" s="16"/>
      <c r="J893" s="16"/>
      <c r="K893" s="16"/>
      <c r="L893" s="16"/>
      <c r="M893" s="16"/>
      <c r="N893" s="16"/>
      <c r="O893" s="16"/>
      <c r="P893" s="16"/>
      <c r="Q893" s="16"/>
      <c r="R893" s="16"/>
      <c r="S893" s="16"/>
      <c r="T893" s="16"/>
      <c r="U893" s="16"/>
      <c r="V893" s="16"/>
      <c r="W893" s="16"/>
      <c r="X893" s="16"/>
      <c r="Y893" s="16"/>
    </row>
    <row r="894" spans="1:25" x14ac:dyDescent="0.2">
      <c r="A894" s="14"/>
      <c r="B894" s="6"/>
      <c r="C894" s="6"/>
      <c r="D894" s="16"/>
      <c r="E894" s="6"/>
      <c r="F894" s="16"/>
      <c r="G894" s="6"/>
      <c r="H894" s="16"/>
      <c r="I894" s="16"/>
      <c r="J894" s="16"/>
      <c r="K894" s="16"/>
      <c r="L894" s="16"/>
      <c r="M894" s="16"/>
      <c r="N894" s="16"/>
      <c r="O894" s="16"/>
      <c r="P894" s="16"/>
      <c r="Q894" s="16"/>
      <c r="R894" s="16"/>
      <c r="S894" s="16"/>
      <c r="T894" s="16"/>
      <c r="U894" s="16"/>
      <c r="V894" s="16"/>
      <c r="W894" s="16"/>
      <c r="X894" s="16"/>
      <c r="Y894" s="16"/>
    </row>
    <row r="895" spans="1:25" x14ac:dyDescent="0.2">
      <c r="A895" s="14"/>
      <c r="B895" s="6"/>
      <c r="C895" s="6"/>
      <c r="D895" s="16"/>
      <c r="E895" s="6"/>
      <c r="F895" s="16"/>
      <c r="G895" s="6"/>
      <c r="H895" s="16"/>
      <c r="I895" s="16"/>
      <c r="J895" s="16"/>
      <c r="K895" s="16"/>
      <c r="L895" s="16"/>
      <c r="M895" s="16"/>
      <c r="N895" s="16"/>
      <c r="O895" s="16"/>
      <c r="P895" s="16"/>
      <c r="Q895" s="16"/>
      <c r="R895" s="16"/>
      <c r="S895" s="16"/>
      <c r="T895" s="16"/>
      <c r="U895" s="16"/>
      <c r="V895" s="16"/>
      <c r="W895" s="16"/>
      <c r="X895" s="16"/>
      <c r="Y895" s="16"/>
    </row>
    <row r="896" spans="1:25" x14ac:dyDescent="0.2">
      <c r="A896" s="14"/>
      <c r="B896" s="6"/>
      <c r="C896" s="6"/>
      <c r="D896" s="16"/>
      <c r="E896" s="6"/>
      <c r="F896" s="16"/>
      <c r="G896" s="6"/>
      <c r="H896" s="16"/>
      <c r="I896" s="16"/>
      <c r="J896" s="16"/>
      <c r="K896" s="16"/>
      <c r="L896" s="16"/>
      <c r="M896" s="16"/>
      <c r="N896" s="16"/>
      <c r="O896" s="16"/>
      <c r="P896" s="16"/>
      <c r="Q896" s="16"/>
      <c r="R896" s="16"/>
      <c r="S896" s="16"/>
      <c r="T896" s="16"/>
      <c r="U896" s="16"/>
      <c r="V896" s="16"/>
      <c r="W896" s="16"/>
      <c r="X896" s="16"/>
      <c r="Y896" s="16"/>
    </row>
    <row r="897" spans="1:25" x14ac:dyDescent="0.2">
      <c r="A897" s="14"/>
      <c r="B897" s="6"/>
      <c r="C897" s="6"/>
      <c r="D897" s="16"/>
      <c r="E897" s="6"/>
      <c r="F897" s="16"/>
      <c r="G897" s="6"/>
      <c r="H897" s="16"/>
      <c r="I897" s="16"/>
      <c r="J897" s="16"/>
      <c r="K897" s="16"/>
      <c r="L897" s="16"/>
      <c r="M897" s="16"/>
      <c r="N897" s="16"/>
      <c r="O897" s="16"/>
      <c r="P897" s="16"/>
      <c r="Q897" s="16"/>
      <c r="R897" s="16"/>
      <c r="S897" s="16"/>
      <c r="T897" s="16"/>
      <c r="U897" s="16"/>
      <c r="V897" s="16"/>
      <c r="W897" s="16"/>
      <c r="X897" s="16"/>
      <c r="Y897" s="16"/>
    </row>
    <row r="898" spans="1:25" x14ac:dyDescent="0.2">
      <c r="A898" s="14"/>
      <c r="B898" s="6"/>
      <c r="C898" s="6"/>
      <c r="D898" s="16"/>
      <c r="E898" s="6"/>
      <c r="F898" s="16"/>
      <c r="G898" s="6"/>
      <c r="H898" s="16"/>
      <c r="I898" s="16"/>
      <c r="J898" s="16"/>
      <c r="K898" s="16"/>
      <c r="L898" s="16"/>
      <c r="M898" s="16"/>
      <c r="N898" s="16"/>
      <c r="O898" s="16"/>
      <c r="P898" s="16"/>
      <c r="Q898" s="16"/>
      <c r="R898" s="16"/>
      <c r="S898" s="16"/>
      <c r="T898" s="16"/>
      <c r="U898" s="16"/>
      <c r="V898" s="16"/>
      <c r="W898" s="16"/>
      <c r="X898" s="16"/>
      <c r="Y898" s="16"/>
    </row>
    <row r="899" spans="1:25" x14ac:dyDescent="0.2">
      <c r="A899" s="14"/>
      <c r="B899" s="6"/>
      <c r="C899" s="6"/>
      <c r="D899" s="16"/>
      <c r="E899" s="6"/>
      <c r="F899" s="16"/>
      <c r="G899" s="6"/>
      <c r="H899" s="16"/>
      <c r="I899" s="16"/>
      <c r="J899" s="16"/>
      <c r="K899" s="16"/>
      <c r="L899" s="16"/>
      <c r="M899" s="16"/>
      <c r="N899" s="16"/>
      <c r="O899" s="16"/>
      <c r="P899" s="16"/>
      <c r="Q899" s="16"/>
      <c r="R899" s="16"/>
      <c r="S899" s="16"/>
      <c r="T899" s="16"/>
      <c r="U899" s="16"/>
      <c r="V899" s="16"/>
      <c r="W899" s="16"/>
      <c r="X899" s="16"/>
      <c r="Y899" s="16"/>
    </row>
    <row r="900" spans="1:25" x14ac:dyDescent="0.2">
      <c r="A900" s="14"/>
      <c r="B900" s="6"/>
      <c r="C900" s="6"/>
      <c r="D900" s="16"/>
      <c r="E900" s="6"/>
      <c r="F900" s="16"/>
      <c r="G900" s="6"/>
      <c r="H900" s="16"/>
      <c r="I900" s="16"/>
      <c r="J900" s="16"/>
      <c r="K900" s="16"/>
      <c r="L900" s="16"/>
      <c r="M900" s="16"/>
      <c r="N900" s="16"/>
      <c r="O900" s="16"/>
      <c r="P900" s="16"/>
      <c r="Q900" s="16"/>
      <c r="R900" s="16"/>
      <c r="S900" s="16"/>
      <c r="T900" s="16"/>
      <c r="U900" s="16"/>
      <c r="V900" s="16"/>
      <c r="W900" s="16"/>
      <c r="X900" s="16"/>
      <c r="Y900" s="16"/>
    </row>
    <row r="901" spans="1:25" x14ac:dyDescent="0.2">
      <c r="A901" s="14"/>
      <c r="B901" s="6"/>
      <c r="C901" s="6"/>
      <c r="D901" s="16"/>
      <c r="E901" s="6"/>
      <c r="F901" s="16"/>
      <c r="G901" s="6"/>
      <c r="H901" s="16"/>
      <c r="I901" s="16"/>
      <c r="J901" s="16"/>
      <c r="K901" s="16"/>
      <c r="L901" s="16"/>
      <c r="M901" s="16"/>
      <c r="N901" s="16"/>
      <c r="O901" s="16"/>
      <c r="P901" s="16"/>
      <c r="Q901" s="16"/>
      <c r="R901" s="16"/>
      <c r="S901" s="16"/>
      <c r="T901" s="16"/>
      <c r="U901" s="16"/>
      <c r="V901" s="16"/>
      <c r="W901" s="16"/>
      <c r="X901" s="16"/>
      <c r="Y901" s="16"/>
    </row>
    <row r="902" spans="1:25" x14ac:dyDescent="0.2">
      <c r="A902" s="14"/>
      <c r="B902" s="6"/>
      <c r="C902" s="6"/>
      <c r="D902" s="16"/>
      <c r="E902" s="6"/>
      <c r="F902" s="16"/>
      <c r="G902" s="6"/>
      <c r="H902" s="16"/>
      <c r="I902" s="16"/>
      <c r="J902" s="16"/>
      <c r="K902" s="16"/>
      <c r="L902" s="16"/>
      <c r="M902" s="16"/>
      <c r="N902" s="16"/>
      <c r="O902" s="16"/>
      <c r="P902" s="16"/>
      <c r="Q902" s="16"/>
      <c r="R902" s="16"/>
      <c r="S902" s="16"/>
      <c r="T902" s="16"/>
      <c r="U902" s="16"/>
      <c r="V902" s="16"/>
      <c r="W902" s="16"/>
      <c r="X902" s="16"/>
      <c r="Y902" s="16"/>
    </row>
    <row r="903" spans="1:25" x14ac:dyDescent="0.2">
      <c r="A903" s="14"/>
      <c r="B903" s="6"/>
      <c r="C903" s="6"/>
      <c r="D903" s="16"/>
      <c r="E903" s="6"/>
      <c r="F903" s="16"/>
      <c r="G903" s="6"/>
      <c r="H903" s="16"/>
      <c r="I903" s="16"/>
      <c r="J903" s="16"/>
      <c r="K903" s="16"/>
      <c r="L903" s="16"/>
      <c r="M903" s="16"/>
      <c r="N903" s="16"/>
      <c r="O903" s="16"/>
      <c r="P903" s="16"/>
      <c r="Q903" s="16"/>
      <c r="R903" s="16"/>
      <c r="S903" s="16"/>
      <c r="T903" s="16"/>
      <c r="U903" s="16"/>
      <c r="V903" s="16"/>
      <c r="W903" s="16"/>
      <c r="X903" s="16"/>
      <c r="Y903" s="16"/>
    </row>
    <row r="904" spans="1:25" x14ac:dyDescent="0.2">
      <c r="A904" s="14"/>
      <c r="B904" s="6"/>
      <c r="C904" s="6"/>
      <c r="D904" s="16"/>
      <c r="E904" s="6"/>
      <c r="F904" s="16"/>
      <c r="G904" s="6"/>
      <c r="H904" s="16"/>
      <c r="I904" s="16"/>
      <c r="J904" s="16"/>
      <c r="K904" s="16"/>
      <c r="L904" s="16"/>
      <c r="M904" s="16"/>
      <c r="N904" s="16"/>
      <c r="O904" s="16"/>
      <c r="P904" s="16"/>
      <c r="Q904" s="16"/>
      <c r="R904" s="16"/>
      <c r="S904" s="16"/>
      <c r="T904" s="16"/>
      <c r="U904" s="16"/>
      <c r="V904" s="16"/>
      <c r="W904" s="16"/>
      <c r="X904" s="16"/>
      <c r="Y904" s="16"/>
    </row>
    <row r="905" spans="1:25" x14ac:dyDescent="0.2">
      <c r="A905" s="14"/>
      <c r="B905" s="6"/>
      <c r="C905" s="6"/>
      <c r="D905" s="16"/>
      <c r="E905" s="6"/>
      <c r="F905" s="16"/>
      <c r="G905" s="6"/>
      <c r="H905" s="16"/>
      <c r="I905" s="16"/>
      <c r="J905" s="16"/>
      <c r="K905" s="16"/>
      <c r="L905" s="16"/>
      <c r="M905" s="16"/>
      <c r="N905" s="16"/>
      <c r="O905" s="16"/>
      <c r="P905" s="16"/>
      <c r="Q905" s="16"/>
      <c r="R905" s="16"/>
      <c r="S905" s="16"/>
      <c r="T905" s="16"/>
      <c r="U905" s="16"/>
      <c r="V905" s="16"/>
      <c r="W905" s="16"/>
      <c r="X905" s="16"/>
      <c r="Y905" s="16"/>
    </row>
    <row r="906" spans="1:25" x14ac:dyDescent="0.2">
      <c r="A906" s="14"/>
      <c r="B906" s="6"/>
      <c r="C906" s="6"/>
      <c r="D906" s="16"/>
      <c r="E906" s="6"/>
      <c r="F906" s="16"/>
      <c r="G906" s="6"/>
      <c r="H906" s="16"/>
      <c r="I906" s="16"/>
      <c r="J906" s="16"/>
      <c r="K906" s="16"/>
      <c r="L906" s="16"/>
      <c r="M906" s="16"/>
      <c r="N906" s="16"/>
      <c r="O906" s="16"/>
      <c r="P906" s="16"/>
      <c r="Q906" s="16"/>
      <c r="R906" s="16"/>
      <c r="S906" s="16"/>
      <c r="T906" s="16"/>
      <c r="U906" s="16"/>
      <c r="V906" s="16"/>
      <c r="W906" s="16"/>
      <c r="X906" s="16"/>
      <c r="Y906" s="16"/>
    </row>
    <row r="907" spans="1:25" x14ac:dyDescent="0.2">
      <c r="A907" s="14"/>
      <c r="B907" s="6"/>
      <c r="C907" s="6"/>
      <c r="D907" s="16"/>
      <c r="E907" s="6"/>
      <c r="F907" s="16"/>
      <c r="G907" s="6"/>
      <c r="H907" s="16"/>
      <c r="I907" s="16"/>
      <c r="J907" s="16"/>
      <c r="K907" s="16"/>
      <c r="L907" s="16"/>
      <c r="M907" s="16"/>
      <c r="N907" s="16"/>
      <c r="O907" s="16"/>
      <c r="P907" s="16"/>
      <c r="Q907" s="16"/>
      <c r="R907" s="16"/>
      <c r="S907" s="16"/>
      <c r="T907" s="16"/>
      <c r="U907" s="16"/>
      <c r="V907" s="16"/>
      <c r="W907" s="16"/>
      <c r="X907" s="16"/>
      <c r="Y907" s="16"/>
    </row>
    <row r="908" spans="1:25" x14ac:dyDescent="0.2">
      <c r="A908" s="14"/>
      <c r="B908" s="6"/>
      <c r="C908" s="6"/>
      <c r="D908" s="16"/>
      <c r="E908" s="6"/>
      <c r="F908" s="16"/>
      <c r="G908" s="6"/>
      <c r="H908" s="16"/>
      <c r="I908" s="16"/>
      <c r="J908" s="16"/>
      <c r="K908" s="16"/>
      <c r="L908" s="16"/>
      <c r="M908" s="16"/>
      <c r="N908" s="16"/>
      <c r="O908" s="16"/>
      <c r="P908" s="16"/>
      <c r="Q908" s="16"/>
      <c r="R908" s="16"/>
      <c r="S908" s="16"/>
      <c r="T908" s="16"/>
      <c r="U908" s="16"/>
      <c r="V908" s="16"/>
      <c r="W908" s="16"/>
      <c r="X908" s="16"/>
      <c r="Y908" s="16"/>
    </row>
    <row r="909" spans="1:25" x14ac:dyDescent="0.2">
      <c r="A909" s="14"/>
      <c r="B909" s="6"/>
      <c r="C909" s="6"/>
      <c r="D909" s="16"/>
      <c r="E909" s="6"/>
      <c r="F909" s="16"/>
      <c r="G909" s="6"/>
      <c r="H909" s="16"/>
      <c r="I909" s="16"/>
      <c r="J909" s="16"/>
      <c r="K909" s="16"/>
      <c r="L909" s="16"/>
      <c r="M909" s="16"/>
      <c r="N909" s="16"/>
      <c r="O909" s="16"/>
      <c r="P909" s="16"/>
      <c r="Q909" s="16"/>
      <c r="R909" s="16"/>
      <c r="S909" s="16"/>
      <c r="T909" s="16"/>
      <c r="U909" s="16"/>
      <c r="V909" s="16"/>
      <c r="W909" s="16"/>
      <c r="X909" s="16"/>
      <c r="Y909" s="16"/>
    </row>
    <row r="910" spans="1:25" x14ac:dyDescent="0.2">
      <c r="A910" s="14"/>
      <c r="B910" s="6"/>
      <c r="C910" s="6"/>
      <c r="D910" s="16"/>
      <c r="E910" s="6"/>
      <c r="F910" s="16"/>
      <c r="G910" s="6"/>
      <c r="H910" s="16"/>
      <c r="I910" s="16"/>
      <c r="J910" s="16"/>
      <c r="K910" s="16"/>
      <c r="L910" s="16"/>
      <c r="M910" s="16"/>
      <c r="N910" s="16"/>
      <c r="O910" s="16"/>
      <c r="P910" s="16"/>
      <c r="Q910" s="16"/>
      <c r="R910" s="16"/>
      <c r="S910" s="16"/>
      <c r="T910" s="16"/>
      <c r="U910" s="16"/>
      <c r="V910" s="16"/>
      <c r="W910" s="16"/>
      <c r="X910" s="16"/>
      <c r="Y910" s="16"/>
    </row>
    <row r="911" spans="1:25" x14ac:dyDescent="0.2">
      <c r="A911" s="14"/>
      <c r="B911" s="6"/>
      <c r="C911" s="6"/>
      <c r="D911" s="16"/>
      <c r="E911" s="6"/>
      <c r="F911" s="16"/>
      <c r="G911" s="6"/>
      <c r="H911" s="16"/>
      <c r="I911" s="16"/>
      <c r="J911" s="16"/>
      <c r="K911" s="16"/>
      <c r="L911" s="16"/>
      <c r="M911" s="16"/>
      <c r="N911" s="16"/>
      <c r="O911" s="16"/>
      <c r="P911" s="16"/>
      <c r="Q911" s="16"/>
      <c r="R911" s="16"/>
      <c r="S911" s="16"/>
      <c r="T911" s="16"/>
      <c r="U911" s="16"/>
      <c r="V911" s="16"/>
      <c r="W911" s="16"/>
      <c r="X911" s="16"/>
      <c r="Y911" s="16"/>
    </row>
    <row r="912" spans="1:25" x14ac:dyDescent="0.2">
      <c r="A912" s="14"/>
      <c r="B912" s="6"/>
      <c r="C912" s="6"/>
      <c r="D912" s="16"/>
      <c r="E912" s="6"/>
      <c r="F912" s="16"/>
      <c r="G912" s="6"/>
      <c r="H912" s="16"/>
      <c r="I912" s="16"/>
      <c r="J912" s="16"/>
      <c r="K912" s="16"/>
      <c r="L912" s="16"/>
      <c r="M912" s="16"/>
      <c r="N912" s="16"/>
      <c r="O912" s="16"/>
      <c r="P912" s="16"/>
      <c r="Q912" s="16"/>
      <c r="R912" s="16"/>
      <c r="S912" s="16"/>
      <c r="T912" s="16"/>
      <c r="U912" s="16"/>
      <c r="V912" s="16"/>
      <c r="W912" s="16"/>
      <c r="X912" s="16"/>
      <c r="Y912" s="16"/>
    </row>
    <row r="913" spans="1:25" x14ac:dyDescent="0.2">
      <c r="A913" s="14"/>
      <c r="B913" s="6"/>
      <c r="C913" s="6"/>
      <c r="D913" s="16"/>
      <c r="E913" s="6"/>
      <c r="F913" s="16"/>
      <c r="G913" s="6"/>
      <c r="H913" s="16"/>
      <c r="I913" s="16"/>
      <c r="J913" s="16"/>
      <c r="K913" s="16"/>
      <c r="L913" s="16"/>
      <c r="M913" s="16"/>
      <c r="N913" s="16"/>
      <c r="O913" s="16"/>
      <c r="P913" s="16"/>
      <c r="Q913" s="16"/>
      <c r="R913" s="16"/>
      <c r="S913" s="16"/>
      <c r="T913" s="16"/>
      <c r="U913" s="16"/>
      <c r="V913" s="16"/>
      <c r="W913" s="16"/>
      <c r="X913" s="16"/>
      <c r="Y913" s="16"/>
    </row>
    <row r="914" spans="1:25" x14ac:dyDescent="0.2">
      <c r="A914" s="14"/>
      <c r="B914" s="6"/>
      <c r="C914" s="6"/>
      <c r="D914" s="16"/>
      <c r="E914" s="6"/>
      <c r="F914" s="16"/>
      <c r="G914" s="6"/>
      <c r="H914" s="16"/>
      <c r="I914" s="16"/>
      <c r="J914" s="16"/>
      <c r="K914" s="16"/>
      <c r="L914" s="16"/>
      <c r="M914" s="16"/>
      <c r="N914" s="16"/>
      <c r="O914" s="16"/>
      <c r="P914" s="16"/>
      <c r="Q914" s="16"/>
      <c r="R914" s="16"/>
      <c r="S914" s="16"/>
      <c r="T914" s="16"/>
      <c r="U914" s="16"/>
      <c r="V914" s="16"/>
      <c r="W914" s="16"/>
      <c r="X914" s="16"/>
      <c r="Y914" s="16"/>
    </row>
    <row r="915" spans="1:25" x14ac:dyDescent="0.2">
      <c r="A915" s="14"/>
      <c r="B915" s="6"/>
      <c r="C915" s="6"/>
      <c r="D915" s="16"/>
      <c r="E915" s="6"/>
      <c r="F915" s="16"/>
      <c r="G915" s="6"/>
      <c r="H915" s="16"/>
      <c r="I915" s="16"/>
      <c r="J915" s="16"/>
      <c r="K915" s="16"/>
      <c r="L915" s="16"/>
      <c r="M915" s="16"/>
      <c r="N915" s="16"/>
      <c r="O915" s="16"/>
      <c r="P915" s="16"/>
      <c r="Q915" s="16"/>
      <c r="R915" s="16"/>
      <c r="S915" s="16"/>
      <c r="T915" s="16"/>
      <c r="U915" s="16"/>
      <c r="V915" s="16"/>
      <c r="W915" s="16"/>
      <c r="X915" s="16"/>
      <c r="Y915" s="16"/>
    </row>
    <row r="916" spans="1:25" x14ac:dyDescent="0.2">
      <c r="A916" s="14"/>
      <c r="B916" s="6"/>
      <c r="C916" s="6"/>
      <c r="D916" s="16"/>
      <c r="E916" s="6"/>
      <c r="F916" s="16"/>
      <c r="G916" s="6"/>
      <c r="H916" s="16"/>
      <c r="I916" s="16"/>
      <c r="J916" s="16"/>
      <c r="K916" s="16"/>
      <c r="L916" s="16"/>
      <c r="M916" s="16"/>
      <c r="N916" s="16"/>
      <c r="O916" s="16"/>
      <c r="P916" s="16"/>
      <c r="Q916" s="16"/>
      <c r="R916" s="16"/>
      <c r="S916" s="16"/>
      <c r="T916" s="16"/>
      <c r="U916" s="16"/>
      <c r="V916" s="16"/>
      <c r="W916" s="16"/>
      <c r="X916" s="16"/>
      <c r="Y916" s="16"/>
    </row>
    <row r="917" spans="1:25" x14ac:dyDescent="0.2">
      <c r="A917" s="14"/>
      <c r="B917" s="6"/>
      <c r="C917" s="6"/>
      <c r="D917" s="16"/>
      <c r="E917" s="6"/>
      <c r="F917" s="16"/>
      <c r="G917" s="6"/>
      <c r="H917" s="16"/>
      <c r="I917" s="16"/>
      <c r="J917" s="16"/>
      <c r="K917" s="16"/>
      <c r="L917" s="16"/>
      <c r="M917" s="16"/>
      <c r="N917" s="16"/>
      <c r="O917" s="16"/>
      <c r="P917" s="16"/>
      <c r="Q917" s="16"/>
      <c r="R917" s="16"/>
      <c r="S917" s="16"/>
      <c r="T917" s="16"/>
      <c r="U917" s="16"/>
      <c r="V917" s="16"/>
      <c r="W917" s="16"/>
      <c r="X917" s="16"/>
      <c r="Y917" s="16"/>
    </row>
    <row r="918" spans="1:25" x14ac:dyDescent="0.2">
      <c r="A918" s="14"/>
      <c r="B918" s="6"/>
      <c r="C918" s="6"/>
      <c r="D918" s="16"/>
      <c r="E918" s="6"/>
      <c r="F918" s="16"/>
      <c r="G918" s="6"/>
      <c r="H918" s="16"/>
      <c r="I918" s="16"/>
      <c r="J918" s="16"/>
      <c r="K918" s="16"/>
      <c r="L918" s="16"/>
      <c r="M918" s="16"/>
      <c r="N918" s="16"/>
      <c r="O918" s="16"/>
      <c r="P918" s="16"/>
      <c r="Q918" s="16"/>
      <c r="R918" s="16"/>
      <c r="S918" s="16"/>
      <c r="T918" s="16"/>
      <c r="U918" s="16"/>
      <c r="V918" s="16"/>
      <c r="W918" s="16"/>
      <c r="X918" s="16"/>
      <c r="Y918" s="16"/>
    </row>
    <row r="919" spans="1:25" x14ac:dyDescent="0.2">
      <c r="A919" s="14"/>
      <c r="B919" s="6"/>
      <c r="C919" s="6"/>
      <c r="D919" s="16"/>
      <c r="E919" s="6"/>
      <c r="F919" s="16"/>
      <c r="G919" s="6"/>
      <c r="H919" s="16"/>
      <c r="I919" s="16"/>
      <c r="J919" s="16"/>
      <c r="K919" s="16"/>
      <c r="L919" s="16"/>
      <c r="M919" s="16"/>
      <c r="N919" s="16"/>
      <c r="O919" s="16"/>
      <c r="P919" s="16"/>
      <c r="Q919" s="16"/>
      <c r="R919" s="16"/>
      <c r="S919" s="16"/>
      <c r="T919" s="16"/>
      <c r="U919" s="16"/>
      <c r="V919" s="16"/>
      <c r="W919" s="16"/>
      <c r="X919" s="16"/>
      <c r="Y919" s="16"/>
    </row>
    <row r="920" spans="1:25" x14ac:dyDescent="0.2">
      <c r="A920" s="14"/>
      <c r="B920" s="6"/>
      <c r="C920" s="6"/>
      <c r="D920" s="16"/>
      <c r="E920" s="6"/>
      <c r="F920" s="16"/>
      <c r="G920" s="6"/>
      <c r="H920" s="16"/>
      <c r="I920" s="16"/>
      <c r="J920" s="16"/>
      <c r="K920" s="16"/>
      <c r="L920" s="16"/>
      <c r="M920" s="16"/>
      <c r="N920" s="16"/>
      <c r="O920" s="16"/>
      <c r="P920" s="16"/>
      <c r="Q920" s="16"/>
      <c r="R920" s="16"/>
      <c r="S920" s="16"/>
      <c r="T920" s="16"/>
      <c r="U920" s="16"/>
      <c r="V920" s="16"/>
      <c r="W920" s="16"/>
      <c r="X920" s="16"/>
      <c r="Y920" s="16"/>
    </row>
    <row r="921" spans="1:25" x14ac:dyDescent="0.2">
      <c r="A921" s="14"/>
      <c r="B921" s="6"/>
      <c r="C921" s="6"/>
      <c r="D921" s="16"/>
      <c r="E921" s="6"/>
      <c r="F921" s="16"/>
      <c r="G921" s="6"/>
      <c r="H921" s="16"/>
      <c r="I921" s="16"/>
      <c r="J921" s="16"/>
      <c r="K921" s="16"/>
      <c r="L921" s="16"/>
      <c r="M921" s="16"/>
      <c r="N921" s="16"/>
      <c r="O921" s="16"/>
      <c r="P921" s="16"/>
      <c r="Q921" s="16"/>
      <c r="R921" s="16"/>
      <c r="S921" s="16"/>
      <c r="T921" s="16"/>
      <c r="U921" s="16"/>
      <c r="V921" s="16"/>
      <c r="W921" s="16"/>
      <c r="X921" s="16"/>
      <c r="Y921" s="16"/>
    </row>
    <row r="922" spans="1:25" x14ac:dyDescent="0.2">
      <c r="A922" s="14"/>
      <c r="B922" s="6"/>
      <c r="C922" s="6"/>
      <c r="D922" s="16"/>
      <c r="E922" s="6"/>
      <c r="F922" s="16"/>
      <c r="G922" s="6"/>
      <c r="H922" s="16"/>
      <c r="I922" s="16"/>
      <c r="J922" s="16"/>
      <c r="K922" s="16"/>
      <c r="L922" s="16"/>
      <c r="M922" s="16"/>
      <c r="N922" s="16"/>
      <c r="O922" s="16"/>
      <c r="P922" s="16"/>
      <c r="Q922" s="16"/>
      <c r="R922" s="16"/>
      <c r="S922" s="16"/>
      <c r="T922" s="16"/>
      <c r="U922" s="16"/>
      <c r="V922" s="16"/>
      <c r="W922" s="16"/>
      <c r="X922" s="16"/>
      <c r="Y922" s="16"/>
    </row>
    <row r="923" spans="1:25" x14ac:dyDescent="0.2">
      <c r="A923" s="14"/>
      <c r="B923" s="6"/>
      <c r="C923" s="6"/>
      <c r="D923" s="16"/>
      <c r="E923" s="6"/>
      <c r="F923" s="16"/>
      <c r="G923" s="6"/>
      <c r="H923" s="16"/>
      <c r="I923" s="16"/>
      <c r="J923" s="16"/>
      <c r="K923" s="16"/>
      <c r="L923" s="16"/>
      <c r="M923" s="16"/>
      <c r="N923" s="16"/>
      <c r="O923" s="16"/>
      <c r="P923" s="16"/>
      <c r="Q923" s="16"/>
      <c r="R923" s="16"/>
      <c r="S923" s="16"/>
      <c r="T923" s="16"/>
      <c r="U923" s="16"/>
      <c r="V923" s="16"/>
      <c r="W923" s="16"/>
      <c r="X923" s="16"/>
      <c r="Y923" s="16"/>
    </row>
    <row r="924" spans="1:25" x14ac:dyDescent="0.2">
      <c r="A924" s="14"/>
      <c r="B924" s="6"/>
      <c r="C924" s="6"/>
      <c r="D924" s="16"/>
      <c r="E924" s="6"/>
      <c r="F924" s="16"/>
      <c r="G924" s="6"/>
      <c r="H924" s="16"/>
      <c r="I924" s="16"/>
      <c r="J924" s="16"/>
      <c r="K924" s="16"/>
      <c r="L924" s="16"/>
      <c r="M924" s="16"/>
      <c r="N924" s="16"/>
      <c r="O924" s="16"/>
      <c r="P924" s="16"/>
      <c r="Q924" s="16"/>
      <c r="R924" s="16"/>
      <c r="S924" s="16"/>
      <c r="T924" s="16"/>
      <c r="U924" s="16"/>
      <c r="V924" s="16"/>
      <c r="W924" s="16"/>
      <c r="X924" s="16"/>
      <c r="Y924" s="16"/>
    </row>
    <row r="925" spans="1:25" x14ac:dyDescent="0.2">
      <c r="A925" s="14"/>
      <c r="B925" s="6"/>
      <c r="C925" s="6"/>
      <c r="D925" s="16"/>
      <c r="E925" s="6"/>
      <c r="F925" s="16"/>
      <c r="G925" s="6"/>
      <c r="H925" s="16"/>
      <c r="I925" s="16"/>
      <c r="J925" s="16"/>
      <c r="K925" s="16"/>
      <c r="L925" s="16"/>
      <c r="M925" s="16"/>
      <c r="N925" s="16"/>
      <c r="O925" s="16"/>
      <c r="P925" s="16"/>
      <c r="Q925" s="16"/>
      <c r="R925" s="16"/>
      <c r="S925" s="16"/>
      <c r="T925" s="16"/>
      <c r="U925" s="16"/>
      <c r="V925" s="16"/>
      <c r="W925" s="16"/>
      <c r="X925" s="16"/>
      <c r="Y925" s="16"/>
    </row>
    <row r="926" spans="1:25" x14ac:dyDescent="0.2">
      <c r="A926" s="14"/>
      <c r="B926" s="6"/>
      <c r="C926" s="6"/>
      <c r="D926" s="16"/>
      <c r="E926" s="6"/>
      <c r="F926" s="16"/>
      <c r="G926" s="6"/>
      <c r="H926" s="16"/>
      <c r="I926" s="16"/>
      <c r="J926" s="16"/>
      <c r="K926" s="16"/>
      <c r="L926" s="16"/>
      <c r="M926" s="16"/>
      <c r="N926" s="16"/>
      <c r="O926" s="16"/>
      <c r="P926" s="16"/>
      <c r="Q926" s="16"/>
      <c r="R926" s="16"/>
      <c r="S926" s="16"/>
      <c r="T926" s="16"/>
      <c r="U926" s="16"/>
      <c r="V926" s="16"/>
      <c r="W926" s="16"/>
      <c r="X926" s="16"/>
      <c r="Y926" s="16"/>
    </row>
    <row r="927" spans="1:25" x14ac:dyDescent="0.2">
      <c r="A927" s="14"/>
      <c r="B927" s="6"/>
      <c r="C927" s="6"/>
      <c r="D927" s="16"/>
      <c r="E927" s="6"/>
      <c r="F927" s="16"/>
      <c r="G927" s="6"/>
      <c r="H927" s="16"/>
      <c r="I927" s="16"/>
      <c r="J927" s="16"/>
      <c r="K927" s="16"/>
      <c r="L927" s="16"/>
      <c r="M927" s="16"/>
      <c r="N927" s="16"/>
      <c r="O927" s="16"/>
      <c r="P927" s="16"/>
      <c r="Q927" s="16"/>
      <c r="R927" s="16"/>
      <c r="S927" s="16"/>
      <c r="T927" s="16"/>
      <c r="U927" s="16"/>
      <c r="V927" s="16"/>
      <c r="W927" s="16"/>
      <c r="X927" s="16"/>
      <c r="Y927" s="16"/>
    </row>
    <row r="928" spans="1:25" x14ac:dyDescent="0.2">
      <c r="A928" s="14"/>
      <c r="B928" s="6"/>
      <c r="C928" s="6"/>
      <c r="D928" s="16"/>
      <c r="E928" s="6"/>
      <c r="F928" s="16"/>
      <c r="G928" s="6"/>
      <c r="H928" s="16"/>
      <c r="I928" s="16"/>
      <c r="J928" s="16"/>
      <c r="K928" s="16"/>
      <c r="L928" s="16"/>
      <c r="M928" s="16"/>
      <c r="N928" s="16"/>
      <c r="O928" s="16"/>
      <c r="P928" s="16"/>
      <c r="Q928" s="16"/>
      <c r="R928" s="16"/>
      <c r="S928" s="16"/>
      <c r="T928" s="16"/>
      <c r="U928" s="16"/>
      <c r="V928" s="16"/>
      <c r="W928" s="16"/>
      <c r="X928" s="16"/>
      <c r="Y928" s="16"/>
    </row>
    <row r="929" spans="1:25" x14ac:dyDescent="0.2">
      <c r="A929" s="14"/>
      <c r="B929" s="6"/>
      <c r="C929" s="6"/>
      <c r="D929" s="16"/>
      <c r="E929" s="6"/>
      <c r="F929" s="16"/>
      <c r="G929" s="6"/>
      <c r="H929" s="16"/>
      <c r="I929" s="16"/>
      <c r="J929" s="16"/>
      <c r="K929" s="16"/>
      <c r="L929" s="16"/>
      <c r="M929" s="16"/>
      <c r="N929" s="16"/>
      <c r="O929" s="16"/>
      <c r="P929" s="16"/>
      <c r="Q929" s="16"/>
      <c r="R929" s="16"/>
      <c r="S929" s="16"/>
      <c r="T929" s="16"/>
      <c r="U929" s="16"/>
      <c r="V929" s="16"/>
      <c r="W929" s="16"/>
      <c r="X929" s="16"/>
      <c r="Y929" s="16"/>
    </row>
    <row r="930" spans="1:25" x14ac:dyDescent="0.2">
      <c r="A930" s="14"/>
      <c r="B930" s="6"/>
      <c r="C930" s="6"/>
      <c r="D930" s="16"/>
      <c r="E930" s="6"/>
      <c r="F930" s="16"/>
      <c r="G930" s="6"/>
      <c r="H930" s="16"/>
      <c r="I930" s="16"/>
      <c r="J930" s="16"/>
      <c r="K930" s="16"/>
      <c r="L930" s="16"/>
      <c r="M930" s="16"/>
      <c r="N930" s="16"/>
      <c r="O930" s="16"/>
      <c r="P930" s="16"/>
      <c r="Q930" s="16"/>
      <c r="R930" s="16"/>
      <c r="S930" s="16"/>
      <c r="T930" s="16"/>
      <c r="U930" s="16"/>
      <c r="V930" s="16"/>
      <c r="W930" s="16"/>
      <c r="X930" s="16"/>
      <c r="Y930" s="16"/>
    </row>
    <row r="931" spans="1:25" x14ac:dyDescent="0.2">
      <c r="A931" s="14"/>
      <c r="B931" s="6"/>
      <c r="C931" s="6"/>
      <c r="D931" s="16"/>
      <c r="E931" s="6"/>
      <c r="F931" s="16"/>
      <c r="G931" s="6"/>
      <c r="H931" s="16"/>
      <c r="I931" s="16"/>
      <c r="J931" s="16"/>
      <c r="K931" s="16"/>
      <c r="L931" s="16"/>
      <c r="M931" s="16"/>
      <c r="N931" s="16"/>
      <c r="O931" s="16"/>
      <c r="P931" s="16"/>
      <c r="Q931" s="16"/>
      <c r="R931" s="16"/>
      <c r="S931" s="16"/>
      <c r="T931" s="16"/>
      <c r="U931" s="16"/>
      <c r="V931" s="16"/>
      <c r="W931" s="16"/>
      <c r="X931" s="16"/>
      <c r="Y931" s="16"/>
    </row>
    <row r="932" spans="1:25" x14ac:dyDescent="0.2">
      <c r="A932" s="14"/>
      <c r="B932" s="6"/>
      <c r="C932" s="6"/>
      <c r="D932" s="16"/>
      <c r="E932" s="6"/>
      <c r="F932" s="16"/>
      <c r="G932" s="6"/>
      <c r="H932" s="16"/>
      <c r="I932" s="16"/>
      <c r="J932" s="16"/>
      <c r="K932" s="16"/>
      <c r="L932" s="16"/>
      <c r="M932" s="16"/>
      <c r="N932" s="16"/>
      <c r="O932" s="16"/>
      <c r="P932" s="16"/>
      <c r="Q932" s="16"/>
      <c r="R932" s="16"/>
      <c r="S932" s="16"/>
      <c r="T932" s="16"/>
      <c r="U932" s="16"/>
      <c r="V932" s="16"/>
      <c r="W932" s="16"/>
      <c r="X932" s="16"/>
      <c r="Y932" s="16"/>
    </row>
    <row r="933" spans="1:25" x14ac:dyDescent="0.2">
      <c r="A933" s="14"/>
      <c r="B933" s="6"/>
      <c r="C933" s="6"/>
      <c r="D933" s="16"/>
      <c r="E933" s="6"/>
      <c r="F933" s="16"/>
      <c r="G933" s="6"/>
      <c r="H933" s="16"/>
      <c r="I933" s="16"/>
      <c r="J933" s="16"/>
      <c r="K933" s="16"/>
      <c r="L933" s="16"/>
      <c r="M933" s="16"/>
      <c r="N933" s="16"/>
      <c r="O933" s="16"/>
      <c r="P933" s="16"/>
      <c r="Q933" s="16"/>
      <c r="R933" s="16"/>
      <c r="S933" s="16"/>
      <c r="T933" s="16"/>
      <c r="U933" s="16"/>
      <c r="V933" s="16"/>
      <c r="W933" s="16"/>
      <c r="X933" s="16"/>
      <c r="Y933" s="16"/>
    </row>
    <row r="934" spans="1:25" x14ac:dyDescent="0.2">
      <c r="A934" s="14"/>
      <c r="B934" s="6"/>
      <c r="C934" s="6"/>
      <c r="D934" s="16"/>
      <c r="E934" s="6"/>
      <c r="F934" s="16"/>
      <c r="G934" s="6"/>
      <c r="H934" s="16"/>
      <c r="I934" s="16"/>
      <c r="J934" s="16"/>
      <c r="K934" s="16"/>
      <c r="L934" s="16"/>
      <c r="M934" s="16"/>
      <c r="N934" s="16"/>
      <c r="O934" s="16"/>
      <c r="P934" s="16"/>
      <c r="Q934" s="16"/>
      <c r="R934" s="16"/>
      <c r="S934" s="16"/>
      <c r="T934" s="16"/>
      <c r="U934" s="16"/>
      <c r="V934" s="16"/>
      <c r="W934" s="16"/>
      <c r="X934" s="16"/>
      <c r="Y934" s="16"/>
    </row>
    <row r="935" spans="1:25" x14ac:dyDescent="0.2">
      <c r="A935" s="14"/>
      <c r="B935" s="6"/>
      <c r="C935" s="6"/>
      <c r="D935" s="16"/>
      <c r="E935" s="6"/>
      <c r="F935" s="16"/>
      <c r="G935" s="6"/>
      <c r="H935" s="16"/>
      <c r="I935" s="16"/>
      <c r="J935" s="16"/>
      <c r="K935" s="16"/>
      <c r="L935" s="16"/>
      <c r="M935" s="16"/>
      <c r="N935" s="16"/>
      <c r="O935" s="16"/>
      <c r="P935" s="16"/>
      <c r="Q935" s="16"/>
      <c r="R935" s="16"/>
      <c r="S935" s="16"/>
      <c r="T935" s="16"/>
      <c r="U935" s="16"/>
      <c r="V935" s="16"/>
      <c r="W935" s="16"/>
      <c r="X935" s="16"/>
      <c r="Y935" s="16"/>
    </row>
    <row r="936" spans="1:25" x14ac:dyDescent="0.2">
      <c r="A936" s="14"/>
      <c r="B936" s="6"/>
      <c r="C936" s="6"/>
      <c r="D936" s="16"/>
      <c r="E936" s="6"/>
      <c r="F936" s="16"/>
      <c r="G936" s="6"/>
      <c r="H936" s="16"/>
      <c r="I936" s="16"/>
      <c r="J936" s="16"/>
      <c r="K936" s="16"/>
      <c r="L936" s="16"/>
      <c r="M936" s="16"/>
      <c r="N936" s="16"/>
      <c r="O936" s="16"/>
      <c r="P936" s="16"/>
      <c r="Q936" s="16"/>
      <c r="R936" s="16"/>
      <c r="S936" s="16"/>
      <c r="T936" s="16"/>
      <c r="U936" s="16"/>
      <c r="V936" s="16"/>
      <c r="W936" s="16"/>
      <c r="X936" s="16"/>
      <c r="Y936" s="16"/>
    </row>
    <row r="937" spans="1:25" x14ac:dyDescent="0.2">
      <c r="A937" s="14"/>
      <c r="B937" s="6"/>
      <c r="C937" s="6"/>
      <c r="D937" s="16"/>
      <c r="E937" s="6"/>
      <c r="F937" s="16"/>
      <c r="G937" s="6"/>
      <c r="H937" s="16"/>
      <c r="I937" s="16"/>
      <c r="J937" s="16"/>
      <c r="K937" s="16"/>
      <c r="L937" s="16"/>
      <c r="M937" s="16"/>
      <c r="N937" s="16"/>
      <c r="O937" s="16"/>
      <c r="P937" s="16"/>
      <c r="Q937" s="16"/>
      <c r="R937" s="16"/>
      <c r="S937" s="16"/>
      <c r="T937" s="16"/>
      <c r="U937" s="16"/>
      <c r="V937" s="16"/>
      <c r="W937" s="16"/>
      <c r="X937" s="16"/>
      <c r="Y937" s="16"/>
    </row>
    <row r="938" spans="1:25" x14ac:dyDescent="0.2">
      <c r="A938" s="14"/>
      <c r="B938" s="6"/>
      <c r="C938" s="6"/>
      <c r="D938" s="16"/>
      <c r="E938" s="6"/>
      <c r="F938" s="16"/>
      <c r="G938" s="6"/>
      <c r="H938" s="16"/>
      <c r="I938" s="16"/>
      <c r="J938" s="16"/>
      <c r="K938" s="16"/>
      <c r="L938" s="16"/>
      <c r="M938" s="16"/>
      <c r="N938" s="16"/>
      <c r="O938" s="16"/>
      <c r="P938" s="16"/>
      <c r="Q938" s="16"/>
      <c r="R938" s="16"/>
      <c r="S938" s="16"/>
      <c r="T938" s="16"/>
      <c r="U938" s="16"/>
      <c r="V938" s="16"/>
      <c r="W938" s="16"/>
      <c r="X938" s="16"/>
      <c r="Y938" s="16"/>
    </row>
    <row r="939" spans="1:25" x14ac:dyDescent="0.2">
      <c r="A939" s="14"/>
      <c r="B939" s="6"/>
      <c r="C939" s="6"/>
      <c r="D939" s="16"/>
      <c r="E939" s="6"/>
      <c r="F939" s="16"/>
      <c r="G939" s="6"/>
      <c r="H939" s="16"/>
      <c r="I939" s="16"/>
      <c r="J939" s="16"/>
      <c r="K939" s="16"/>
      <c r="L939" s="16"/>
      <c r="M939" s="16"/>
      <c r="N939" s="16"/>
      <c r="O939" s="16"/>
      <c r="P939" s="16"/>
      <c r="Q939" s="16"/>
      <c r="R939" s="16"/>
      <c r="S939" s="16"/>
      <c r="T939" s="16"/>
      <c r="U939" s="16"/>
      <c r="V939" s="16"/>
      <c r="W939" s="16"/>
      <c r="X939" s="16"/>
      <c r="Y939" s="16"/>
    </row>
    <row r="940" spans="1:25" x14ac:dyDescent="0.2">
      <c r="A940" s="14"/>
      <c r="B940" s="6"/>
      <c r="C940" s="6"/>
      <c r="D940" s="16"/>
      <c r="E940" s="6"/>
      <c r="F940" s="16"/>
      <c r="G940" s="6"/>
      <c r="H940" s="16"/>
      <c r="I940" s="16"/>
      <c r="J940" s="16"/>
      <c r="K940" s="16"/>
      <c r="L940" s="16"/>
      <c r="M940" s="16"/>
      <c r="N940" s="16"/>
      <c r="O940" s="16"/>
      <c r="P940" s="16"/>
      <c r="Q940" s="16"/>
      <c r="R940" s="16"/>
      <c r="S940" s="16"/>
      <c r="T940" s="16"/>
      <c r="U940" s="16"/>
      <c r="V940" s="16"/>
      <c r="W940" s="16"/>
      <c r="X940" s="16"/>
      <c r="Y940" s="16"/>
    </row>
    <row r="941" spans="1:25" x14ac:dyDescent="0.2">
      <c r="A941" s="14"/>
      <c r="B941" s="6"/>
      <c r="C941" s="6"/>
      <c r="D941" s="16"/>
      <c r="E941" s="6"/>
      <c r="F941" s="16"/>
      <c r="G941" s="6"/>
      <c r="H941" s="16"/>
      <c r="I941" s="16"/>
      <c r="J941" s="16"/>
      <c r="K941" s="16"/>
      <c r="L941" s="16"/>
      <c r="M941" s="16"/>
      <c r="N941" s="16"/>
      <c r="O941" s="16"/>
      <c r="P941" s="16"/>
      <c r="Q941" s="16"/>
      <c r="R941" s="16"/>
      <c r="S941" s="16"/>
      <c r="T941" s="16"/>
      <c r="U941" s="16"/>
      <c r="V941" s="16"/>
      <c r="W941" s="16"/>
      <c r="X941" s="16"/>
      <c r="Y941" s="16"/>
    </row>
    <row r="942" spans="1:25" x14ac:dyDescent="0.2">
      <c r="A942" s="14"/>
      <c r="B942" s="6"/>
      <c r="C942" s="6"/>
      <c r="D942" s="16"/>
      <c r="E942" s="6"/>
      <c r="F942" s="16"/>
      <c r="G942" s="6"/>
      <c r="H942" s="16"/>
      <c r="I942" s="16"/>
      <c r="J942" s="16"/>
      <c r="K942" s="16"/>
      <c r="L942" s="16"/>
      <c r="M942" s="16"/>
      <c r="N942" s="16"/>
      <c r="O942" s="16"/>
      <c r="P942" s="16"/>
      <c r="Q942" s="16"/>
      <c r="R942" s="16"/>
      <c r="S942" s="16"/>
      <c r="T942" s="16"/>
      <c r="U942" s="16"/>
      <c r="V942" s="16"/>
      <c r="W942" s="16"/>
      <c r="X942" s="16"/>
      <c r="Y942" s="16"/>
    </row>
    <row r="943" spans="1:25" x14ac:dyDescent="0.2">
      <c r="A943" s="14"/>
      <c r="B943" s="6"/>
      <c r="C943" s="6"/>
      <c r="D943" s="16"/>
      <c r="E943" s="6"/>
      <c r="F943" s="16"/>
      <c r="G943" s="6"/>
      <c r="H943" s="16"/>
      <c r="I943" s="16"/>
      <c r="J943" s="16"/>
      <c r="K943" s="16"/>
      <c r="L943" s="16"/>
      <c r="M943" s="16"/>
      <c r="N943" s="16"/>
      <c r="O943" s="16"/>
      <c r="P943" s="16"/>
      <c r="Q943" s="16"/>
      <c r="R943" s="16"/>
      <c r="S943" s="16"/>
      <c r="T943" s="16"/>
      <c r="U943" s="16"/>
      <c r="V943" s="16"/>
      <c r="W943" s="16"/>
      <c r="X943" s="16"/>
      <c r="Y943" s="16"/>
    </row>
    <row r="944" spans="1:25" x14ac:dyDescent="0.2">
      <c r="A944" s="14"/>
      <c r="B944" s="6"/>
      <c r="C944" s="6"/>
      <c r="D944" s="16"/>
      <c r="E944" s="6"/>
      <c r="F944" s="16"/>
      <c r="G944" s="6"/>
      <c r="H944" s="16"/>
      <c r="I944" s="16"/>
      <c r="J944" s="16"/>
      <c r="K944" s="16"/>
      <c r="L944" s="16"/>
      <c r="M944" s="16"/>
      <c r="N944" s="16"/>
      <c r="O944" s="16"/>
      <c r="P944" s="16"/>
      <c r="Q944" s="16"/>
      <c r="R944" s="16"/>
      <c r="S944" s="16"/>
      <c r="T944" s="16"/>
      <c r="U944" s="16"/>
      <c r="V944" s="16"/>
      <c r="W944" s="16"/>
      <c r="X944" s="16"/>
      <c r="Y944" s="16"/>
    </row>
    <row r="945" spans="1:25" x14ac:dyDescent="0.2">
      <c r="A945" s="14"/>
      <c r="B945" s="6"/>
      <c r="C945" s="6"/>
      <c r="D945" s="16"/>
      <c r="E945" s="6"/>
      <c r="F945" s="16"/>
      <c r="G945" s="6"/>
      <c r="H945" s="16"/>
      <c r="I945" s="16"/>
      <c r="J945" s="16"/>
      <c r="K945" s="16"/>
      <c r="L945" s="16"/>
      <c r="M945" s="16"/>
      <c r="N945" s="16"/>
      <c r="O945" s="16"/>
      <c r="P945" s="16"/>
      <c r="Q945" s="16"/>
      <c r="R945" s="16"/>
      <c r="S945" s="16"/>
      <c r="T945" s="16"/>
      <c r="U945" s="16"/>
      <c r="V945" s="16"/>
      <c r="W945" s="16"/>
      <c r="X945" s="16"/>
      <c r="Y945" s="16"/>
    </row>
    <row r="946" spans="1:25" x14ac:dyDescent="0.2">
      <c r="A946" s="14"/>
      <c r="B946" s="6"/>
      <c r="C946" s="6"/>
      <c r="D946" s="16"/>
      <c r="E946" s="6"/>
      <c r="F946" s="16"/>
      <c r="G946" s="6"/>
      <c r="H946" s="16"/>
      <c r="I946" s="16"/>
      <c r="J946" s="16"/>
      <c r="K946" s="16"/>
      <c r="L946" s="16"/>
      <c r="M946" s="16"/>
      <c r="N946" s="16"/>
      <c r="O946" s="16"/>
      <c r="P946" s="16"/>
      <c r="Q946" s="16"/>
      <c r="R946" s="16"/>
      <c r="S946" s="16"/>
      <c r="T946" s="16"/>
      <c r="U946" s="16"/>
      <c r="V946" s="16"/>
      <c r="W946" s="16"/>
      <c r="X946" s="16"/>
      <c r="Y946" s="16"/>
    </row>
    <row r="947" spans="1:25" x14ac:dyDescent="0.2">
      <c r="A947" s="14"/>
      <c r="B947" s="6"/>
      <c r="C947" s="6"/>
      <c r="D947" s="16"/>
      <c r="E947" s="6"/>
      <c r="F947" s="16"/>
      <c r="G947" s="6"/>
      <c r="H947" s="16"/>
      <c r="I947" s="16"/>
      <c r="J947" s="16"/>
      <c r="K947" s="16"/>
      <c r="L947" s="16"/>
      <c r="M947" s="16"/>
      <c r="N947" s="16"/>
      <c r="O947" s="16"/>
      <c r="P947" s="16"/>
      <c r="Q947" s="16"/>
      <c r="R947" s="16"/>
      <c r="S947" s="16"/>
      <c r="T947" s="16"/>
      <c r="U947" s="16"/>
      <c r="V947" s="16"/>
      <c r="W947" s="16"/>
      <c r="X947" s="16"/>
      <c r="Y947" s="16"/>
    </row>
    <row r="948" spans="1:25" x14ac:dyDescent="0.2">
      <c r="A948" s="14"/>
      <c r="B948" s="6"/>
      <c r="C948" s="6"/>
      <c r="D948" s="16"/>
      <c r="E948" s="6"/>
      <c r="F948" s="16"/>
      <c r="G948" s="6"/>
      <c r="H948" s="16"/>
      <c r="I948" s="16"/>
      <c r="J948" s="16"/>
      <c r="K948" s="16"/>
      <c r="L948" s="16"/>
      <c r="M948" s="16"/>
      <c r="N948" s="16"/>
      <c r="O948" s="16"/>
      <c r="P948" s="16"/>
      <c r="Q948" s="16"/>
      <c r="R948" s="16"/>
      <c r="S948" s="16"/>
      <c r="T948" s="16"/>
      <c r="U948" s="16"/>
      <c r="V948" s="16"/>
      <c r="W948" s="16"/>
      <c r="X948" s="16"/>
      <c r="Y948" s="16"/>
    </row>
    <row r="949" spans="1:25" x14ac:dyDescent="0.2">
      <c r="A949" s="14"/>
      <c r="B949" s="6"/>
      <c r="C949" s="6"/>
      <c r="D949" s="16"/>
      <c r="E949" s="6"/>
      <c r="F949" s="16"/>
      <c r="G949" s="6"/>
      <c r="H949" s="16"/>
      <c r="I949" s="16"/>
      <c r="J949" s="16"/>
      <c r="K949" s="16"/>
      <c r="L949" s="16"/>
      <c r="M949" s="16"/>
      <c r="N949" s="16"/>
      <c r="O949" s="16"/>
      <c r="P949" s="16"/>
      <c r="Q949" s="16"/>
      <c r="R949" s="16"/>
      <c r="S949" s="16"/>
      <c r="T949" s="16"/>
      <c r="U949" s="16"/>
      <c r="V949" s="16"/>
      <c r="W949" s="16"/>
      <c r="X949" s="16"/>
      <c r="Y949" s="16"/>
    </row>
    <row r="950" spans="1:25" x14ac:dyDescent="0.2">
      <c r="A950" s="14"/>
      <c r="B950" s="6"/>
      <c r="C950" s="6"/>
      <c r="D950" s="16"/>
      <c r="E950" s="6"/>
      <c r="F950" s="16"/>
      <c r="G950" s="6"/>
      <c r="H950" s="16"/>
      <c r="I950" s="16"/>
      <c r="J950" s="16"/>
      <c r="K950" s="16"/>
      <c r="L950" s="16"/>
      <c r="M950" s="16"/>
      <c r="N950" s="16"/>
      <c r="O950" s="16"/>
      <c r="P950" s="16"/>
      <c r="Q950" s="16"/>
      <c r="R950" s="16"/>
      <c r="S950" s="16"/>
      <c r="T950" s="16"/>
      <c r="U950" s="16"/>
      <c r="V950" s="16"/>
      <c r="W950" s="16"/>
      <c r="X950" s="16"/>
      <c r="Y950" s="16"/>
    </row>
    <row r="951" spans="1:25" x14ac:dyDescent="0.2">
      <c r="A951" s="14"/>
      <c r="B951" s="6"/>
      <c r="C951" s="6"/>
      <c r="D951" s="16"/>
      <c r="E951" s="6"/>
      <c r="F951" s="16"/>
      <c r="G951" s="6"/>
      <c r="H951" s="16"/>
      <c r="I951" s="16"/>
      <c r="J951" s="16"/>
      <c r="K951" s="16"/>
      <c r="L951" s="16"/>
      <c r="M951" s="16"/>
      <c r="N951" s="16"/>
      <c r="O951" s="16"/>
      <c r="P951" s="16"/>
      <c r="Q951" s="16"/>
      <c r="R951" s="16"/>
      <c r="S951" s="16"/>
      <c r="T951" s="16"/>
      <c r="U951" s="16"/>
      <c r="V951" s="16"/>
      <c r="W951" s="16"/>
      <c r="X951" s="16"/>
      <c r="Y951" s="16"/>
    </row>
    <row r="952" spans="1:25" x14ac:dyDescent="0.2">
      <c r="A952" s="14"/>
      <c r="B952" s="6"/>
      <c r="C952" s="6"/>
      <c r="D952" s="16"/>
      <c r="E952" s="6"/>
      <c r="F952" s="16"/>
      <c r="G952" s="6"/>
      <c r="H952" s="16"/>
      <c r="I952" s="16"/>
      <c r="J952" s="16"/>
      <c r="K952" s="16"/>
      <c r="L952" s="16"/>
      <c r="M952" s="16"/>
      <c r="N952" s="16"/>
      <c r="O952" s="16"/>
      <c r="P952" s="16"/>
      <c r="Q952" s="16"/>
      <c r="R952" s="16"/>
      <c r="S952" s="16"/>
      <c r="T952" s="16"/>
      <c r="U952" s="16"/>
      <c r="V952" s="16"/>
      <c r="W952" s="16"/>
      <c r="X952" s="16"/>
      <c r="Y952" s="16"/>
    </row>
    <row r="953" spans="1:25" x14ac:dyDescent="0.2">
      <c r="A953" s="14"/>
      <c r="B953" s="6"/>
      <c r="C953" s="6"/>
      <c r="D953" s="16"/>
      <c r="E953" s="6"/>
      <c r="F953" s="16"/>
      <c r="G953" s="6"/>
      <c r="H953" s="16"/>
      <c r="I953" s="16"/>
      <c r="J953" s="16"/>
      <c r="K953" s="16"/>
      <c r="L953" s="16"/>
      <c r="M953" s="16"/>
      <c r="N953" s="16"/>
      <c r="O953" s="16"/>
      <c r="P953" s="16"/>
      <c r="Q953" s="16"/>
      <c r="R953" s="16"/>
      <c r="S953" s="16"/>
      <c r="T953" s="16"/>
      <c r="U953" s="16"/>
      <c r="V953" s="16"/>
      <c r="W953" s="16"/>
      <c r="X953" s="16"/>
      <c r="Y953" s="16"/>
    </row>
    <row r="954" spans="1:25" x14ac:dyDescent="0.2">
      <c r="A954" s="14"/>
      <c r="B954" s="6"/>
      <c r="C954" s="6"/>
      <c r="D954" s="16"/>
      <c r="E954" s="6"/>
      <c r="F954" s="16"/>
      <c r="G954" s="6"/>
      <c r="H954" s="16"/>
      <c r="I954" s="16"/>
      <c r="J954" s="16"/>
      <c r="K954" s="16"/>
      <c r="L954" s="16"/>
      <c r="M954" s="16"/>
      <c r="N954" s="16"/>
      <c r="O954" s="16"/>
      <c r="P954" s="16"/>
      <c r="Q954" s="16"/>
      <c r="R954" s="16"/>
      <c r="S954" s="16"/>
      <c r="T954" s="16"/>
      <c r="U954" s="16"/>
      <c r="V954" s="16"/>
      <c r="W954" s="16"/>
      <c r="X954" s="16"/>
      <c r="Y954" s="16"/>
    </row>
    <row r="955" spans="1:25" x14ac:dyDescent="0.2">
      <c r="A955" s="14"/>
      <c r="B955" s="6"/>
      <c r="C955" s="6"/>
      <c r="D955" s="16"/>
      <c r="E955" s="6"/>
      <c r="F955" s="16"/>
      <c r="G955" s="6"/>
      <c r="H955" s="16"/>
      <c r="I955" s="16"/>
      <c r="J955" s="16"/>
      <c r="K955" s="16"/>
      <c r="L955" s="16"/>
      <c r="M955" s="16"/>
      <c r="N955" s="16"/>
      <c r="O955" s="16"/>
      <c r="P955" s="16"/>
      <c r="Q955" s="16"/>
      <c r="R955" s="16"/>
      <c r="S955" s="16"/>
      <c r="T955" s="16"/>
      <c r="U955" s="16"/>
      <c r="V955" s="16"/>
      <c r="W955" s="16"/>
      <c r="X955" s="16"/>
      <c r="Y955" s="16"/>
    </row>
    <row r="956" spans="1:25" x14ac:dyDescent="0.2">
      <c r="A956" s="14"/>
      <c r="B956" s="6"/>
      <c r="C956" s="6"/>
      <c r="D956" s="16"/>
      <c r="E956" s="6"/>
      <c r="F956" s="16"/>
      <c r="G956" s="6"/>
      <c r="H956" s="16"/>
      <c r="I956" s="16"/>
      <c r="J956" s="16"/>
      <c r="K956" s="16"/>
      <c r="L956" s="16"/>
      <c r="M956" s="16"/>
      <c r="N956" s="16"/>
      <c r="O956" s="16"/>
      <c r="P956" s="16"/>
      <c r="Q956" s="16"/>
      <c r="R956" s="16"/>
      <c r="S956" s="16"/>
      <c r="T956" s="16"/>
      <c r="U956" s="16"/>
      <c r="V956" s="16"/>
      <c r="W956" s="16"/>
      <c r="X956" s="16"/>
      <c r="Y956" s="16"/>
    </row>
    <row r="957" spans="1:25" x14ac:dyDescent="0.2">
      <c r="A957" s="14"/>
      <c r="B957" s="6"/>
      <c r="C957" s="6"/>
      <c r="D957" s="16"/>
      <c r="E957" s="6"/>
      <c r="F957" s="16"/>
      <c r="G957" s="6"/>
      <c r="H957" s="16"/>
      <c r="I957" s="16"/>
      <c r="J957" s="16"/>
      <c r="K957" s="16"/>
      <c r="L957" s="16"/>
      <c r="M957" s="16"/>
      <c r="N957" s="16"/>
      <c r="O957" s="16"/>
      <c r="P957" s="16"/>
      <c r="Q957" s="16"/>
      <c r="R957" s="16"/>
      <c r="S957" s="16"/>
      <c r="T957" s="16"/>
      <c r="U957" s="16"/>
      <c r="V957" s="16"/>
      <c r="W957" s="16"/>
      <c r="X957" s="16"/>
      <c r="Y957" s="16"/>
    </row>
    <row r="958" spans="1:25" x14ac:dyDescent="0.2">
      <c r="A958" s="14"/>
      <c r="B958" s="6"/>
      <c r="C958" s="6"/>
      <c r="D958" s="16"/>
      <c r="E958" s="6"/>
      <c r="F958" s="16"/>
      <c r="G958" s="6"/>
      <c r="H958" s="16"/>
      <c r="I958" s="16"/>
      <c r="J958" s="16"/>
      <c r="K958" s="16"/>
      <c r="L958" s="16"/>
      <c r="M958" s="16"/>
      <c r="N958" s="16"/>
      <c r="O958" s="16"/>
      <c r="P958" s="16"/>
      <c r="Q958" s="16"/>
      <c r="R958" s="16"/>
      <c r="S958" s="16"/>
      <c r="T958" s="16"/>
      <c r="U958" s="16"/>
      <c r="V958" s="16"/>
      <c r="W958" s="16"/>
      <c r="X958" s="16"/>
      <c r="Y958" s="16"/>
    </row>
    <row r="959" spans="1:25" x14ac:dyDescent="0.2">
      <c r="A959" s="14"/>
      <c r="B959" s="6"/>
      <c r="C959" s="6"/>
      <c r="D959" s="16"/>
      <c r="E959" s="6"/>
      <c r="F959" s="16"/>
      <c r="G959" s="6"/>
      <c r="H959" s="16"/>
      <c r="I959" s="16"/>
      <c r="J959" s="16"/>
      <c r="K959" s="16"/>
      <c r="L959" s="16"/>
      <c r="M959" s="16"/>
      <c r="N959" s="16"/>
      <c r="O959" s="16"/>
      <c r="P959" s="16"/>
      <c r="Q959" s="16"/>
      <c r="R959" s="16"/>
      <c r="S959" s="16"/>
      <c r="T959" s="16"/>
      <c r="U959" s="16"/>
      <c r="V959" s="16"/>
      <c r="W959" s="16"/>
      <c r="X959" s="16"/>
      <c r="Y959" s="16"/>
    </row>
    <row r="960" spans="1:25" x14ac:dyDescent="0.2">
      <c r="A960" s="14"/>
      <c r="B960" s="6"/>
      <c r="C960" s="6"/>
      <c r="D960" s="16"/>
      <c r="E960" s="6"/>
      <c r="F960" s="16"/>
      <c r="G960" s="6"/>
      <c r="H960" s="16"/>
      <c r="I960" s="16"/>
      <c r="J960" s="16"/>
      <c r="K960" s="16"/>
      <c r="L960" s="16"/>
      <c r="M960" s="16"/>
      <c r="N960" s="16"/>
      <c r="O960" s="16"/>
      <c r="P960" s="16"/>
      <c r="Q960" s="16"/>
      <c r="R960" s="16"/>
      <c r="S960" s="16"/>
      <c r="T960" s="16"/>
      <c r="U960" s="16"/>
      <c r="V960" s="16"/>
      <c r="W960" s="16"/>
      <c r="X960" s="16"/>
      <c r="Y960" s="16"/>
    </row>
    <row r="961" spans="1:25" x14ac:dyDescent="0.2">
      <c r="A961" s="14"/>
      <c r="B961" s="6"/>
      <c r="C961" s="6"/>
      <c r="D961" s="16"/>
      <c r="E961" s="6"/>
      <c r="F961" s="16"/>
      <c r="G961" s="6"/>
      <c r="H961" s="16"/>
      <c r="I961" s="16"/>
      <c r="J961" s="16"/>
      <c r="K961" s="16"/>
      <c r="L961" s="16"/>
      <c r="M961" s="16"/>
      <c r="N961" s="16"/>
      <c r="O961" s="16"/>
      <c r="P961" s="16"/>
      <c r="Q961" s="16"/>
      <c r="R961" s="16"/>
      <c r="S961" s="16"/>
      <c r="T961" s="16"/>
      <c r="U961" s="16"/>
      <c r="V961" s="16"/>
      <c r="W961" s="16"/>
      <c r="X961" s="16"/>
      <c r="Y961" s="16"/>
    </row>
    <row r="962" spans="1:25" x14ac:dyDescent="0.2">
      <c r="A962" s="14"/>
      <c r="B962" s="6"/>
      <c r="C962" s="6"/>
      <c r="D962" s="16"/>
      <c r="E962" s="6"/>
      <c r="F962" s="16"/>
      <c r="G962" s="6"/>
      <c r="H962" s="16"/>
      <c r="I962" s="16"/>
      <c r="J962" s="16"/>
      <c r="K962" s="16"/>
      <c r="L962" s="16"/>
      <c r="M962" s="16"/>
      <c r="N962" s="16"/>
      <c r="O962" s="16"/>
      <c r="P962" s="16"/>
      <c r="Q962" s="16"/>
      <c r="R962" s="16"/>
      <c r="S962" s="16"/>
      <c r="T962" s="16"/>
      <c r="U962" s="16"/>
      <c r="V962" s="16"/>
      <c r="W962" s="16"/>
      <c r="X962" s="16"/>
      <c r="Y962" s="16"/>
    </row>
    <row r="963" spans="1:25" x14ac:dyDescent="0.2">
      <c r="A963" s="14"/>
      <c r="B963" s="6"/>
      <c r="C963" s="6"/>
      <c r="D963" s="16"/>
      <c r="E963" s="6"/>
      <c r="F963" s="16"/>
      <c r="G963" s="6"/>
      <c r="H963" s="16"/>
      <c r="I963" s="16"/>
      <c r="J963" s="16"/>
      <c r="K963" s="16"/>
      <c r="L963" s="16"/>
      <c r="M963" s="16"/>
      <c r="N963" s="16"/>
      <c r="O963" s="16"/>
      <c r="P963" s="16"/>
      <c r="Q963" s="16"/>
      <c r="R963" s="16"/>
      <c r="S963" s="16"/>
      <c r="T963" s="16"/>
      <c r="U963" s="16"/>
      <c r="V963" s="16"/>
      <c r="W963" s="16"/>
      <c r="X963" s="16"/>
      <c r="Y963" s="16"/>
    </row>
    <row r="964" spans="1:25" x14ac:dyDescent="0.2">
      <c r="A964" s="14"/>
      <c r="B964" s="6"/>
      <c r="C964" s="6"/>
      <c r="D964" s="16"/>
      <c r="E964" s="6"/>
      <c r="F964" s="16"/>
      <c r="G964" s="6"/>
      <c r="H964" s="16"/>
      <c r="I964" s="16"/>
      <c r="J964" s="16"/>
      <c r="K964" s="16"/>
      <c r="L964" s="16"/>
      <c r="M964" s="16"/>
      <c r="N964" s="16"/>
      <c r="O964" s="16"/>
      <c r="P964" s="16"/>
      <c r="Q964" s="16"/>
      <c r="R964" s="16"/>
      <c r="S964" s="16"/>
      <c r="T964" s="16"/>
      <c r="U964" s="16"/>
      <c r="V964" s="16"/>
      <c r="W964" s="16"/>
      <c r="X964" s="16"/>
      <c r="Y964" s="16"/>
    </row>
    <row r="965" spans="1:25" x14ac:dyDescent="0.2">
      <c r="A965" s="14"/>
      <c r="B965" s="6"/>
      <c r="C965" s="6"/>
      <c r="D965" s="16"/>
      <c r="E965" s="6"/>
      <c r="F965" s="16"/>
      <c r="G965" s="6"/>
      <c r="H965" s="16"/>
      <c r="I965" s="16"/>
      <c r="J965" s="16"/>
      <c r="K965" s="16"/>
      <c r="L965" s="16"/>
      <c r="M965" s="16"/>
      <c r="N965" s="16"/>
      <c r="O965" s="16"/>
      <c r="P965" s="16"/>
      <c r="Q965" s="16"/>
      <c r="R965" s="16"/>
      <c r="S965" s="16"/>
      <c r="T965" s="16"/>
      <c r="U965" s="16"/>
      <c r="V965" s="16"/>
      <c r="W965" s="16"/>
      <c r="X965" s="16"/>
      <c r="Y965" s="16"/>
    </row>
    <row r="966" spans="1:25" x14ac:dyDescent="0.2">
      <c r="A966" s="14"/>
      <c r="B966" s="6"/>
      <c r="C966" s="6"/>
      <c r="D966" s="16"/>
      <c r="E966" s="6"/>
      <c r="F966" s="16"/>
      <c r="G966" s="6"/>
      <c r="H966" s="16"/>
      <c r="I966" s="16"/>
      <c r="J966" s="16"/>
      <c r="K966" s="16"/>
      <c r="L966" s="16"/>
      <c r="M966" s="16"/>
      <c r="N966" s="16"/>
      <c r="O966" s="16"/>
      <c r="P966" s="16"/>
      <c r="Q966" s="16"/>
      <c r="R966" s="16"/>
      <c r="S966" s="16"/>
      <c r="T966" s="16"/>
      <c r="U966" s="16"/>
      <c r="V966" s="16"/>
      <c r="W966" s="16"/>
      <c r="X966" s="16"/>
      <c r="Y966" s="16"/>
    </row>
    <row r="967" spans="1:25" x14ac:dyDescent="0.2">
      <c r="A967" s="14"/>
      <c r="B967" s="6"/>
      <c r="C967" s="6"/>
      <c r="D967" s="16"/>
      <c r="E967" s="6"/>
      <c r="F967" s="16"/>
      <c r="G967" s="6"/>
      <c r="H967" s="16"/>
      <c r="I967" s="16"/>
      <c r="J967" s="16"/>
      <c r="K967" s="16"/>
      <c r="L967" s="16"/>
      <c r="M967" s="16"/>
      <c r="N967" s="16"/>
      <c r="O967" s="16"/>
      <c r="P967" s="16"/>
      <c r="Q967" s="16"/>
      <c r="R967" s="16"/>
      <c r="S967" s="16"/>
      <c r="T967" s="16"/>
      <c r="U967" s="16"/>
      <c r="V967" s="16"/>
      <c r="W967" s="16"/>
      <c r="X967" s="16"/>
      <c r="Y967" s="16"/>
    </row>
    <row r="968" spans="1:25" x14ac:dyDescent="0.2">
      <c r="A968" s="14"/>
      <c r="B968" s="6"/>
      <c r="C968" s="6"/>
      <c r="D968" s="16"/>
      <c r="E968" s="6"/>
      <c r="F968" s="16"/>
      <c r="G968" s="6"/>
      <c r="H968" s="16"/>
      <c r="I968" s="16"/>
      <c r="J968" s="16"/>
      <c r="K968" s="16"/>
      <c r="L968" s="16"/>
      <c r="M968" s="16"/>
      <c r="N968" s="16"/>
      <c r="O968" s="16"/>
      <c r="P968" s="16"/>
      <c r="Q968" s="16"/>
      <c r="R968" s="16"/>
      <c r="S968" s="16"/>
      <c r="T968" s="16"/>
      <c r="U968" s="16"/>
      <c r="V968" s="16"/>
      <c r="W968" s="16"/>
      <c r="X968" s="16"/>
      <c r="Y968" s="16"/>
    </row>
    <row r="969" spans="1:25" x14ac:dyDescent="0.2">
      <c r="A969" s="14"/>
      <c r="B969" s="6"/>
      <c r="C969" s="6"/>
      <c r="D969" s="16"/>
      <c r="E969" s="6"/>
      <c r="F969" s="16"/>
      <c r="G969" s="6"/>
      <c r="H969" s="16"/>
      <c r="I969" s="16"/>
      <c r="J969" s="16"/>
      <c r="K969" s="16"/>
      <c r="L969" s="16"/>
      <c r="M969" s="16"/>
      <c r="N969" s="16"/>
      <c r="O969" s="16"/>
      <c r="P969" s="16"/>
      <c r="Q969" s="16"/>
      <c r="R969" s="16"/>
      <c r="S969" s="16"/>
      <c r="T969" s="16"/>
      <c r="U969" s="16"/>
      <c r="V969" s="16"/>
      <c r="W969" s="16"/>
      <c r="X969" s="16"/>
      <c r="Y969" s="16"/>
    </row>
    <row r="970" spans="1:25" x14ac:dyDescent="0.2">
      <c r="A970" s="14"/>
      <c r="B970" s="6"/>
      <c r="C970" s="6"/>
      <c r="D970" s="16"/>
      <c r="E970" s="6"/>
      <c r="F970" s="16"/>
      <c r="G970" s="6"/>
      <c r="H970" s="16"/>
      <c r="I970" s="16"/>
      <c r="J970" s="16"/>
      <c r="K970" s="16"/>
      <c r="L970" s="16"/>
      <c r="M970" s="16"/>
      <c r="N970" s="16"/>
      <c r="O970" s="16"/>
      <c r="P970" s="16"/>
      <c r="Q970" s="16"/>
      <c r="R970" s="16"/>
      <c r="S970" s="16"/>
      <c r="T970" s="16"/>
      <c r="U970" s="16"/>
      <c r="V970" s="16"/>
      <c r="W970" s="16"/>
      <c r="X970" s="16"/>
      <c r="Y970" s="16"/>
    </row>
    <row r="971" spans="1:25" x14ac:dyDescent="0.2">
      <c r="A971" s="14"/>
      <c r="B971" s="6"/>
      <c r="C971" s="6"/>
      <c r="D971" s="16"/>
      <c r="E971" s="6"/>
      <c r="F971" s="16"/>
      <c r="G971" s="6"/>
      <c r="H971" s="16"/>
      <c r="I971" s="16"/>
      <c r="J971" s="16"/>
      <c r="K971" s="16"/>
      <c r="L971" s="16"/>
      <c r="M971" s="16"/>
      <c r="N971" s="16"/>
      <c r="O971" s="16"/>
      <c r="P971" s="16"/>
      <c r="Q971" s="16"/>
      <c r="R971" s="16"/>
      <c r="S971" s="16"/>
      <c r="T971" s="16"/>
      <c r="U971" s="16"/>
      <c r="V971" s="16"/>
      <c r="W971" s="16"/>
      <c r="X971" s="16"/>
      <c r="Y971" s="16"/>
    </row>
    <row r="972" spans="1:25" x14ac:dyDescent="0.2">
      <c r="A972" s="14"/>
      <c r="B972" s="6"/>
      <c r="C972" s="6"/>
      <c r="D972" s="16"/>
      <c r="E972" s="6"/>
      <c r="F972" s="16"/>
      <c r="G972" s="6"/>
      <c r="H972" s="16"/>
      <c r="I972" s="16"/>
      <c r="J972" s="16"/>
      <c r="K972" s="16"/>
      <c r="L972" s="16"/>
      <c r="M972" s="16"/>
      <c r="N972" s="16"/>
      <c r="O972" s="16"/>
      <c r="P972" s="16"/>
      <c r="Q972" s="16"/>
      <c r="R972" s="16"/>
      <c r="S972" s="16"/>
      <c r="T972" s="16"/>
      <c r="U972" s="16"/>
      <c r="V972" s="16"/>
      <c r="W972" s="16"/>
      <c r="X972" s="16"/>
      <c r="Y972" s="16"/>
    </row>
    <row r="973" spans="1:25" x14ac:dyDescent="0.2">
      <c r="A973" s="14"/>
      <c r="B973" s="6"/>
      <c r="C973" s="6"/>
      <c r="D973" s="16"/>
      <c r="E973" s="6"/>
      <c r="F973" s="16"/>
      <c r="G973" s="6"/>
      <c r="H973" s="16"/>
      <c r="I973" s="16"/>
      <c r="J973" s="16"/>
      <c r="K973" s="16"/>
      <c r="L973" s="16"/>
      <c r="M973" s="16"/>
      <c r="N973" s="16"/>
      <c r="O973" s="16"/>
      <c r="P973" s="16"/>
      <c r="Q973" s="16"/>
      <c r="R973" s="16"/>
      <c r="S973" s="16"/>
      <c r="T973" s="16"/>
      <c r="U973" s="16"/>
      <c r="V973" s="16"/>
      <c r="W973" s="16"/>
      <c r="X973" s="16"/>
      <c r="Y973" s="16"/>
    </row>
    <row r="974" spans="1:25" x14ac:dyDescent="0.2">
      <c r="A974" s="14"/>
      <c r="B974" s="6"/>
      <c r="C974" s="6"/>
      <c r="D974" s="16"/>
      <c r="E974" s="6"/>
      <c r="F974" s="16"/>
      <c r="G974" s="6"/>
      <c r="H974" s="16"/>
      <c r="I974" s="16"/>
      <c r="J974" s="16"/>
      <c r="K974" s="16"/>
      <c r="L974" s="16"/>
      <c r="M974" s="16"/>
      <c r="N974" s="16"/>
      <c r="O974" s="16"/>
      <c r="P974" s="16"/>
      <c r="Q974" s="16"/>
      <c r="R974" s="16"/>
      <c r="S974" s="16"/>
      <c r="T974" s="16"/>
      <c r="U974" s="16"/>
      <c r="V974" s="16"/>
      <c r="W974" s="16"/>
      <c r="X974" s="16"/>
      <c r="Y974" s="16"/>
    </row>
    <row r="975" spans="1:25" x14ac:dyDescent="0.2">
      <c r="A975" s="14"/>
      <c r="B975" s="6"/>
      <c r="C975" s="6"/>
      <c r="D975" s="16"/>
      <c r="E975" s="6"/>
      <c r="F975" s="16"/>
      <c r="G975" s="6"/>
      <c r="H975" s="16"/>
      <c r="I975" s="16"/>
      <c r="J975" s="16"/>
      <c r="K975" s="16"/>
      <c r="L975" s="16"/>
      <c r="M975" s="16"/>
      <c r="N975" s="16"/>
      <c r="O975" s="16"/>
      <c r="P975" s="16"/>
      <c r="Q975" s="16"/>
      <c r="R975" s="16"/>
      <c r="S975" s="16"/>
      <c r="T975" s="16"/>
      <c r="U975" s="16"/>
      <c r="V975" s="16"/>
      <c r="W975" s="16"/>
      <c r="X975" s="16"/>
      <c r="Y975" s="16"/>
    </row>
    <row r="976" spans="1:25" x14ac:dyDescent="0.2">
      <c r="A976" s="14"/>
      <c r="B976" s="6"/>
      <c r="C976" s="6"/>
      <c r="D976" s="16"/>
      <c r="E976" s="6"/>
      <c r="F976" s="16"/>
      <c r="G976" s="6"/>
      <c r="H976" s="16"/>
      <c r="I976" s="16"/>
      <c r="J976" s="16"/>
      <c r="K976" s="16"/>
      <c r="L976" s="16"/>
      <c r="M976" s="16"/>
      <c r="N976" s="16"/>
      <c r="O976" s="16"/>
      <c r="P976" s="16"/>
      <c r="Q976" s="16"/>
      <c r="R976" s="16"/>
      <c r="S976" s="16"/>
      <c r="T976" s="16"/>
      <c r="U976" s="16"/>
      <c r="V976" s="16"/>
      <c r="W976" s="16"/>
      <c r="X976" s="16"/>
      <c r="Y976" s="16"/>
    </row>
    <row r="977" spans="1:25" x14ac:dyDescent="0.2">
      <c r="A977" s="14"/>
      <c r="B977" s="6"/>
      <c r="C977" s="6"/>
      <c r="D977" s="16"/>
      <c r="E977" s="6"/>
      <c r="F977" s="16"/>
      <c r="G977" s="6"/>
      <c r="H977" s="16"/>
      <c r="I977" s="16"/>
      <c r="J977" s="16"/>
      <c r="K977" s="16"/>
      <c r="L977" s="16"/>
      <c r="M977" s="16"/>
      <c r="N977" s="16"/>
      <c r="O977" s="16"/>
      <c r="P977" s="16"/>
      <c r="Q977" s="16"/>
      <c r="R977" s="16"/>
      <c r="S977" s="16"/>
      <c r="T977" s="16"/>
      <c r="U977" s="16"/>
      <c r="V977" s="16"/>
      <c r="W977" s="16"/>
      <c r="X977" s="16"/>
      <c r="Y977" s="16"/>
    </row>
    <row r="978" spans="1:25" x14ac:dyDescent="0.2">
      <c r="A978" s="14"/>
      <c r="B978" s="6"/>
      <c r="C978" s="6"/>
      <c r="D978" s="16"/>
      <c r="E978" s="6"/>
      <c r="F978" s="16"/>
      <c r="G978" s="6"/>
      <c r="H978" s="16"/>
      <c r="I978" s="16"/>
      <c r="J978" s="16"/>
      <c r="K978" s="16"/>
      <c r="L978" s="16"/>
      <c r="M978" s="16"/>
      <c r="N978" s="16"/>
      <c r="O978" s="16"/>
      <c r="P978" s="16"/>
      <c r="Q978" s="16"/>
      <c r="R978" s="16"/>
      <c r="S978" s="16"/>
      <c r="T978" s="16"/>
      <c r="U978" s="16"/>
      <c r="V978" s="16"/>
      <c r="W978" s="16"/>
      <c r="X978" s="16"/>
      <c r="Y978" s="16"/>
    </row>
    <row r="979" spans="1:25" x14ac:dyDescent="0.2">
      <c r="A979" s="14"/>
      <c r="B979" s="6"/>
      <c r="C979" s="6"/>
      <c r="D979" s="16"/>
      <c r="E979" s="6"/>
      <c r="F979" s="16"/>
      <c r="G979" s="6"/>
      <c r="H979" s="16"/>
      <c r="I979" s="16"/>
      <c r="J979" s="16"/>
      <c r="K979" s="16"/>
      <c r="L979" s="16"/>
      <c r="M979" s="16"/>
      <c r="N979" s="16"/>
      <c r="O979" s="16"/>
      <c r="P979" s="16"/>
      <c r="Q979" s="16"/>
      <c r="R979" s="16"/>
      <c r="S979" s="16"/>
      <c r="T979" s="16"/>
      <c r="U979" s="16"/>
      <c r="V979" s="16"/>
      <c r="W979" s="16"/>
      <c r="X979" s="16"/>
      <c r="Y979" s="16"/>
    </row>
    <row r="980" spans="1:25" x14ac:dyDescent="0.2">
      <c r="A980" s="14"/>
      <c r="B980" s="6"/>
      <c r="C980" s="6"/>
      <c r="D980" s="16"/>
      <c r="E980" s="6"/>
      <c r="F980" s="16"/>
      <c r="G980" s="6"/>
      <c r="H980" s="16"/>
      <c r="I980" s="16"/>
      <c r="J980" s="16"/>
      <c r="K980" s="16"/>
      <c r="L980" s="16"/>
      <c r="M980" s="16"/>
      <c r="N980" s="16"/>
      <c r="O980" s="16"/>
      <c r="P980" s="16"/>
      <c r="Q980" s="16"/>
      <c r="R980" s="16"/>
      <c r="S980" s="16"/>
      <c r="T980" s="16"/>
      <c r="U980" s="16"/>
      <c r="V980" s="16"/>
      <c r="W980" s="16"/>
      <c r="X980" s="16"/>
      <c r="Y980" s="16"/>
    </row>
    <row r="981" spans="1:25" x14ac:dyDescent="0.2">
      <c r="A981" s="14"/>
      <c r="B981" s="6"/>
      <c r="C981" s="6"/>
      <c r="D981" s="16"/>
      <c r="E981" s="6"/>
      <c r="F981" s="16"/>
      <c r="G981" s="6"/>
      <c r="H981" s="16"/>
      <c r="I981" s="16"/>
      <c r="J981" s="16"/>
      <c r="K981" s="16"/>
      <c r="L981" s="16"/>
      <c r="M981" s="16"/>
      <c r="N981" s="16"/>
      <c r="O981" s="16"/>
      <c r="P981" s="16"/>
      <c r="Q981" s="16"/>
      <c r="R981" s="16"/>
      <c r="S981" s="16"/>
      <c r="T981" s="16"/>
      <c r="U981" s="16"/>
      <c r="V981" s="16"/>
      <c r="W981" s="16"/>
      <c r="X981" s="16"/>
      <c r="Y981" s="16"/>
    </row>
    <row r="982" spans="1:25" x14ac:dyDescent="0.2">
      <c r="A982" s="14"/>
      <c r="B982" s="6"/>
      <c r="C982" s="6"/>
      <c r="D982" s="16"/>
      <c r="E982" s="6"/>
      <c r="F982" s="16"/>
      <c r="G982" s="6"/>
      <c r="H982" s="16"/>
      <c r="I982" s="16"/>
      <c r="J982" s="16"/>
      <c r="K982" s="16"/>
      <c r="L982" s="16"/>
      <c r="M982" s="16"/>
      <c r="N982" s="16"/>
      <c r="O982" s="16"/>
      <c r="P982" s="16"/>
      <c r="Q982" s="16"/>
      <c r="R982" s="16"/>
      <c r="S982" s="16"/>
      <c r="T982" s="16"/>
      <c r="U982" s="16"/>
      <c r="V982" s="16"/>
      <c r="W982" s="16"/>
      <c r="X982" s="16"/>
      <c r="Y982" s="16"/>
    </row>
    <row r="983" spans="1:25" x14ac:dyDescent="0.2">
      <c r="A983" s="14"/>
      <c r="B983" s="6"/>
      <c r="C983" s="6"/>
      <c r="D983" s="16"/>
      <c r="E983" s="6"/>
      <c r="F983" s="16"/>
      <c r="G983" s="6"/>
      <c r="H983" s="16"/>
      <c r="I983" s="16"/>
      <c r="J983" s="16"/>
      <c r="K983" s="16"/>
      <c r="L983" s="16"/>
      <c r="M983" s="16"/>
      <c r="N983" s="16"/>
      <c r="O983" s="16"/>
      <c r="P983" s="16"/>
      <c r="Q983" s="16"/>
      <c r="R983" s="16"/>
      <c r="S983" s="16"/>
      <c r="T983" s="16"/>
      <c r="U983" s="16"/>
      <c r="V983" s="16"/>
      <c r="W983" s="16"/>
      <c r="X983" s="16"/>
      <c r="Y983" s="16"/>
    </row>
    <row r="984" spans="1:25" x14ac:dyDescent="0.2">
      <c r="A984" s="14"/>
      <c r="B984" s="6"/>
      <c r="C984" s="6"/>
      <c r="D984" s="16"/>
      <c r="E984" s="6"/>
      <c r="F984" s="16"/>
      <c r="G984" s="6"/>
      <c r="H984" s="16"/>
      <c r="I984" s="16"/>
      <c r="J984" s="16"/>
      <c r="K984" s="16"/>
      <c r="L984" s="16"/>
      <c r="M984" s="16"/>
      <c r="N984" s="16"/>
      <c r="O984" s="16"/>
      <c r="P984" s="16"/>
      <c r="Q984" s="16"/>
      <c r="R984" s="16"/>
      <c r="S984" s="16"/>
      <c r="T984" s="16"/>
      <c r="U984" s="16"/>
      <c r="V984" s="16"/>
      <c r="W984" s="16"/>
      <c r="X984" s="16"/>
      <c r="Y984" s="16"/>
    </row>
    <row r="985" spans="1:25" x14ac:dyDescent="0.2">
      <c r="A985" s="14"/>
      <c r="B985" s="6"/>
      <c r="C985" s="6"/>
      <c r="D985" s="16"/>
      <c r="E985" s="6"/>
      <c r="F985" s="16"/>
      <c r="G985" s="6"/>
      <c r="H985" s="16"/>
      <c r="I985" s="16"/>
      <c r="J985" s="16"/>
      <c r="K985" s="16"/>
      <c r="L985" s="16"/>
      <c r="M985" s="16"/>
      <c r="N985" s="16"/>
      <c r="O985" s="16"/>
      <c r="P985" s="16"/>
      <c r="Q985" s="16"/>
      <c r="R985" s="16"/>
      <c r="S985" s="16"/>
      <c r="T985" s="16"/>
      <c r="U985" s="16"/>
      <c r="V985" s="16"/>
      <c r="W985" s="16"/>
      <c r="X985" s="16"/>
      <c r="Y985" s="16"/>
    </row>
    <row r="986" spans="1:25" x14ac:dyDescent="0.2">
      <c r="A986" s="14"/>
      <c r="B986" s="6"/>
      <c r="C986" s="6"/>
      <c r="D986" s="16"/>
      <c r="E986" s="6"/>
      <c r="F986" s="16"/>
      <c r="G986" s="6"/>
      <c r="H986" s="16"/>
      <c r="I986" s="16"/>
      <c r="J986" s="16"/>
      <c r="K986" s="16"/>
      <c r="L986" s="16"/>
      <c r="M986" s="16"/>
      <c r="N986" s="16"/>
      <c r="O986" s="16"/>
      <c r="P986" s="16"/>
      <c r="Q986" s="16"/>
      <c r="R986" s="16"/>
      <c r="S986" s="16"/>
      <c r="T986" s="16"/>
      <c r="U986" s="16"/>
      <c r="V986" s="16"/>
      <c r="W986" s="16"/>
      <c r="X986" s="16"/>
      <c r="Y986" s="16"/>
    </row>
    <row r="987" spans="1:25" x14ac:dyDescent="0.2">
      <c r="A987" s="14"/>
      <c r="B987" s="6"/>
      <c r="C987" s="6"/>
      <c r="D987" s="16"/>
      <c r="E987" s="6"/>
      <c r="F987" s="16"/>
      <c r="G987" s="6"/>
      <c r="H987" s="16"/>
      <c r="I987" s="16"/>
      <c r="J987" s="16"/>
      <c r="K987" s="16"/>
      <c r="L987" s="16"/>
      <c r="M987" s="16"/>
      <c r="N987" s="16"/>
      <c r="O987" s="16"/>
      <c r="P987" s="16"/>
      <c r="Q987" s="16"/>
      <c r="R987" s="16"/>
      <c r="S987" s="16"/>
      <c r="T987" s="16"/>
      <c r="U987" s="16"/>
      <c r="V987" s="16"/>
      <c r="W987" s="16"/>
      <c r="X987" s="16"/>
      <c r="Y987" s="16"/>
    </row>
    <row r="988" spans="1:25" x14ac:dyDescent="0.2">
      <c r="A988" s="14"/>
      <c r="B988" s="6"/>
      <c r="C988" s="6"/>
      <c r="D988" s="16"/>
      <c r="E988" s="6"/>
      <c r="F988" s="16"/>
      <c r="G988" s="6"/>
      <c r="H988" s="16"/>
      <c r="I988" s="16"/>
      <c r="J988" s="16"/>
      <c r="K988" s="16"/>
      <c r="L988" s="16"/>
      <c r="M988" s="16"/>
      <c r="N988" s="16"/>
      <c r="O988" s="16"/>
      <c r="P988" s="16"/>
      <c r="Q988" s="16"/>
      <c r="R988" s="16"/>
      <c r="S988" s="16"/>
      <c r="T988" s="16"/>
      <c r="U988" s="16"/>
      <c r="V988" s="16"/>
      <c r="W988" s="16"/>
      <c r="X988" s="16"/>
      <c r="Y988" s="16"/>
    </row>
    <row r="989" spans="1:25" x14ac:dyDescent="0.2">
      <c r="A989" s="14"/>
      <c r="B989" s="6"/>
      <c r="C989" s="6"/>
      <c r="D989" s="16"/>
      <c r="E989" s="6"/>
      <c r="F989" s="16"/>
      <c r="G989" s="6"/>
      <c r="H989" s="16"/>
      <c r="I989" s="16"/>
      <c r="J989" s="16"/>
      <c r="K989" s="16"/>
      <c r="L989" s="16"/>
      <c r="M989" s="16"/>
      <c r="N989" s="16"/>
      <c r="O989" s="16"/>
      <c r="P989" s="16"/>
      <c r="Q989" s="16"/>
      <c r="R989" s="16"/>
      <c r="S989" s="16"/>
      <c r="T989" s="16"/>
      <c r="U989" s="16"/>
      <c r="V989" s="16"/>
      <c r="W989" s="16"/>
      <c r="X989" s="16"/>
      <c r="Y989" s="16"/>
    </row>
    <row r="990" spans="1:25" x14ac:dyDescent="0.2">
      <c r="A990" s="14"/>
      <c r="B990" s="6"/>
      <c r="C990" s="6"/>
      <c r="D990" s="16"/>
      <c r="E990" s="6"/>
      <c r="F990" s="16"/>
      <c r="G990" s="6"/>
      <c r="H990" s="16"/>
      <c r="I990" s="16"/>
      <c r="J990" s="16"/>
      <c r="K990" s="16"/>
      <c r="L990" s="16"/>
      <c r="M990" s="16"/>
      <c r="N990" s="16"/>
      <c r="O990" s="16"/>
      <c r="P990" s="16"/>
      <c r="Q990" s="16"/>
      <c r="R990" s="16"/>
      <c r="S990" s="16"/>
      <c r="T990" s="16"/>
      <c r="U990" s="16"/>
      <c r="V990" s="16"/>
      <c r="W990" s="16"/>
      <c r="X990" s="16"/>
      <c r="Y990" s="16"/>
    </row>
    <row r="991" spans="1:25" x14ac:dyDescent="0.2">
      <c r="A991" s="14"/>
      <c r="B991" s="6"/>
      <c r="C991" s="6"/>
      <c r="D991" s="16"/>
      <c r="E991" s="6"/>
      <c r="F991" s="16"/>
      <c r="G991" s="6"/>
      <c r="H991" s="16"/>
      <c r="I991" s="16"/>
      <c r="J991" s="16"/>
      <c r="K991" s="16"/>
      <c r="L991" s="16"/>
      <c r="M991" s="16"/>
      <c r="N991" s="16"/>
      <c r="O991" s="16"/>
      <c r="P991" s="16"/>
      <c r="Q991" s="16"/>
      <c r="R991" s="16"/>
      <c r="S991" s="16"/>
      <c r="T991" s="16"/>
      <c r="U991" s="16"/>
      <c r="V991" s="16"/>
      <c r="W991" s="16"/>
      <c r="X991" s="16"/>
      <c r="Y991" s="16"/>
    </row>
    <row r="992" spans="1:25" x14ac:dyDescent="0.2">
      <c r="A992" s="14"/>
      <c r="B992" s="6"/>
      <c r="C992" s="6"/>
      <c r="D992" s="16"/>
      <c r="E992" s="6"/>
      <c r="F992" s="16"/>
      <c r="G992" s="6"/>
      <c r="H992" s="16"/>
      <c r="I992" s="16"/>
      <c r="J992" s="16"/>
      <c r="K992" s="16"/>
      <c r="L992" s="16"/>
      <c r="M992" s="16"/>
      <c r="N992" s="16"/>
      <c r="O992" s="16"/>
      <c r="P992" s="16"/>
      <c r="Q992" s="16"/>
      <c r="R992" s="16"/>
      <c r="S992" s="16"/>
      <c r="T992" s="16"/>
      <c r="U992" s="16"/>
      <c r="V992" s="16"/>
      <c r="W992" s="16"/>
      <c r="X992" s="16"/>
      <c r="Y992" s="16"/>
    </row>
    <row r="993" spans="1:25" x14ac:dyDescent="0.2">
      <c r="A993" s="14"/>
      <c r="B993" s="6"/>
      <c r="C993" s="6"/>
      <c r="D993" s="16"/>
      <c r="E993" s="6"/>
      <c r="F993" s="16"/>
      <c r="G993" s="6"/>
      <c r="H993" s="16"/>
      <c r="I993" s="16"/>
      <c r="J993" s="16"/>
      <c r="K993" s="16"/>
      <c r="L993" s="16"/>
      <c r="M993" s="16"/>
      <c r="N993" s="16"/>
      <c r="O993" s="16"/>
      <c r="P993" s="16"/>
      <c r="Q993" s="16"/>
      <c r="R993" s="16"/>
      <c r="S993" s="16"/>
      <c r="T993" s="16"/>
      <c r="U993" s="16"/>
      <c r="V993" s="16"/>
      <c r="W993" s="16"/>
      <c r="X993" s="16"/>
      <c r="Y993" s="16"/>
    </row>
    <row r="994" spans="1:25" x14ac:dyDescent="0.2">
      <c r="A994" s="14"/>
      <c r="B994" s="6"/>
      <c r="C994" s="6"/>
      <c r="D994" s="16"/>
      <c r="E994" s="6"/>
      <c r="F994" s="16"/>
      <c r="G994" s="6"/>
      <c r="H994" s="16"/>
      <c r="I994" s="16"/>
      <c r="J994" s="16"/>
      <c r="K994" s="16"/>
      <c r="L994" s="16"/>
      <c r="M994" s="16"/>
      <c r="N994" s="16"/>
      <c r="O994" s="16"/>
      <c r="P994" s="16"/>
      <c r="Q994" s="16"/>
      <c r="R994" s="16"/>
      <c r="S994" s="16"/>
      <c r="T994" s="16"/>
      <c r="U994" s="16"/>
      <c r="V994" s="16"/>
      <c r="W994" s="16"/>
      <c r="X994" s="16"/>
      <c r="Y994" s="16"/>
    </row>
    <row r="995" spans="1:25" x14ac:dyDescent="0.2">
      <c r="A995" s="14"/>
      <c r="B995" s="6"/>
      <c r="C995" s="6"/>
      <c r="D995" s="16"/>
      <c r="E995" s="6"/>
      <c r="F995" s="16"/>
      <c r="G995" s="6"/>
      <c r="H995" s="16"/>
      <c r="I995" s="16"/>
      <c r="J995" s="16"/>
      <c r="K995" s="16"/>
      <c r="L995" s="16"/>
      <c r="M995" s="16"/>
      <c r="N995" s="16"/>
      <c r="O995" s="16"/>
      <c r="P995" s="16"/>
      <c r="Q995" s="16"/>
      <c r="R995" s="16"/>
      <c r="S995" s="16"/>
      <c r="T995" s="16"/>
      <c r="U995" s="16"/>
      <c r="V995" s="16"/>
      <c r="W995" s="16"/>
      <c r="X995" s="16"/>
      <c r="Y995" s="16"/>
    </row>
    <row r="996" spans="1:25" x14ac:dyDescent="0.2">
      <c r="A996" s="14"/>
      <c r="B996" s="6"/>
      <c r="C996" s="6"/>
      <c r="D996" s="16"/>
      <c r="E996" s="6"/>
      <c r="F996" s="16"/>
      <c r="G996" s="6"/>
      <c r="H996" s="16"/>
      <c r="I996" s="16"/>
      <c r="J996" s="16"/>
      <c r="K996" s="16"/>
      <c r="L996" s="16"/>
      <c r="M996" s="16"/>
      <c r="N996" s="16"/>
      <c r="O996" s="16"/>
      <c r="P996" s="16"/>
      <c r="Q996" s="16"/>
      <c r="R996" s="16"/>
      <c r="S996" s="16"/>
      <c r="T996" s="16"/>
      <c r="U996" s="16"/>
      <c r="V996" s="16"/>
      <c r="W996" s="16"/>
      <c r="X996" s="16"/>
      <c r="Y996" s="16"/>
    </row>
    <row r="997" spans="1:25" x14ac:dyDescent="0.2">
      <c r="A997" s="14"/>
      <c r="B997" s="6"/>
      <c r="C997" s="6"/>
      <c r="D997" s="16"/>
      <c r="E997" s="6"/>
      <c r="F997" s="16"/>
      <c r="G997" s="6"/>
      <c r="H997" s="16"/>
      <c r="I997" s="16"/>
      <c r="J997" s="16"/>
      <c r="K997" s="16"/>
      <c r="L997" s="16"/>
      <c r="M997" s="16"/>
      <c r="N997" s="16"/>
      <c r="O997" s="16"/>
      <c r="P997" s="16"/>
      <c r="Q997" s="16"/>
      <c r="R997" s="16"/>
      <c r="S997" s="16"/>
      <c r="T997" s="16"/>
      <c r="U997" s="16"/>
      <c r="V997" s="16"/>
      <c r="W997" s="16"/>
      <c r="X997" s="16"/>
      <c r="Y997" s="16"/>
    </row>
    <row r="998" spans="1:25" x14ac:dyDescent="0.2">
      <c r="A998" s="14"/>
      <c r="B998" s="6"/>
      <c r="C998" s="6"/>
      <c r="D998" s="16"/>
      <c r="E998" s="6"/>
      <c r="F998" s="16"/>
      <c r="G998" s="6"/>
      <c r="H998" s="16"/>
      <c r="I998" s="16"/>
      <c r="J998" s="16"/>
      <c r="K998" s="16"/>
      <c r="L998" s="16"/>
      <c r="M998" s="16"/>
      <c r="N998" s="16"/>
      <c r="O998" s="16"/>
      <c r="P998" s="16"/>
      <c r="Q998" s="16"/>
      <c r="R998" s="16"/>
      <c r="S998" s="16"/>
      <c r="T998" s="16"/>
      <c r="U998" s="16"/>
      <c r="V998" s="16"/>
      <c r="W998" s="16"/>
      <c r="X998" s="16"/>
      <c r="Y998" s="16"/>
    </row>
    <row r="999" spans="1:25" x14ac:dyDescent="0.2">
      <c r="A999" s="14"/>
      <c r="B999" s="6"/>
      <c r="C999" s="6"/>
      <c r="D999" s="16"/>
      <c r="E999" s="6"/>
      <c r="F999" s="16"/>
      <c r="G999" s="6"/>
      <c r="H999" s="16"/>
      <c r="I999" s="16"/>
      <c r="J999" s="16"/>
      <c r="K999" s="16"/>
      <c r="L999" s="16"/>
      <c r="M999" s="16"/>
      <c r="N999" s="16"/>
      <c r="O999" s="16"/>
      <c r="P999" s="16"/>
      <c r="Q999" s="16"/>
      <c r="R999" s="16"/>
      <c r="S999" s="16"/>
      <c r="T999" s="16"/>
      <c r="U999" s="16"/>
      <c r="V999" s="16"/>
      <c r="W999" s="16"/>
      <c r="X999" s="16"/>
      <c r="Y999" s="16"/>
    </row>
    <row r="1000" spans="1:25" x14ac:dyDescent="0.2">
      <c r="A1000" s="14"/>
      <c r="B1000" s="6"/>
      <c r="C1000" s="6"/>
      <c r="D1000" s="16"/>
      <c r="E1000" s="6"/>
      <c r="F1000" s="16"/>
      <c r="G1000" s="6"/>
      <c r="H1000" s="16"/>
      <c r="I1000" s="16"/>
      <c r="J1000" s="16"/>
      <c r="K1000" s="16"/>
      <c r="L1000" s="16"/>
      <c r="M1000" s="16"/>
      <c r="N1000" s="16"/>
      <c r="O1000" s="16"/>
      <c r="P1000" s="16"/>
      <c r="Q1000" s="16"/>
      <c r="R1000" s="16"/>
      <c r="S1000" s="16"/>
      <c r="T1000" s="16"/>
      <c r="U1000" s="16"/>
      <c r="V1000" s="16"/>
      <c r="W1000" s="16"/>
      <c r="X1000" s="16"/>
      <c r="Y1000" s="16"/>
    </row>
    <row r="1001" spans="1:25" x14ac:dyDescent="0.2">
      <c r="A1001" s="14"/>
      <c r="B1001" s="6"/>
      <c r="C1001" s="6"/>
      <c r="D1001" s="16"/>
      <c r="E1001" s="6"/>
      <c r="F1001" s="16"/>
      <c r="G1001" s="6"/>
      <c r="H1001" s="16"/>
      <c r="I1001" s="16"/>
      <c r="J1001" s="16"/>
      <c r="K1001" s="16"/>
      <c r="L1001" s="16"/>
      <c r="M1001" s="16"/>
      <c r="N1001" s="16"/>
      <c r="O1001" s="16"/>
      <c r="P1001" s="16"/>
      <c r="Q1001" s="16"/>
      <c r="R1001" s="16"/>
      <c r="S1001" s="16"/>
      <c r="T1001" s="16"/>
      <c r="U1001" s="16"/>
      <c r="V1001" s="16"/>
      <c r="W1001" s="16"/>
      <c r="X1001" s="16"/>
      <c r="Y1001" s="16"/>
    </row>
    <row r="1002" spans="1:25" x14ac:dyDescent="0.2">
      <c r="A1002" s="14"/>
      <c r="B1002" s="6"/>
      <c r="C1002" s="6"/>
      <c r="D1002" s="16"/>
      <c r="E1002" s="6"/>
      <c r="F1002" s="16"/>
      <c r="G1002" s="6"/>
      <c r="H1002" s="16"/>
      <c r="I1002" s="16"/>
      <c r="J1002" s="16"/>
      <c r="K1002" s="16"/>
      <c r="L1002" s="16"/>
      <c r="M1002" s="16"/>
      <c r="N1002" s="16"/>
      <c r="O1002" s="16"/>
      <c r="P1002" s="16"/>
      <c r="Q1002" s="16"/>
      <c r="R1002" s="16"/>
      <c r="S1002" s="16"/>
      <c r="T1002" s="16"/>
      <c r="U1002" s="16"/>
      <c r="V1002" s="16"/>
      <c r="W1002" s="16"/>
      <c r="X1002" s="16"/>
      <c r="Y1002" s="16"/>
    </row>
    <row r="1003" spans="1:25" x14ac:dyDescent="0.2">
      <c r="A1003" s="14"/>
      <c r="B1003" s="6"/>
      <c r="C1003" s="6"/>
      <c r="D1003" s="16"/>
      <c r="E1003" s="6"/>
      <c r="F1003" s="16"/>
      <c r="G1003" s="6"/>
      <c r="H1003" s="16"/>
      <c r="I1003" s="16"/>
      <c r="J1003" s="16"/>
      <c r="K1003" s="16"/>
      <c r="L1003" s="16"/>
      <c r="M1003" s="16"/>
      <c r="N1003" s="16"/>
      <c r="O1003" s="16"/>
      <c r="P1003" s="16"/>
      <c r="Q1003" s="16"/>
      <c r="R1003" s="16"/>
      <c r="S1003" s="16"/>
      <c r="T1003" s="16"/>
      <c r="U1003" s="16"/>
      <c r="V1003" s="16"/>
      <c r="W1003" s="16"/>
      <c r="X1003" s="16"/>
      <c r="Y1003" s="16"/>
    </row>
    <row r="1004" spans="1:25" x14ac:dyDescent="0.2">
      <c r="A1004" s="14"/>
      <c r="B1004" s="6"/>
      <c r="C1004" s="6"/>
      <c r="D1004" s="16"/>
      <c r="E1004" s="6"/>
      <c r="F1004" s="16"/>
      <c r="G1004" s="6"/>
      <c r="H1004" s="16"/>
      <c r="I1004" s="16"/>
      <c r="J1004" s="16"/>
      <c r="K1004" s="16"/>
      <c r="L1004" s="16"/>
      <c r="M1004" s="16"/>
      <c r="N1004" s="16"/>
      <c r="O1004" s="16"/>
      <c r="P1004" s="16"/>
      <c r="Q1004" s="16"/>
      <c r="R1004" s="16"/>
      <c r="S1004" s="16"/>
      <c r="T1004" s="16"/>
      <c r="U1004" s="16"/>
      <c r="V1004" s="16"/>
      <c r="W1004" s="16"/>
      <c r="X1004" s="16"/>
      <c r="Y1004" s="16"/>
    </row>
    <row r="1005" spans="1:25" x14ac:dyDescent="0.2">
      <c r="A1005" s="14"/>
      <c r="B1005" s="6"/>
      <c r="C1005" s="6"/>
      <c r="D1005" s="16"/>
      <c r="E1005" s="6"/>
      <c r="F1005" s="16"/>
      <c r="G1005" s="6"/>
      <c r="H1005" s="16"/>
      <c r="I1005" s="16"/>
      <c r="J1005" s="16"/>
      <c r="K1005" s="16"/>
      <c r="L1005" s="16"/>
      <c r="M1005" s="16"/>
      <c r="N1005" s="16"/>
      <c r="O1005" s="16"/>
      <c r="P1005" s="16"/>
      <c r="Q1005" s="16"/>
      <c r="R1005" s="16"/>
      <c r="S1005" s="16"/>
      <c r="T1005" s="16"/>
      <c r="U1005" s="16"/>
      <c r="V1005" s="16"/>
      <c r="W1005" s="16"/>
      <c r="X1005" s="16"/>
      <c r="Y1005" s="16"/>
    </row>
    <row r="1006" spans="1:25" x14ac:dyDescent="0.2">
      <c r="A1006" s="14"/>
      <c r="B1006" s="6"/>
      <c r="C1006" s="6"/>
      <c r="D1006" s="16"/>
      <c r="E1006" s="6"/>
      <c r="F1006" s="16"/>
      <c r="G1006" s="6"/>
      <c r="H1006" s="16"/>
      <c r="I1006" s="16"/>
      <c r="J1006" s="16"/>
      <c r="K1006" s="16"/>
      <c r="L1006" s="16"/>
      <c r="M1006" s="16"/>
      <c r="N1006" s="16"/>
      <c r="O1006" s="16"/>
      <c r="P1006" s="16"/>
      <c r="Q1006" s="16"/>
      <c r="R1006" s="16"/>
      <c r="S1006" s="16"/>
      <c r="T1006" s="16"/>
      <c r="U1006" s="16"/>
      <c r="V1006" s="16"/>
      <c r="W1006" s="16"/>
      <c r="X1006" s="16"/>
      <c r="Y1006" s="16"/>
    </row>
    <row r="1007" spans="1:25" x14ac:dyDescent="0.2">
      <c r="A1007" s="14"/>
      <c r="B1007" s="6"/>
      <c r="C1007" s="6"/>
      <c r="D1007" s="16"/>
      <c r="E1007" s="6"/>
      <c r="F1007" s="16"/>
      <c r="G1007" s="6"/>
      <c r="H1007" s="16"/>
      <c r="I1007" s="16"/>
      <c r="J1007" s="16"/>
      <c r="K1007" s="16"/>
      <c r="L1007" s="16"/>
      <c r="M1007" s="16"/>
      <c r="N1007" s="16"/>
      <c r="O1007" s="16"/>
      <c r="P1007" s="16"/>
      <c r="Q1007" s="16"/>
      <c r="R1007" s="16"/>
      <c r="S1007" s="16"/>
      <c r="T1007" s="16"/>
      <c r="U1007" s="16"/>
      <c r="V1007" s="16"/>
      <c r="W1007" s="16"/>
      <c r="X1007" s="16"/>
      <c r="Y1007" s="16"/>
    </row>
    <row r="1008" spans="1:25" x14ac:dyDescent="0.2">
      <c r="A1008" s="14"/>
      <c r="B1008" s="6"/>
      <c r="C1008" s="6"/>
      <c r="D1008" s="16"/>
      <c r="E1008" s="6"/>
      <c r="F1008" s="16"/>
      <c r="G1008" s="6"/>
      <c r="H1008" s="16"/>
      <c r="I1008" s="16"/>
      <c r="J1008" s="16"/>
      <c r="K1008" s="16"/>
      <c r="L1008" s="16"/>
      <c r="M1008" s="16"/>
      <c r="N1008" s="16"/>
      <c r="O1008" s="16"/>
      <c r="P1008" s="16"/>
      <c r="Q1008" s="16"/>
      <c r="R1008" s="16"/>
      <c r="S1008" s="16"/>
      <c r="T1008" s="16"/>
      <c r="U1008" s="16"/>
      <c r="V1008" s="16"/>
      <c r="W1008" s="16"/>
      <c r="X1008" s="16"/>
      <c r="Y1008" s="16"/>
    </row>
    <row r="1009" spans="1:25" x14ac:dyDescent="0.2">
      <c r="A1009" s="14"/>
      <c r="B1009" s="6"/>
      <c r="C1009" s="6"/>
      <c r="D1009" s="16"/>
      <c r="E1009" s="6"/>
      <c r="F1009" s="16"/>
      <c r="G1009" s="6"/>
      <c r="H1009" s="16"/>
      <c r="I1009" s="16"/>
      <c r="J1009" s="16"/>
      <c r="K1009" s="16"/>
      <c r="L1009" s="16"/>
      <c r="M1009" s="16"/>
      <c r="N1009" s="16"/>
      <c r="O1009" s="16"/>
      <c r="P1009" s="16"/>
      <c r="Q1009" s="16"/>
      <c r="R1009" s="16"/>
      <c r="S1009" s="16"/>
      <c r="T1009" s="16"/>
      <c r="U1009" s="16"/>
      <c r="V1009" s="16"/>
      <c r="W1009" s="16"/>
      <c r="X1009" s="16"/>
      <c r="Y1009" s="16"/>
    </row>
    <row r="1010" spans="1:25" x14ac:dyDescent="0.2">
      <c r="A1010" s="14"/>
      <c r="B1010" s="6"/>
      <c r="C1010" s="6"/>
      <c r="D1010" s="16"/>
      <c r="E1010" s="6"/>
      <c r="F1010" s="16"/>
      <c r="G1010" s="6"/>
      <c r="H1010" s="16"/>
      <c r="I1010" s="16"/>
      <c r="J1010" s="16"/>
      <c r="K1010" s="16"/>
      <c r="L1010" s="16"/>
      <c r="M1010" s="16"/>
      <c r="N1010" s="16"/>
      <c r="O1010" s="16"/>
      <c r="P1010" s="16"/>
      <c r="Q1010" s="16"/>
      <c r="R1010" s="16"/>
      <c r="S1010" s="16"/>
      <c r="T1010" s="16"/>
      <c r="U1010" s="16"/>
      <c r="V1010" s="16"/>
      <c r="W1010" s="16"/>
      <c r="X1010" s="16"/>
      <c r="Y1010" s="16"/>
    </row>
    <row r="1011" spans="1:25" x14ac:dyDescent="0.2">
      <c r="A1011" s="14"/>
      <c r="B1011" s="6"/>
      <c r="C1011" s="6"/>
      <c r="D1011" s="16"/>
      <c r="E1011" s="6"/>
      <c r="F1011" s="16"/>
      <c r="G1011" s="6"/>
      <c r="H1011" s="16"/>
      <c r="I1011" s="16"/>
      <c r="J1011" s="16"/>
      <c r="K1011" s="16"/>
      <c r="L1011" s="16"/>
      <c r="M1011" s="16"/>
      <c r="N1011" s="16"/>
      <c r="O1011" s="16"/>
      <c r="P1011" s="16"/>
      <c r="Q1011" s="16"/>
      <c r="R1011" s="16"/>
      <c r="S1011" s="16"/>
      <c r="T1011" s="16"/>
      <c r="U1011" s="16"/>
      <c r="V1011" s="16"/>
      <c r="W1011" s="16"/>
      <c r="X1011" s="16"/>
      <c r="Y1011" s="16"/>
    </row>
    <row r="1012" spans="1:25" x14ac:dyDescent="0.2">
      <c r="A1012" s="14"/>
      <c r="B1012" s="6"/>
      <c r="C1012" s="6"/>
      <c r="D1012" s="16"/>
      <c r="E1012" s="6"/>
      <c r="F1012" s="16"/>
      <c r="G1012" s="6"/>
      <c r="H1012" s="16"/>
      <c r="I1012" s="16"/>
      <c r="J1012" s="16"/>
      <c r="K1012" s="16"/>
      <c r="L1012" s="16"/>
      <c r="M1012" s="16"/>
      <c r="N1012" s="16"/>
      <c r="O1012" s="16"/>
      <c r="P1012" s="16"/>
      <c r="Q1012" s="16"/>
      <c r="R1012" s="16"/>
      <c r="S1012" s="16"/>
      <c r="T1012" s="16"/>
      <c r="U1012" s="16"/>
      <c r="V1012" s="16"/>
      <c r="W1012" s="16"/>
      <c r="X1012" s="16"/>
      <c r="Y1012" s="16"/>
    </row>
    <row r="1013" spans="1:25" x14ac:dyDescent="0.2">
      <c r="A1013" s="14"/>
      <c r="B1013" s="6"/>
      <c r="C1013" s="6"/>
      <c r="D1013" s="16"/>
      <c r="E1013" s="6"/>
      <c r="F1013" s="16"/>
      <c r="G1013" s="6"/>
      <c r="H1013" s="16"/>
      <c r="I1013" s="16"/>
      <c r="J1013" s="16"/>
      <c r="K1013" s="16"/>
      <c r="L1013" s="16"/>
      <c r="M1013" s="16"/>
      <c r="N1013" s="16"/>
      <c r="O1013" s="16"/>
      <c r="P1013" s="16"/>
      <c r="Q1013" s="16"/>
      <c r="R1013" s="16"/>
      <c r="S1013" s="16"/>
      <c r="T1013" s="16"/>
      <c r="U1013" s="16"/>
      <c r="V1013" s="16"/>
      <c r="W1013" s="16"/>
      <c r="X1013" s="16"/>
      <c r="Y1013" s="16"/>
    </row>
    <row r="1014" spans="1:25" x14ac:dyDescent="0.2">
      <c r="A1014" s="14"/>
      <c r="B1014" s="6"/>
      <c r="C1014" s="6"/>
      <c r="D1014" s="16"/>
      <c r="E1014" s="6"/>
      <c r="F1014" s="16"/>
      <c r="G1014" s="6"/>
      <c r="H1014" s="16"/>
      <c r="I1014" s="16"/>
      <c r="J1014" s="16"/>
      <c r="K1014" s="16"/>
      <c r="L1014" s="16"/>
      <c r="M1014" s="16"/>
      <c r="N1014" s="16"/>
      <c r="O1014" s="16"/>
      <c r="P1014" s="16"/>
      <c r="Q1014" s="16"/>
      <c r="R1014" s="16"/>
      <c r="S1014" s="16"/>
      <c r="T1014" s="16"/>
      <c r="U1014" s="16"/>
      <c r="V1014" s="16"/>
      <c r="W1014" s="16"/>
      <c r="X1014" s="16"/>
      <c r="Y1014" s="16"/>
    </row>
    <row r="1015" spans="1:25" x14ac:dyDescent="0.2">
      <c r="A1015" s="14"/>
      <c r="B1015" s="6"/>
      <c r="C1015" s="6"/>
      <c r="D1015" s="16"/>
      <c r="E1015" s="6"/>
      <c r="F1015" s="16"/>
      <c r="G1015" s="6"/>
      <c r="H1015" s="16"/>
      <c r="I1015" s="16"/>
      <c r="J1015" s="16"/>
      <c r="K1015" s="16"/>
      <c r="L1015" s="16"/>
      <c r="M1015" s="16"/>
      <c r="N1015" s="16"/>
      <c r="O1015" s="16"/>
      <c r="P1015" s="16"/>
      <c r="Q1015" s="16"/>
      <c r="R1015" s="16"/>
      <c r="S1015" s="16"/>
      <c r="T1015" s="16"/>
      <c r="U1015" s="16"/>
      <c r="V1015" s="16"/>
      <c r="W1015" s="16"/>
      <c r="X1015" s="16"/>
      <c r="Y1015" s="16"/>
    </row>
    <row r="1016" spans="1:25" x14ac:dyDescent="0.2">
      <c r="A1016" s="14"/>
      <c r="B1016" s="6"/>
      <c r="C1016" s="6"/>
      <c r="D1016" s="16"/>
      <c r="E1016" s="6"/>
      <c r="F1016" s="16"/>
      <c r="G1016" s="6"/>
      <c r="H1016" s="16"/>
      <c r="I1016" s="16"/>
      <c r="J1016" s="16"/>
      <c r="K1016" s="16"/>
      <c r="L1016" s="16"/>
      <c r="M1016" s="16"/>
      <c r="N1016" s="16"/>
      <c r="O1016" s="16"/>
      <c r="P1016" s="16"/>
      <c r="Q1016" s="16"/>
      <c r="R1016" s="16"/>
      <c r="S1016" s="16"/>
      <c r="T1016" s="16"/>
      <c r="U1016" s="16"/>
      <c r="V1016" s="16"/>
      <c r="W1016" s="16"/>
      <c r="X1016" s="16"/>
      <c r="Y1016" s="16"/>
    </row>
    <row r="1017" spans="1:25" x14ac:dyDescent="0.2">
      <c r="A1017" s="14"/>
      <c r="B1017" s="6"/>
      <c r="C1017" s="6"/>
      <c r="D1017" s="16"/>
      <c r="E1017" s="6"/>
      <c r="F1017" s="16"/>
      <c r="G1017" s="6"/>
      <c r="H1017" s="16"/>
      <c r="I1017" s="16"/>
      <c r="J1017" s="16"/>
      <c r="K1017" s="16"/>
      <c r="L1017" s="16"/>
      <c r="M1017" s="16"/>
      <c r="N1017" s="16"/>
      <c r="O1017" s="16"/>
      <c r="P1017" s="16"/>
      <c r="Q1017" s="16"/>
      <c r="R1017" s="16"/>
      <c r="S1017" s="16"/>
      <c r="T1017" s="16"/>
      <c r="U1017" s="16"/>
      <c r="V1017" s="16"/>
      <c r="W1017" s="16"/>
      <c r="X1017" s="16"/>
      <c r="Y1017" s="16"/>
    </row>
    <row r="1018" spans="1:25" x14ac:dyDescent="0.2">
      <c r="A1018" s="14"/>
      <c r="B1018" s="6"/>
      <c r="C1018" s="6"/>
      <c r="D1018" s="16"/>
      <c r="E1018" s="6"/>
      <c r="F1018" s="16"/>
      <c r="G1018" s="6"/>
      <c r="H1018" s="16"/>
      <c r="I1018" s="16"/>
      <c r="J1018" s="16"/>
      <c r="K1018" s="16"/>
      <c r="L1018" s="16"/>
      <c r="M1018" s="16"/>
      <c r="N1018" s="16"/>
      <c r="O1018" s="16"/>
      <c r="P1018" s="16"/>
      <c r="Q1018" s="16"/>
      <c r="R1018" s="16"/>
      <c r="S1018" s="16"/>
      <c r="T1018" s="16"/>
      <c r="U1018" s="16"/>
      <c r="V1018" s="16"/>
      <c r="W1018" s="16"/>
      <c r="X1018" s="16"/>
      <c r="Y1018" s="16"/>
    </row>
    <row r="1019" spans="1:25" x14ac:dyDescent="0.2">
      <c r="A1019" s="14"/>
      <c r="B1019" s="6"/>
      <c r="C1019" s="6"/>
      <c r="D1019" s="16"/>
      <c r="E1019" s="6"/>
      <c r="F1019" s="16"/>
      <c r="G1019" s="6"/>
      <c r="H1019" s="16"/>
      <c r="I1019" s="16"/>
      <c r="J1019" s="16"/>
      <c r="K1019" s="16"/>
      <c r="L1019" s="16"/>
      <c r="M1019" s="16"/>
      <c r="N1019" s="16"/>
      <c r="O1019" s="16"/>
      <c r="P1019" s="16"/>
      <c r="Q1019" s="16"/>
      <c r="R1019" s="16"/>
      <c r="S1019" s="16"/>
      <c r="T1019" s="16"/>
      <c r="U1019" s="16"/>
      <c r="V1019" s="16"/>
      <c r="W1019" s="16"/>
      <c r="X1019" s="16"/>
      <c r="Y1019" s="16"/>
    </row>
    <row r="1020" spans="1:25" x14ac:dyDescent="0.2">
      <c r="A1020" s="14"/>
      <c r="B1020" s="6"/>
      <c r="C1020" s="6"/>
      <c r="D1020" s="16"/>
      <c r="E1020" s="6"/>
      <c r="F1020" s="16"/>
      <c r="G1020" s="6"/>
      <c r="H1020" s="16"/>
      <c r="I1020" s="16"/>
      <c r="J1020" s="16"/>
      <c r="K1020" s="16"/>
      <c r="L1020" s="16"/>
      <c r="M1020" s="16"/>
      <c r="N1020" s="16"/>
      <c r="O1020" s="16"/>
      <c r="P1020" s="16"/>
      <c r="Q1020" s="16"/>
      <c r="R1020" s="16"/>
      <c r="S1020" s="16"/>
      <c r="T1020" s="16"/>
      <c r="U1020" s="16"/>
      <c r="V1020" s="16"/>
      <c r="W1020" s="16"/>
      <c r="X1020" s="16"/>
      <c r="Y1020" s="16"/>
    </row>
    <row r="1021" spans="1:25" x14ac:dyDescent="0.2">
      <c r="A1021" s="14"/>
      <c r="B1021" s="6"/>
      <c r="C1021" s="6"/>
      <c r="D1021" s="16"/>
      <c r="E1021" s="6"/>
      <c r="F1021" s="16"/>
      <c r="G1021" s="6"/>
      <c r="H1021" s="16"/>
      <c r="I1021" s="16"/>
      <c r="J1021" s="16"/>
      <c r="K1021" s="16"/>
      <c r="L1021" s="16"/>
      <c r="M1021" s="16"/>
      <c r="N1021" s="16"/>
      <c r="O1021" s="16"/>
      <c r="P1021" s="16"/>
      <c r="Q1021" s="16"/>
      <c r="R1021" s="16"/>
      <c r="S1021" s="16"/>
      <c r="T1021" s="16"/>
      <c r="U1021" s="16"/>
      <c r="V1021" s="16"/>
      <c r="W1021" s="16"/>
      <c r="X1021" s="16"/>
      <c r="Y1021" s="16"/>
    </row>
    <row r="1022" spans="1:25" x14ac:dyDescent="0.2">
      <c r="A1022" s="14"/>
      <c r="B1022" s="6"/>
      <c r="C1022" s="6"/>
      <c r="D1022" s="16"/>
      <c r="E1022" s="6"/>
      <c r="F1022" s="16"/>
      <c r="G1022" s="6"/>
      <c r="H1022" s="16"/>
      <c r="I1022" s="16"/>
      <c r="J1022" s="16"/>
      <c r="K1022" s="16"/>
      <c r="L1022" s="16"/>
      <c r="M1022" s="16"/>
      <c r="N1022" s="16"/>
      <c r="O1022" s="16"/>
      <c r="P1022" s="16"/>
      <c r="Q1022" s="16"/>
      <c r="R1022" s="16"/>
      <c r="S1022" s="16"/>
      <c r="T1022" s="16"/>
      <c r="U1022" s="16"/>
      <c r="V1022" s="16"/>
      <c r="W1022" s="16"/>
      <c r="X1022" s="16"/>
      <c r="Y1022" s="16"/>
    </row>
    <row r="1023" spans="1:25" x14ac:dyDescent="0.2">
      <c r="A1023" s="14"/>
      <c r="B1023" s="6"/>
      <c r="C1023" s="6"/>
      <c r="D1023" s="16"/>
      <c r="E1023" s="6"/>
      <c r="F1023" s="16"/>
      <c r="G1023" s="6"/>
      <c r="H1023" s="16"/>
      <c r="I1023" s="16"/>
      <c r="J1023" s="16"/>
      <c r="K1023" s="16"/>
      <c r="L1023" s="16"/>
      <c r="M1023" s="16"/>
      <c r="N1023" s="16"/>
      <c r="O1023" s="16"/>
      <c r="P1023" s="16"/>
      <c r="Q1023" s="16"/>
      <c r="R1023" s="16"/>
      <c r="S1023" s="16"/>
      <c r="T1023" s="16"/>
      <c r="U1023" s="16"/>
      <c r="V1023" s="16"/>
      <c r="W1023" s="16"/>
      <c r="X1023" s="16"/>
      <c r="Y1023" s="16"/>
    </row>
    <row r="1024" spans="1:25" x14ac:dyDescent="0.2">
      <c r="A1024" s="14"/>
      <c r="B1024" s="6"/>
      <c r="C1024" s="6"/>
      <c r="D1024" s="16"/>
      <c r="E1024" s="6"/>
      <c r="F1024" s="16"/>
      <c r="G1024" s="6"/>
      <c r="H1024" s="16"/>
      <c r="I1024" s="16"/>
      <c r="J1024" s="16"/>
      <c r="K1024" s="16"/>
      <c r="L1024" s="16"/>
      <c r="M1024" s="16"/>
      <c r="N1024" s="16"/>
      <c r="O1024" s="16"/>
      <c r="P1024" s="16"/>
      <c r="Q1024" s="16"/>
      <c r="R1024" s="16"/>
      <c r="S1024" s="16"/>
      <c r="T1024" s="16"/>
      <c r="U1024" s="16"/>
      <c r="V1024" s="16"/>
      <c r="W1024" s="16"/>
      <c r="X1024" s="16"/>
      <c r="Y1024" s="16"/>
    </row>
    <row r="1025" spans="1:25" x14ac:dyDescent="0.2">
      <c r="A1025" s="14"/>
      <c r="B1025" s="6"/>
      <c r="C1025" s="6"/>
      <c r="D1025" s="16"/>
      <c r="E1025" s="6"/>
      <c r="F1025" s="16"/>
      <c r="G1025" s="6"/>
      <c r="H1025" s="16"/>
      <c r="I1025" s="16"/>
      <c r="J1025" s="16"/>
      <c r="K1025" s="16"/>
      <c r="L1025" s="16"/>
      <c r="M1025" s="16"/>
      <c r="N1025" s="16"/>
      <c r="O1025" s="16"/>
      <c r="P1025" s="16"/>
      <c r="Q1025" s="16"/>
      <c r="R1025" s="16"/>
      <c r="S1025" s="16"/>
      <c r="T1025" s="16"/>
      <c r="U1025" s="16"/>
      <c r="V1025" s="16"/>
      <c r="W1025" s="16"/>
      <c r="X1025" s="16"/>
      <c r="Y1025" s="16"/>
    </row>
    <row r="1026" spans="1:25" x14ac:dyDescent="0.2">
      <c r="A1026" s="14"/>
      <c r="B1026" s="6"/>
      <c r="C1026" s="6"/>
      <c r="D1026" s="16"/>
      <c r="E1026" s="6"/>
      <c r="F1026" s="16"/>
      <c r="G1026" s="6"/>
      <c r="H1026" s="16"/>
      <c r="I1026" s="16"/>
      <c r="J1026" s="16"/>
      <c r="K1026" s="16"/>
      <c r="L1026" s="16"/>
      <c r="M1026" s="16"/>
      <c r="N1026" s="16"/>
      <c r="O1026" s="16"/>
      <c r="P1026" s="16"/>
      <c r="Q1026" s="16"/>
      <c r="R1026" s="16"/>
      <c r="S1026" s="16"/>
      <c r="T1026" s="16"/>
      <c r="U1026" s="16"/>
      <c r="V1026" s="16"/>
      <c r="W1026" s="16"/>
      <c r="X1026" s="16"/>
      <c r="Y1026" s="16"/>
    </row>
    <row r="1027" spans="1:25" x14ac:dyDescent="0.2">
      <c r="A1027" s="14"/>
      <c r="B1027" s="6"/>
      <c r="C1027" s="6"/>
      <c r="D1027" s="16"/>
      <c r="E1027" s="6"/>
      <c r="F1027" s="16"/>
      <c r="G1027" s="6"/>
      <c r="H1027" s="16"/>
      <c r="I1027" s="16"/>
      <c r="J1027" s="16"/>
      <c r="K1027" s="16"/>
      <c r="L1027" s="16"/>
      <c r="M1027" s="16"/>
      <c r="N1027" s="16"/>
      <c r="O1027" s="16"/>
      <c r="P1027" s="16"/>
      <c r="Q1027" s="16"/>
      <c r="R1027" s="16"/>
      <c r="S1027" s="16"/>
      <c r="T1027" s="16"/>
      <c r="U1027" s="16"/>
      <c r="V1027" s="16"/>
      <c r="W1027" s="16"/>
      <c r="X1027" s="16"/>
      <c r="Y1027" s="16"/>
    </row>
    <row r="1028" spans="1:25" x14ac:dyDescent="0.2">
      <c r="A1028" s="14"/>
      <c r="B1028" s="6"/>
      <c r="C1028" s="6"/>
      <c r="D1028" s="16"/>
      <c r="E1028" s="6"/>
      <c r="F1028" s="16"/>
      <c r="G1028" s="6"/>
      <c r="H1028" s="16"/>
      <c r="I1028" s="16"/>
      <c r="J1028" s="16"/>
      <c r="K1028" s="16"/>
      <c r="L1028" s="16"/>
      <c r="M1028" s="16"/>
      <c r="N1028" s="16"/>
      <c r="O1028" s="16"/>
      <c r="P1028" s="16"/>
      <c r="Q1028" s="16"/>
      <c r="R1028" s="16"/>
      <c r="S1028" s="16"/>
      <c r="T1028" s="16"/>
      <c r="U1028" s="16"/>
      <c r="V1028" s="16"/>
      <c r="W1028" s="16"/>
      <c r="X1028" s="16"/>
      <c r="Y1028" s="16"/>
    </row>
    <row r="1029" spans="1:25" x14ac:dyDescent="0.2">
      <c r="A1029" s="14"/>
      <c r="B1029" s="6"/>
      <c r="C1029" s="6"/>
      <c r="D1029" s="16"/>
      <c r="E1029" s="6"/>
      <c r="F1029" s="16"/>
      <c r="G1029" s="6"/>
      <c r="H1029" s="16"/>
      <c r="I1029" s="16"/>
      <c r="J1029" s="16"/>
      <c r="K1029" s="16"/>
      <c r="L1029" s="16"/>
      <c r="M1029" s="16"/>
      <c r="N1029" s="16"/>
      <c r="O1029" s="16"/>
      <c r="P1029" s="16"/>
      <c r="Q1029" s="16"/>
      <c r="R1029" s="16"/>
      <c r="S1029" s="16"/>
      <c r="T1029" s="16"/>
      <c r="U1029" s="16"/>
      <c r="V1029" s="16"/>
      <c r="W1029" s="16"/>
      <c r="X1029" s="16"/>
      <c r="Y1029" s="16"/>
    </row>
    <row r="1030" spans="1:25" x14ac:dyDescent="0.2">
      <c r="A1030" s="14"/>
      <c r="B1030" s="6"/>
      <c r="C1030" s="6"/>
      <c r="D1030" s="16"/>
      <c r="E1030" s="6"/>
      <c r="F1030" s="16"/>
      <c r="G1030" s="6"/>
      <c r="H1030" s="16"/>
      <c r="I1030" s="16"/>
      <c r="J1030" s="16"/>
      <c r="K1030" s="16"/>
      <c r="L1030" s="16"/>
      <c r="M1030" s="16"/>
      <c r="N1030" s="16"/>
      <c r="O1030" s="16"/>
      <c r="P1030" s="16"/>
      <c r="Q1030" s="16"/>
      <c r="R1030" s="16"/>
      <c r="S1030" s="16"/>
      <c r="T1030" s="16"/>
      <c r="U1030" s="16"/>
      <c r="V1030" s="16"/>
      <c r="W1030" s="16"/>
      <c r="X1030" s="16"/>
      <c r="Y1030" s="16"/>
    </row>
    <row r="1031" spans="1:25" x14ac:dyDescent="0.2">
      <c r="A1031" s="14"/>
      <c r="B1031" s="6"/>
      <c r="C1031" s="6"/>
      <c r="D1031" s="16"/>
      <c r="E1031" s="6"/>
      <c r="F1031" s="16"/>
      <c r="G1031" s="6"/>
      <c r="H1031" s="16"/>
      <c r="I1031" s="16"/>
      <c r="J1031" s="16"/>
      <c r="K1031" s="16"/>
      <c r="L1031" s="16"/>
      <c r="M1031" s="16"/>
      <c r="N1031" s="16"/>
      <c r="O1031" s="16"/>
      <c r="P1031" s="16"/>
      <c r="Q1031" s="16"/>
      <c r="R1031" s="16"/>
      <c r="S1031" s="16"/>
      <c r="T1031" s="16"/>
      <c r="U1031" s="16"/>
      <c r="V1031" s="16"/>
      <c r="W1031" s="16"/>
      <c r="X1031" s="16"/>
      <c r="Y1031" s="16"/>
    </row>
    <row r="1032" spans="1:25" x14ac:dyDescent="0.2">
      <c r="A1032" s="14"/>
      <c r="B1032" s="6"/>
      <c r="C1032" s="6"/>
      <c r="D1032" s="16"/>
      <c r="E1032" s="6"/>
      <c r="F1032" s="16"/>
      <c r="G1032" s="6"/>
      <c r="H1032" s="16"/>
      <c r="I1032" s="16"/>
      <c r="J1032" s="16"/>
      <c r="K1032" s="16"/>
      <c r="L1032" s="16"/>
      <c r="M1032" s="16"/>
      <c r="N1032" s="16"/>
      <c r="O1032" s="16"/>
      <c r="P1032" s="16"/>
      <c r="Q1032" s="16"/>
      <c r="R1032" s="16"/>
      <c r="S1032" s="16"/>
      <c r="T1032" s="16"/>
      <c r="U1032" s="16"/>
      <c r="V1032" s="16"/>
      <c r="W1032" s="16"/>
      <c r="X1032" s="16"/>
      <c r="Y1032" s="16"/>
    </row>
    <row r="1033" spans="1:25" x14ac:dyDescent="0.2">
      <c r="A1033" s="14"/>
      <c r="B1033" s="6"/>
      <c r="C1033" s="6"/>
      <c r="D1033" s="16"/>
      <c r="E1033" s="6"/>
      <c r="F1033" s="16"/>
      <c r="G1033" s="6"/>
      <c r="H1033" s="16"/>
      <c r="I1033" s="16"/>
      <c r="J1033" s="16"/>
      <c r="K1033" s="16"/>
      <c r="L1033" s="16"/>
      <c r="M1033" s="16"/>
      <c r="N1033" s="16"/>
      <c r="O1033" s="16"/>
      <c r="P1033" s="16"/>
      <c r="Q1033" s="16"/>
      <c r="R1033" s="16"/>
      <c r="S1033" s="16"/>
      <c r="T1033" s="16"/>
      <c r="U1033" s="16"/>
      <c r="V1033" s="16"/>
      <c r="W1033" s="16"/>
      <c r="X1033" s="16"/>
      <c r="Y1033" s="16"/>
    </row>
    <row r="1034" spans="1:25" x14ac:dyDescent="0.2">
      <c r="A1034" s="14"/>
      <c r="B1034" s="6"/>
      <c r="C1034" s="6"/>
      <c r="D1034" s="16"/>
      <c r="E1034" s="6"/>
      <c r="F1034" s="16"/>
      <c r="G1034" s="6"/>
      <c r="H1034" s="16"/>
      <c r="I1034" s="16"/>
      <c r="J1034" s="16"/>
      <c r="K1034" s="16"/>
      <c r="L1034" s="16"/>
      <c r="M1034" s="16"/>
      <c r="N1034" s="16"/>
      <c r="O1034" s="16"/>
      <c r="P1034" s="16"/>
      <c r="Q1034" s="16"/>
      <c r="R1034" s="16"/>
      <c r="S1034" s="16"/>
      <c r="T1034" s="16"/>
      <c r="U1034" s="16"/>
      <c r="V1034" s="16"/>
      <c r="W1034" s="16"/>
      <c r="X1034" s="16"/>
      <c r="Y1034" s="16"/>
    </row>
    <row r="1035" spans="1:25" x14ac:dyDescent="0.2">
      <c r="A1035" s="14"/>
      <c r="B1035" s="6"/>
      <c r="C1035" s="6"/>
      <c r="D1035" s="16"/>
      <c r="E1035" s="6"/>
      <c r="F1035" s="16"/>
      <c r="G1035" s="6"/>
      <c r="H1035" s="16"/>
      <c r="I1035" s="16"/>
      <c r="J1035" s="16"/>
      <c r="K1035" s="16"/>
      <c r="L1035" s="16"/>
      <c r="M1035" s="16"/>
      <c r="N1035" s="16"/>
      <c r="O1035" s="16"/>
      <c r="P1035" s="16"/>
      <c r="Q1035" s="16"/>
      <c r="R1035" s="16"/>
      <c r="S1035" s="16"/>
      <c r="T1035" s="16"/>
      <c r="U1035" s="16"/>
      <c r="V1035" s="16"/>
      <c r="W1035" s="16"/>
      <c r="X1035" s="16"/>
      <c r="Y1035" s="16"/>
    </row>
    <row r="1036" spans="1:25" x14ac:dyDescent="0.2">
      <c r="A1036" s="14"/>
      <c r="B1036" s="6"/>
      <c r="C1036" s="6"/>
      <c r="D1036" s="16"/>
      <c r="E1036" s="6"/>
      <c r="F1036" s="16"/>
      <c r="G1036" s="6"/>
      <c r="H1036" s="16"/>
      <c r="I1036" s="16"/>
      <c r="J1036" s="16"/>
      <c r="K1036" s="16"/>
      <c r="L1036" s="16"/>
      <c r="M1036" s="16"/>
      <c r="N1036" s="16"/>
      <c r="O1036" s="16"/>
      <c r="P1036" s="16"/>
      <c r="Q1036" s="16"/>
      <c r="R1036" s="16"/>
      <c r="S1036" s="16"/>
      <c r="T1036" s="16"/>
      <c r="U1036" s="16"/>
      <c r="V1036" s="16"/>
      <c r="W1036" s="16"/>
      <c r="X1036" s="16"/>
      <c r="Y1036" s="16"/>
    </row>
    <row r="1037" spans="1:25" x14ac:dyDescent="0.2">
      <c r="A1037" s="14"/>
      <c r="B1037" s="6"/>
      <c r="C1037" s="6"/>
      <c r="D1037" s="16"/>
      <c r="E1037" s="6"/>
      <c r="F1037" s="16"/>
      <c r="G1037" s="6"/>
      <c r="H1037" s="16"/>
      <c r="I1037" s="16"/>
      <c r="J1037" s="16"/>
      <c r="K1037" s="16"/>
      <c r="L1037" s="16"/>
      <c r="M1037" s="16"/>
      <c r="N1037" s="16"/>
      <c r="O1037" s="16"/>
      <c r="P1037" s="16"/>
      <c r="Q1037" s="16"/>
      <c r="R1037" s="16"/>
      <c r="S1037" s="16"/>
      <c r="T1037" s="16"/>
      <c r="U1037" s="16"/>
      <c r="V1037" s="16"/>
      <c r="W1037" s="16"/>
      <c r="X1037" s="16"/>
      <c r="Y1037" s="16"/>
    </row>
    <row r="1038" spans="1:25" x14ac:dyDescent="0.2">
      <c r="A1038" s="14"/>
      <c r="B1038" s="6"/>
      <c r="C1038" s="6"/>
      <c r="D1038" s="16"/>
      <c r="E1038" s="6"/>
      <c r="F1038" s="16"/>
      <c r="G1038" s="6"/>
      <c r="H1038" s="16"/>
      <c r="I1038" s="16"/>
      <c r="J1038" s="16"/>
      <c r="K1038" s="16"/>
      <c r="L1038" s="16"/>
      <c r="M1038" s="16"/>
      <c r="N1038" s="16"/>
      <c r="O1038" s="16"/>
      <c r="P1038" s="16"/>
      <c r="Q1038" s="16"/>
      <c r="R1038" s="16"/>
      <c r="S1038" s="16"/>
      <c r="T1038" s="16"/>
      <c r="U1038" s="16"/>
      <c r="V1038" s="16"/>
      <c r="W1038" s="16"/>
      <c r="X1038" s="16"/>
      <c r="Y1038" s="16"/>
    </row>
    <row r="1039" spans="1:25" x14ac:dyDescent="0.2">
      <c r="A1039" s="14"/>
      <c r="B1039" s="6"/>
      <c r="C1039" s="6"/>
      <c r="D1039" s="16"/>
      <c r="E1039" s="6"/>
      <c r="F1039" s="16"/>
      <c r="G1039" s="6"/>
      <c r="H1039" s="16"/>
      <c r="I1039" s="16"/>
      <c r="J1039" s="16"/>
      <c r="K1039" s="16"/>
      <c r="L1039" s="16"/>
      <c r="M1039" s="16"/>
      <c r="N1039" s="16"/>
      <c r="O1039" s="16"/>
      <c r="P1039" s="16"/>
      <c r="Q1039" s="16"/>
      <c r="R1039" s="16"/>
      <c r="S1039" s="16"/>
      <c r="T1039" s="16"/>
      <c r="U1039" s="16"/>
      <c r="V1039" s="16"/>
      <c r="W1039" s="16"/>
      <c r="X1039" s="16"/>
      <c r="Y1039" s="16"/>
    </row>
    <row r="1040" spans="1:25" x14ac:dyDescent="0.2">
      <c r="A1040" s="14"/>
      <c r="B1040" s="6"/>
      <c r="C1040" s="6"/>
      <c r="D1040" s="16"/>
      <c r="E1040" s="6"/>
      <c r="F1040" s="16"/>
      <c r="G1040" s="6"/>
      <c r="H1040" s="16"/>
      <c r="I1040" s="16"/>
      <c r="J1040" s="16"/>
      <c r="K1040" s="16"/>
      <c r="L1040" s="16"/>
      <c r="M1040" s="16"/>
      <c r="N1040" s="16"/>
      <c r="O1040" s="16"/>
      <c r="P1040" s="16"/>
      <c r="Q1040" s="16"/>
      <c r="R1040" s="16"/>
      <c r="S1040" s="16"/>
      <c r="T1040" s="16"/>
      <c r="U1040" s="16"/>
      <c r="V1040" s="16"/>
      <c r="W1040" s="16"/>
      <c r="X1040" s="16"/>
      <c r="Y1040" s="16"/>
    </row>
    <row r="1041" spans="1:25" x14ac:dyDescent="0.2">
      <c r="A1041" s="14"/>
      <c r="B1041" s="6"/>
      <c r="C1041" s="6"/>
      <c r="D1041" s="16"/>
      <c r="E1041" s="6"/>
      <c r="F1041" s="16"/>
      <c r="G1041" s="6"/>
      <c r="H1041" s="16"/>
      <c r="I1041" s="16"/>
      <c r="J1041" s="16"/>
      <c r="K1041" s="16"/>
      <c r="L1041" s="16"/>
      <c r="M1041" s="16"/>
      <c r="N1041" s="16"/>
      <c r="O1041" s="16"/>
      <c r="P1041" s="16"/>
      <c r="Q1041" s="16"/>
      <c r="R1041" s="16"/>
      <c r="S1041" s="16"/>
      <c r="T1041" s="16"/>
      <c r="U1041" s="16"/>
      <c r="V1041" s="16"/>
      <c r="W1041" s="16"/>
      <c r="X1041" s="16"/>
      <c r="Y1041" s="16"/>
    </row>
    <row r="1042" spans="1:25" x14ac:dyDescent="0.2">
      <c r="A1042" s="14"/>
      <c r="B1042" s="6"/>
      <c r="C1042" s="6"/>
      <c r="D1042" s="16"/>
      <c r="E1042" s="6"/>
      <c r="F1042" s="16"/>
      <c r="G1042" s="6"/>
      <c r="H1042" s="16"/>
      <c r="I1042" s="16"/>
      <c r="J1042" s="16"/>
      <c r="K1042" s="16"/>
      <c r="L1042" s="16"/>
      <c r="M1042" s="16"/>
      <c r="N1042" s="16"/>
      <c r="O1042" s="16"/>
      <c r="P1042" s="16"/>
      <c r="Q1042" s="16"/>
      <c r="R1042" s="16"/>
      <c r="S1042" s="16"/>
      <c r="T1042" s="16"/>
      <c r="U1042" s="16"/>
      <c r="V1042" s="16"/>
      <c r="W1042" s="16"/>
      <c r="X1042" s="16"/>
      <c r="Y1042" s="16"/>
    </row>
    <row r="1043" spans="1:25" x14ac:dyDescent="0.2">
      <c r="A1043" s="14"/>
      <c r="B1043" s="6"/>
      <c r="C1043" s="6"/>
      <c r="D1043" s="16"/>
      <c r="E1043" s="6"/>
      <c r="F1043" s="16"/>
      <c r="G1043" s="6"/>
      <c r="H1043" s="16"/>
      <c r="I1043" s="16"/>
      <c r="J1043" s="16"/>
      <c r="K1043" s="16"/>
      <c r="L1043" s="16"/>
      <c r="M1043" s="16"/>
      <c r="N1043" s="16"/>
      <c r="O1043" s="16"/>
      <c r="P1043" s="16"/>
      <c r="Q1043" s="16"/>
      <c r="R1043" s="16"/>
      <c r="S1043" s="16"/>
      <c r="T1043" s="16"/>
      <c r="U1043" s="16"/>
      <c r="V1043" s="16"/>
      <c r="W1043" s="16"/>
      <c r="X1043" s="16"/>
      <c r="Y1043" s="16"/>
    </row>
    <row r="1044" spans="1:25" x14ac:dyDescent="0.2">
      <c r="A1044" s="14"/>
      <c r="B1044" s="6"/>
      <c r="C1044" s="6"/>
      <c r="D1044" s="16"/>
      <c r="E1044" s="6"/>
      <c r="F1044" s="16"/>
      <c r="G1044" s="6"/>
      <c r="H1044" s="16"/>
      <c r="I1044" s="16"/>
      <c r="J1044" s="16"/>
      <c r="K1044" s="16"/>
      <c r="L1044" s="16"/>
      <c r="M1044" s="16"/>
      <c r="N1044" s="16"/>
      <c r="O1044" s="16"/>
      <c r="P1044" s="16"/>
      <c r="Q1044" s="16"/>
      <c r="R1044" s="16"/>
      <c r="S1044" s="16"/>
      <c r="T1044" s="16"/>
      <c r="U1044" s="16"/>
      <c r="V1044" s="16"/>
      <c r="W1044" s="16"/>
      <c r="X1044" s="16"/>
      <c r="Y1044" s="16"/>
    </row>
    <row r="1045" spans="1:25" x14ac:dyDescent="0.2">
      <c r="A1045" s="14"/>
      <c r="B1045" s="6"/>
      <c r="C1045" s="6"/>
      <c r="D1045" s="16"/>
      <c r="E1045" s="6"/>
      <c r="F1045" s="16"/>
      <c r="G1045" s="6"/>
      <c r="H1045" s="16"/>
      <c r="I1045" s="16"/>
      <c r="J1045" s="16"/>
      <c r="K1045" s="16"/>
      <c r="L1045" s="16"/>
      <c r="M1045" s="16"/>
      <c r="N1045" s="16"/>
      <c r="O1045" s="16"/>
      <c r="P1045" s="16"/>
      <c r="Q1045" s="16"/>
      <c r="R1045" s="16"/>
      <c r="S1045" s="16"/>
      <c r="T1045" s="16"/>
      <c r="U1045" s="16"/>
      <c r="V1045" s="16"/>
      <c r="W1045" s="16"/>
      <c r="X1045" s="16"/>
      <c r="Y1045" s="16"/>
    </row>
    <row r="1046" spans="1:25" x14ac:dyDescent="0.2">
      <c r="A1046" s="14"/>
      <c r="B1046" s="6"/>
      <c r="C1046" s="6"/>
      <c r="D1046" s="16"/>
      <c r="E1046" s="6"/>
      <c r="F1046" s="16"/>
      <c r="G1046" s="6"/>
      <c r="H1046" s="16"/>
      <c r="I1046" s="16"/>
      <c r="J1046" s="16"/>
      <c r="K1046" s="16"/>
      <c r="L1046" s="16"/>
      <c r="M1046" s="16"/>
      <c r="N1046" s="16"/>
      <c r="O1046" s="16"/>
      <c r="P1046" s="16"/>
      <c r="Q1046" s="16"/>
      <c r="R1046" s="16"/>
      <c r="S1046" s="16"/>
      <c r="T1046" s="16"/>
      <c r="U1046" s="16"/>
      <c r="V1046" s="16"/>
      <c r="W1046" s="16"/>
      <c r="X1046" s="16"/>
      <c r="Y1046" s="16"/>
    </row>
    <row r="1047" spans="1:25" x14ac:dyDescent="0.2">
      <c r="A1047" s="14"/>
      <c r="B1047" s="6"/>
      <c r="C1047" s="6"/>
      <c r="D1047" s="16"/>
      <c r="E1047" s="6"/>
      <c r="F1047" s="16"/>
      <c r="G1047" s="6"/>
      <c r="H1047" s="16"/>
      <c r="I1047" s="16"/>
      <c r="J1047" s="16"/>
      <c r="K1047" s="16"/>
      <c r="L1047" s="16"/>
      <c r="M1047" s="16"/>
      <c r="N1047" s="16"/>
      <c r="O1047" s="16"/>
      <c r="P1047" s="16"/>
      <c r="Q1047" s="16"/>
      <c r="R1047" s="16"/>
      <c r="S1047" s="16"/>
      <c r="T1047" s="16"/>
      <c r="U1047" s="16"/>
      <c r="V1047" s="16"/>
      <c r="W1047" s="16"/>
      <c r="X1047" s="16"/>
      <c r="Y1047" s="16"/>
    </row>
    <row r="1048" spans="1:25" x14ac:dyDescent="0.2">
      <c r="A1048" s="14"/>
      <c r="B1048" s="6"/>
      <c r="C1048" s="6"/>
      <c r="D1048" s="16"/>
      <c r="E1048" s="6"/>
      <c r="F1048" s="16"/>
      <c r="G1048" s="6"/>
      <c r="H1048" s="16"/>
      <c r="I1048" s="16"/>
      <c r="J1048" s="16"/>
      <c r="K1048" s="16"/>
      <c r="L1048" s="16"/>
      <c r="M1048" s="16"/>
      <c r="N1048" s="16"/>
      <c r="O1048" s="16"/>
      <c r="P1048" s="16"/>
      <c r="Q1048" s="16"/>
      <c r="R1048" s="16"/>
      <c r="S1048" s="16"/>
      <c r="T1048" s="16"/>
      <c r="U1048" s="16"/>
      <c r="V1048" s="16"/>
      <c r="W1048" s="16"/>
      <c r="X1048" s="16"/>
      <c r="Y1048" s="16"/>
    </row>
    <row r="1049" spans="1:25" x14ac:dyDescent="0.2">
      <c r="A1049" s="14"/>
      <c r="B1049" s="6"/>
      <c r="C1049" s="6"/>
      <c r="D1049" s="16"/>
      <c r="E1049" s="6"/>
      <c r="F1049" s="16"/>
      <c r="G1049" s="6"/>
      <c r="H1049" s="16"/>
      <c r="I1049" s="16"/>
      <c r="J1049" s="16"/>
      <c r="K1049" s="16"/>
      <c r="L1049" s="16"/>
      <c r="M1049" s="16"/>
      <c r="N1049" s="16"/>
      <c r="O1049" s="16"/>
      <c r="P1049" s="16"/>
      <c r="Q1049" s="16"/>
      <c r="R1049" s="16"/>
      <c r="S1049" s="16"/>
      <c r="T1049" s="16"/>
      <c r="U1049" s="16"/>
      <c r="V1049" s="16"/>
      <c r="W1049" s="16"/>
      <c r="X1049" s="16"/>
      <c r="Y1049" s="16"/>
    </row>
    <row r="1050" spans="1:25" x14ac:dyDescent="0.2">
      <c r="A1050" s="14"/>
      <c r="B1050" s="6"/>
      <c r="C1050" s="6"/>
      <c r="D1050" s="16"/>
      <c r="E1050" s="6"/>
      <c r="F1050" s="16"/>
      <c r="G1050" s="6"/>
      <c r="H1050" s="16"/>
      <c r="I1050" s="16"/>
      <c r="J1050" s="16"/>
      <c r="K1050" s="16"/>
      <c r="L1050" s="16"/>
      <c r="M1050" s="16"/>
      <c r="N1050" s="16"/>
      <c r="O1050" s="16"/>
      <c r="P1050" s="16"/>
      <c r="Q1050" s="16"/>
      <c r="R1050" s="16"/>
      <c r="S1050" s="16"/>
      <c r="T1050" s="16"/>
      <c r="U1050" s="16"/>
      <c r="V1050" s="16"/>
      <c r="W1050" s="16"/>
      <c r="X1050" s="16"/>
      <c r="Y1050" s="16"/>
    </row>
    <row r="1051" spans="1:25" x14ac:dyDescent="0.2">
      <c r="A1051" s="14"/>
      <c r="B1051" s="6"/>
      <c r="C1051" s="6"/>
      <c r="D1051" s="16"/>
      <c r="E1051" s="6"/>
      <c r="F1051" s="16"/>
      <c r="G1051" s="6"/>
      <c r="H1051" s="16"/>
      <c r="I1051" s="16"/>
      <c r="J1051" s="16"/>
      <c r="K1051" s="16"/>
      <c r="L1051" s="16"/>
      <c r="M1051" s="16"/>
      <c r="N1051" s="16"/>
      <c r="O1051" s="16"/>
      <c r="P1051" s="16"/>
      <c r="Q1051" s="16"/>
      <c r="R1051" s="16"/>
      <c r="S1051" s="16"/>
      <c r="T1051" s="16"/>
      <c r="U1051" s="16"/>
      <c r="V1051" s="16"/>
      <c r="W1051" s="16"/>
      <c r="X1051" s="16"/>
      <c r="Y1051" s="16"/>
    </row>
    <row r="1052" spans="1:25" x14ac:dyDescent="0.2">
      <c r="A1052" s="14"/>
      <c r="B1052" s="6"/>
      <c r="C1052" s="6"/>
      <c r="D1052" s="16"/>
      <c r="E1052" s="6"/>
      <c r="F1052" s="16"/>
      <c r="G1052" s="6"/>
      <c r="H1052" s="16"/>
      <c r="I1052" s="16"/>
      <c r="J1052" s="16"/>
      <c r="K1052" s="16"/>
      <c r="L1052" s="16"/>
      <c r="M1052" s="16"/>
      <c r="N1052" s="16"/>
      <c r="O1052" s="16"/>
      <c r="P1052" s="16"/>
      <c r="Q1052" s="16"/>
      <c r="R1052" s="16"/>
      <c r="S1052" s="16"/>
      <c r="T1052" s="16"/>
      <c r="U1052" s="16"/>
      <c r="V1052" s="16"/>
      <c r="W1052" s="16"/>
      <c r="X1052" s="16"/>
      <c r="Y1052" s="16"/>
    </row>
    <row r="1053" spans="1:25" x14ac:dyDescent="0.2">
      <c r="A1053" s="14"/>
      <c r="B1053" s="6"/>
      <c r="C1053" s="6"/>
      <c r="D1053" s="16"/>
      <c r="E1053" s="6"/>
      <c r="F1053" s="16"/>
      <c r="G1053" s="6"/>
      <c r="H1053" s="16"/>
      <c r="I1053" s="16"/>
      <c r="J1053" s="16"/>
      <c r="K1053" s="16"/>
      <c r="L1053" s="16"/>
      <c r="M1053" s="16"/>
      <c r="N1053" s="16"/>
      <c r="O1053" s="16"/>
      <c r="P1053" s="16"/>
      <c r="Q1053" s="16"/>
      <c r="R1053" s="16"/>
      <c r="S1053" s="16"/>
      <c r="T1053" s="16"/>
      <c r="U1053" s="16"/>
      <c r="V1053" s="16"/>
      <c r="W1053" s="16"/>
      <c r="X1053" s="16"/>
      <c r="Y1053" s="16"/>
    </row>
    <row r="1054" spans="1:25" x14ac:dyDescent="0.2">
      <c r="A1054" s="14"/>
      <c r="B1054" s="6"/>
      <c r="C1054" s="6"/>
      <c r="D1054" s="16"/>
      <c r="E1054" s="6"/>
      <c r="F1054" s="16"/>
      <c r="G1054" s="6"/>
      <c r="H1054" s="16"/>
      <c r="I1054" s="16"/>
      <c r="J1054" s="16"/>
      <c r="K1054" s="16"/>
      <c r="L1054" s="16"/>
      <c r="M1054" s="16"/>
      <c r="N1054" s="16"/>
      <c r="O1054" s="16"/>
      <c r="P1054" s="16"/>
      <c r="Q1054" s="16"/>
      <c r="R1054" s="16"/>
      <c r="S1054" s="16"/>
      <c r="T1054" s="16"/>
      <c r="U1054" s="16"/>
      <c r="V1054" s="16"/>
      <c r="W1054" s="16"/>
      <c r="X1054" s="16"/>
      <c r="Y1054" s="16"/>
    </row>
    <row r="1055" spans="1:25" x14ac:dyDescent="0.2">
      <c r="A1055" s="14"/>
      <c r="B1055" s="6"/>
      <c r="C1055" s="6"/>
      <c r="D1055" s="16"/>
      <c r="E1055" s="6"/>
      <c r="F1055" s="16"/>
      <c r="G1055" s="6"/>
      <c r="H1055" s="16"/>
      <c r="I1055" s="16"/>
      <c r="J1055" s="16"/>
      <c r="K1055" s="16"/>
      <c r="L1055" s="16"/>
      <c r="M1055" s="16"/>
      <c r="N1055" s="16"/>
      <c r="O1055" s="16"/>
      <c r="P1055" s="16"/>
      <c r="Q1055" s="16"/>
      <c r="R1055" s="16"/>
      <c r="S1055" s="16"/>
      <c r="T1055" s="16"/>
      <c r="U1055" s="16"/>
      <c r="V1055" s="16"/>
      <c r="W1055" s="16"/>
      <c r="X1055" s="16"/>
      <c r="Y1055" s="16"/>
    </row>
    <row r="1056" spans="1:25" x14ac:dyDescent="0.2">
      <c r="A1056" s="14"/>
      <c r="B1056" s="6"/>
      <c r="C1056" s="6"/>
      <c r="D1056" s="16"/>
      <c r="E1056" s="6"/>
      <c r="F1056" s="16"/>
      <c r="G1056" s="6"/>
      <c r="H1056" s="16"/>
      <c r="I1056" s="16"/>
      <c r="J1056" s="16"/>
      <c r="K1056" s="16"/>
      <c r="L1056" s="16"/>
      <c r="M1056" s="16"/>
      <c r="N1056" s="16"/>
      <c r="O1056" s="16"/>
      <c r="P1056" s="16"/>
      <c r="Q1056" s="16"/>
      <c r="R1056" s="16"/>
      <c r="S1056" s="16"/>
      <c r="T1056" s="16"/>
      <c r="U1056" s="16"/>
      <c r="V1056" s="16"/>
      <c r="W1056" s="16"/>
      <c r="X1056" s="16"/>
      <c r="Y1056" s="16"/>
    </row>
    <row r="1057" spans="1:25" x14ac:dyDescent="0.2">
      <c r="A1057" s="14"/>
      <c r="B1057" s="6"/>
      <c r="C1057" s="6"/>
      <c r="D1057" s="16"/>
      <c r="E1057" s="6"/>
      <c r="F1057" s="16"/>
      <c r="G1057" s="6"/>
      <c r="H1057" s="16"/>
      <c r="I1057" s="16"/>
      <c r="J1057" s="16"/>
      <c r="K1057" s="16"/>
      <c r="L1057" s="16"/>
      <c r="M1057" s="16"/>
      <c r="N1057" s="16"/>
      <c r="O1057" s="16"/>
      <c r="P1057" s="16"/>
      <c r="Q1057" s="16"/>
      <c r="R1057" s="16"/>
      <c r="S1057" s="16"/>
      <c r="T1057" s="16"/>
      <c r="U1057" s="16"/>
      <c r="V1057" s="16"/>
      <c r="W1057" s="16"/>
      <c r="X1057" s="16"/>
      <c r="Y1057" s="16"/>
    </row>
    <row r="1058" spans="1:25" x14ac:dyDescent="0.2">
      <c r="A1058" s="14"/>
      <c r="B1058" s="6"/>
      <c r="C1058" s="6"/>
      <c r="D1058" s="16"/>
      <c r="E1058" s="6"/>
      <c r="F1058" s="16"/>
      <c r="G1058" s="6"/>
      <c r="H1058" s="16"/>
      <c r="I1058" s="16"/>
      <c r="J1058" s="16"/>
      <c r="K1058" s="16"/>
      <c r="L1058" s="16"/>
      <c r="M1058" s="16"/>
      <c r="N1058" s="16"/>
      <c r="O1058" s="16"/>
      <c r="P1058" s="16"/>
      <c r="Q1058" s="16"/>
      <c r="R1058" s="16"/>
      <c r="S1058" s="16"/>
      <c r="T1058" s="16"/>
      <c r="U1058" s="16"/>
      <c r="V1058" s="16"/>
      <c r="W1058" s="16"/>
      <c r="X1058" s="16"/>
      <c r="Y1058" s="16"/>
    </row>
    <row r="1059" spans="1:25" x14ac:dyDescent="0.2">
      <c r="A1059" s="14"/>
      <c r="B1059" s="6"/>
      <c r="C1059" s="6"/>
      <c r="D1059" s="16"/>
      <c r="E1059" s="6"/>
      <c r="F1059" s="16"/>
      <c r="G1059" s="6"/>
      <c r="H1059" s="16"/>
      <c r="I1059" s="16"/>
      <c r="J1059" s="16"/>
      <c r="K1059" s="16"/>
      <c r="L1059" s="16"/>
      <c r="M1059" s="16"/>
      <c r="N1059" s="16"/>
      <c r="O1059" s="16"/>
      <c r="P1059" s="16"/>
      <c r="Q1059" s="16"/>
      <c r="R1059" s="16"/>
      <c r="S1059" s="16"/>
      <c r="T1059" s="16"/>
      <c r="U1059" s="16"/>
      <c r="V1059" s="16"/>
      <c r="W1059" s="16"/>
      <c r="X1059" s="16"/>
      <c r="Y1059" s="16"/>
    </row>
    <row r="1060" spans="1:25" x14ac:dyDescent="0.2">
      <c r="A1060" s="14"/>
      <c r="B1060" s="6"/>
      <c r="C1060" s="6"/>
      <c r="D1060" s="16"/>
      <c r="E1060" s="6"/>
      <c r="F1060" s="16"/>
      <c r="G1060" s="6"/>
      <c r="H1060" s="16"/>
      <c r="I1060" s="16"/>
      <c r="J1060" s="16"/>
      <c r="K1060" s="16"/>
      <c r="L1060" s="16"/>
      <c r="M1060" s="16"/>
      <c r="N1060" s="16"/>
      <c r="O1060" s="16"/>
      <c r="P1060" s="16"/>
      <c r="Q1060" s="16"/>
      <c r="R1060" s="16"/>
      <c r="S1060" s="16"/>
      <c r="T1060" s="16"/>
      <c r="U1060" s="16"/>
      <c r="V1060" s="16"/>
      <c r="W1060" s="16"/>
      <c r="X1060" s="16"/>
      <c r="Y1060" s="16"/>
    </row>
    <row r="1061" spans="1:25" x14ac:dyDescent="0.2">
      <c r="A1061" s="14"/>
      <c r="B1061" s="6"/>
      <c r="C1061" s="6"/>
      <c r="D1061" s="16"/>
      <c r="E1061" s="6"/>
      <c r="F1061" s="16"/>
      <c r="G1061" s="6"/>
      <c r="H1061" s="16"/>
      <c r="I1061" s="16"/>
      <c r="J1061" s="16"/>
      <c r="K1061" s="16"/>
      <c r="L1061" s="16"/>
      <c r="M1061" s="16"/>
      <c r="N1061" s="16"/>
      <c r="O1061" s="16"/>
      <c r="P1061" s="16"/>
      <c r="Q1061" s="16"/>
      <c r="R1061" s="16"/>
      <c r="S1061" s="16"/>
      <c r="T1061" s="16"/>
      <c r="U1061" s="16"/>
      <c r="V1061" s="16"/>
      <c r="W1061" s="16"/>
      <c r="X1061" s="16"/>
      <c r="Y1061" s="16"/>
    </row>
    <row r="1062" spans="1:25" x14ac:dyDescent="0.2">
      <c r="A1062" s="14"/>
      <c r="B1062" s="6"/>
      <c r="C1062" s="6"/>
      <c r="D1062" s="16"/>
      <c r="E1062" s="6"/>
      <c r="F1062" s="16"/>
      <c r="G1062" s="6"/>
      <c r="H1062" s="16"/>
      <c r="I1062" s="16"/>
      <c r="J1062" s="16"/>
      <c r="K1062" s="16"/>
      <c r="L1062" s="16"/>
      <c r="M1062" s="16"/>
      <c r="N1062" s="16"/>
      <c r="O1062" s="16"/>
      <c r="P1062" s="16"/>
      <c r="Q1062" s="16"/>
      <c r="R1062" s="16"/>
      <c r="S1062" s="16"/>
      <c r="T1062" s="16"/>
      <c r="U1062" s="16"/>
      <c r="V1062" s="16"/>
      <c r="W1062" s="16"/>
      <c r="X1062" s="16"/>
      <c r="Y1062" s="16"/>
    </row>
    <row r="1063" spans="1:25" x14ac:dyDescent="0.2">
      <c r="A1063" s="14"/>
      <c r="B1063" s="6"/>
      <c r="C1063" s="6"/>
      <c r="D1063" s="16"/>
      <c r="E1063" s="6"/>
      <c r="F1063" s="16"/>
      <c r="G1063" s="6"/>
      <c r="H1063" s="16"/>
      <c r="I1063" s="16"/>
      <c r="J1063" s="16"/>
      <c r="K1063" s="16"/>
      <c r="L1063" s="16"/>
      <c r="M1063" s="16"/>
      <c r="N1063" s="16"/>
      <c r="O1063" s="16"/>
      <c r="P1063" s="16"/>
      <c r="Q1063" s="16"/>
      <c r="R1063" s="16"/>
      <c r="S1063" s="16"/>
      <c r="T1063" s="16"/>
      <c r="U1063" s="16"/>
      <c r="V1063" s="16"/>
      <c r="W1063" s="16"/>
      <c r="X1063" s="16"/>
      <c r="Y1063" s="16"/>
    </row>
    <row r="1064" spans="1:25" x14ac:dyDescent="0.2">
      <c r="A1064" s="14"/>
      <c r="B1064" s="6"/>
      <c r="C1064" s="6"/>
      <c r="D1064" s="16"/>
      <c r="E1064" s="6"/>
      <c r="F1064" s="16"/>
      <c r="G1064" s="6"/>
      <c r="H1064" s="16"/>
      <c r="I1064" s="16"/>
      <c r="J1064" s="16"/>
      <c r="K1064" s="16"/>
      <c r="L1064" s="16"/>
      <c r="M1064" s="16"/>
      <c r="N1064" s="16"/>
      <c r="O1064" s="16"/>
      <c r="P1064" s="16"/>
      <c r="Q1064" s="16"/>
      <c r="R1064" s="16"/>
      <c r="S1064" s="16"/>
      <c r="T1064" s="16"/>
      <c r="U1064" s="16"/>
      <c r="V1064" s="16"/>
      <c r="W1064" s="16"/>
      <c r="X1064" s="16"/>
      <c r="Y1064" s="16"/>
    </row>
    <row r="1065" spans="1:25" x14ac:dyDescent="0.2">
      <c r="A1065" s="14"/>
      <c r="B1065" s="6"/>
      <c r="C1065" s="6"/>
      <c r="D1065" s="16"/>
      <c r="E1065" s="6"/>
      <c r="F1065" s="16"/>
      <c r="G1065" s="6"/>
      <c r="H1065" s="16"/>
      <c r="I1065" s="16"/>
      <c r="J1065" s="16"/>
      <c r="K1065" s="16"/>
      <c r="L1065" s="16"/>
      <c r="M1065" s="16"/>
      <c r="N1065" s="16"/>
      <c r="O1065" s="16"/>
      <c r="P1065" s="16"/>
      <c r="Q1065" s="16"/>
      <c r="R1065" s="16"/>
      <c r="S1065" s="16"/>
      <c r="T1065" s="16"/>
      <c r="U1065" s="16"/>
      <c r="V1065" s="16"/>
      <c r="W1065" s="16"/>
      <c r="X1065" s="16"/>
      <c r="Y1065" s="16"/>
    </row>
    <row r="1066" spans="1:25" x14ac:dyDescent="0.2">
      <c r="A1066" s="14"/>
      <c r="B1066" s="6"/>
      <c r="C1066" s="6"/>
      <c r="D1066" s="16"/>
      <c r="E1066" s="6"/>
      <c r="F1066" s="16"/>
      <c r="G1066" s="6"/>
      <c r="H1066" s="16"/>
      <c r="I1066" s="16"/>
      <c r="J1066" s="16"/>
      <c r="K1066" s="16"/>
      <c r="L1066" s="16"/>
      <c r="M1066" s="16"/>
      <c r="N1066" s="16"/>
      <c r="O1066" s="16"/>
      <c r="P1066" s="16"/>
      <c r="Q1066" s="16"/>
      <c r="R1066" s="16"/>
      <c r="S1066" s="16"/>
      <c r="T1066" s="16"/>
      <c r="U1066" s="16"/>
      <c r="V1066" s="16"/>
      <c r="W1066" s="16"/>
      <c r="X1066" s="16"/>
      <c r="Y1066" s="16"/>
    </row>
    <row r="1067" spans="1:25" x14ac:dyDescent="0.2">
      <c r="A1067" s="14"/>
      <c r="B1067" s="6"/>
      <c r="C1067" s="6"/>
      <c r="D1067" s="16"/>
      <c r="E1067" s="6"/>
      <c r="F1067" s="16"/>
      <c r="G1067" s="6"/>
      <c r="H1067" s="16"/>
      <c r="I1067" s="16"/>
      <c r="J1067" s="16"/>
      <c r="K1067" s="16"/>
      <c r="L1067" s="16"/>
      <c r="M1067" s="16"/>
      <c r="N1067" s="16"/>
      <c r="O1067" s="16"/>
      <c r="P1067" s="16"/>
      <c r="Q1067" s="16"/>
      <c r="R1067" s="16"/>
      <c r="S1067" s="16"/>
      <c r="T1067" s="16"/>
      <c r="U1067" s="16"/>
      <c r="V1067" s="16"/>
      <c r="W1067" s="16"/>
      <c r="X1067" s="16"/>
      <c r="Y1067" s="16"/>
    </row>
    <row r="1068" spans="1:25" x14ac:dyDescent="0.2">
      <c r="A1068" s="14"/>
      <c r="B1068" s="6"/>
      <c r="C1068" s="6"/>
      <c r="D1068" s="16"/>
      <c r="E1068" s="6"/>
      <c r="F1068" s="16"/>
      <c r="G1068" s="6"/>
      <c r="H1068" s="16"/>
      <c r="I1068" s="16"/>
      <c r="J1068" s="16"/>
      <c r="K1068" s="16"/>
      <c r="L1068" s="16"/>
      <c r="M1068" s="16"/>
      <c r="N1068" s="16"/>
      <c r="O1068" s="16"/>
      <c r="P1068" s="16"/>
      <c r="Q1068" s="16"/>
      <c r="R1068" s="16"/>
      <c r="S1068" s="16"/>
      <c r="T1068" s="16"/>
      <c r="U1068" s="16"/>
      <c r="V1068" s="16"/>
      <c r="W1068" s="16"/>
      <c r="X1068" s="16"/>
      <c r="Y1068" s="16"/>
    </row>
    <row r="1069" spans="1:25" x14ac:dyDescent="0.2">
      <c r="A1069" s="14"/>
      <c r="B1069" s="6"/>
      <c r="C1069" s="6"/>
      <c r="D1069" s="16"/>
      <c r="E1069" s="6"/>
      <c r="F1069" s="16"/>
      <c r="G1069" s="6"/>
      <c r="H1069" s="16"/>
      <c r="I1069" s="16"/>
      <c r="J1069" s="16"/>
      <c r="K1069" s="16"/>
      <c r="L1069" s="16"/>
      <c r="M1069" s="16"/>
      <c r="N1069" s="16"/>
      <c r="O1069" s="16"/>
      <c r="P1069" s="16"/>
      <c r="Q1069" s="16"/>
      <c r="R1069" s="16"/>
      <c r="S1069" s="16"/>
      <c r="T1069" s="16"/>
      <c r="U1069" s="16"/>
      <c r="V1069" s="16"/>
      <c r="W1069" s="16"/>
      <c r="X1069" s="16"/>
      <c r="Y1069" s="16"/>
    </row>
    <row r="1070" spans="1:25" x14ac:dyDescent="0.2">
      <c r="A1070" s="14"/>
      <c r="B1070" s="6"/>
      <c r="C1070" s="6"/>
      <c r="D1070" s="16"/>
      <c r="E1070" s="6"/>
      <c r="F1070" s="16"/>
      <c r="G1070" s="6"/>
      <c r="H1070" s="16"/>
      <c r="I1070" s="16"/>
      <c r="J1070" s="16"/>
      <c r="K1070" s="16"/>
      <c r="L1070" s="16"/>
      <c r="M1070" s="16"/>
      <c r="N1070" s="16"/>
      <c r="O1070" s="16"/>
      <c r="P1070" s="16"/>
      <c r="Q1070" s="16"/>
      <c r="R1070" s="16"/>
      <c r="S1070" s="16"/>
      <c r="T1070" s="16"/>
      <c r="U1070" s="16"/>
      <c r="V1070" s="16"/>
      <c r="W1070" s="16"/>
      <c r="X1070" s="16"/>
      <c r="Y1070" s="16"/>
    </row>
    <row r="1071" spans="1:25" x14ac:dyDescent="0.2">
      <c r="A1071" s="14"/>
      <c r="B1071" s="6"/>
      <c r="C1071" s="6"/>
      <c r="D1071" s="16"/>
      <c r="E1071" s="6"/>
      <c r="F1071" s="16"/>
      <c r="G1071" s="6"/>
      <c r="H1071" s="16"/>
      <c r="I1071" s="16"/>
      <c r="J1071" s="16"/>
      <c r="K1071" s="16"/>
      <c r="L1071" s="16"/>
      <c r="M1071" s="16"/>
      <c r="N1071" s="16"/>
      <c r="O1071" s="16"/>
      <c r="P1071" s="16"/>
      <c r="Q1071" s="16"/>
      <c r="R1071" s="16"/>
      <c r="S1071" s="16"/>
      <c r="T1071" s="16"/>
      <c r="U1071" s="16"/>
      <c r="V1071" s="16"/>
      <c r="W1071" s="16"/>
      <c r="X1071" s="16"/>
      <c r="Y1071" s="16"/>
    </row>
    <row r="1072" spans="1:25" x14ac:dyDescent="0.2">
      <c r="A1072" s="14"/>
      <c r="B1072" s="6"/>
      <c r="C1072" s="6"/>
      <c r="D1072" s="16"/>
      <c r="E1072" s="6"/>
      <c r="F1072" s="16"/>
      <c r="G1072" s="6"/>
      <c r="H1072" s="16"/>
      <c r="I1072" s="16"/>
      <c r="J1072" s="16"/>
      <c r="K1072" s="16"/>
      <c r="L1072" s="16"/>
      <c r="M1072" s="16"/>
      <c r="N1072" s="16"/>
      <c r="O1072" s="16"/>
      <c r="P1072" s="16"/>
      <c r="Q1072" s="16"/>
      <c r="R1072" s="16"/>
      <c r="S1072" s="16"/>
      <c r="T1072" s="16"/>
      <c r="U1072" s="16"/>
      <c r="V1072" s="16"/>
      <c r="W1072" s="16"/>
      <c r="X1072" s="16"/>
      <c r="Y1072" s="16"/>
    </row>
    <row r="1073" spans="1:25" x14ac:dyDescent="0.2">
      <c r="A1073" s="14"/>
      <c r="B1073" s="6"/>
      <c r="C1073" s="6"/>
      <c r="D1073" s="16"/>
      <c r="E1073" s="6"/>
      <c r="F1073" s="16"/>
      <c r="G1073" s="6"/>
      <c r="H1073" s="16"/>
      <c r="I1073" s="16"/>
      <c r="J1073" s="16"/>
      <c r="K1073" s="16"/>
      <c r="L1073" s="16"/>
      <c r="M1073" s="16"/>
      <c r="N1073" s="16"/>
      <c r="O1073" s="16"/>
      <c r="P1073" s="16"/>
      <c r="Q1073" s="16"/>
      <c r="R1073" s="16"/>
      <c r="S1073" s="16"/>
      <c r="T1073" s="16"/>
      <c r="U1073" s="16"/>
      <c r="V1073" s="16"/>
      <c r="W1073" s="16"/>
      <c r="X1073" s="16"/>
      <c r="Y1073" s="16"/>
    </row>
    <row r="1074" spans="1:25" x14ac:dyDescent="0.2">
      <c r="A1074" s="14"/>
      <c r="B1074" s="6"/>
      <c r="C1074" s="6"/>
      <c r="D1074" s="16"/>
      <c r="E1074" s="6"/>
      <c r="F1074" s="16"/>
      <c r="G1074" s="6"/>
      <c r="H1074" s="16"/>
      <c r="I1074" s="16"/>
      <c r="J1074" s="16"/>
      <c r="K1074" s="16"/>
      <c r="L1074" s="16"/>
      <c r="M1074" s="16"/>
      <c r="N1074" s="16"/>
      <c r="O1074" s="16"/>
      <c r="P1074" s="16"/>
      <c r="Q1074" s="16"/>
      <c r="R1074" s="16"/>
      <c r="S1074" s="16"/>
      <c r="T1074" s="16"/>
      <c r="U1074" s="16"/>
      <c r="V1074" s="16"/>
      <c r="W1074" s="16"/>
      <c r="X1074" s="16"/>
      <c r="Y1074" s="16"/>
    </row>
    <row r="1075" spans="1:25" x14ac:dyDescent="0.2">
      <c r="A1075" s="14"/>
      <c r="B1075" s="6"/>
      <c r="C1075" s="6"/>
      <c r="D1075" s="16"/>
      <c r="E1075" s="6"/>
      <c r="F1075" s="16"/>
      <c r="G1075" s="6"/>
      <c r="H1075" s="16"/>
      <c r="I1075" s="16"/>
      <c r="J1075" s="16"/>
      <c r="K1075" s="16"/>
      <c r="L1075" s="16"/>
      <c r="M1075" s="16"/>
      <c r="N1075" s="16"/>
      <c r="O1075" s="16"/>
      <c r="P1075" s="16"/>
      <c r="Q1075" s="16"/>
      <c r="R1075" s="16"/>
      <c r="S1075" s="16"/>
      <c r="T1075" s="16"/>
      <c r="U1075" s="16"/>
      <c r="V1075" s="16"/>
      <c r="W1075" s="16"/>
      <c r="X1075" s="16"/>
      <c r="Y1075" s="16"/>
    </row>
    <row r="1076" spans="1:25" x14ac:dyDescent="0.2">
      <c r="A1076" s="14"/>
      <c r="B1076" s="6"/>
      <c r="C1076" s="6"/>
      <c r="D1076" s="16"/>
      <c r="E1076" s="6"/>
      <c r="F1076" s="16"/>
      <c r="G1076" s="6"/>
      <c r="H1076" s="16"/>
      <c r="I1076" s="16"/>
      <c r="J1076" s="16"/>
      <c r="K1076" s="16"/>
      <c r="L1076" s="16"/>
      <c r="M1076" s="16"/>
      <c r="N1076" s="16"/>
      <c r="O1076" s="16"/>
      <c r="P1076" s="16"/>
      <c r="Q1076" s="16"/>
      <c r="R1076" s="16"/>
      <c r="S1076" s="16"/>
      <c r="T1076" s="16"/>
      <c r="U1076" s="16"/>
      <c r="V1076" s="16"/>
      <c r="W1076" s="16"/>
      <c r="X1076" s="16"/>
      <c r="Y1076" s="16"/>
    </row>
    <row r="1077" spans="1:25" x14ac:dyDescent="0.2">
      <c r="A1077" s="14"/>
      <c r="B1077" s="6"/>
      <c r="C1077" s="6"/>
      <c r="D1077" s="16"/>
      <c r="E1077" s="6"/>
      <c r="F1077" s="16"/>
      <c r="G1077" s="6"/>
      <c r="H1077" s="16"/>
      <c r="I1077" s="16"/>
      <c r="J1077" s="16"/>
      <c r="K1077" s="16"/>
      <c r="L1077" s="16"/>
      <c r="M1077" s="16"/>
      <c r="N1077" s="16"/>
      <c r="O1077" s="16"/>
      <c r="P1077" s="16"/>
      <c r="Q1077" s="16"/>
      <c r="R1077" s="16"/>
      <c r="S1077" s="16"/>
      <c r="T1077" s="16"/>
      <c r="U1077" s="16"/>
      <c r="V1077" s="16"/>
      <c r="W1077" s="16"/>
      <c r="X1077" s="16"/>
      <c r="Y1077" s="16"/>
    </row>
    <row r="1078" spans="1:25" x14ac:dyDescent="0.2">
      <c r="A1078" s="14"/>
      <c r="B1078" s="6"/>
      <c r="C1078" s="6"/>
      <c r="D1078" s="16"/>
      <c r="E1078" s="6"/>
      <c r="F1078" s="16"/>
      <c r="G1078" s="6"/>
      <c r="H1078" s="16"/>
      <c r="I1078" s="16"/>
      <c r="J1078" s="16"/>
      <c r="K1078" s="16"/>
      <c r="L1078" s="16"/>
      <c r="M1078" s="16"/>
      <c r="N1078" s="16"/>
      <c r="O1078" s="16"/>
      <c r="P1078" s="16"/>
      <c r="Q1078" s="16"/>
      <c r="R1078" s="16"/>
      <c r="S1078" s="16"/>
      <c r="T1078" s="16"/>
      <c r="U1078" s="16"/>
      <c r="V1078" s="16"/>
      <c r="W1078" s="16"/>
      <c r="X1078" s="16"/>
      <c r="Y1078" s="16"/>
    </row>
    <row r="1079" spans="1:25" x14ac:dyDescent="0.2">
      <c r="A1079" s="14"/>
      <c r="B1079" s="6"/>
      <c r="C1079" s="6"/>
      <c r="D1079" s="16"/>
      <c r="E1079" s="6"/>
      <c r="F1079" s="16"/>
      <c r="G1079" s="6"/>
      <c r="H1079" s="16"/>
      <c r="I1079" s="16"/>
      <c r="J1079" s="16"/>
      <c r="K1079" s="16"/>
      <c r="L1079" s="16"/>
      <c r="M1079" s="16"/>
      <c r="N1079" s="16"/>
      <c r="O1079" s="16"/>
      <c r="P1079" s="16"/>
      <c r="Q1079" s="16"/>
      <c r="R1079" s="16"/>
      <c r="S1079" s="16"/>
      <c r="T1079" s="16"/>
      <c r="U1079" s="16"/>
      <c r="V1079" s="16"/>
      <c r="W1079" s="16"/>
      <c r="X1079" s="16"/>
      <c r="Y1079" s="16"/>
    </row>
    <row r="1080" spans="1:25" x14ac:dyDescent="0.2">
      <c r="A1080" s="14"/>
      <c r="B1080" s="6"/>
      <c r="C1080" s="6"/>
      <c r="D1080" s="16"/>
      <c r="E1080" s="6"/>
      <c r="F1080" s="16"/>
      <c r="G1080" s="6"/>
      <c r="H1080" s="16"/>
      <c r="I1080" s="16"/>
      <c r="J1080" s="16"/>
      <c r="K1080" s="16"/>
      <c r="L1080" s="16"/>
      <c r="M1080" s="16"/>
      <c r="N1080" s="16"/>
      <c r="O1080" s="16"/>
      <c r="P1080" s="16"/>
      <c r="Q1080" s="16"/>
      <c r="R1080" s="16"/>
      <c r="S1080" s="16"/>
      <c r="T1080" s="16"/>
      <c r="U1080" s="16"/>
      <c r="V1080" s="16"/>
      <c r="W1080" s="16"/>
      <c r="X1080" s="16"/>
      <c r="Y1080" s="16"/>
    </row>
    <row r="1081" spans="1:25" x14ac:dyDescent="0.2">
      <c r="A1081" s="14"/>
      <c r="B1081" s="6"/>
      <c r="C1081" s="6"/>
      <c r="D1081" s="16"/>
      <c r="E1081" s="6"/>
      <c r="F1081" s="16"/>
      <c r="G1081" s="6"/>
      <c r="H1081" s="16"/>
      <c r="I1081" s="16"/>
      <c r="J1081" s="16"/>
      <c r="K1081" s="16"/>
      <c r="L1081" s="16"/>
      <c r="M1081" s="16"/>
      <c r="N1081" s="16"/>
      <c r="O1081" s="16"/>
      <c r="P1081" s="16"/>
      <c r="Q1081" s="16"/>
      <c r="R1081" s="16"/>
      <c r="S1081" s="16"/>
      <c r="T1081" s="16"/>
      <c r="U1081" s="16"/>
      <c r="V1081" s="16"/>
      <c r="W1081" s="16"/>
      <c r="X1081" s="16"/>
      <c r="Y1081" s="16"/>
    </row>
    <row r="1082" spans="1:25" x14ac:dyDescent="0.2">
      <c r="A1082" s="14"/>
      <c r="B1082" s="6"/>
      <c r="C1082" s="6"/>
      <c r="D1082" s="16"/>
      <c r="E1082" s="6"/>
      <c r="F1082" s="16"/>
      <c r="G1082" s="6"/>
      <c r="H1082" s="16"/>
      <c r="I1082" s="16"/>
      <c r="J1082" s="16"/>
      <c r="K1082" s="16"/>
      <c r="L1082" s="16"/>
      <c r="M1082" s="16"/>
      <c r="N1082" s="16"/>
      <c r="O1082" s="16"/>
      <c r="P1082" s="16"/>
      <c r="Q1082" s="16"/>
      <c r="R1082" s="16"/>
      <c r="S1082" s="16"/>
      <c r="T1082" s="16"/>
      <c r="U1082" s="16"/>
      <c r="V1082" s="16"/>
      <c r="W1082" s="16"/>
      <c r="X1082" s="16"/>
      <c r="Y1082" s="16"/>
    </row>
    <row r="1083" spans="1:25" x14ac:dyDescent="0.2">
      <c r="A1083" s="14"/>
      <c r="B1083" s="6"/>
      <c r="C1083" s="6"/>
      <c r="D1083" s="16"/>
      <c r="E1083" s="6"/>
      <c r="F1083" s="16"/>
      <c r="G1083" s="6"/>
      <c r="H1083" s="16"/>
      <c r="I1083" s="16"/>
      <c r="J1083" s="16"/>
      <c r="K1083" s="16"/>
      <c r="L1083" s="16"/>
      <c r="M1083" s="16"/>
      <c r="N1083" s="16"/>
      <c r="O1083" s="16"/>
      <c r="P1083" s="16"/>
      <c r="Q1083" s="16"/>
      <c r="R1083" s="16"/>
      <c r="S1083" s="16"/>
      <c r="T1083" s="16"/>
      <c r="U1083" s="16"/>
      <c r="V1083" s="16"/>
      <c r="W1083" s="16"/>
      <c r="X1083" s="16"/>
      <c r="Y1083" s="16"/>
    </row>
    <row r="1084" spans="1:25" x14ac:dyDescent="0.2">
      <c r="A1084" s="14"/>
      <c r="B1084" s="6"/>
      <c r="C1084" s="6"/>
      <c r="D1084" s="16"/>
      <c r="E1084" s="6"/>
      <c r="F1084" s="16"/>
      <c r="G1084" s="6"/>
      <c r="H1084" s="16"/>
      <c r="I1084" s="16"/>
      <c r="J1084" s="16"/>
      <c r="K1084" s="16"/>
      <c r="L1084" s="16"/>
      <c r="M1084" s="16"/>
      <c r="N1084" s="16"/>
      <c r="O1084" s="16"/>
      <c r="P1084" s="16"/>
      <c r="Q1084" s="16"/>
      <c r="R1084" s="16"/>
      <c r="S1084" s="16"/>
      <c r="T1084" s="16"/>
      <c r="U1084" s="16"/>
      <c r="V1084" s="16"/>
      <c r="W1084" s="16"/>
      <c r="X1084" s="16"/>
      <c r="Y1084" s="16"/>
    </row>
    <row r="1085" spans="1:25" x14ac:dyDescent="0.2">
      <c r="A1085" s="14"/>
      <c r="B1085" s="6"/>
      <c r="C1085" s="6"/>
      <c r="D1085" s="16"/>
      <c r="E1085" s="6"/>
      <c r="F1085" s="16"/>
      <c r="G1085" s="6"/>
      <c r="H1085" s="16"/>
      <c r="I1085" s="16"/>
      <c r="J1085" s="16"/>
      <c r="K1085" s="16"/>
      <c r="L1085" s="16"/>
      <c r="M1085" s="16"/>
      <c r="N1085" s="16"/>
      <c r="O1085" s="16"/>
      <c r="P1085" s="16"/>
      <c r="Q1085" s="16"/>
      <c r="R1085" s="16"/>
      <c r="S1085" s="16"/>
      <c r="T1085" s="16"/>
      <c r="U1085" s="16"/>
      <c r="V1085" s="16"/>
      <c r="W1085" s="16"/>
      <c r="X1085" s="16"/>
      <c r="Y1085" s="16"/>
    </row>
    <row r="1086" spans="1:25" x14ac:dyDescent="0.2">
      <c r="A1086" s="14"/>
      <c r="B1086" s="6"/>
      <c r="C1086" s="6"/>
      <c r="D1086" s="16"/>
      <c r="E1086" s="6"/>
      <c r="F1086" s="16"/>
      <c r="G1086" s="6"/>
      <c r="H1086" s="16"/>
      <c r="I1086" s="16"/>
      <c r="J1086" s="16"/>
      <c r="K1086" s="16"/>
      <c r="L1086" s="16"/>
      <c r="M1086" s="16"/>
      <c r="N1086" s="16"/>
      <c r="O1086" s="16"/>
      <c r="P1086" s="16"/>
      <c r="Q1086" s="16"/>
      <c r="R1086" s="16"/>
      <c r="S1086" s="16"/>
      <c r="T1086" s="16"/>
      <c r="U1086" s="16"/>
      <c r="V1086" s="16"/>
      <c r="W1086" s="16"/>
      <c r="X1086" s="16"/>
      <c r="Y1086" s="16"/>
    </row>
    <row r="1087" spans="1:25" x14ac:dyDescent="0.2">
      <c r="A1087" s="14"/>
      <c r="B1087" s="6"/>
      <c r="C1087" s="6"/>
      <c r="D1087" s="16"/>
      <c r="E1087" s="6"/>
      <c r="F1087" s="16"/>
      <c r="G1087" s="6"/>
      <c r="H1087" s="16"/>
      <c r="I1087" s="16"/>
      <c r="J1087" s="16"/>
      <c r="K1087" s="16"/>
      <c r="L1087" s="16"/>
      <c r="M1087" s="16"/>
      <c r="N1087" s="16"/>
      <c r="O1087" s="16"/>
      <c r="P1087" s="16"/>
      <c r="Q1087" s="16"/>
      <c r="R1087" s="16"/>
      <c r="S1087" s="16"/>
      <c r="T1087" s="16"/>
      <c r="U1087" s="16"/>
      <c r="V1087" s="16"/>
      <c r="W1087" s="16"/>
      <c r="X1087" s="16"/>
      <c r="Y1087" s="16"/>
    </row>
    <row r="1088" spans="1:25" x14ac:dyDescent="0.2">
      <c r="A1088" s="14"/>
      <c r="B1088" s="6"/>
      <c r="C1088" s="6"/>
      <c r="D1088" s="16"/>
      <c r="E1088" s="6"/>
      <c r="F1088" s="16"/>
      <c r="G1088" s="6"/>
      <c r="H1088" s="16"/>
      <c r="I1088" s="16"/>
      <c r="J1088" s="16"/>
      <c r="K1088" s="16"/>
      <c r="L1088" s="16"/>
      <c r="M1088" s="16"/>
      <c r="N1088" s="16"/>
      <c r="O1088" s="16"/>
      <c r="P1088" s="16"/>
      <c r="Q1088" s="16"/>
      <c r="R1088" s="16"/>
      <c r="S1088" s="16"/>
      <c r="T1088" s="16"/>
      <c r="U1088" s="16"/>
      <c r="V1088" s="16"/>
      <c r="W1088" s="16"/>
      <c r="X1088" s="16"/>
      <c r="Y1088" s="16"/>
    </row>
    <row r="1089" spans="1:25" x14ac:dyDescent="0.2">
      <c r="A1089" s="14"/>
      <c r="B1089" s="6"/>
      <c r="C1089" s="6"/>
      <c r="D1089" s="16"/>
      <c r="E1089" s="6"/>
      <c r="F1089" s="16"/>
      <c r="G1089" s="6"/>
      <c r="H1089" s="16"/>
      <c r="I1089" s="16"/>
      <c r="J1089" s="16"/>
      <c r="K1089" s="16"/>
      <c r="L1089" s="16"/>
      <c r="M1089" s="16"/>
      <c r="N1089" s="16"/>
      <c r="O1089" s="16"/>
      <c r="P1089" s="16"/>
      <c r="Q1089" s="16"/>
      <c r="R1089" s="16"/>
      <c r="S1089" s="16"/>
      <c r="T1089" s="16"/>
      <c r="U1089" s="16"/>
      <c r="V1089" s="16"/>
      <c r="W1089" s="16"/>
      <c r="X1089" s="16"/>
      <c r="Y1089" s="16"/>
    </row>
    <row r="1090" spans="1:25" x14ac:dyDescent="0.2">
      <c r="A1090" s="14"/>
      <c r="B1090" s="6"/>
      <c r="C1090" s="6"/>
      <c r="D1090" s="16"/>
      <c r="E1090" s="6"/>
      <c r="F1090" s="16"/>
      <c r="G1090" s="6"/>
      <c r="H1090" s="16"/>
      <c r="I1090" s="16"/>
      <c r="J1090" s="16"/>
      <c r="K1090" s="16"/>
      <c r="L1090" s="16"/>
      <c r="M1090" s="16"/>
      <c r="N1090" s="16"/>
      <c r="O1090" s="16"/>
      <c r="P1090" s="16"/>
      <c r="Q1090" s="16"/>
      <c r="R1090" s="16"/>
      <c r="S1090" s="16"/>
      <c r="T1090" s="16"/>
      <c r="U1090" s="16"/>
      <c r="V1090" s="16"/>
      <c r="W1090" s="16"/>
      <c r="X1090" s="16"/>
      <c r="Y1090" s="16"/>
    </row>
    <row r="1091" spans="1:25" x14ac:dyDescent="0.2">
      <c r="A1091" s="14"/>
      <c r="B1091" s="6"/>
      <c r="C1091" s="6"/>
      <c r="D1091" s="16"/>
      <c r="E1091" s="6"/>
      <c r="F1091" s="16"/>
      <c r="G1091" s="6"/>
      <c r="H1091" s="16"/>
      <c r="I1091" s="16"/>
      <c r="J1091" s="16"/>
      <c r="K1091" s="16"/>
      <c r="L1091" s="16"/>
      <c r="M1091" s="16"/>
      <c r="N1091" s="16"/>
      <c r="O1091" s="16"/>
      <c r="P1091" s="16"/>
      <c r="Q1091" s="16"/>
      <c r="R1091" s="16"/>
      <c r="S1091" s="16"/>
      <c r="T1091" s="16"/>
      <c r="U1091" s="16"/>
      <c r="V1091" s="16"/>
      <c r="W1091" s="16"/>
      <c r="X1091" s="16"/>
      <c r="Y1091" s="16"/>
    </row>
    <row r="1092" spans="1:25" x14ac:dyDescent="0.2">
      <c r="A1092" s="14"/>
      <c r="B1092" s="6"/>
      <c r="C1092" s="6"/>
      <c r="D1092" s="16"/>
      <c r="E1092" s="6"/>
      <c r="F1092" s="16"/>
      <c r="G1092" s="6"/>
      <c r="H1092" s="16"/>
      <c r="I1092" s="16"/>
      <c r="J1092" s="16"/>
      <c r="K1092" s="16"/>
      <c r="L1092" s="16"/>
      <c r="M1092" s="16"/>
      <c r="N1092" s="16"/>
      <c r="O1092" s="16"/>
      <c r="P1092" s="16"/>
      <c r="Q1092" s="16"/>
      <c r="R1092" s="16"/>
      <c r="S1092" s="16"/>
      <c r="T1092" s="16"/>
      <c r="U1092" s="16"/>
      <c r="V1092" s="16"/>
      <c r="W1092" s="16"/>
      <c r="X1092" s="16"/>
      <c r="Y1092" s="16"/>
    </row>
    <row r="1093" spans="1:25" x14ac:dyDescent="0.2">
      <c r="A1093" s="14"/>
      <c r="B1093" s="6"/>
      <c r="C1093" s="6"/>
      <c r="D1093" s="16"/>
      <c r="E1093" s="6"/>
      <c r="F1093" s="16"/>
      <c r="G1093" s="6"/>
      <c r="H1093" s="16"/>
      <c r="I1093" s="16"/>
      <c r="J1093" s="16"/>
      <c r="K1093" s="16"/>
      <c r="L1093" s="16"/>
      <c r="M1093" s="16"/>
      <c r="N1093" s="16"/>
      <c r="O1093" s="16"/>
      <c r="P1093" s="16"/>
      <c r="Q1093" s="16"/>
      <c r="R1093" s="16"/>
      <c r="S1093" s="16"/>
      <c r="T1093" s="16"/>
      <c r="U1093" s="16"/>
      <c r="V1093" s="16"/>
      <c r="W1093" s="16"/>
      <c r="X1093" s="16"/>
      <c r="Y1093" s="16"/>
    </row>
    <row r="1094" spans="1:25" x14ac:dyDescent="0.2">
      <c r="A1094" s="14"/>
      <c r="B1094" s="6"/>
      <c r="C1094" s="6"/>
      <c r="D1094" s="16"/>
      <c r="E1094" s="6"/>
      <c r="F1094" s="16"/>
      <c r="G1094" s="6"/>
      <c r="H1094" s="16"/>
      <c r="I1094" s="16"/>
      <c r="J1094" s="16"/>
      <c r="K1094" s="16"/>
      <c r="L1094" s="16"/>
      <c r="M1094" s="16"/>
      <c r="N1094" s="16"/>
      <c r="O1094" s="16"/>
      <c r="P1094" s="16"/>
      <c r="Q1094" s="16"/>
      <c r="R1094" s="16"/>
      <c r="S1094" s="16"/>
      <c r="T1094" s="16"/>
      <c r="U1094" s="16"/>
      <c r="V1094" s="16"/>
      <c r="W1094" s="16"/>
      <c r="X1094" s="16"/>
      <c r="Y1094" s="16"/>
    </row>
    <row r="1095" spans="1:25" x14ac:dyDescent="0.2">
      <c r="A1095" s="14"/>
      <c r="B1095" s="6"/>
      <c r="C1095" s="6"/>
      <c r="D1095" s="16"/>
      <c r="E1095" s="6"/>
      <c r="F1095" s="16"/>
      <c r="G1095" s="6"/>
      <c r="H1095" s="16"/>
      <c r="I1095" s="16"/>
      <c r="J1095" s="16"/>
      <c r="K1095" s="16"/>
      <c r="L1095" s="16"/>
      <c r="M1095" s="16"/>
      <c r="N1095" s="16"/>
      <c r="O1095" s="16"/>
      <c r="P1095" s="16"/>
      <c r="Q1095" s="16"/>
      <c r="R1095" s="16"/>
      <c r="S1095" s="16"/>
      <c r="T1095" s="16"/>
      <c r="U1095" s="16"/>
      <c r="V1095" s="16"/>
      <c r="W1095" s="16"/>
      <c r="X1095" s="16"/>
      <c r="Y1095" s="16"/>
    </row>
    <row r="1096" spans="1:25" x14ac:dyDescent="0.2">
      <c r="A1096" s="14"/>
      <c r="B1096" s="6"/>
      <c r="C1096" s="6"/>
      <c r="D1096" s="16"/>
      <c r="E1096" s="6"/>
      <c r="F1096" s="16"/>
      <c r="G1096" s="6"/>
      <c r="H1096" s="16"/>
      <c r="I1096" s="16"/>
      <c r="J1096" s="16"/>
      <c r="K1096" s="16"/>
      <c r="L1096" s="16"/>
      <c r="M1096" s="16"/>
      <c r="N1096" s="16"/>
      <c r="O1096" s="16"/>
      <c r="P1096" s="16"/>
      <c r="Q1096" s="16"/>
      <c r="R1096" s="16"/>
      <c r="S1096" s="16"/>
      <c r="T1096" s="16"/>
      <c r="U1096" s="16"/>
      <c r="V1096" s="16"/>
      <c r="W1096" s="16"/>
      <c r="X1096" s="16"/>
      <c r="Y1096" s="16"/>
    </row>
    <row r="1097" spans="1:25" x14ac:dyDescent="0.2">
      <c r="A1097" s="14"/>
      <c r="B1097" s="6"/>
      <c r="C1097" s="6"/>
      <c r="D1097" s="16"/>
      <c r="E1097" s="6"/>
      <c r="F1097" s="16"/>
      <c r="G1097" s="6"/>
      <c r="H1097" s="16"/>
      <c r="I1097" s="16"/>
      <c r="J1097" s="16"/>
      <c r="K1097" s="16"/>
      <c r="L1097" s="16"/>
      <c r="M1097" s="16"/>
      <c r="N1097" s="16"/>
      <c r="O1097" s="16"/>
      <c r="P1097" s="16"/>
      <c r="Q1097" s="16"/>
      <c r="R1097" s="16"/>
      <c r="S1097" s="16"/>
      <c r="T1097" s="16"/>
      <c r="U1097" s="16"/>
      <c r="V1097" s="16"/>
      <c r="W1097" s="16"/>
      <c r="X1097" s="16"/>
      <c r="Y1097" s="16"/>
    </row>
    <row r="1098" spans="1:25" x14ac:dyDescent="0.2">
      <c r="A1098" s="14"/>
      <c r="B1098" s="6"/>
      <c r="C1098" s="6"/>
      <c r="D1098" s="16"/>
      <c r="E1098" s="6"/>
      <c r="F1098" s="16"/>
      <c r="G1098" s="6"/>
      <c r="H1098" s="16"/>
      <c r="I1098" s="16"/>
      <c r="J1098" s="16"/>
      <c r="K1098" s="16"/>
      <c r="L1098" s="16"/>
      <c r="M1098" s="16"/>
      <c r="N1098" s="16"/>
      <c r="O1098" s="16"/>
      <c r="P1098" s="16"/>
      <c r="Q1098" s="16"/>
      <c r="R1098" s="16"/>
      <c r="S1098" s="16"/>
      <c r="T1098" s="16"/>
      <c r="U1098" s="16"/>
      <c r="V1098" s="16"/>
      <c r="W1098" s="16"/>
      <c r="X1098" s="16"/>
      <c r="Y1098" s="16"/>
    </row>
    <row r="1099" spans="1:25" x14ac:dyDescent="0.2">
      <c r="A1099" s="14"/>
      <c r="B1099" s="6"/>
      <c r="C1099" s="6"/>
      <c r="D1099" s="16"/>
      <c r="E1099" s="6"/>
      <c r="F1099" s="16"/>
      <c r="G1099" s="6"/>
      <c r="H1099" s="16"/>
      <c r="I1099" s="16"/>
      <c r="J1099" s="16"/>
      <c r="K1099" s="16"/>
      <c r="L1099" s="16"/>
      <c r="M1099" s="16"/>
      <c r="N1099" s="16"/>
      <c r="O1099" s="16"/>
      <c r="P1099" s="16"/>
      <c r="Q1099" s="16"/>
      <c r="R1099" s="16"/>
      <c r="S1099" s="16"/>
      <c r="T1099" s="16"/>
      <c r="U1099" s="16"/>
      <c r="V1099" s="16"/>
      <c r="W1099" s="16"/>
      <c r="X1099" s="16"/>
      <c r="Y1099" s="16"/>
    </row>
    <row r="1100" spans="1:25" x14ac:dyDescent="0.2">
      <c r="A1100" s="14"/>
      <c r="B1100" s="6"/>
      <c r="C1100" s="6"/>
      <c r="D1100" s="16"/>
      <c r="E1100" s="6"/>
      <c r="F1100" s="16"/>
      <c r="G1100" s="6"/>
      <c r="H1100" s="16"/>
      <c r="I1100" s="16"/>
      <c r="J1100" s="16"/>
      <c r="K1100" s="16"/>
      <c r="L1100" s="16"/>
      <c r="M1100" s="16"/>
      <c r="N1100" s="16"/>
      <c r="O1100" s="16"/>
      <c r="P1100" s="16"/>
      <c r="Q1100" s="16"/>
      <c r="R1100" s="16"/>
      <c r="S1100" s="16"/>
      <c r="T1100" s="16"/>
      <c r="U1100" s="16"/>
      <c r="V1100" s="16"/>
      <c r="W1100" s="16"/>
      <c r="X1100" s="16"/>
      <c r="Y1100" s="16"/>
    </row>
    <row r="1101" spans="1:25" x14ac:dyDescent="0.2">
      <c r="A1101" s="14"/>
      <c r="B1101" s="6"/>
      <c r="C1101" s="6"/>
      <c r="D1101" s="16"/>
      <c r="E1101" s="6"/>
      <c r="F1101" s="16"/>
      <c r="G1101" s="6"/>
      <c r="H1101" s="16"/>
      <c r="I1101" s="16"/>
      <c r="J1101" s="16"/>
      <c r="K1101" s="16"/>
      <c r="L1101" s="16"/>
      <c r="M1101" s="16"/>
      <c r="N1101" s="16"/>
      <c r="O1101" s="16"/>
      <c r="P1101" s="16"/>
      <c r="Q1101" s="16"/>
      <c r="R1101" s="16"/>
      <c r="S1101" s="16"/>
      <c r="T1101" s="16"/>
      <c r="U1101" s="16"/>
      <c r="V1101" s="16"/>
      <c r="W1101" s="16"/>
      <c r="X1101" s="16"/>
      <c r="Y1101" s="16"/>
    </row>
    <row r="1102" spans="1:25" x14ac:dyDescent="0.2">
      <c r="A1102" s="14"/>
      <c r="B1102" s="6"/>
      <c r="C1102" s="6"/>
      <c r="D1102" s="16"/>
      <c r="E1102" s="6"/>
      <c r="F1102" s="16"/>
      <c r="G1102" s="6"/>
      <c r="H1102" s="16"/>
      <c r="I1102" s="16"/>
      <c r="J1102" s="16"/>
      <c r="K1102" s="16"/>
      <c r="L1102" s="16"/>
      <c r="M1102" s="16"/>
      <c r="N1102" s="16"/>
      <c r="O1102" s="16"/>
      <c r="P1102" s="16"/>
      <c r="Q1102" s="16"/>
      <c r="R1102" s="16"/>
      <c r="S1102" s="16"/>
      <c r="T1102" s="16"/>
      <c r="U1102" s="16"/>
      <c r="V1102" s="16"/>
      <c r="W1102" s="16"/>
      <c r="X1102" s="16"/>
      <c r="Y1102" s="16"/>
    </row>
    <row r="1103" spans="1:25" x14ac:dyDescent="0.2">
      <c r="A1103" s="14"/>
      <c r="B1103" s="6"/>
      <c r="C1103" s="6"/>
      <c r="D1103" s="16"/>
      <c r="E1103" s="6"/>
      <c r="F1103" s="16"/>
      <c r="G1103" s="6"/>
      <c r="H1103" s="16"/>
      <c r="I1103" s="16"/>
      <c r="J1103" s="16"/>
      <c r="K1103" s="16"/>
      <c r="L1103" s="16"/>
      <c r="M1103" s="16"/>
      <c r="N1103" s="16"/>
      <c r="O1103" s="16"/>
      <c r="P1103" s="16"/>
      <c r="Q1103" s="16"/>
      <c r="R1103" s="16"/>
      <c r="S1103" s="16"/>
      <c r="T1103" s="16"/>
      <c r="U1103" s="16"/>
      <c r="V1103" s="16"/>
      <c r="W1103" s="16"/>
      <c r="X1103" s="16"/>
      <c r="Y1103" s="16"/>
    </row>
    <row r="1104" spans="1:25" x14ac:dyDescent="0.2">
      <c r="A1104" s="14"/>
      <c r="B1104" s="6"/>
      <c r="C1104" s="6"/>
      <c r="D1104" s="16"/>
      <c r="E1104" s="6"/>
      <c r="F1104" s="16"/>
      <c r="G1104" s="6"/>
      <c r="H1104" s="16"/>
      <c r="I1104" s="16"/>
      <c r="J1104" s="16"/>
      <c r="K1104" s="16"/>
      <c r="L1104" s="16"/>
      <c r="M1104" s="16"/>
      <c r="N1104" s="16"/>
      <c r="O1104" s="16"/>
      <c r="P1104" s="16"/>
      <c r="Q1104" s="16"/>
      <c r="R1104" s="16"/>
      <c r="S1104" s="16"/>
      <c r="T1104" s="16"/>
      <c r="U1104" s="16"/>
      <c r="V1104" s="16"/>
      <c r="W1104" s="16"/>
      <c r="X1104" s="16"/>
      <c r="Y1104" s="16"/>
    </row>
    <row r="1105" spans="1:25" x14ac:dyDescent="0.2">
      <c r="A1105" s="14"/>
      <c r="B1105" s="6"/>
      <c r="C1105" s="6"/>
      <c r="D1105" s="16"/>
      <c r="E1105" s="6"/>
      <c r="F1105" s="16"/>
      <c r="G1105" s="6"/>
      <c r="H1105" s="16"/>
      <c r="I1105" s="16"/>
      <c r="J1105" s="16"/>
      <c r="K1105" s="16"/>
      <c r="L1105" s="16"/>
      <c r="M1105" s="16"/>
      <c r="N1105" s="16"/>
      <c r="O1105" s="16"/>
      <c r="P1105" s="16"/>
      <c r="Q1105" s="16"/>
      <c r="R1105" s="16"/>
      <c r="S1105" s="16"/>
      <c r="T1105" s="16"/>
      <c r="U1105" s="16"/>
      <c r="V1105" s="16"/>
      <c r="W1105" s="16"/>
      <c r="X1105" s="16"/>
      <c r="Y1105" s="16"/>
    </row>
    <row r="1106" spans="1:25" x14ac:dyDescent="0.2">
      <c r="A1106" s="14"/>
      <c r="B1106" s="6"/>
      <c r="C1106" s="6"/>
      <c r="D1106" s="16"/>
      <c r="E1106" s="6"/>
      <c r="F1106" s="16"/>
      <c r="G1106" s="6"/>
      <c r="H1106" s="16"/>
      <c r="I1106" s="16"/>
      <c r="J1106" s="16"/>
      <c r="K1106" s="16"/>
      <c r="L1106" s="16"/>
      <c r="M1106" s="16"/>
      <c r="N1106" s="16"/>
      <c r="O1106" s="16"/>
      <c r="P1106" s="16"/>
      <c r="Q1106" s="16"/>
      <c r="R1106" s="16"/>
      <c r="S1106" s="16"/>
      <c r="T1106" s="16"/>
      <c r="U1106" s="16"/>
      <c r="V1106" s="16"/>
      <c r="W1106" s="16"/>
      <c r="X1106" s="16"/>
      <c r="Y1106" s="16"/>
    </row>
    <row r="1107" spans="1:25" x14ac:dyDescent="0.2">
      <c r="A1107" s="14"/>
      <c r="B1107" s="6"/>
      <c r="C1107" s="6"/>
      <c r="D1107" s="16"/>
      <c r="E1107" s="6"/>
      <c r="F1107" s="16"/>
      <c r="G1107" s="6"/>
      <c r="H1107" s="16"/>
      <c r="I1107" s="16"/>
      <c r="J1107" s="16"/>
      <c r="K1107" s="16"/>
      <c r="L1107" s="16"/>
      <c r="M1107" s="16"/>
      <c r="N1107" s="16"/>
      <c r="O1107" s="16"/>
      <c r="P1107" s="16"/>
      <c r="Q1107" s="16"/>
      <c r="R1107" s="16"/>
      <c r="S1107" s="16"/>
      <c r="T1107" s="16"/>
      <c r="U1107" s="16"/>
      <c r="V1107" s="16"/>
      <c r="W1107" s="16"/>
      <c r="X1107" s="16"/>
      <c r="Y1107" s="16"/>
    </row>
    <row r="1108" spans="1:25" x14ac:dyDescent="0.2">
      <c r="A1108" s="14"/>
      <c r="B1108" s="6"/>
      <c r="C1108" s="6"/>
      <c r="D1108" s="16"/>
      <c r="E1108" s="6"/>
      <c r="F1108" s="16"/>
      <c r="G1108" s="6"/>
      <c r="H1108" s="16"/>
      <c r="I1108" s="16"/>
      <c r="J1108" s="16"/>
      <c r="K1108" s="16"/>
      <c r="L1108" s="16"/>
      <c r="M1108" s="16"/>
      <c r="N1108" s="16"/>
      <c r="O1108" s="16"/>
      <c r="P1108" s="16"/>
      <c r="Q1108" s="16"/>
      <c r="R1108" s="16"/>
      <c r="S1108" s="16"/>
      <c r="T1108" s="16"/>
      <c r="U1108" s="16"/>
      <c r="V1108" s="16"/>
      <c r="W1108" s="16"/>
      <c r="X1108" s="16"/>
      <c r="Y1108" s="16"/>
    </row>
    <row r="1109" spans="1:25" x14ac:dyDescent="0.2">
      <c r="A1109" s="14"/>
      <c r="B1109" s="6"/>
      <c r="C1109" s="6"/>
      <c r="D1109" s="16"/>
      <c r="E1109" s="6"/>
      <c r="F1109" s="16"/>
      <c r="G1109" s="6"/>
      <c r="H1109" s="16"/>
      <c r="I1109" s="16"/>
      <c r="J1109" s="16"/>
      <c r="K1109" s="16"/>
      <c r="L1109" s="16"/>
      <c r="M1109" s="16"/>
      <c r="N1109" s="16"/>
      <c r="O1109" s="16"/>
      <c r="P1109" s="16"/>
      <c r="Q1109" s="16"/>
      <c r="R1109" s="16"/>
      <c r="S1109" s="16"/>
      <c r="T1109" s="16"/>
      <c r="U1109" s="16"/>
      <c r="V1109" s="16"/>
      <c r="W1109" s="16"/>
      <c r="X1109" s="16"/>
      <c r="Y1109" s="16"/>
    </row>
    <row r="1110" spans="1:25" x14ac:dyDescent="0.2">
      <c r="A1110" s="14"/>
      <c r="B1110" s="6"/>
      <c r="C1110" s="6"/>
      <c r="D1110" s="16"/>
      <c r="E1110" s="6"/>
      <c r="F1110" s="16"/>
      <c r="G1110" s="6"/>
      <c r="H1110" s="16"/>
      <c r="I1110" s="16"/>
      <c r="J1110" s="16"/>
      <c r="K1110" s="16"/>
      <c r="L1110" s="16"/>
      <c r="M1110" s="16"/>
      <c r="N1110" s="16"/>
      <c r="O1110" s="16"/>
      <c r="P1110" s="16"/>
      <c r="Q1110" s="16"/>
      <c r="R1110" s="16"/>
      <c r="S1110" s="16"/>
      <c r="T1110" s="16"/>
      <c r="U1110" s="16"/>
      <c r="V1110" s="16"/>
      <c r="W1110" s="16"/>
      <c r="X1110" s="16"/>
      <c r="Y1110" s="16"/>
    </row>
    <row r="1111" spans="1:25" x14ac:dyDescent="0.2">
      <c r="A1111" s="14"/>
      <c r="B1111" s="6"/>
      <c r="C1111" s="6"/>
      <c r="D1111" s="16"/>
      <c r="E1111" s="6"/>
      <c r="F1111" s="16"/>
      <c r="G1111" s="6"/>
      <c r="H1111" s="16"/>
      <c r="I1111" s="16"/>
      <c r="J1111" s="16"/>
      <c r="K1111" s="16"/>
      <c r="L1111" s="16"/>
      <c r="M1111" s="16"/>
      <c r="N1111" s="16"/>
      <c r="O1111" s="16"/>
      <c r="P1111" s="16"/>
      <c r="Q1111" s="16"/>
      <c r="R1111" s="16"/>
      <c r="S1111" s="16"/>
      <c r="T1111" s="16"/>
      <c r="U1111" s="16"/>
      <c r="V1111" s="16"/>
      <c r="W1111" s="16"/>
      <c r="X1111" s="16"/>
      <c r="Y1111" s="16"/>
    </row>
    <row r="1112" spans="1:25" x14ac:dyDescent="0.2">
      <c r="A1112" s="14"/>
      <c r="B1112" s="6"/>
      <c r="C1112" s="6"/>
      <c r="D1112" s="16"/>
      <c r="E1112" s="6"/>
      <c r="F1112" s="16"/>
      <c r="G1112" s="6"/>
      <c r="H1112" s="16"/>
      <c r="I1112" s="16"/>
      <c r="J1112" s="16"/>
      <c r="K1112" s="16"/>
      <c r="L1112" s="16"/>
      <c r="M1112" s="16"/>
      <c r="N1112" s="16"/>
      <c r="O1112" s="16"/>
      <c r="P1112" s="16"/>
      <c r="Q1112" s="16"/>
      <c r="R1112" s="16"/>
      <c r="S1112" s="16"/>
      <c r="T1112" s="16"/>
      <c r="U1112" s="16"/>
      <c r="V1112" s="16"/>
      <c r="W1112" s="16"/>
      <c r="X1112" s="16"/>
      <c r="Y1112" s="16"/>
    </row>
    <row r="1113" spans="1:25" x14ac:dyDescent="0.2">
      <c r="A1113" s="14"/>
      <c r="B1113" s="6"/>
      <c r="C1113" s="6"/>
      <c r="D1113" s="16"/>
      <c r="E1113" s="6"/>
      <c r="F1113" s="16"/>
      <c r="G1113" s="6"/>
      <c r="H1113" s="16"/>
      <c r="I1113" s="16"/>
      <c r="J1113" s="16"/>
      <c r="K1113" s="16"/>
      <c r="L1113" s="16"/>
      <c r="M1113" s="16"/>
      <c r="N1113" s="16"/>
      <c r="O1113" s="16"/>
      <c r="P1113" s="16"/>
      <c r="Q1113" s="16"/>
      <c r="R1113" s="16"/>
      <c r="S1113" s="16"/>
      <c r="T1113" s="16"/>
      <c r="U1113" s="16"/>
      <c r="V1113" s="16"/>
      <c r="W1113" s="16"/>
      <c r="X1113" s="16"/>
      <c r="Y1113" s="16"/>
    </row>
    <row r="1114" spans="1:25" x14ac:dyDescent="0.2">
      <c r="A1114" s="14"/>
      <c r="B1114" s="6"/>
      <c r="C1114" s="6"/>
      <c r="D1114" s="16"/>
      <c r="E1114" s="6"/>
      <c r="F1114" s="16"/>
      <c r="G1114" s="6"/>
      <c r="H1114" s="16"/>
      <c r="I1114" s="16"/>
      <c r="J1114" s="16"/>
      <c r="K1114" s="16"/>
      <c r="L1114" s="16"/>
      <c r="M1114" s="16"/>
      <c r="N1114" s="16"/>
      <c r="O1114" s="16"/>
      <c r="P1114" s="16"/>
      <c r="Q1114" s="16"/>
      <c r="R1114" s="16"/>
      <c r="S1114" s="16"/>
      <c r="T1114" s="16"/>
      <c r="U1114" s="16"/>
      <c r="V1114" s="16"/>
      <c r="W1114" s="16"/>
      <c r="X1114" s="16"/>
      <c r="Y1114" s="16"/>
    </row>
    <row r="1115" spans="1:25" x14ac:dyDescent="0.2">
      <c r="A1115" s="14"/>
      <c r="B1115" s="6"/>
      <c r="C1115" s="6"/>
      <c r="D1115" s="16"/>
      <c r="E1115" s="6"/>
      <c r="F1115" s="16"/>
      <c r="G1115" s="6"/>
      <c r="H1115" s="16"/>
      <c r="I1115" s="16"/>
      <c r="J1115" s="16"/>
      <c r="K1115" s="16"/>
      <c r="L1115" s="16"/>
      <c r="M1115" s="16"/>
      <c r="N1115" s="16"/>
      <c r="O1115" s="16"/>
      <c r="P1115" s="16"/>
      <c r="Q1115" s="16"/>
      <c r="R1115" s="16"/>
      <c r="S1115" s="16"/>
      <c r="T1115" s="16"/>
      <c r="U1115" s="16"/>
      <c r="V1115" s="16"/>
      <c r="W1115" s="16"/>
      <c r="X1115" s="16"/>
      <c r="Y1115" s="16"/>
    </row>
    <row r="1116" spans="1:25" x14ac:dyDescent="0.2">
      <c r="A1116" s="14"/>
      <c r="B1116" s="6"/>
      <c r="C1116" s="6"/>
      <c r="D1116" s="16"/>
      <c r="E1116" s="6"/>
      <c r="F1116" s="16"/>
      <c r="G1116" s="6"/>
      <c r="H1116" s="16"/>
      <c r="I1116" s="16"/>
      <c r="J1116" s="16"/>
      <c r="K1116" s="16"/>
      <c r="L1116" s="16"/>
      <c r="M1116" s="16"/>
      <c r="N1116" s="16"/>
      <c r="O1116" s="16"/>
      <c r="P1116" s="16"/>
      <c r="Q1116" s="16"/>
      <c r="R1116" s="16"/>
      <c r="S1116" s="16"/>
      <c r="T1116" s="16"/>
      <c r="U1116" s="16"/>
      <c r="V1116" s="16"/>
      <c r="W1116" s="16"/>
      <c r="X1116" s="16"/>
      <c r="Y1116" s="16"/>
    </row>
    <row r="1117" spans="1:25" x14ac:dyDescent="0.2">
      <c r="A1117" s="14"/>
      <c r="B1117" s="6"/>
      <c r="C1117" s="6"/>
      <c r="D1117" s="16"/>
      <c r="E1117" s="6"/>
      <c r="F1117" s="16"/>
      <c r="G1117" s="6"/>
      <c r="H1117" s="16"/>
      <c r="I1117" s="16"/>
      <c r="J1117" s="16"/>
      <c r="K1117" s="16"/>
      <c r="L1117" s="16"/>
      <c r="M1117" s="16"/>
      <c r="N1117" s="16"/>
      <c r="O1117" s="16"/>
      <c r="P1117" s="16"/>
      <c r="Q1117" s="16"/>
      <c r="R1117" s="16"/>
      <c r="S1117" s="16"/>
      <c r="T1117" s="16"/>
      <c r="U1117" s="16"/>
      <c r="V1117" s="16"/>
      <c r="W1117" s="16"/>
      <c r="X1117" s="16"/>
      <c r="Y1117" s="16"/>
    </row>
    <row r="1118" spans="1:25" x14ac:dyDescent="0.2">
      <c r="A1118" s="14"/>
      <c r="B1118" s="6"/>
      <c r="C1118" s="6"/>
      <c r="D1118" s="16"/>
      <c r="E1118" s="6"/>
      <c r="F1118" s="16"/>
      <c r="G1118" s="6"/>
      <c r="H1118" s="16"/>
      <c r="I1118" s="16"/>
      <c r="J1118" s="16"/>
      <c r="K1118" s="16"/>
      <c r="L1118" s="16"/>
      <c r="M1118" s="16"/>
      <c r="N1118" s="16"/>
      <c r="O1118" s="16"/>
      <c r="P1118" s="16"/>
      <c r="Q1118" s="16"/>
      <c r="R1118" s="16"/>
      <c r="S1118" s="16"/>
      <c r="T1118" s="16"/>
      <c r="U1118" s="16"/>
      <c r="V1118" s="16"/>
      <c r="W1118" s="16"/>
      <c r="X1118" s="16"/>
      <c r="Y1118" s="16"/>
    </row>
    <row r="1119" spans="1:25" x14ac:dyDescent="0.2">
      <c r="A1119" s="14"/>
      <c r="B1119" s="6"/>
      <c r="C1119" s="6"/>
      <c r="D1119" s="16"/>
      <c r="E1119" s="6"/>
      <c r="F1119" s="16"/>
      <c r="G1119" s="6"/>
      <c r="H1119" s="16"/>
      <c r="I1119" s="16"/>
      <c r="J1119" s="16"/>
      <c r="K1119" s="16"/>
      <c r="L1119" s="16"/>
      <c r="M1119" s="16"/>
      <c r="N1119" s="16"/>
      <c r="O1119" s="16"/>
      <c r="P1119" s="16"/>
      <c r="Q1119" s="16"/>
      <c r="R1119" s="16"/>
      <c r="S1119" s="16"/>
      <c r="T1119" s="16"/>
      <c r="U1119" s="16"/>
      <c r="V1119" s="16"/>
      <c r="W1119" s="16"/>
      <c r="X1119" s="16"/>
      <c r="Y1119" s="16"/>
    </row>
    <row r="1120" spans="1:25" x14ac:dyDescent="0.2">
      <c r="A1120" s="14"/>
      <c r="B1120" s="6"/>
      <c r="C1120" s="6"/>
      <c r="D1120" s="16"/>
      <c r="E1120" s="6"/>
      <c r="F1120" s="16"/>
      <c r="G1120" s="6"/>
      <c r="H1120" s="16"/>
      <c r="I1120" s="16"/>
      <c r="J1120" s="16"/>
      <c r="K1120" s="16"/>
      <c r="L1120" s="16"/>
      <c r="M1120" s="16"/>
      <c r="N1120" s="16"/>
      <c r="O1120" s="16"/>
      <c r="P1120" s="16"/>
      <c r="Q1120" s="16"/>
      <c r="R1120" s="16"/>
      <c r="S1120" s="16"/>
      <c r="T1120" s="16"/>
      <c r="U1120" s="16"/>
      <c r="V1120" s="16"/>
      <c r="W1120" s="16"/>
      <c r="X1120" s="16"/>
      <c r="Y1120" s="16"/>
    </row>
    <row r="1121" spans="1:25" x14ac:dyDescent="0.2">
      <c r="A1121" s="14"/>
      <c r="B1121" s="6"/>
      <c r="C1121" s="6"/>
      <c r="D1121" s="16"/>
      <c r="E1121" s="6"/>
      <c r="F1121" s="16"/>
      <c r="G1121" s="6"/>
      <c r="H1121" s="16"/>
      <c r="I1121" s="16"/>
      <c r="J1121" s="16"/>
      <c r="K1121" s="16"/>
      <c r="L1121" s="16"/>
      <c r="M1121" s="16"/>
      <c r="N1121" s="16"/>
      <c r="O1121" s="16"/>
      <c r="P1121" s="16"/>
      <c r="Q1121" s="16"/>
      <c r="R1121" s="16"/>
      <c r="S1121" s="16"/>
      <c r="T1121" s="16"/>
      <c r="U1121" s="16"/>
      <c r="V1121" s="16"/>
      <c r="W1121" s="16"/>
      <c r="X1121" s="16"/>
      <c r="Y1121" s="16"/>
    </row>
    <row r="1122" spans="1:25" x14ac:dyDescent="0.2">
      <c r="A1122" s="14"/>
      <c r="B1122" s="6"/>
      <c r="C1122" s="6"/>
      <c r="D1122" s="16"/>
      <c r="E1122" s="6"/>
      <c r="F1122" s="16"/>
      <c r="G1122" s="6"/>
      <c r="H1122" s="16"/>
      <c r="I1122" s="16"/>
      <c r="J1122" s="16"/>
      <c r="K1122" s="16"/>
      <c r="L1122" s="16"/>
      <c r="M1122" s="16"/>
      <c r="N1122" s="16"/>
      <c r="O1122" s="16"/>
      <c r="P1122" s="16"/>
      <c r="Q1122" s="16"/>
      <c r="R1122" s="16"/>
      <c r="S1122" s="16"/>
      <c r="T1122" s="16"/>
      <c r="U1122" s="16"/>
      <c r="V1122" s="16"/>
      <c r="W1122" s="16"/>
      <c r="X1122" s="16"/>
      <c r="Y1122" s="16"/>
    </row>
    <row r="1123" spans="1:25" x14ac:dyDescent="0.2">
      <c r="A1123" s="14"/>
      <c r="B1123" s="6"/>
      <c r="C1123" s="6"/>
      <c r="D1123" s="16"/>
      <c r="E1123" s="6"/>
      <c r="F1123" s="16"/>
      <c r="G1123" s="6"/>
      <c r="H1123" s="16"/>
      <c r="I1123" s="16"/>
      <c r="J1123" s="16"/>
      <c r="K1123" s="16"/>
      <c r="L1123" s="16"/>
      <c r="M1123" s="16"/>
      <c r="N1123" s="16"/>
      <c r="O1123" s="16"/>
      <c r="P1123" s="16"/>
      <c r="Q1123" s="16"/>
      <c r="R1123" s="16"/>
      <c r="S1123" s="16"/>
      <c r="T1123" s="16"/>
      <c r="U1123" s="16"/>
      <c r="V1123" s="16"/>
      <c r="W1123" s="16"/>
      <c r="X1123" s="16"/>
      <c r="Y1123" s="16"/>
    </row>
    <row r="1124" spans="1:25" x14ac:dyDescent="0.2">
      <c r="A1124" s="14"/>
      <c r="B1124" s="6"/>
      <c r="C1124" s="6"/>
      <c r="D1124" s="16"/>
      <c r="E1124" s="6"/>
      <c r="F1124" s="16"/>
      <c r="G1124" s="6"/>
      <c r="H1124" s="16"/>
      <c r="I1124" s="16"/>
      <c r="J1124" s="16"/>
      <c r="K1124" s="16"/>
      <c r="L1124" s="16"/>
      <c r="M1124" s="16"/>
      <c r="N1124" s="16"/>
      <c r="O1124" s="16"/>
      <c r="P1124" s="16"/>
      <c r="Q1124" s="16"/>
      <c r="R1124" s="16"/>
      <c r="S1124" s="16"/>
      <c r="T1124" s="16"/>
      <c r="U1124" s="16"/>
      <c r="V1124" s="16"/>
      <c r="W1124" s="16"/>
      <c r="X1124" s="16"/>
      <c r="Y1124" s="16"/>
    </row>
    <row r="1125" spans="1:25" x14ac:dyDescent="0.2">
      <c r="A1125" s="14"/>
      <c r="B1125" s="6"/>
      <c r="C1125" s="6"/>
      <c r="D1125" s="16"/>
      <c r="E1125" s="6"/>
      <c r="F1125" s="16"/>
      <c r="G1125" s="6"/>
      <c r="H1125" s="16"/>
      <c r="I1125" s="16"/>
      <c r="J1125" s="16"/>
      <c r="K1125" s="16"/>
      <c r="L1125" s="16"/>
      <c r="M1125" s="16"/>
      <c r="N1125" s="16"/>
      <c r="O1125" s="16"/>
      <c r="P1125" s="16"/>
      <c r="Q1125" s="16"/>
      <c r="R1125" s="16"/>
      <c r="S1125" s="16"/>
      <c r="T1125" s="16"/>
      <c r="U1125" s="16"/>
      <c r="V1125" s="16"/>
      <c r="W1125" s="16"/>
      <c r="X1125" s="16"/>
      <c r="Y1125" s="16"/>
    </row>
    <row r="1126" spans="1:25" x14ac:dyDescent="0.2">
      <c r="A1126" s="14"/>
      <c r="B1126" s="6"/>
      <c r="C1126" s="6"/>
      <c r="D1126" s="16"/>
      <c r="E1126" s="6"/>
      <c r="F1126" s="16"/>
      <c r="G1126" s="6"/>
      <c r="H1126" s="16"/>
      <c r="I1126" s="16"/>
      <c r="J1126" s="16"/>
      <c r="K1126" s="16"/>
      <c r="L1126" s="16"/>
      <c r="M1126" s="16"/>
      <c r="N1126" s="16"/>
      <c r="O1126" s="16"/>
      <c r="P1126" s="16"/>
      <c r="Q1126" s="16"/>
      <c r="R1126" s="16"/>
      <c r="S1126" s="16"/>
      <c r="T1126" s="16"/>
      <c r="U1126" s="16"/>
      <c r="V1126" s="16"/>
      <c r="W1126" s="16"/>
      <c r="X1126" s="16"/>
      <c r="Y1126" s="16"/>
    </row>
    <row r="1127" spans="1:25" x14ac:dyDescent="0.2">
      <c r="A1127" s="14"/>
      <c r="B1127" s="6"/>
      <c r="C1127" s="6"/>
      <c r="D1127" s="16"/>
      <c r="E1127" s="6"/>
      <c r="F1127" s="16"/>
      <c r="G1127" s="6"/>
      <c r="H1127" s="16"/>
      <c r="I1127" s="16"/>
      <c r="J1127" s="16"/>
      <c r="K1127" s="16"/>
      <c r="L1127" s="16"/>
      <c r="M1127" s="16"/>
      <c r="N1127" s="16"/>
      <c r="O1127" s="16"/>
      <c r="P1127" s="16"/>
      <c r="Q1127" s="16"/>
      <c r="R1127" s="16"/>
      <c r="S1127" s="16"/>
      <c r="T1127" s="16"/>
      <c r="U1127" s="16"/>
      <c r="V1127" s="16"/>
      <c r="W1127" s="16"/>
      <c r="X1127" s="16"/>
      <c r="Y1127" s="16"/>
    </row>
    <row r="1128" spans="1:25" x14ac:dyDescent="0.2">
      <c r="A1128" s="14"/>
      <c r="B1128" s="6"/>
      <c r="C1128" s="6"/>
      <c r="D1128" s="16"/>
      <c r="E1128" s="6"/>
      <c r="F1128" s="16"/>
      <c r="G1128" s="6"/>
      <c r="H1128" s="16"/>
      <c r="I1128" s="16"/>
      <c r="J1128" s="16"/>
      <c r="K1128" s="16"/>
      <c r="L1128" s="16"/>
      <c r="M1128" s="16"/>
      <c r="N1128" s="16"/>
      <c r="O1128" s="16"/>
      <c r="P1128" s="16"/>
      <c r="Q1128" s="16"/>
      <c r="R1128" s="16"/>
      <c r="S1128" s="16"/>
      <c r="T1128" s="16"/>
      <c r="U1128" s="16"/>
      <c r="V1128" s="16"/>
      <c r="W1128" s="16"/>
      <c r="X1128" s="16"/>
      <c r="Y1128" s="16"/>
    </row>
    <row r="1129" spans="1:25" x14ac:dyDescent="0.2">
      <c r="A1129" s="14"/>
      <c r="B1129" s="6"/>
      <c r="C1129" s="6"/>
      <c r="D1129" s="16"/>
      <c r="E1129" s="6"/>
      <c r="F1129" s="16"/>
      <c r="G1129" s="6"/>
      <c r="H1129" s="16"/>
      <c r="I1129" s="16"/>
      <c r="J1129" s="16"/>
      <c r="K1129" s="16"/>
      <c r="L1129" s="16"/>
      <c r="M1129" s="16"/>
      <c r="N1129" s="16"/>
      <c r="O1129" s="16"/>
      <c r="P1129" s="16"/>
      <c r="Q1129" s="16"/>
      <c r="R1129" s="16"/>
      <c r="S1129" s="16"/>
      <c r="T1129" s="16"/>
      <c r="U1129" s="16"/>
      <c r="V1129" s="16"/>
      <c r="W1129" s="16"/>
      <c r="X1129" s="16"/>
      <c r="Y1129" s="16"/>
    </row>
    <row r="1130" spans="1:25" x14ac:dyDescent="0.2">
      <c r="A1130" s="14"/>
      <c r="B1130" s="6"/>
      <c r="C1130" s="6"/>
      <c r="D1130" s="16"/>
      <c r="E1130" s="6"/>
      <c r="F1130" s="16"/>
      <c r="G1130" s="6"/>
      <c r="H1130" s="16"/>
      <c r="I1130" s="16"/>
      <c r="J1130" s="16"/>
      <c r="K1130" s="16"/>
      <c r="L1130" s="16"/>
      <c r="M1130" s="16"/>
      <c r="N1130" s="16"/>
      <c r="O1130" s="16"/>
      <c r="P1130" s="16"/>
      <c r="Q1130" s="16"/>
      <c r="R1130" s="16"/>
      <c r="S1130" s="16"/>
      <c r="T1130" s="16"/>
      <c r="U1130" s="16"/>
      <c r="V1130" s="16"/>
      <c r="W1130" s="16"/>
      <c r="X1130" s="16"/>
      <c r="Y1130" s="16"/>
    </row>
    <row r="1131" spans="1:25" x14ac:dyDescent="0.2">
      <c r="A1131" s="14"/>
      <c r="B1131" s="6"/>
      <c r="C1131" s="6"/>
      <c r="D1131" s="16"/>
      <c r="E1131" s="6"/>
      <c r="F1131" s="16"/>
      <c r="G1131" s="6"/>
      <c r="H1131" s="16"/>
      <c r="I1131" s="16"/>
      <c r="J1131" s="16"/>
      <c r="K1131" s="16"/>
      <c r="L1131" s="16"/>
      <c r="M1131" s="16"/>
      <c r="N1131" s="16"/>
      <c r="O1131" s="16"/>
      <c r="P1131" s="16"/>
      <c r="Q1131" s="16"/>
      <c r="R1131" s="16"/>
      <c r="S1131" s="16"/>
      <c r="T1131" s="16"/>
      <c r="U1131" s="16"/>
      <c r="V1131" s="16"/>
      <c r="W1131" s="16"/>
      <c r="X1131" s="16"/>
      <c r="Y1131" s="16"/>
    </row>
    <row r="1132" spans="1:25" x14ac:dyDescent="0.2">
      <c r="A1132" s="14"/>
      <c r="B1132" s="6"/>
      <c r="C1132" s="6"/>
      <c r="D1132" s="16"/>
      <c r="E1132" s="6"/>
      <c r="F1132" s="16"/>
      <c r="G1132" s="6"/>
      <c r="H1132" s="16"/>
      <c r="I1132" s="16"/>
      <c r="J1132" s="16"/>
      <c r="K1132" s="16"/>
      <c r="L1132" s="16"/>
      <c r="M1132" s="16"/>
      <c r="N1132" s="16"/>
      <c r="O1132" s="16"/>
      <c r="P1132" s="16"/>
      <c r="Q1132" s="16"/>
      <c r="R1132" s="16"/>
      <c r="S1132" s="16"/>
      <c r="T1132" s="16"/>
      <c r="U1132" s="16"/>
      <c r="V1132" s="16"/>
      <c r="W1132" s="16"/>
      <c r="X1132" s="16"/>
      <c r="Y1132" s="16"/>
    </row>
    <row r="1133" spans="1:25" x14ac:dyDescent="0.2">
      <c r="A1133" s="14"/>
      <c r="B1133" s="6"/>
      <c r="C1133" s="6"/>
      <c r="D1133" s="16"/>
      <c r="E1133" s="6"/>
      <c r="F1133" s="16"/>
      <c r="G1133" s="6"/>
      <c r="H1133" s="16"/>
      <c r="I1133" s="16"/>
      <c r="J1133" s="16"/>
      <c r="K1133" s="16"/>
      <c r="L1133" s="16"/>
      <c r="M1133" s="16"/>
      <c r="N1133" s="16"/>
      <c r="O1133" s="16"/>
      <c r="P1133" s="16"/>
      <c r="Q1133" s="16"/>
      <c r="R1133" s="16"/>
      <c r="S1133" s="16"/>
      <c r="T1133" s="16"/>
      <c r="U1133" s="16"/>
      <c r="V1133" s="16"/>
      <c r="W1133" s="16"/>
      <c r="X1133" s="16"/>
      <c r="Y1133" s="16"/>
    </row>
    <row r="1134" spans="1:25" x14ac:dyDescent="0.2">
      <c r="A1134" s="14"/>
      <c r="B1134" s="6"/>
      <c r="C1134" s="6"/>
      <c r="D1134" s="16"/>
      <c r="E1134" s="6"/>
      <c r="F1134" s="16"/>
      <c r="G1134" s="6"/>
      <c r="H1134" s="16"/>
      <c r="I1134" s="16"/>
      <c r="J1134" s="16"/>
      <c r="K1134" s="16"/>
      <c r="L1134" s="16"/>
      <c r="M1134" s="16"/>
      <c r="N1134" s="16"/>
      <c r="O1134" s="16"/>
      <c r="P1134" s="16"/>
      <c r="Q1134" s="16"/>
      <c r="R1134" s="16"/>
      <c r="S1134" s="16"/>
      <c r="T1134" s="16"/>
      <c r="U1134" s="16"/>
      <c r="V1134" s="16"/>
      <c r="W1134" s="16"/>
      <c r="X1134" s="16"/>
      <c r="Y1134" s="16"/>
    </row>
    <row r="1135" spans="1:25" x14ac:dyDescent="0.2">
      <c r="A1135" s="14"/>
      <c r="B1135" s="6"/>
      <c r="C1135" s="6"/>
      <c r="D1135" s="16"/>
      <c r="E1135" s="6"/>
      <c r="F1135" s="16"/>
      <c r="G1135" s="6"/>
      <c r="H1135" s="16"/>
      <c r="I1135" s="16"/>
      <c r="J1135" s="16"/>
      <c r="K1135" s="16"/>
      <c r="L1135" s="16"/>
      <c r="M1135" s="16"/>
      <c r="N1135" s="16"/>
      <c r="O1135" s="16"/>
      <c r="P1135" s="16"/>
      <c r="Q1135" s="16"/>
      <c r="R1135" s="16"/>
      <c r="S1135" s="16"/>
      <c r="T1135" s="16"/>
      <c r="U1135" s="16"/>
      <c r="V1135" s="16"/>
      <c r="W1135" s="16"/>
      <c r="X1135" s="16"/>
      <c r="Y1135" s="16"/>
    </row>
    <row r="1136" spans="1:25" x14ac:dyDescent="0.2">
      <c r="A1136" s="14"/>
      <c r="B1136" s="6"/>
      <c r="C1136" s="6"/>
      <c r="D1136" s="16"/>
      <c r="E1136" s="6"/>
      <c r="F1136" s="16"/>
      <c r="G1136" s="6"/>
      <c r="H1136" s="16"/>
      <c r="I1136" s="16"/>
      <c r="J1136" s="16"/>
      <c r="K1136" s="16"/>
      <c r="L1136" s="16"/>
      <c r="M1136" s="16"/>
      <c r="N1136" s="16"/>
      <c r="O1136" s="16"/>
      <c r="P1136" s="16"/>
      <c r="Q1136" s="16"/>
      <c r="R1136" s="16"/>
      <c r="S1136" s="16"/>
      <c r="T1136" s="16"/>
      <c r="U1136" s="16"/>
      <c r="V1136" s="16"/>
      <c r="W1136" s="16"/>
      <c r="X1136" s="16"/>
      <c r="Y1136" s="16"/>
    </row>
    <row r="1137" spans="1:25" x14ac:dyDescent="0.2">
      <c r="A1137" s="14"/>
      <c r="B1137" s="6"/>
      <c r="C1137" s="6"/>
      <c r="D1137" s="16"/>
      <c r="E1137" s="6"/>
      <c r="F1137" s="16"/>
      <c r="G1137" s="6"/>
      <c r="H1137" s="16"/>
      <c r="I1137" s="16"/>
      <c r="J1137" s="16"/>
      <c r="K1137" s="16"/>
      <c r="L1137" s="16"/>
      <c r="M1137" s="16"/>
      <c r="N1137" s="16"/>
      <c r="O1137" s="16"/>
      <c r="P1137" s="16"/>
      <c r="Q1137" s="16"/>
      <c r="R1137" s="16"/>
      <c r="S1137" s="16"/>
      <c r="T1137" s="16"/>
      <c r="U1137" s="16"/>
      <c r="V1137" s="16"/>
      <c r="W1137" s="16"/>
      <c r="X1137" s="16"/>
      <c r="Y1137" s="16"/>
    </row>
    <row r="1138" spans="1:25" x14ac:dyDescent="0.2">
      <c r="A1138" s="14"/>
      <c r="B1138" s="6"/>
      <c r="C1138" s="6"/>
      <c r="D1138" s="16"/>
      <c r="E1138" s="6"/>
      <c r="F1138" s="16"/>
      <c r="G1138" s="6"/>
      <c r="H1138" s="16"/>
      <c r="I1138" s="16"/>
      <c r="J1138" s="16"/>
      <c r="K1138" s="16"/>
      <c r="L1138" s="16"/>
      <c r="M1138" s="16"/>
      <c r="N1138" s="16"/>
      <c r="O1138" s="16"/>
      <c r="P1138" s="16"/>
      <c r="Q1138" s="16"/>
      <c r="R1138" s="16"/>
      <c r="S1138" s="16"/>
      <c r="T1138" s="16"/>
      <c r="U1138" s="16"/>
      <c r="V1138" s="16"/>
      <c r="W1138" s="16"/>
      <c r="X1138" s="16"/>
      <c r="Y1138" s="16"/>
    </row>
    <row r="1139" spans="1:25" x14ac:dyDescent="0.2">
      <c r="A1139" s="14"/>
      <c r="B1139" s="6"/>
      <c r="C1139" s="6"/>
      <c r="D1139" s="16"/>
      <c r="E1139" s="6"/>
      <c r="F1139" s="16"/>
      <c r="G1139" s="6"/>
      <c r="H1139" s="16"/>
      <c r="I1139" s="16"/>
      <c r="J1139" s="16"/>
      <c r="K1139" s="16"/>
      <c r="L1139" s="16"/>
      <c r="M1139" s="16"/>
      <c r="N1139" s="16"/>
      <c r="O1139" s="16"/>
      <c r="P1139" s="16"/>
      <c r="Q1139" s="16"/>
      <c r="R1139" s="16"/>
      <c r="S1139" s="16"/>
      <c r="T1139" s="16"/>
      <c r="U1139" s="16"/>
      <c r="V1139" s="16"/>
      <c r="W1139" s="16"/>
      <c r="X1139" s="16"/>
      <c r="Y1139" s="16"/>
    </row>
    <row r="1140" spans="1:25" x14ac:dyDescent="0.2">
      <c r="A1140" s="14"/>
      <c r="B1140" s="6"/>
      <c r="C1140" s="6"/>
      <c r="D1140" s="16"/>
      <c r="E1140" s="6"/>
      <c r="F1140" s="16"/>
      <c r="G1140" s="6"/>
      <c r="H1140" s="16"/>
      <c r="I1140" s="16"/>
      <c r="J1140" s="16"/>
      <c r="K1140" s="16"/>
      <c r="L1140" s="16"/>
      <c r="M1140" s="16"/>
      <c r="N1140" s="16"/>
      <c r="O1140" s="16"/>
      <c r="P1140" s="16"/>
      <c r="Q1140" s="16"/>
      <c r="R1140" s="16"/>
      <c r="S1140" s="16"/>
      <c r="T1140" s="16"/>
      <c r="U1140" s="16"/>
      <c r="V1140" s="16"/>
      <c r="W1140" s="16"/>
      <c r="X1140" s="16"/>
      <c r="Y1140" s="16"/>
    </row>
    <row r="1141" spans="1:25" x14ac:dyDescent="0.2">
      <c r="A1141" s="14"/>
      <c r="B1141" s="6"/>
      <c r="C1141" s="6"/>
      <c r="D1141" s="16"/>
      <c r="E1141" s="6"/>
      <c r="F1141" s="16"/>
      <c r="G1141" s="6"/>
      <c r="H1141" s="16"/>
      <c r="I1141" s="16"/>
      <c r="J1141" s="16"/>
      <c r="K1141" s="16"/>
      <c r="L1141" s="16"/>
      <c r="M1141" s="16"/>
      <c r="N1141" s="16"/>
      <c r="O1141" s="16"/>
      <c r="P1141" s="16"/>
      <c r="Q1141" s="16"/>
      <c r="R1141" s="16"/>
      <c r="S1141" s="16"/>
      <c r="T1141" s="16"/>
      <c r="U1141" s="16"/>
      <c r="V1141" s="16"/>
      <c r="W1141" s="16"/>
      <c r="X1141" s="16"/>
      <c r="Y1141" s="16"/>
    </row>
    <row r="1142" spans="1:25" x14ac:dyDescent="0.2">
      <c r="A1142" s="14"/>
      <c r="B1142" s="6"/>
      <c r="C1142" s="6"/>
      <c r="D1142" s="16"/>
      <c r="E1142" s="6"/>
      <c r="F1142" s="16"/>
      <c r="G1142" s="6"/>
      <c r="H1142" s="16"/>
      <c r="I1142" s="16"/>
      <c r="J1142" s="16"/>
      <c r="K1142" s="16"/>
      <c r="L1142" s="16"/>
      <c r="M1142" s="16"/>
      <c r="N1142" s="16"/>
      <c r="O1142" s="16"/>
      <c r="P1142" s="16"/>
      <c r="Q1142" s="16"/>
      <c r="R1142" s="16"/>
      <c r="S1142" s="16"/>
      <c r="T1142" s="16"/>
      <c r="U1142" s="16"/>
      <c r="V1142" s="16"/>
      <c r="W1142" s="16"/>
      <c r="X1142" s="16"/>
      <c r="Y1142" s="16"/>
    </row>
    <row r="1143" spans="1:25" x14ac:dyDescent="0.2">
      <c r="A1143" s="14"/>
      <c r="B1143" s="6"/>
      <c r="C1143" s="6"/>
      <c r="D1143" s="16"/>
      <c r="E1143" s="6"/>
      <c r="F1143" s="16"/>
      <c r="G1143" s="6"/>
      <c r="H1143" s="16"/>
      <c r="I1143" s="16"/>
      <c r="J1143" s="16"/>
      <c r="K1143" s="16"/>
      <c r="L1143" s="16"/>
      <c r="M1143" s="16"/>
      <c r="N1143" s="16"/>
      <c r="O1143" s="16"/>
      <c r="P1143" s="16"/>
      <c r="Q1143" s="16"/>
      <c r="R1143" s="16"/>
      <c r="S1143" s="16"/>
      <c r="T1143" s="16"/>
      <c r="U1143" s="16"/>
      <c r="V1143" s="16"/>
      <c r="W1143" s="16"/>
      <c r="X1143" s="16"/>
      <c r="Y1143" s="16"/>
    </row>
    <row r="1144" spans="1:25" x14ac:dyDescent="0.2">
      <c r="A1144" s="14"/>
      <c r="B1144" s="6"/>
      <c r="C1144" s="6"/>
      <c r="D1144" s="16"/>
      <c r="E1144" s="6"/>
      <c r="F1144" s="16"/>
      <c r="G1144" s="6"/>
      <c r="H1144" s="16"/>
      <c r="I1144" s="16"/>
      <c r="J1144" s="16"/>
      <c r="K1144" s="16"/>
      <c r="L1144" s="16"/>
      <c r="M1144" s="16"/>
      <c r="N1144" s="16"/>
      <c r="O1144" s="16"/>
      <c r="P1144" s="16"/>
      <c r="Q1144" s="16"/>
      <c r="R1144" s="16"/>
      <c r="S1144" s="16"/>
      <c r="T1144" s="16"/>
      <c r="U1144" s="16"/>
      <c r="V1144" s="16"/>
      <c r="W1144" s="16"/>
      <c r="X1144" s="16"/>
      <c r="Y1144" s="16"/>
    </row>
    <row r="1145" spans="1:25" x14ac:dyDescent="0.2">
      <c r="A1145" s="14"/>
      <c r="B1145" s="6"/>
      <c r="C1145" s="6"/>
      <c r="D1145" s="16"/>
      <c r="E1145" s="6"/>
      <c r="F1145" s="16"/>
      <c r="G1145" s="6"/>
      <c r="H1145" s="16"/>
      <c r="I1145" s="16"/>
      <c r="J1145" s="16"/>
      <c r="K1145" s="16"/>
      <c r="L1145" s="16"/>
      <c r="M1145" s="16"/>
      <c r="N1145" s="16"/>
      <c r="O1145" s="16"/>
      <c r="P1145" s="16"/>
      <c r="Q1145" s="16"/>
      <c r="R1145" s="16"/>
      <c r="S1145" s="16"/>
      <c r="T1145" s="16"/>
      <c r="U1145" s="16"/>
      <c r="V1145" s="16"/>
      <c r="W1145" s="16"/>
      <c r="X1145" s="16"/>
      <c r="Y1145" s="16"/>
    </row>
    <row r="1146" spans="1:25" x14ac:dyDescent="0.2">
      <c r="A1146" s="14"/>
      <c r="B1146" s="6"/>
      <c r="C1146" s="6"/>
      <c r="D1146" s="16"/>
      <c r="E1146" s="6"/>
      <c r="F1146" s="16"/>
      <c r="G1146" s="6"/>
      <c r="H1146" s="16"/>
      <c r="I1146" s="16"/>
      <c r="J1146" s="16"/>
      <c r="K1146" s="16"/>
      <c r="L1146" s="16"/>
      <c r="M1146" s="16"/>
      <c r="N1146" s="16"/>
      <c r="O1146" s="16"/>
      <c r="P1146" s="16"/>
      <c r="Q1146" s="16"/>
      <c r="R1146" s="16"/>
      <c r="S1146" s="16"/>
      <c r="T1146" s="16"/>
      <c r="U1146" s="16"/>
      <c r="V1146" s="16"/>
      <c r="W1146" s="16"/>
      <c r="X1146" s="16"/>
      <c r="Y1146" s="16"/>
    </row>
    <row r="1147" spans="1:25" x14ac:dyDescent="0.2">
      <c r="A1147" s="14"/>
      <c r="B1147" s="6"/>
      <c r="C1147" s="6"/>
      <c r="D1147" s="16"/>
      <c r="E1147" s="6"/>
      <c r="F1147" s="16"/>
      <c r="G1147" s="6"/>
      <c r="H1147" s="16"/>
      <c r="I1147" s="16"/>
      <c r="J1147" s="16"/>
      <c r="K1147" s="16"/>
      <c r="L1147" s="16"/>
      <c r="M1147" s="16"/>
      <c r="N1147" s="16"/>
      <c r="O1147" s="16"/>
      <c r="P1147" s="16"/>
      <c r="Q1147" s="16"/>
      <c r="R1147" s="16"/>
      <c r="S1147" s="16"/>
      <c r="T1147" s="16"/>
      <c r="U1147" s="16"/>
      <c r="V1147" s="16"/>
      <c r="W1147" s="16"/>
      <c r="X1147" s="16"/>
      <c r="Y1147" s="16"/>
    </row>
    <row r="1148" spans="1:25" x14ac:dyDescent="0.2">
      <c r="A1148" s="14"/>
      <c r="B1148" s="6"/>
      <c r="C1148" s="6"/>
      <c r="D1148" s="16"/>
      <c r="E1148" s="6"/>
      <c r="F1148" s="16"/>
      <c r="G1148" s="6"/>
      <c r="H1148" s="16"/>
      <c r="I1148" s="16"/>
      <c r="J1148" s="16"/>
      <c r="K1148" s="16"/>
      <c r="L1148" s="16"/>
      <c r="M1148" s="16"/>
      <c r="N1148" s="16"/>
      <c r="O1148" s="16"/>
      <c r="P1148" s="16"/>
      <c r="Q1148" s="16"/>
      <c r="R1148" s="16"/>
      <c r="S1148" s="16"/>
      <c r="T1148" s="16"/>
      <c r="U1148" s="16"/>
      <c r="V1148" s="16"/>
      <c r="W1148" s="16"/>
      <c r="X1148" s="16"/>
      <c r="Y1148" s="16"/>
    </row>
    <row r="1149" spans="1:25" x14ac:dyDescent="0.2">
      <c r="A1149" s="14"/>
      <c r="B1149" s="6"/>
      <c r="C1149" s="6"/>
      <c r="D1149" s="16"/>
      <c r="E1149" s="6"/>
      <c r="F1149" s="16"/>
      <c r="G1149" s="6"/>
      <c r="H1149" s="16"/>
      <c r="I1149" s="16"/>
      <c r="J1149" s="16"/>
      <c r="K1149" s="16"/>
      <c r="L1149" s="16"/>
      <c r="M1149" s="16"/>
      <c r="N1149" s="16"/>
      <c r="O1149" s="16"/>
      <c r="P1149" s="16"/>
      <c r="Q1149" s="16"/>
      <c r="R1149" s="16"/>
      <c r="S1149" s="16"/>
      <c r="T1149" s="16"/>
      <c r="U1149" s="16"/>
      <c r="V1149" s="16"/>
      <c r="W1149" s="16"/>
      <c r="X1149" s="16"/>
      <c r="Y1149" s="16"/>
    </row>
    <row r="1150" spans="1:25" x14ac:dyDescent="0.2">
      <c r="A1150" s="14"/>
      <c r="B1150" s="6"/>
      <c r="C1150" s="6"/>
      <c r="D1150" s="16"/>
      <c r="E1150" s="6"/>
      <c r="F1150" s="16"/>
      <c r="G1150" s="6"/>
      <c r="H1150" s="16"/>
      <c r="I1150" s="16"/>
      <c r="J1150" s="16"/>
      <c r="K1150" s="16"/>
      <c r="L1150" s="16"/>
      <c r="M1150" s="16"/>
      <c r="N1150" s="16"/>
      <c r="O1150" s="16"/>
      <c r="P1150" s="16"/>
      <c r="Q1150" s="16"/>
      <c r="R1150" s="16"/>
      <c r="S1150" s="16"/>
      <c r="T1150" s="16"/>
      <c r="U1150" s="16"/>
      <c r="V1150" s="16"/>
      <c r="W1150" s="16"/>
      <c r="X1150" s="16"/>
      <c r="Y1150" s="16"/>
    </row>
    <row r="1151" spans="1:25" x14ac:dyDescent="0.2">
      <c r="A1151" s="14"/>
      <c r="B1151" s="6"/>
      <c r="C1151" s="6"/>
      <c r="D1151" s="16"/>
      <c r="E1151" s="6"/>
      <c r="F1151" s="16"/>
      <c r="G1151" s="6"/>
      <c r="H1151" s="16"/>
      <c r="I1151" s="16"/>
      <c r="J1151" s="16"/>
      <c r="K1151" s="16"/>
      <c r="L1151" s="16"/>
      <c r="M1151" s="16"/>
      <c r="N1151" s="16"/>
      <c r="O1151" s="16"/>
      <c r="P1151" s="16"/>
      <c r="Q1151" s="16"/>
      <c r="R1151" s="16"/>
      <c r="S1151" s="16"/>
      <c r="T1151" s="16"/>
      <c r="U1151" s="16"/>
      <c r="V1151" s="16"/>
      <c r="W1151" s="16"/>
      <c r="X1151" s="16"/>
      <c r="Y1151" s="16"/>
    </row>
    <row r="1152" spans="1:25" x14ac:dyDescent="0.2">
      <c r="A1152" s="14"/>
      <c r="B1152" s="6"/>
      <c r="C1152" s="6"/>
      <c r="D1152" s="16"/>
      <c r="E1152" s="6"/>
      <c r="F1152" s="16"/>
      <c r="G1152" s="6"/>
      <c r="H1152" s="16"/>
      <c r="I1152" s="16"/>
      <c r="J1152" s="16"/>
      <c r="K1152" s="16"/>
      <c r="L1152" s="16"/>
      <c r="M1152" s="16"/>
      <c r="N1152" s="16"/>
      <c r="O1152" s="16"/>
      <c r="P1152" s="16"/>
      <c r="Q1152" s="16"/>
      <c r="R1152" s="16"/>
      <c r="S1152" s="16"/>
      <c r="T1152" s="16"/>
      <c r="U1152" s="16"/>
      <c r="V1152" s="16"/>
      <c r="W1152" s="16"/>
      <c r="X1152" s="16"/>
      <c r="Y1152" s="16"/>
    </row>
    <row r="1153" spans="1:25" x14ac:dyDescent="0.2">
      <c r="A1153" s="14"/>
      <c r="B1153" s="6"/>
      <c r="C1153" s="6"/>
      <c r="D1153" s="16"/>
      <c r="E1153" s="6"/>
      <c r="F1153" s="16"/>
      <c r="G1153" s="6"/>
      <c r="H1153" s="16"/>
      <c r="I1153" s="16"/>
      <c r="J1153" s="16"/>
      <c r="K1153" s="16"/>
      <c r="L1153" s="16"/>
      <c r="M1153" s="16"/>
      <c r="N1153" s="16"/>
      <c r="O1153" s="16"/>
      <c r="P1153" s="16"/>
      <c r="Q1153" s="16"/>
      <c r="R1153" s="16"/>
      <c r="S1153" s="16"/>
      <c r="T1153" s="16"/>
      <c r="U1153" s="16"/>
      <c r="V1153" s="16"/>
      <c r="W1153" s="16"/>
      <c r="X1153" s="16"/>
      <c r="Y1153" s="16"/>
    </row>
    <row r="1154" spans="1:25" x14ac:dyDescent="0.2">
      <c r="A1154" s="14"/>
      <c r="B1154" s="6"/>
      <c r="C1154" s="6"/>
      <c r="D1154" s="16"/>
      <c r="E1154" s="6"/>
      <c r="F1154" s="16"/>
      <c r="G1154" s="6"/>
      <c r="H1154" s="16"/>
      <c r="I1154" s="16"/>
      <c r="J1154" s="16"/>
      <c r="K1154" s="16"/>
      <c r="L1154" s="16"/>
      <c r="M1154" s="16"/>
      <c r="N1154" s="16"/>
      <c r="O1154" s="16"/>
      <c r="P1154" s="16"/>
      <c r="Q1154" s="16"/>
      <c r="R1154" s="16"/>
      <c r="S1154" s="16"/>
      <c r="T1154" s="16"/>
      <c r="U1154" s="16"/>
      <c r="V1154" s="16"/>
      <c r="W1154" s="16"/>
      <c r="X1154" s="16"/>
      <c r="Y1154" s="16"/>
    </row>
    <row r="1155" spans="1:25" x14ac:dyDescent="0.2">
      <c r="A1155" s="14"/>
      <c r="B1155" s="6"/>
      <c r="C1155" s="6"/>
      <c r="D1155" s="16"/>
      <c r="E1155" s="6"/>
      <c r="F1155" s="16"/>
      <c r="G1155" s="6"/>
      <c r="H1155" s="16"/>
      <c r="I1155" s="16"/>
      <c r="J1155" s="16"/>
      <c r="K1155" s="16"/>
      <c r="L1155" s="16"/>
      <c r="M1155" s="16"/>
      <c r="N1155" s="16"/>
      <c r="O1155" s="16"/>
      <c r="P1155" s="16"/>
      <c r="Q1155" s="16"/>
      <c r="R1155" s="16"/>
      <c r="S1155" s="16"/>
      <c r="T1155" s="16"/>
      <c r="U1155" s="16"/>
      <c r="V1155" s="16"/>
      <c r="W1155" s="16"/>
      <c r="X1155" s="16"/>
      <c r="Y1155" s="16"/>
    </row>
    <row r="1156" spans="1:25" x14ac:dyDescent="0.2">
      <c r="A1156" s="14"/>
      <c r="B1156" s="6"/>
      <c r="C1156" s="6"/>
      <c r="D1156" s="16"/>
      <c r="E1156" s="6"/>
      <c r="F1156" s="16"/>
      <c r="G1156" s="6"/>
      <c r="H1156" s="16"/>
      <c r="I1156" s="16"/>
      <c r="J1156" s="16"/>
      <c r="K1156" s="16"/>
      <c r="L1156" s="16"/>
      <c r="M1156" s="16"/>
      <c r="N1156" s="16"/>
      <c r="O1156" s="16"/>
      <c r="P1156" s="16"/>
      <c r="Q1156" s="16"/>
      <c r="R1156" s="16"/>
      <c r="S1156" s="16"/>
      <c r="T1156" s="16"/>
      <c r="U1156" s="16"/>
      <c r="V1156" s="16"/>
      <c r="W1156" s="16"/>
      <c r="X1156" s="16"/>
      <c r="Y1156" s="16"/>
    </row>
    <row r="1157" spans="1:25" x14ac:dyDescent="0.2">
      <c r="A1157" s="14"/>
      <c r="B1157" s="6"/>
      <c r="C1157" s="6"/>
      <c r="D1157" s="16"/>
      <c r="E1157" s="6"/>
      <c r="F1157" s="16"/>
      <c r="G1157" s="6"/>
      <c r="H1157" s="16"/>
      <c r="I1157" s="16"/>
      <c r="J1157" s="16"/>
      <c r="K1157" s="16"/>
      <c r="L1157" s="16"/>
      <c r="M1157" s="16"/>
      <c r="N1157" s="16"/>
      <c r="O1157" s="16"/>
      <c r="P1157" s="16"/>
      <c r="Q1157" s="16"/>
      <c r="R1157" s="16"/>
      <c r="S1157" s="16"/>
      <c r="T1157" s="16"/>
      <c r="U1157" s="16"/>
      <c r="V1157" s="16"/>
      <c r="W1157" s="16"/>
      <c r="X1157" s="16"/>
      <c r="Y1157" s="16"/>
    </row>
    <row r="1158" spans="1:25" x14ac:dyDescent="0.2">
      <c r="A1158" s="14"/>
      <c r="B1158" s="6"/>
      <c r="C1158" s="6"/>
      <c r="D1158" s="16"/>
      <c r="E1158" s="6"/>
      <c r="F1158" s="16"/>
      <c r="G1158" s="6"/>
      <c r="H1158" s="16"/>
      <c r="I1158" s="16"/>
      <c r="J1158" s="16"/>
      <c r="K1158" s="16"/>
      <c r="L1158" s="16"/>
      <c r="M1158" s="16"/>
      <c r="N1158" s="16"/>
      <c r="O1158" s="16"/>
      <c r="P1158" s="16"/>
      <c r="Q1158" s="16"/>
      <c r="R1158" s="16"/>
      <c r="S1158" s="16"/>
      <c r="T1158" s="16"/>
      <c r="U1158" s="16"/>
      <c r="V1158" s="16"/>
      <c r="W1158" s="16"/>
      <c r="X1158" s="16"/>
      <c r="Y1158" s="16"/>
    </row>
    <row r="1159" spans="1:25" x14ac:dyDescent="0.2">
      <c r="A1159" s="14"/>
      <c r="B1159" s="6"/>
      <c r="C1159" s="6"/>
      <c r="D1159" s="16"/>
      <c r="E1159" s="6"/>
      <c r="F1159" s="16"/>
      <c r="G1159" s="6"/>
      <c r="H1159" s="16"/>
      <c r="I1159" s="16"/>
      <c r="J1159" s="16"/>
      <c r="K1159" s="16"/>
      <c r="L1159" s="16"/>
      <c r="M1159" s="16"/>
      <c r="N1159" s="16"/>
      <c r="O1159" s="16"/>
      <c r="P1159" s="16"/>
      <c r="Q1159" s="16"/>
      <c r="R1159" s="16"/>
      <c r="S1159" s="16"/>
      <c r="T1159" s="16"/>
      <c r="U1159" s="16"/>
      <c r="V1159" s="16"/>
      <c r="W1159" s="16"/>
      <c r="X1159" s="16"/>
      <c r="Y1159" s="16"/>
    </row>
    <row r="1160" spans="1:25" x14ac:dyDescent="0.2">
      <c r="A1160" s="14"/>
      <c r="B1160" s="6"/>
      <c r="C1160" s="6"/>
      <c r="D1160" s="16"/>
      <c r="E1160" s="6"/>
      <c r="F1160" s="16"/>
      <c r="G1160" s="6"/>
      <c r="H1160" s="16"/>
      <c r="I1160" s="16"/>
      <c r="J1160" s="16"/>
      <c r="K1160" s="16"/>
      <c r="L1160" s="16"/>
      <c r="M1160" s="16"/>
      <c r="N1160" s="16"/>
      <c r="O1160" s="16"/>
      <c r="P1160" s="16"/>
      <c r="Q1160" s="16"/>
      <c r="R1160" s="16"/>
      <c r="S1160" s="16"/>
      <c r="T1160" s="16"/>
      <c r="U1160" s="16"/>
      <c r="V1160" s="16"/>
      <c r="W1160" s="16"/>
      <c r="X1160" s="16"/>
      <c r="Y1160" s="16"/>
    </row>
    <row r="1161" spans="1:25" x14ac:dyDescent="0.2">
      <c r="A1161" s="14"/>
      <c r="B1161" s="6"/>
      <c r="C1161" s="6"/>
      <c r="D1161" s="16"/>
      <c r="E1161" s="6"/>
      <c r="F1161" s="16"/>
      <c r="G1161" s="6"/>
      <c r="H1161" s="16"/>
      <c r="I1161" s="16"/>
      <c r="J1161" s="16"/>
      <c r="K1161" s="16"/>
      <c r="L1161" s="16"/>
      <c r="M1161" s="16"/>
      <c r="N1161" s="16"/>
      <c r="O1161" s="16"/>
      <c r="P1161" s="16"/>
      <c r="Q1161" s="16"/>
      <c r="R1161" s="16"/>
      <c r="S1161" s="16"/>
      <c r="T1161" s="16"/>
      <c r="U1161" s="16"/>
      <c r="V1161" s="16"/>
      <c r="W1161" s="16"/>
      <c r="X1161" s="16"/>
      <c r="Y1161" s="16"/>
    </row>
    <row r="1162" spans="1:25" x14ac:dyDescent="0.2">
      <c r="A1162" s="14"/>
      <c r="B1162" s="6"/>
      <c r="C1162" s="6"/>
      <c r="D1162" s="16"/>
      <c r="E1162" s="6"/>
      <c r="F1162" s="16"/>
      <c r="G1162" s="6"/>
      <c r="H1162" s="16"/>
      <c r="I1162" s="16"/>
      <c r="J1162" s="16"/>
      <c r="K1162" s="16"/>
      <c r="L1162" s="16"/>
      <c r="M1162" s="16"/>
      <c r="N1162" s="16"/>
      <c r="O1162" s="16"/>
      <c r="P1162" s="16"/>
      <c r="Q1162" s="16"/>
      <c r="R1162" s="16"/>
      <c r="S1162" s="16"/>
      <c r="T1162" s="16"/>
      <c r="U1162" s="16"/>
      <c r="V1162" s="16"/>
      <c r="W1162" s="16"/>
      <c r="X1162" s="16"/>
      <c r="Y1162" s="16"/>
    </row>
    <row r="1163" spans="1:25" x14ac:dyDescent="0.2">
      <c r="A1163" s="14"/>
      <c r="B1163" s="6"/>
      <c r="C1163" s="6"/>
      <c r="D1163" s="16"/>
      <c r="E1163" s="6"/>
      <c r="F1163" s="16"/>
      <c r="G1163" s="6"/>
      <c r="H1163" s="16"/>
      <c r="I1163" s="16"/>
      <c r="J1163" s="16"/>
      <c r="K1163" s="16"/>
      <c r="L1163" s="16"/>
      <c r="M1163" s="16"/>
      <c r="N1163" s="16"/>
      <c r="O1163" s="16"/>
      <c r="P1163" s="16"/>
      <c r="Q1163" s="16"/>
      <c r="R1163" s="16"/>
      <c r="S1163" s="16"/>
      <c r="T1163" s="16"/>
      <c r="U1163" s="16"/>
      <c r="V1163" s="16"/>
      <c r="W1163" s="16"/>
      <c r="X1163" s="16"/>
      <c r="Y1163" s="16"/>
    </row>
    <row r="1164" spans="1:25" x14ac:dyDescent="0.2">
      <c r="A1164" s="14"/>
      <c r="B1164" s="6"/>
      <c r="C1164" s="6"/>
      <c r="D1164" s="16"/>
      <c r="E1164" s="6"/>
      <c r="F1164" s="16"/>
      <c r="G1164" s="6"/>
      <c r="H1164" s="16"/>
      <c r="I1164" s="16"/>
      <c r="J1164" s="16"/>
      <c r="K1164" s="16"/>
      <c r="L1164" s="16"/>
      <c r="M1164" s="16"/>
      <c r="N1164" s="16"/>
      <c r="O1164" s="16"/>
      <c r="P1164" s="16"/>
      <c r="Q1164" s="16"/>
      <c r="R1164" s="16"/>
      <c r="S1164" s="16"/>
      <c r="T1164" s="16"/>
      <c r="U1164" s="16"/>
      <c r="V1164" s="16"/>
      <c r="W1164" s="16"/>
      <c r="X1164" s="16"/>
      <c r="Y1164" s="16"/>
    </row>
    <row r="1165" spans="1:25" x14ac:dyDescent="0.2">
      <c r="A1165" s="14"/>
      <c r="B1165" s="6"/>
      <c r="C1165" s="6"/>
      <c r="D1165" s="16"/>
      <c r="E1165" s="6"/>
      <c r="F1165" s="16"/>
      <c r="G1165" s="6"/>
      <c r="H1165" s="16"/>
      <c r="I1165" s="16"/>
      <c r="J1165" s="16"/>
      <c r="K1165" s="16"/>
      <c r="L1165" s="16"/>
      <c r="M1165" s="16"/>
      <c r="N1165" s="16"/>
      <c r="O1165" s="16"/>
      <c r="P1165" s="16"/>
      <c r="Q1165" s="16"/>
      <c r="R1165" s="16"/>
      <c r="S1165" s="16"/>
      <c r="T1165" s="16"/>
      <c r="U1165" s="16"/>
      <c r="V1165" s="16"/>
      <c r="W1165" s="16"/>
      <c r="X1165" s="16"/>
      <c r="Y1165" s="16"/>
    </row>
    <row r="1166" spans="1:25" x14ac:dyDescent="0.2">
      <c r="A1166" s="14"/>
      <c r="B1166" s="6"/>
      <c r="C1166" s="6"/>
      <c r="D1166" s="16"/>
      <c r="E1166" s="6"/>
      <c r="F1166" s="16"/>
      <c r="G1166" s="6"/>
      <c r="H1166" s="16"/>
      <c r="I1166" s="16"/>
      <c r="J1166" s="16"/>
      <c r="K1166" s="16"/>
      <c r="L1166" s="16"/>
      <c r="M1166" s="16"/>
      <c r="N1166" s="16"/>
      <c r="O1166" s="16"/>
      <c r="P1166" s="16"/>
      <c r="Q1166" s="16"/>
      <c r="R1166" s="16"/>
      <c r="S1166" s="16"/>
      <c r="T1166" s="16"/>
      <c r="U1166" s="16"/>
      <c r="V1166" s="16"/>
      <c r="W1166" s="16"/>
      <c r="X1166" s="16"/>
      <c r="Y1166" s="16"/>
    </row>
    <row r="1167" spans="1:25" x14ac:dyDescent="0.2">
      <c r="A1167" s="14"/>
      <c r="B1167" s="6"/>
      <c r="C1167" s="6"/>
      <c r="D1167" s="16"/>
      <c r="E1167" s="6"/>
      <c r="F1167" s="16"/>
      <c r="G1167" s="6"/>
      <c r="H1167" s="16"/>
      <c r="I1167" s="16"/>
      <c r="J1167" s="16"/>
      <c r="K1167" s="16"/>
      <c r="L1167" s="16"/>
      <c r="M1167" s="16"/>
      <c r="N1167" s="16"/>
      <c r="O1167" s="16"/>
      <c r="P1167" s="16"/>
      <c r="Q1167" s="16"/>
      <c r="R1167" s="16"/>
      <c r="S1167" s="16"/>
      <c r="T1167" s="16"/>
      <c r="U1167" s="16"/>
      <c r="V1167" s="16"/>
      <c r="W1167" s="16"/>
      <c r="X1167" s="16"/>
      <c r="Y1167" s="16"/>
    </row>
    <row r="1168" spans="1:25" x14ac:dyDescent="0.2">
      <c r="A1168" s="14"/>
      <c r="B1168" s="6"/>
      <c r="C1168" s="6"/>
      <c r="D1168" s="16"/>
      <c r="E1168" s="6"/>
      <c r="F1168" s="16"/>
      <c r="G1168" s="6"/>
      <c r="H1168" s="16"/>
      <c r="I1168" s="16"/>
      <c r="J1168" s="16"/>
      <c r="K1168" s="16"/>
      <c r="L1168" s="16"/>
      <c r="M1168" s="16"/>
      <c r="N1168" s="16"/>
      <c r="O1168" s="16"/>
      <c r="P1168" s="16"/>
      <c r="Q1168" s="16"/>
      <c r="R1168" s="16"/>
      <c r="S1168" s="16"/>
      <c r="T1168" s="16"/>
      <c r="U1168" s="16"/>
      <c r="V1168" s="16"/>
      <c r="W1168" s="16"/>
      <c r="X1168" s="16"/>
      <c r="Y1168" s="16"/>
    </row>
    <row r="1169" spans="1:25" x14ac:dyDescent="0.2">
      <c r="A1169" s="14"/>
      <c r="B1169" s="6"/>
      <c r="C1169" s="6"/>
      <c r="D1169" s="16"/>
      <c r="E1169" s="6"/>
      <c r="F1169" s="16"/>
      <c r="G1169" s="6"/>
      <c r="H1169" s="16"/>
      <c r="I1169" s="16"/>
      <c r="J1169" s="16"/>
      <c r="K1169" s="16"/>
      <c r="L1169" s="16"/>
      <c r="M1169" s="16"/>
      <c r="N1169" s="16"/>
      <c r="O1169" s="16"/>
      <c r="P1169" s="16"/>
      <c r="Q1169" s="16"/>
      <c r="R1169" s="16"/>
      <c r="S1169" s="16"/>
      <c r="T1169" s="16"/>
      <c r="U1169" s="16"/>
      <c r="V1169" s="16"/>
      <c r="W1169" s="16"/>
      <c r="X1169" s="16"/>
      <c r="Y1169" s="16"/>
    </row>
    <row r="1170" spans="1:25" x14ac:dyDescent="0.2">
      <c r="A1170" s="14"/>
      <c r="B1170" s="6"/>
      <c r="C1170" s="6"/>
      <c r="D1170" s="16"/>
      <c r="E1170" s="6"/>
      <c r="F1170" s="16"/>
      <c r="G1170" s="6"/>
      <c r="H1170" s="16"/>
      <c r="I1170" s="16"/>
      <c r="J1170" s="16"/>
      <c r="K1170" s="16"/>
      <c r="L1170" s="16"/>
      <c r="M1170" s="16"/>
      <c r="N1170" s="16"/>
      <c r="O1170" s="16"/>
      <c r="P1170" s="16"/>
      <c r="Q1170" s="16"/>
      <c r="R1170" s="16"/>
      <c r="S1170" s="16"/>
      <c r="T1170" s="16"/>
      <c r="U1170" s="16"/>
      <c r="V1170" s="16"/>
      <c r="W1170" s="16"/>
      <c r="X1170" s="16"/>
      <c r="Y1170" s="16"/>
    </row>
    <row r="1171" spans="1:25" x14ac:dyDescent="0.2">
      <c r="A1171" s="14"/>
      <c r="B1171" s="6"/>
      <c r="C1171" s="6"/>
      <c r="D1171" s="16"/>
      <c r="E1171" s="6"/>
      <c r="F1171" s="16"/>
      <c r="G1171" s="6"/>
      <c r="H1171" s="16"/>
      <c r="I1171" s="16"/>
      <c r="J1171" s="16"/>
      <c r="K1171" s="16"/>
      <c r="L1171" s="16"/>
      <c r="M1171" s="16"/>
      <c r="N1171" s="16"/>
      <c r="O1171" s="16"/>
      <c r="P1171" s="16"/>
      <c r="Q1171" s="16"/>
      <c r="R1171" s="16"/>
      <c r="S1171" s="16"/>
      <c r="T1171" s="16"/>
      <c r="U1171" s="16"/>
      <c r="V1171" s="16"/>
      <c r="W1171" s="16"/>
      <c r="X1171" s="16"/>
      <c r="Y1171" s="16"/>
    </row>
    <row r="1172" spans="1:25" x14ac:dyDescent="0.2">
      <c r="A1172" s="14"/>
      <c r="B1172" s="6"/>
      <c r="C1172" s="6"/>
      <c r="D1172" s="16"/>
      <c r="E1172" s="6"/>
      <c r="F1172" s="16"/>
      <c r="G1172" s="6"/>
      <c r="H1172" s="16"/>
      <c r="I1172" s="16"/>
      <c r="J1172" s="16"/>
      <c r="K1172" s="16"/>
      <c r="L1172" s="16"/>
      <c r="M1172" s="16"/>
      <c r="N1172" s="16"/>
      <c r="O1172" s="16"/>
      <c r="P1172" s="16"/>
      <c r="Q1172" s="16"/>
      <c r="R1172" s="16"/>
      <c r="S1172" s="16"/>
      <c r="T1172" s="16"/>
      <c r="U1172" s="16"/>
      <c r="V1172" s="16"/>
      <c r="W1172" s="16"/>
      <c r="X1172" s="16"/>
      <c r="Y1172" s="16"/>
    </row>
    <row r="1173" spans="1:25" x14ac:dyDescent="0.2">
      <c r="A1173" s="14"/>
      <c r="B1173" s="6"/>
      <c r="C1173" s="6"/>
      <c r="D1173" s="16"/>
      <c r="E1173" s="6"/>
      <c r="F1173" s="16"/>
      <c r="G1173" s="6"/>
      <c r="H1173" s="16"/>
      <c r="I1173" s="16"/>
      <c r="J1173" s="16"/>
      <c r="K1173" s="16"/>
      <c r="L1173" s="16"/>
      <c r="M1173" s="16"/>
      <c r="N1173" s="16"/>
      <c r="O1173" s="16"/>
      <c r="P1173" s="16"/>
      <c r="Q1173" s="16"/>
      <c r="R1173" s="16"/>
      <c r="S1173" s="16"/>
      <c r="T1173" s="16"/>
      <c r="U1173" s="16"/>
      <c r="V1173" s="16"/>
      <c r="W1173" s="16"/>
      <c r="X1173" s="16"/>
      <c r="Y1173" s="16"/>
    </row>
    <row r="1174" spans="1:25" x14ac:dyDescent="0.2">
      <c r="A1174" s="14"/>
      <c r="B1174" s="6"/>
      <c r="C1174" s="6"/>
      <c r="D1174" s="16"/>
      <c r="E1174" s="6"/>
      <c r="F1174" s="16"/>
      <c r="G1174" s="6"/>
      <c r="H1174" s="16"/>
      <c r="I1174" s="16"/>
      <c r="J1174" s="16"/>
      <c r="K1174" s="16"/>
      <c r="L1174" s="16"/>
      <c r="M1174" s="16"/>
      <c r="N1174" s="16"/>
      <c r="O1174" s="16"/>
      <c r="P1174" s="16"/>
      <c r="Q1174" s="16"/>
      <c r="R1174" s="16"/>
      <c r="S1174" s="16"/>
      <c r="T1174" s="16"/>
      <c r="U1174" s="16"/>
      <c r="V1174" s="16"/>
      <c r="W1174" s="16"/>
      <c r="X1174" s="16"/>
      <c r="Y1174" s="16"/>
    </row>
    <row r="1175" spans="1:25" x14ac:dyDescent="0.2">
      <c r="A1175" s="14"/>
      <c r="B1175" s="6"/>
      <c r="C1175" s="6"/>
      <c r="D1175" s="16"/>
      <c r="E1175" s="6"/>
      <c r="F1175" s="16"/>
      <c r="G1175" s="6"/>
      <c r="H1175" s="16"/>
      <c r="I1175" s="16"/>
      <c r="J1175" s="16"/>
      <c r="K1175" s="16"/>
      <c r="L1175" s="16"/>
      <c r="M1175" s="16"/>
      <c r="N1175" s="16"/>
      <c r="O1175" s="16"/>
      <c r="P1175" s="16"/>
      <c r="Q1175" s="16"/>
      <c r="R1175" s="16"/>
      <c r="S1175" s="16"/>
      <c r="T1175" s="16"/>
      <c r="U1175" s="16"/>
      <c r="V1175" s="16"/>
      <c r="W1175" s="16"/>
      <c r="X1175" s="16"/>
      <c r="Y1175" s="16"/>
    </row>
    <row r="1176" spans="1:25" x14ac:dyDescent="0.2">
      <c r="A1176" s="14"/>
      <c r="B1176" s="6"/>
      <c r="C1176" s="6"/>
      <c r="D1176" s="16"/>
      <c r="E1176" s="6"/>
      <c r="F1176" s="16"/>
      <c r="G1176" s="6"/>
      <c r="H1176" s="16"/>
      <c r="I1176" s="16"/>
      <c r="J1176" s="16"/>
      <c r="K1176" s="16"/>
      <c r="L1176" s="16"/>
      <c r="M1176" s="16"/>
      <c r="N1176" s="16"/>
      <c r="O1176" s="16"/>
      <c r="P1176" s="16"/>
      <c r="Q1176" s="16"/>
      <c r="R1176" s="16"/>
      <c r="S1176" s="16"/>
      <c r="T1176" s="16"/>
      <c r="U1176" s="16"/>
      <c r="V1176" s="16"/>
      <c r="W1176" s="16"/>
      <c r="X1176" s="16"/>
      <c r="Y1176" s="16"/>
    </row>
    <row r="1177" spans="1:25" x14ac:dyDescent="0.2">
      <c r="A1177" s="14"/>
      <c r="B1177" s="6"/>
      <c r="C1177" s="6"/>
      <c r="D1177" s="16"/>
      <c r="E1177" s="6"/>
      <c r="F1177" s="16"/>
      <c r="G1177" s="6"/>
      <c r="H1177" s="16"/>
      <c r="I1177" s="16"/>
      <c r="J1177" s="16"/>
      <c r="K1177" s="16"/>
      <c r="L1177" s="16"/>
      <c r="M1177" s="16"/>
      <c r="N1177" s="16"/>
      <c r="O1177" s="16"/>
      <c r="P1177" s="16"/>
      <c r="Q1177" s="16"/>
      <c r="R1177" s="16"/>
      <c r="S1177" s="16"/>
      <c r="T1177" s="16"/>
      <c r="U1177" s="16"/>
      <c r="V1177" s="16"/>
      <c r="W1177" s="16"/>
      <c r="X1177" s="16"/>
      <c r="Y1177" s="16"/>
    </row>
    <row r="1178" spans="1:25" x14ac:dyDescent="0.2">
      <c r="A1178" s="14"/>
      <c r="B1178" s="6"/>
      <c r="C1178" s="6"/>
      <c r="D1178" s="16"/>
      <c r="E1178" s="6"/>
      <c r="F1178" s="16"/>
      <c r="G1178" s="6"/>
      <c r="H1178" s="16"/>
      <c r="I1178" s="16"/>
      <c r="J1178" s="16"/>
      <c r="K1178" s="16"/>
      <c r="L1178" s="16"/>
      <c r="M1178" s="16"/>
      <c r="N1178" s="16"/>
      <c r="O1178" s="16"/>
      <c r="P1178" s="16"/>
      <c r="Q1178" s="16"/>
      <c r="R1178" s="16"/>
      <c r="S1178" s="16"/>
      <c r="T1178" s="16"/>
      <c r="U1178" s="16"/>
      <c r="V1178" s="16"/>
      <c r="W1178" s="16"/>
      <c r="X1178" s="16"/>
      <c r="Y1178" s="16"/>
    </row>
    <row r="1179" spans="1:25" x14ac:dyDescent="0.2">
      <c r="A1179" s="14"/>
      <c r="B1179" s="6"/>
      <c r="C1179" s="6"/>
      <c r="D1179" s="16"/>
      <c r="E1179" s="6"/>
      <c r="F1179" s="16"/>
      <c r="G1179" s="6"/>
      <c r="H1179" s="16"/>
      <c r="I1179" s="16"/>
      <c r="J1179" s="16"/>
      <c r="K1179" s="16"/>
      <c r="L1179" s="16"/>
      <c r="M1179" s="16"/>
      <c r="N1179" s="16"/>
      <c r="O1179" s="16"/>
      <c r="P1179" s="16"/>
      <c r="Q1179" s="16"/>
      <c r="R1179" s="16"/>
      <c r="S1179" s="16"/>
      <c r="T1179" s="16"/>
      <c r="U1179" s="16"/>
      <c r="V1179" s="16"/>
      <c r="W1179" s="16"/>
      <c r="X1179" s="16"/>
      <c r="Y1179" s="16"/>
    </row>
    <row r="1180" spans="1:25" x14ac:dyDescent="0.2">
      <c r="A1180" s="14"/>
      <c r="B1180" s="6"/>
      <c r="C1180" s="6"/>
      <c r="D1180" s="16"/>
      <c r="E1180" s="6"/>
      <c r="F1180" s="16"/>
      <c r="G1180" s="6"/>
      <c r="H1180" s="16"/>
      <c r="I1180" s="16"/>
      <c r="J1180" s="16"/>
      <c r="K1180" s="16"/>
      <c r="L1180" s="16"/>
      <c r="M1180" s="16"/>
      <c r="N1180" s="16"/>
      <c r="O1180" s="16"/>
      <c r="P1180" s="16"/>
      <c r="Q1180" s="16"/>
      <c r="R1180" s="16"/>
      <c r="S1180" s="16"/>
      <c r="T1180" s="16"/>
      <c r="U1180" s="16"/>
      <c r="V1180" s="16"/>
      <c r="W1180" s="16"/>
      <c r="X1180" s="16"/>
      <c r="Y1180" s="16"/>
    </row>
    <row r="1181" spans="1:25" x14ac:dyDescent="0.2">
      <c r="A1181" s="14"/>
      <c r="B1181" s="6"/>
      <c r="C1181" s="6"/>
      <c r="D1181" s="16"/>
      <c r="E1181" s="6"/>
      <c r="F1181" s="16"/>
      <c r="G1181" s="6"/>
      <c r="H1181" s="16"/>
      <c r="I1181" s="16"/>
      <c r="J1181" s="16"/>
      <c r="K1181" s="16"/>
      <c r="L1181" s="16"/>
      <c r="M1181" s="16"/>
      <c r="N1181" s="16"/>
      <c r="O1181" s="16"/>
      <c r="P1181" s="16"/>
      <c r="Q1181" s="16"/>
      <c r="R1181" s="16"/>
      <c r="S1181" s="16"/>
      <c r="T1181" s="16"/>
      <c r="U1181" s="16"/>
      <c r="V1181" s="16"/>
      <c r="W1181" s="16"/>
      <c r="X1181" s="16"/>
      <c r="Y1181" s="16"/>
    </row>
    <row r="1182" spans="1:25" x14ac:dyDescent="0.2">
      <c r="A1182" s="14"/>
      <c r="B1182" s="6"/>
      <c r="C1182" s="6"/>
      <c r="D1182" s="16"/>
      <c r="E1182" s="6"/>
      <c r="F1182" s="16"/>
      <c r="G1182" s="6"/>
      <c r="H1182" s="16"/>
      <c r="I1182" s="16"/>
      <c r="J1182" s="16"/>
      <c r="K1182" s="16"/>
      <c r="L1182" s="16"/>
      <c r="M1182" s="16"/>
      <c r="N1182" s="16"/>
      <c r="O1182" s="16"/>
      <c r="P1182" s="16"/>
      <c r="Q1182" s="16"/>
      <c r="R1182" s="16"/>
      <c r="S1182" s="16"/>
      <c r="T1182" s="16"/>
      <c r="U1182" s="16"/>
      <c r="V1182" s="16"/>
      <c r="W1182" s="16"/>
      <c r="X1182" s="16"/>
      <c r="Y1182" s="16"/>
    </row>
    <row r="1183" spans="1:25" x14ac:dyDescent="0.2">
      <c r="A1183" s="14"/>
      <c r="B1183" s="6"/>
      <c r="C1183" s="6"/>
      <c r="D1183" s="16"/>
      <c r="E1183" s="6"/>
      <c r="F1183" s="16"/>
      <c r="G1183" s="6"/>
      <c r="H1183" s="16"/>
      <c r="I1183" s="16"/>
      <c r="J1183" s="16"/>
      <c r="K1183" s="16"/>
      <c r="L1183" s="16"/>
      <c r="M1183" s="16"/>
      <c r="N1183" s="16"/>
      <c r="O1183" s="16"/>
      <c r="P1183" s="16"/>
      <c r="Q1183" s="16"/>
      <c r="R1183" s="16"/>
      <c r="S1183" s="16"/>
      <c r="T1183" s="16"/>
      <c r="U1183" s="16"/>
      <c r="V1183" s="16"/>
      <c r="W1183" s="16"/>
      <c r="X1183" s="16"/>
      <c r="Y1183" s="16"/>
    </row>
    <row r="1184" spans="1:25" x14ac:dyDescent="0.2">
      <c r="A1184" s="14"/>
      <c r="B1184" s="6"/>
      <c r="C1184" s="6"/>
      <c r="D1184" s="16"/>
      <c r="E1184" s="6"/>
      <c r="F1184" s="16"/>
      <c r="G1184" s="6"/>
      <c r="H1184" s="16"/>
      <c r="I1184" s="16"/>
      <c r="J1184" s="16"/>
      <c r="K1184" s="16"/>
      <c r="L1184" s="16"/>
      <c r="M1184" s="16"/>
      <c r="N1184" s="16"/>
      <c r="O1184" s="16"/>
      <c r="P1184" s="16"/>
      <c r="Q1184" s="16"/>
      <c r="R1184" s="16"/>
      <c r="S1184" s="16"/>
      <c r="T1184" s="16"/>
      <c r="U1184" s="16"/>
      <c r="V1184" s="16"/>
      <c r="W1184" s="16"/>
      <c r="X1184" s="16"/>
      <c r="Y1184" s="16"/>
    </row>
    <row r="1185" spans="1:25" x14ac:dyDescent="0.2">
      <c r="A1185" s="14"/>
      <c r="B1185" s="6"/>
      <c r="C1185" s="6"/>
      <c r="D1185" s="16"/>
      <c r="E1185" s="6"/>
      <c r="F1185" s="16"/>
      <c r="G1185" s="6"/>
      <c r="H1185" s="16"/>
      <c r="I1185" s="16"/>
      <c r="J1185" s="16"/>
      <c r="K1185" s="16"/>
      <c r="L1185" s="16"/>
      <c r="M1185" s="16"/>
      <c r="N1185" s="16"/>
      <c r="O1185" s="16"/>
      <c r="P1185" s="16"/>
      <c r="Q1185" s="16"/>
      <c r="R1185" s="16"/>
      <c r="S1185" s="16"/>
      <c r="T1185" s="16"/>
      <c r="U1185" s="16"/>
      <c r="V1185" s="16"/>
      <c r="W1185" s="16"/>
      <c r="X1185" s="16"/>
      <c r="Y1185" s="16"/>
    </row>
    <row r="1186" spans="1:25" x14ac:dyDescent="0.2">
      <c r="A1186" s="14"/>
      <c r="B1186" s="6"/>
      <c r="C1186" s="6"/>
      <c r="D1186" s="16"/>
      <c r="E1186" s="6"/>
      <c r="F1186" s="16"/>
      <c r="G1186" s="6"/>
      <c r="H1186" s="16"/>
      <c r="I1186" s="16"/>
      <c r="J1186" s="16"/>
      <c r="K1186" s="16"/>
      <c r="L1186" s="16"/>
      <c r="M1186" s="16"/>
      <c r="N1186" s="16"/>
      <c r="O1186" s="16"/>
      <c r="P1186" s="16"/>
      <c r="Q1186" s="16"/>
      <c r="R1186" s="16"/>
      <c r="S1186" s="16"/>
      <c r="T1186" s="16"/>
      <c r="U1186" s="16"/>
      <c r="V1186" s="16"/>
      <c r="W1186" s="16"/>
      <c r="X1186" s="16"/>
      <c r="Y1186" s="16"/>
    </row>
    <row r="1187" spans="1:25" x14ac:dyDescent="0.2">
      <c r="A1187" s="14"/>
      <c r="B1187" s="6"/>
      <c r="C1187" s="6"/>
      <c r="D1187" s="16"/>
      <c r="E1187" s="6"/>
      <c r="F1187" s="16"/>
      <c r="G1187" s="6"/>
      <c r="H1187" s="16"/>
      <c r="I1187" s="16"/>
      <c r="J1187" s="16"/>
      <c r="K1187" s="16"/>
      <c r="L1187" s="16"/>
      <c r="M1187" s="16"/>
      <c r="N1187" s="16"/>
      <c r="O1187" s="16"/>
      <c r="P1187" s="16"/>
      <c r="Q1187" s="16"/>
      <c r="R1187" s="16"/>
      <c r="S1187" s="16"/>
      <c r="T1187" s="16"/>
      <c r="U1187" s="16"/>
      <c r="V1187" s="16"/>
      <c r="W1187" s="16"/>
      <c r="X1187" s="16"/>
      <c r="Y1187" s="16"/>
    </row>
    <row r="1188" spans="1:25" x14ac:dyDescent="0.2">
      <c r="A1188" s="14"/>
      <c r="B1188" s="6"/>
      <c r="C1188" s="6"/>
      <c r="D1188" s="16"/>
      <c r="E1188" s="6"/>
      <c r="F1188" s="16"/>
      <c r="G1188" s="6"/>
      <c r="H1188" s="16"/>
      <c r="I1188" s="16"/>
      <c r="J1188" s="16"/>
      <c r="K1188" s="16"/>
      <c r="L1188" s="16"/>
      <c r="M1188" s="16"/>
      <c r="N1188" s="16"/>
      <c r="O1188" s="16"/>
      <c r="P1188" s="16"/>
      <c r="Q1188" s="16"/>
      <c r="R1188" s="16"/>
      <c r="S1188" s="16"/>
      <c r="T1188" s="16"/>
      <c r="U1188" s="16"/>
      <c r="V1188" s="16"/>
      <c r="W1188" s="16"/>
      <c r="X1188" s="16"/>
      <c r="Y1188" s="16"/>
    </row>
    <row r="1189" spans="1:25" x14ac:dyDescent="0.2">
      <c r="A1189" s="14"/>
      <c r="B1189" s="6"/>
      <c r="C1189" s="6"/>
      <c r="D1189" s="16"/>
      <c r="E1189" s="6"/>
      <c r="F1189" s="16"/>
      <c r="G1189" s="6"/>
      <c r="H1189" s="16"/>
      <c r="I1189" s="16"/>
      <c r="J1189" s="16"/>
      <c r="K1189" s="16"/>
      <c r="L1189" s="16"/>
      <c r="M1189" s="16"/>
      <c r="N1189" s="16"/>
      <c r="O1189" s="16"/>
      <c r="P1189" s="16"/>
      <c r="Q1189" s="16"/>
      <c r="R1189" s="16"/>
      <c r="S1189" s="16"/>
      <c r="T1189" s="16"/>
      <c r="U1189" s="16"/>
      <c r="V1189" s="16"/>
      <c r="W1189" s="16"/>
      <c r="X1189" s="16"/>
      <c r="Y1189" s="16"/>
    </row>
    <row r="1190" spans="1:25" x14ac:dyDescent="0.2">
      <c r="A1190" s="14"/>
      <c r="B1190" s="6"/>
      <c r="C1190" s="6"/>
      <c r="D1190" s="16"/>
      <c r="E1190" s="6"/>
      <c r="F1190" s="16"/>
      <c r="G1190" s="6"/>
      <c r="H1190" s="16"/>
      <c r="I1190" s="16"/>
      <c r="J1190" s="16"/>
      <c r="K1190" s="16"/>
      <c r="L1190" s="16"/>
      <c r="M1190" s="16"/>
      <c r="N1190" s="16"/>
      <c r="O1190" s="16"/>
      <c r="P1190" s="16"/>
      <c r="Q1190" s="16"/>
      <c r="R1190" s="16"/>
      <c r="S1190" s="16"/>
      <c r="T1190" s="16"/>
      <c r="U1190" s="16"/>
      <c r="V1190" s="16"/>
      <c r="W1190" s="16"/>
      <c r="X1190" s="16"/>
      <c r="Y1190" s="16"/>
    </row>
    <row r="1191" spans="1:25" x14ac:dyDescent="0.2">
      <c r="A1191" s="14"/>
      <c r="B1191" s="6"/>
      <c r="C1191" s="6"/>
      <c r="D1191" s="16"/>
      <c r="E1191" s="6"/>
      <c r="F1191" s="16"/>
      <c r="G1191" s="6"/>
      <c r="H1191" s="16"/>
      <c r="I1191" s="16"/>
      <c r="J1191" s="16"/>
      <c r="K1191" s="16"/>
      <c r="L1191" s="16"/>
      <c r="M1191" s="16"/>
      <c r="N1191" s="16"/>
      <c r="O1191" s="16"/>
      <c r="P1191" s="16"/>
      <c r="Q1191" s="16"/>
      <c r="R1191" s="16"/>
      <c r="S1191" s="16"/>
      <c r="T1191" s="16"/>
      <c r="U1191" s="16"/>
      <c r="V1191" s="16"/>
      <c r="W1191" s="16"/>
      <c r="X1191" s="16"/>
      <c r="Y1191" s="16"/>
    </row>
    <row r="1192" spans="1:25" x14ac:dyDescent="0.2">
      <c r="A1192" s="14"/>
      <c r="B1192" s="6"/>
      <c r="C1192" s="6"/>
      <c r="D1192" s="16"/>
      <c r="E1192" s="6"/>
      <c r="F1192" s="16"/>
      <c r="G1192" s="6"/>
      <c r="H1192" s="16"/>
      <c r="I1192" s="16"/>
      <c r="J1192" s="16"/>
      <c r="K1192" s="16"/>
      <c r="L1192" s="16"/>
      <c r="M1192" s="16"/>
      <c r="N1192" s="16"/>
      <c r="O1192" s="16"/>
      <c r="P1192" s="16"/>
      <c r="Q1192" s="16"/>
      <c r="R1192" s="16"/>
      <c r="S1192" s="16"/>
      <c r="T1192" s="16"/>
      <c r="U1192" s="16"/>
      <c r="V1192" s="16"/>
      <c r="W1192" s="16"/>
      <c r="X1192" s="16"/>
      <c r="Y1192" s="16"/>
    </row>
    <row r="1193" spans="1:25" x14ac:dyDescent="0.2">
      <c r="A1193" s="14"/>
      <c r="B1193" s="6"/>
      <c r="C1193" s="6"/>
      <c r="D1193" s="16"/>
      <c r="E1193" s="6"/>
      <c r="F1193" s="16"/>
      <c r="G1193" s="6"/>
      <c r="H1193" s="16"/>
      <c r="I1193" s="16"/>
      <c r="J1193" s="16"/>
      <c r="K1193" s="16"/>
      <c r="L1193" s="16"/>
      <c r="M1193" s="16"/>
      <c r="N1193" s="16"/>
      <c r="O1193" s="16"/>
      <c r="P1193" s="16"/>
      <c r="Q1193" s="16"/>
      <c r="R1193" s="16"/>
      <c r="S1193" s="16"/>
      <c r="T1193" s="16"/>
      <c r="U1193" s="16"/>
      <c r="V1193" s="16"/>
      <c r="W1193" s="16"/>
      <c r="X1193" s="16"/>
      <c r="Y1193" s="16"/>
    </row>
    <row r="1194" spans="1:25" x14ac:dyDescent="0.2">
      <c r="A1194" s="14"/>
      <c r="B1194" s="6"/>
      <c r="C1194" s="6"/>
      <c r="D1194" s="16"/>
      <c r="E1194" s="6"/>
      <c r="F1194" s="16"/>
      <c r="G1194" s="6"/>
      <c r="H1194" s="16"/>
      <c r="I1194" s="16"/>
      <c r="J1194" s="16"/>
      <c r="K1194" s="16"/>
      <c r="L1194" s="16"/>
      <c r="M1194" s="16"/>
      <c r="N1194" s="16"/>
      <c r="O1194" s="16"/>
      <c r="P1194" s="16"/>
      <c r="Q1194" s="16"/>
      <c r="R1194" s="16"/>
      <c r="S1194" s="16"/>
      <c r="T1194" s="16"/>
      <c r="U1194" s="16"/>
      <c r="V1194" s="16"/>
      <c r="W1194" s="16"/>
      <c r="X1194" s="16"/>
      <c r="Y1194" s="16"/>
    </row>
    <row r="1195" spans="1:25" x14ac:dyDescent="0.2">
      <c r="A1195" s="14"/>
      <c r="B1195" s="6"/>
      <c r="C1195" s="6"/>
      <c r="D1195" s="16"/>
      <c r="E1195" s="6"/>
      <c r="F1195" s="16"/>
      <c r="G1195" s="6"/>
      <c r="H1195" s="16"/>
      <c r="I1195" s="16"/>
      <c r="J1195" s="16"/>
      <c r="K1195" s="16"/>
      <c r="L1195" s="16"/>
      <c r="M1195" s="16"/>
      <c r="N1195" s="16"/>
      <c r="O1195" s="16"/>
      <c r="P1195" s="16"/>
      <c r="Q1195" s="16"/>
      <c r="R1195" s="16"/>
      <c r="S1195" s="16"/>
      <c r="T1195" s="16"/>
      <c r="U1195" s="16"/>
      <c r="V1195" s="16"/>
      <c r="W1195" s="16"/>
      <c r="X1195" s="16"/>
      <c r="Y1195" s="16"/>
    </row>
    <row r="1196" spans="1:25" x14ac:dyDescent="0.2">
      <c r="A1196" s="14"/>
      <c r="B1196" s="6"/>
      <c r="C1196" s="6"/>
      <c r="D1196" s="16"/>
      <c r="E1196" s="6"/>
      <c r="F1196" s="16"/>
      <c r="G1196" s="6"/>
      <c r="H1196" s="16"/>
      <c r="I1196" s="16"/>
      <c r="J1196" s="16"/>
      <c r="K1196" s="16"/>
      <c r="L1196" s="16"/>
      <c r="M1196" s="16"/>
      <c r="N1196" s="16"/>
      <c r="O1196" s="16"/>
      <c r="P1196" s="16"/>
      <c r="Q1196" s="16"/>
      <c r="R1196" s="16"/>
      <c r="S1196" s="16"/>
      <c r="T1196" s="16"/>
      <c r="U1196" s="16"/>
      <c r="V1196" s="16"/>
      <c r="W1196" s="16"/>
      <c r="X1196" s="16"/>
      <c r="Y1196" s="16"/>
    </row>
    <row r="1197" spans="1:25" x14ac:dyDescent="0.2">
      <c r="A1197" s="14"/>
      <c r="B1197" s="6"/>
      <c r="C1197" s="6"/>
      <c r="D1197" s="16"/>
      <c r="E1197" s="6"/>
      <c r="F1197" s="16"/>
      <c r="G1197" s="6"/>
      <c r="H1197" s="16"/>
      <c r="I1197" s="16"/>
      <c r="J1197" s="16"/>
      <c r="K1197" s="16"/>
      <c r="L1197" s="16"/>
      <c r="M1197" s="16"/>
      <c r="N1197" s="16"/>
      <c r="O1197" s="16"/>
      <c r="P1197" s="16"/>
      <c r="Q1197" s="16"/>
      <c r="R1197" s="16"/>
      <c r="S1197" s="16"/>
      <c r="T1197" s="16"/>
      <c r="U1197" s="16"/>
      <c r="V1197" s="16"/>
      <c r="W1197" s="16"/>
      <c r="X1197" s="16"/>
      <c r="Y1197" s="16"/>
    </row>
    <row r="1198" spans="1:25" x14ac:dyDescent="0.2">
      <c r="A1198" s="14"/>
      <c r="B1198" s="6"/>
      <c r="C1198" s="6"/>
      <c r="D1198" s="16"/>
      <c r="E1198" s="6"/>
      <c r="F1198" s="16"/>
      <c r="G1198" s="6"/>
      <c r="H1198" s="16"/>
      <c r="I1198" s="16"/>
      <c r="J1198" s="16"/>
      <c r="K1198" s="16"/>
      <c r="L1198" s="16"/>
      <c r="M1198" s="16"/>
      <c r="N1198" s="16"/>
      <c r="O1198" s="16"/>
      <c r="P1198" s="16"/>
      <c r="Q1198" s="16"/>
      <c r="R1198" s="16"/>
      <c r="S1198" s="16"/>
      <c r="T1198" s="16"/>
      <c r="U1198" s="16"/>
      <c r="V1198" s="16"/>
      <c r="W1198" s="16"/>
      <c r="X1198" s="16"/>
      <c r="Y1198" s="16"/>
    </row>
    <row r="1199" spans="1:25" x14ac:dyDescent="0.2">
      <c r="A1199" s="14"/>
      <c r="B1199" s="6"/>
      <c r="C1199" s="6"/>
      <c r="D1199" s="16"/>
      <c r="E1199" s="6"/>
      <c r="F1199" s="16"/>
      <c r="G1199" s="6"/>
      <c r="H1199" s="16"/>
      <c r="I1199" s="16"/>
      <c r="J1199" s="16"/>
      <c r="K1199" s="16"/>
      <c r="L1199" s="16"/>
      <c r="M1199" s="16"/>
      <c r="N1199" s="16"/>
      <c r="O1199" s="16"/>
      <c r="P1199" s="16"/>
      <c r="Q1199" s="16"/>
      <c r="R1199" s="16"/>
      <c r="S1199" s="16"/>
      <c r="T1199" s="16"/>
      <c r="U1199" s="16"/>
      <c r="V1199" s="16"/>
      <c r="W1199" s="16"/>
      <c r="X1199" s="16"/>
      <c r="Y1199" s="16"/>
    </row>
    <row r="1200" spans="1:25" x14ac:dyDescent="0.2">
      <c r="A1200" s="14"/>
      <c r="B1200" s="6"/>
      <c r="C1200" s="6"/>
      <c r="D1200" s="16"/>
      <c r="E1200" s="6"/>
      <c r="F1200" s="16"/>
      <c r="G1200" s="6"/>
      <c r="H1200" s="16"/>
      <c r="I1200" s="16"/>
      <c r="J1200" s="16"/>
      <c r="K1200" s="16"/>
      <c r="L1200" s="16"/>
      <c r="M1200" s="16"/>
      <c r="N1200" s="16"/>
      <c r="O1200" s="16"/>
      <c r="P1200" s="16"/>
      <c r="Q1200" s="16"/>
      <c r="R1200" s="16"/>
      <c r="S1200" s="16"/>
      <c r="T1200" s="16"/>
      <c r="U1200" s="16"/>
      <c r="V1200" s="16"/>
      <c r="W1200" s="16"/>
      <c r="X1200" s="16"/>
      <c r="Y1200" s="16"/>
    </row>
    <row r="1201" spans="1:25" x14ac:dyDescent="0.2">
      <c r="A1201" s="14"/>
      <c r="B1201" s="6"/>
      <c r="C1201" s="6"/>
      <c r="D1201" s="16"/>
      <c r="E1201" s="6"/>
      <c r="F1201" s="16"/>
      <c r="G1201" s="6"/>
      <c r="H1201" s="16"/>
      <c r="I1201" s="16"/>
      <c r="J1201" s="16"/>
      <c r="K1201" s="16"/>
      <c r="L1201" s="16"/>
      <c r="M1201" s="16"/>
      <c r="N1201" s="16"/>
      <c r="O1201" s="16"/>
      <c r="P1201" s="16"/>
      <c r="Q1201" s="16"/>
      <c r="R1201" s="16"/>
      <c r="S1201" s="16"/>
      <c r="T1201" s="16"/>
      <c r="U1201" s="16"/>
      <c r="V1201" s="16"/>
      <c r="W1201" s="16"/>
      <c r="X1201" s="16"/>
      <c r="Y1201" s="16"/>
    </row>
    <row r="1202" spans="1:25" x14ac:dyDescent="0.2">
      <c r="A1202" s="14"/>
      <c r="B1202" s="6"/>
      <c r="C1202" s="6"/>
      <c r="D1202" s="16"/>
      <c r="E1202" s="6"/>
      <c r="F1202" s="16"/>
      <c r="G1202" s="6"/>
      <c r="H1202" s="16"/>
      <c r="I1202" s="16"/>
      <c r="J1202" s="16"/>
      <c r="K1202" s="16"/>
      <c r="L1202" s="16"/>
      <c r="M1202" s="16"/>
      <c r="N1202" s="16"/>
      <c r="O1202" s="16"/>
      <c r="P1202" s="16"/>
      <c r="Q1202" s="16"/>
      <c r="R1202" s="16"/>
      <c r="S1202" s="16"/>
      <c r="T1202" s="16"/>
      <c r="U1202" s="16"/>
      <c r="V1202" s="16"/>
      <c r="W1202" s="16"/>
      <c r="X1202" s="16"/>
      <c r="Y1202" s="16"/>
    </row>
    <row r="1203" spans="1:25" x14ac:dyDescent="0.2">
      <c r="A1203" s="14"/>
      <c r="B1203" s="6"/>
      <c r="C1203" s="6"/>
      <c r="D1203" s="16"/>
      <c r="E1203" s="6"/>
      <c r="F1203" s="16"/>
      <c r="G1203" s="6"/>
      <c r="H1203" s="16"/>
      <c r="I1203" s="16"/>
      <c r="J1203" s="16"/>
      <c r="K1203" s="16"/>
      <c r="L1203" s="16"/>
      <c r="M1203" s="16"/>
      <c r="N1203" s="16"/>
      <c r="O1203" s="16"/>
      <c r="P1203" s="16"/>
      <c r="Q1203" s="16"/>
      <c r="R1203" s="16"/>
      <c r="S1203" s="16"/>
      <c r="T1203" s="16"/>
      <c r="U1203" s="16"/>
      <c r="V1203" s="16"/>
      <c r="W1203" s="16"/>
      <c r="X1203" s="16"/>
      <c r="Y1203" s="16"/>
    </row>
    <row r="1204" spans="1:25" x14ac:dyDescent="0.2">
      <c r="A1204" s="14"/>
      <c r="B1204" s="6"/>
      <c r="C1204" s="6"/>
      <c r="D1204" s="16"/>
      <c r="E1204" s="6"/>
      <c r="F1204" s="16"/>
      <c r="G1204" s="6"/>
      <c r="H1204" s="16"/>
      <c r="I1204" s="16"/>
      <c r="J1204" s="16"/>
      <c r="K1204" s="16"/>
      <c r="L1204" s="16"/>
      <c r="M1204" s="16"/>
      <c r="N1204" s="16"/>
      <c r="O1204" s="16"/>
      <c r="P1204" s="16"/>
      <c r="Q1204" s="16"/>
      <c r="R1204" s="16"/>
      <c r="S1204" s="16"/>
      <c r="T1204" s="16"/>
      <c r="U1204" s="16"/>
      <c r="V1204" s="16"/>
      <c r="W1204" s="16"/>
      <c r="X1204" s="16"/>
      <c r="Y1204" s="16"/>
    </row>
    <row r="1205" spans="1:25" x14ac:dyDescent="0.2">
      <c r="A1205" s="14"/>
      <c r="B1205" s="6"/>
      <c r="C1205" s="6"/>
      <c r="D1205" s="16"/>
      <c r="E1205" s="6"/>
      <c r="F1205" s="16"/>
      <c r="G1205" s="6"/>
      <c r="H1205" s="16"/>
      <c r="I1205" s="16"/>
      <c r="J1205" s="16"/>
      <c r="K1205" s="16"/>
      <c r="L1205" s="16"/>
      <c r="M1205" s="16"/>
      <c r="N1205" s="16"/>
      <c r="O1205" s="16"/>
      <c r="P1205" s="16"/>
      <c r="Q1205" s="16"/>
      <c r="R1205" s="16"/>
      <c r="S1205" s="16"/>
      <c r="T1205" s="16"/>
      <c r="U1205" s="16"/>
      <c r="V1205" s="16"/>
      <c r="W1205" s="16"/>
      <c r="X1205" s="16"/>
      <c r="Y1205" s="16"/>
    </row>
    <row r="1206" spans="1:25" x14ac:dyDescent="0.2">
      <c r="A1206" s="14"/>
      <c r="B1206" s="6"/>
      <c r="C1206" s="6"/>
      <c r="D1206" s="16"/>
      <c r="E1206" s="6"/>
      <c r="F1206" s="16"/>
      <c r="G1206" s="6"/>
      <c r="H1206" s="16"/>
      <c r="I1206" s="16"/>
      <c r="J1206" s="16"/>
      <c r="K1206" s="16"/>
      <c r="L1206" s="16"/>
      <c r="M1206" s="16"/>
      <c r="N1206" s="16"/>
      <c r="O1206" s="16"/>
      <c r="P1206" s="16"/>
      <c r="Q1206" s="16"/>
      <c r="R1206" s="16"/>
      <c r="S1206" s="16"/>
      <c r="T1206" s="16"/>
      <c r="U1206" s="16"/>
      <c r="V1206" s="16"/>
      <c r="W1206" s="16"/>
      <c r="X1206" s="16"/>
      <c r="Y1206" s="16"/>
    </row>
    <row r="1207" spans="1:25" x14ac:dyDescent="0.2">
      <c r="A1207" s="14"/>
      <c r="B1207" s="6"/>
      <c r="C1207" s="6"/>
      <c r="D1207" s="16"/>
      <c r="E1207" s="6"/>
      <c r="F1207" s="16"/>
      <c r="G1207" s="6"/>
      <c r="H1207" s="16"/>
      <c r="I1207" s="16"/>
      <c r="J1207" s="16"/>
      <c r="K1207" s="16"/>
      <c r="L1207" s="16"/>
      <c r="M1207" s="16"/>
      <c r="N1207" s="16"/>
      <c r="O1207" s="16"/>
      <c r="P1207" s="16"/>
      <c r="Q1207" s="16"/>
      <c r="R1207" s="16"/>
      <c r="S1207" s="16"/>
      <c r="T1207" s="16"/>
      <c r="U1207" s="16"/>
      <c r="V1207" s="16"/>
      <c r="W1207" s="16"/>
      <c r="X1207" s="16"/>
      <c r="Y1207" s="16"/>
    </row>
    <row r="1208" spans="1:25" x14ac:dyDescent="0.2">
      <c r="A1208" s="14"/>
      <c r="B1208" s="6"/>
      <c r="C1208" s="6"/>
      <c r="D1208" s="16"/>
      <c r="E1208" s="6"/>
      <c r="F1208" s="16"/>
      <c r="G1208" s="6"/>
      <c r="H1208" s="16"/>
      <c r="I1208" s="16"/>
      <c r="J1208" s="16"/>
      <c r="K1208" s="16"/>
      <c r="L1208" s="16"/>
      <c r="M1208" s="16"/>
      <c r="N1208" s="16"/>
      <c r="O1208" s="16"/>
      <c r="P1208" s="16"/>
      <c r="Q1208" s="16"/>
      <c r="R1208" s="16"/>
      <c r="S1208" s="16"/>
      <c r="T1208" s="16"/>
      <c r="U1208" s="16"/>
      <c r="V1208" s="16"/>
      <c r="W1208" s="16"/>
      <c r="X1208" s="16"/>
      <c r="Y1208" s="16"/>
    </row>
    <row r="1209" spans="1:25" x14ac:dyDescent="0.2">
      <c r="A1209" s="14"/>
      <c r="B1209" s="6"/>
      <c r="C1209" s="6"/>
      <c r="D1209" s="16"/>
      <c r="E1209" s="6"/>
      <c r="F1209" s="16"/>
      <c r="G1209" s="6"/>
      <c r="H1209" s="16"/>
      <c r="I1209" s="16"/>
      <c r="J1209" s="16"/>
      <c r="K1209" s="16"/>
      <c r="L1209" s="16"/>
      <c r="M1209" s="16"/>
      <c r="N1209" s="16"/>
      <c r="O1209" s="16"/>
      <c r="P1209" s="16"/>
      <c r="Q1209" s="16"/>
      <c r="R1209" s="16"/>
      <c r="S1209" s="16"/>
      <c r="T1209" s="16"/>
      <c r="U1209" s="16"/>
      <c r="V1209" s="16"/>
      <c r="W1209" s="16"/>
      <c r="X1209" s="16"/>
      <c r="Y1209" s="16"/>
    </row>
    <row r="1210" spans="1:25" x14ac:dyDescent="0.2">
      <c r="A1210" s="14"/>
      <c r="B1210" s="6"/>
      <c r="C1210" s="6"/>
      <c r="D1210" s="16"/>
      <c r="E1210" s="6"/>
      <c r="F1210" s="16"/>
      <c r="G1210" s="6"/>
      <c r="H1210" s="16"/>
      <c r="I1210" s="16"/>
      <c r="J1210" s="16"/>
      <c r="K1210" s="16"/>
      <c r="L1210" s="16"/>
      <c r="M1210" s="16"/>
      <c r="N1210" s="16"/>
      <c r="O1210" s="16"/>
      <c r="P1210" s="16"/>
      <c r="Q1210" s="16"/>
      <c r="R1210" s="16"/>
      <c r="S1210" s="16"/>
      <c r="T1210" s="16"/>
      <c r="U1210" s="16"/>
      <c r="V1210" s="16"/>
      <c r="W1210" s="16"/>
      <c r="X1210" s="16"/>
      <c r="Y1210" s="16"/>
    </row>
    <row r="1211" spans="1:25" x14ac:dyDescent="0.2">
      <c r="A1211" s="14"/>
      <c r="B1211" s="6"/>
      <c r="C1211" s="6"/>
      <c r="D1211" s="16"/>
      <c r="E1211" s="6"/>
      <c r="F1211" s="16"/>
      <c r="G1211" s="6"/>
      <c r="H1211" s="16"/>
      <c r="I1211" s="16"/>
      <c r="J1211" s="16"/>
      <c r="K1211" s="16"/>
      <c r="L1211" s="16"/>
      <c r="M1211" s="16"/>
      <c r="N1211" s="16"/>
      <c r="O1211" s="16"/>
      <c r="P1211" s="16"/>
      <c r="Q1211" s="16"/>
      <c r="R1211" s="16"/>
      <c r="S1211" s="16"/>
      <c r="T1211" s="16"/>
      <c r="U1211" s="16"/>
      <c r="V1211" s="16"/>
      <c r="W1211" s="16"/>
      <c r="X1211" s="16"/>
      <c r="Y1211" s="16"/>
    </row>
    <row r="1212" spans="1:25" x14ac:dyDescent="0.2">
      <c r="A1212" s="14"/>
      <c r="B1212" s="6"/>
      <c r="C1212" s="6"/>
      <c r="D1212" s="16"/>
      <c r="E1212" s="6"/>
      <c r="F1212" s="16"/>
      <c r="G1212" s="6"/>
      <c r="H1212" s="16"/>
      <c r="I1212" s="16"/>
      <c r="J1212" s="16"/>
      <c r="K1212" s="16"/>
      <c r="L1212" s="16"/>
      <c r="M1212" s="16"/>
      <c r="N1212" s="16"/>
      <c r="O1212" s="16"/>
      <c r="P1212" s="16"/>
      <c r="Q1212" s="16"/>
      <c r="R1212" s="16"/>
      <c r="S1212" s="16"/>
      <c r="T1212" s="16"/>
      <c r="U1212" s="16"/>
      <c r="V1212" s="16"/>
      <c r="W1212" s="16"/>
      <c r="X1212" s="16"/>
      <c r="Y1212" s="16"/>
    </row>
    <row r="1213" spans="1:25" x14ac:dyDescent="0.2">
      <c r="A1213" s="14"/>
      <c r="B1213" s="6"/>
      <c r="C1213" s="6"/>
      <c r="D1213" s="16"/>
      <c r="E1213" s="6"/>
      <c r="F1213" s="16"/>
      <c r="G1213" s="6"/>
      <c r="H1213" s="16"/>
      <c r="I1213" s="16"/>
      <c r="J1213" s="16"/>
      <c r="K1213" s="16"/>
      <c r="L1213" s="16"/>
      <c r="M1213" s="16"/>
      <c r="N1213" s="16"/>
      <c r="O1213" s="16"/>
      <c r="P1213" s="16"/>
      <c r="Q1213" s="16"/>
      <c r="R1213" s="16"/>
      <c r="S1213" s="16"/>
      <c r="T1213" s="16"/>
      <c r="U1213" s="16"/>
      <c r="V1213" s="16"/>
      <c r="W1213" s="16"/>
      <c r="X1213" s="16"/>
      <c r="Y1213" s="16"/>
    </row>
  </sheetData>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370831FD-E8CB-4FE2-A937-9C57F4B2F7A8}">
          <x14:formula1>
            <xm:f>LookUp!$A$2:$A$158</xm:f>
          </x14:formula1>
          <xm:sqref>D1:D1048576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E9"/>
  <sheetViews>
    <sheetView workbookViewId="0"/>
  </sheetViews>
  <sheetFormatPr defaultColWidth="12.6640625" defaultRowHeight="15.75" customHeight="1" x14ac:dyDescent="0.2"/>
  <cols>
    <col min="3" max="3" width="18.77734375" customWidth="1"/>
    <col min="8" max="8" width="17.21875" customWidth="1"/>
    <col min="9" max="9" width="27.6640625" customWidth="1"/>
  </cols>
  <sheetData>
    <row r="1" spans="1:31" x14ac:dyDescent="0.2">
      <c r="A1" s="2" t="s">
        <v>1</v>
      </c>
      <c r="B1" s="2" t="s">
        <v>2</v>
      </c>
      <c r="C1" s="4" t="s">
        <v>4</v>
      </c>
      <c r="D1" s="2" t="s">
        <v>6</v>
      </c>
      <c r="E1" s="2" t="s">
        <v>8</v>
      </c>
      <c r="F1" s="1" t="s">
        <v>10</v>
      </c>
      <c r="G1" s="1" t="s">
        <v>8</v>
      </c>
      <c r="H1" s="1" t="s">
        <v>14</v>
      </c>
      <c r="I1" s="8" t="s">
        <v>18</v>
      </c>
      <c r="J1" s="2" t="s">
        <v>19</v>
      </c>
      <c r="K1" s="2" t="s">
        <v>22</v>
      </c>
      <c r="L1" s="2" t="s">
        <v>23</v>
      </c>
      <c r="M1" s="1" t="s">
        <v>24</v>
      </c>
      <c r="N1" s="2" t="s">
        <v>25</v>
      </c>
      <c r="O1" s="11" t="s">
        <v>26</v>
      </c>
      <c r="P1" s="11" t="s">
        <v>27</v>
      </c>
      <c r="Q1" s="12"/>
      <c r="R1" s="12"/>
      <c r="S1" s="12"/>
      <c r="T1" s="12"/>
      <c r="U1" s="12"/>
      <c r="V1" s="12"/>
      <c r="W1" s="12"/>
      <c r="X1" s="12"/>
      <c r="Y1" s="12"/>
      <c r="Z1" s="12"/>
      <c r="AA1" s="12"/>
      <c r="AB1" s="12"/>
      <c r="AC1" s="12"/>
      <c r="AD1" s="12"/>
      <c r="AE1" s="12"/>
    </row>
    <row r="2" spans="1:31" x14ac:dyDescent="0.2">
      <c r="A2" s="6" t="s">
        <v>69</v>
      </c>
      <c r="B2" s="6" t="s">
        <v>70</v>
      </c>
      <c r="C2" s="20" t="s">
        <v>76</v>
      </c>
      <c r="D2" s="6" t="s">
        <v>80</v>
      </c>
      <c r="E2" s="6"/>
      <c r="F2" s="6" t="s">
        <v>82</v>
      </c>
      <c r="G2" s="6" t="s">
        <v>84</v>
      </c>
      <c r="H2" s="6" t="str">
        <f t="shared" ref="H2:H9" si="0">CONCATENATE(F2," (",G2,")")</f>
        <v>NANNY 
THE PLANTER'S WIFE (P15
P45)</v>
      </c>
      <c r="I2" s="6" t="s">
        <v>96</v>
      </c>
      <c r="J2" s="6" t="s">
        <v>97</v>
      </c>
      <c r="K2" s="6"/>
      <c r="L2" s="6" t="s">
        <v>99</v>
      </c>
      <c r="M2" s="6" t="str">
        <f>VLOOKUP(L2, GLOSSARY!$A:$C, 2, FALSE)</f>
        <v>PARADISE ESTATE</v>
      </c>
      <c r="N2" s="6" t="s">
        <v>68</v>
      </c>
      <c r="O2" s="6"/>
      <c r="P2" s="6"/>
      <c r="Q2" s="6"/>
      <c r="R2" s="6"/>
      <c r="S2" s="6"/>
      <c r="T2" s="6"/>
      <c r="U2" s="6"/>
      <c r="V2" s="6"/>
      <c r="W2" s="6"/>
      <c r="X2" s="6"/>
      <c r="Y2" s="6"/>
      <c r="Z2" s="6"/>
      <c r="AA2" s="6"/>
      <c r="AB2" s="6"/>
      <c r="AC2" s="6"/>
      <c r="AD2" s="6"/>
      <c r="AE2" s="6"/>
    </row>
    <row r="3" spans="1:31" x14ac:dyDescent="0.2">
      <c r="A3" s="18" t="s">
        <v>69</v>
      </c>
      <c r="B3" s="18" t="s">
        <v>122</v>
      </c>
      <c r="C3" s="19" t="s">
        <v>126</v>
      </c>
      <c r="D3" s="18" t="s">
        <v>127</v>
      </c>
      <c r="E3" s="18" t="s">
        <v>130</v>
      </c>
      <c r="F3" s="18" t="s">
        <v>131</v>
      </c>
      <c r="G3" s="18" t="s">
        <v>132</v>
      </c>
      <c r="H3" s="18" t="str">
        <f t="shared" si="0"/>
        <v>MOLIA
JULINA (P1
P4)</v>
      </c>
      <c r="I3" s="18" t="s">
        <v>96</v>
      </c>
      <c r="J3" s="18" t="s">
        <v>35</v>
      </c>
      <c r="K3" s="18" t="s">
        <v>136</v>
      </c>
      <c r="L3" s="18" t="s">
        <v>140</v>
      </c>
      <c r="M3" s="18" t="e">
        <f>VLOOKUP(L3, GLOSSARY!$A:$C, 2, FALSE)</f>
        <v>#N/A</v>
      </c>
      <c r="N3" s="18" t="s">
        <v>68</v>
      </c>
      <c r="O3" s="18"/>
      <c r="P3" s="18"/>
      <c r="Q3" s="18"/>
      <c r="R3" s="18"/>
      <c r="S3" s="18"/>
      <c r="T3" s="18"/>
      <c r="U3" s="18"/>
      <c r="V3" s="18"/>
      <c r="W3" s="18"/>
      <c r="X3" s="18"/>
      <c r="Y3" s="18"/>
      <c r="Z3" s="18"/>
      <c r="AA3" s="18"/>
      <c r="AB3" s="18"/>
      <c r="AC3" s="18"/>
      <c r="AD3" s="18"/>
      <c r="AE3" s="18"/>
    </row>
    <row r="4" spans="1:31" x14ac:dyDescent="0.2">
      <c r="A4" s="6" t="s">
        <v>69</v>
      </c>
      <c r="B4" s="6" t="s">
        <v>146</v>
      </c>
      <c r="C4" s="20" t="s">
        <v>148</v>
      </c>
      <c r="D4" s="6" t="s">
        <v>152</v>
      </c>
      <c r="E4" s="6"/>
      <c r="F4" s="6" t="s">
        <v>157</v>
      </c>
      <c r="G4" s="6" t="s">
        <v>159</v>
      </c>
      <c r="H4" s="6" t="str">
        <f t="shared" si="0"/>
        <v>OGO
LITTLE LUCY (P13
P14)</v>
      </c>
      <c r="I4" s="6" t="s">
        <v>96</v>
      </c>
      <c r="J4" s="6"/>
      <c r="K4" s="6"/>
      <c r="L4" s="6" t="s">
        <v>99</v>
      </c>
      <c r="M4" s="6" t="str">
        <f>VLOOKUP(L4, GLOSSARY!$A:$C, 2, FALSE)</f>
        <v>PARADISE ESTATE</v>
      </c>
      <c r="N4" s="6" t="s">
        <v>167</v>
      </c>
      <c r="O4" s="6"/>
      <c r="P4" s="6"/>
      <c r="Q4" s="6"/>
      <c r="R4" s="6"/>
      <c r="S4" s="6"/>
      <c r="T4" s="6"/>
      <c r="U4" s="6"/>
      <c r="V4" s="6"/>
      <c r="W4" s="6"/>
      <c r="X4" s="6"/>
      <c r="Y4" s="6"/>
      <c r="Z4" s="6"/>
      <c r="AA4" s="6"/>
      <c r="AB4" s="6"/>
      <c r="AC4" s="6"/>
      <c r="AD4" s="6"/>
      <c r="AE4" s="6"/>
    </row>
    <row r="5" spans="1:31" x14ac:dyDescent="0.2">
      <c r="A5" s="6" t="s">
        <v>69</v>
      </c>
      <c r="B5" s="6" t="s">
        <v>177</v>
      </c>
      <c r="C5" s="20" t="s">
        <v>178</v>
      </c>
      <c r="D5" s="6" t="s">
        <v>179</v>
      </c>
      <c r="E5" s="6" t="s">
        <v>180</v>
      </c>
      <c r="F5" s="6" t="s">
        <v>182</v>
      </c>
      <c r="G5" s="6" t="s">
        <v>187</v>
      </c>
      <c r="H5" s="18" t="str">
        <f t="shared" si="0"/>
        <v>MOLIA
SILVIA (P1
P2)</v>
      </c>
      <c r="I5" s="6" t="s">
        <v>96</v>
      </c>
      <c r="J5" s="6" t="s">
        <v>35</v>
      </c>
      <c r="K5" s="6" t="s">
        <v>141</v>
      </c>
      <c r="L5" s="6" t="s">
        <v>99</v>
      </c>
      <c r="M5" s="18" t="str">
        <f>VLOOKUP(L5, GLOSSARY!$A:$C, 2, FALSE)</f>
        <v>PARADISE ESTATE</v>
      </c>
      <c r="N5" s="6" t="s">
        <v>167</v>
      </c>
      <c r="O5" s="6"/>
      <c r="P5" s="6"/>
      <c r="Q5" s="6"/>
      <c r="R5" s="6"/>
      <c r="S5" s="6"/>
      <c r="T5" s="6"/>
      <c r="U5" s="6"/>
      <c r="V5" s="6"/>
      <c r="W5" s="6"/>
      <c r="X5" s="6"/>
      <c r="Y5" s="6"/>
      <c r="Z5" s="6"/>
      <c r="AA5" s="6"/>
      <c r="AB5" s="6"/>
      <c r="AC5" s="6"/>
      <c r="AD5" s="6"/>
      <c r="AE5" s="6"/>
    </row>
    <row r="6" spans="1:31" x14ac:dyDescent="0.2">
      <c r="A6" s="6" t="s">
        <v>69</v>
      </c>
      <c r="B6" s="6" t="s">
        <v>199</v>
      </c>
      <c r="C6" s="20" t="s">
        <v>200</v>
      </c>
      <c r="D6" s="6" t="s">
        <v>203</v>
      </c>
      <c r="E6" s="6" t="s">
        <v>206</v>
      </c>
      <c r="F6" s="6" t="s">
        <v>208</v>
      </c>
      <c r="G6" s="6" t="s">
        <v>210</v>
      </c>
      <c r="H6" s="18" t="str">
        <f t="shared" si="0"/>
        <v>MOLIA
OGO (P1
P13)</v>
      </c>
      <c r="I6" s="6" t="s">
        <v>96</v>
      </c>
      <c r="J6" s="6" t="s">
        <v>213</v>
      </c>
      <c r="K6" s="6" t="s">
        <v>141</v>
      </c>
      <c r="L6" s="6" t="s">
        <v>99</v>
      </c>
      <c r="M6" s="18" t="str">
        <f>VLOOKUP(L6, GLOSSARY!$A:$C, 2, FALSE)</f>
        <v>PARADISE ESTATE</v>
      </c>
      <c r="N6" s="6" t="s">
        <v>68</v>
      </c>
      <c r="O6" s="6"/>
      <c r="P6" s="6"/>
      <c r="Q6" s="6"/>
      <c r="R6" s="6"/>
      <c r="S6" s="6"/>
      <c r="T6" s="6"/>
      <c r="U6" s="6"/>
      <c r="V6" s="6"/>
      <c r="W6" s="6"/>
      <c r="X6" s="6"/>
      <c r="Y6" s="6"/>
      <c r="Z6" s="6"/>
      <c r="AA6" s="6"/>
      <c r="AB6" s="6"/>
      <c r="AC6" s="6"/>
      <c r="AD6" s="6"/>
      <c r="AE6" s="6"/>
    </row>
    <row r="7" spans="1:31" x14ac:dyDescent="0.2">
      <c r="A7" s="6" t="s">
        <v>69</v>
      </c>
      <c r="B7" s="6" t="s">
        <v>223</v>
      </c>
      <c r="C7" s="20" t="s">
        <v>225</v>
      </c>
      <c r="D7" s="6" t="s">
        <v>226</v>
      </c>
      <c r="E7" s="6"/>
      <c r="F7" s="6" t="s">
        <v>157</v>
      </c>
      <c r="G7" s="6" t="s">
        <v>159</v>
      </c>
      <c r="H7" s="6" t="str">
        <f t="shared" si="0"/>
        <v>OGO
LITTLE LUCY (P13
P14)</v>
      </c>
      <c r="I7" s="6" t="s">
        <v>96</v>
      </c>
      <c r="J7" s="6"/>
      <c r="K7" s="6"/>
      <c r="L7" s="6" t="s">
        <v>230</v>
      </c>
      <c r="M7" s="6" t="s">
        <v>232</v>
      </c>
      <c r="N7" s="6" t="s">
        <v>68</v>
      </c>
      <c r="O7" s="6"/>
      <c r="P7" s="6"/>
      <c r="Q7" s="6"/>
      <c r="R7" s="6"/>
      <c r="S7" s="6"/>
      <c r="T7" s="6"/>
      <c r="U7" s="6"/>
      <c r="V7" s="6"/>
      <c r="W7" s="6"/>
      <c r="X7" s="6"/>
      <c r="Y7" s="6"/>
      <c r="Z7" s="6"/>
      <c r="AA7" s="6"/>
      <c r="AB7" s="6"/>
      <c r="AC7" s="6"/>
      <c r="AD7" s="6"/>
      <c r="AE7" s="6"/>
    </row>
    <row r="8" spans="1:31" x14ac:dyDescent="0.2">
      <c r="A8" s="6" t="s">
        <v>69</v>
      </c>
      <c r="B8" s="6" t="s">
        <v>238</v>
      </c>
      <c r="C8" s="20" t="s">
        <v>239</v>
      </c>
      <c r="D8" s="6" t="s">
        <v>240</v>
      </c>
      <c r="E8" s="6" t="s">
        <v>241</v>
      </c>
      <c r="F8" s="6" t="s">
        <v>29</v>
      </c>
      <c r="G8" s="6" t="s">
        <v>28</v>
      </c>
      <c r="H8" s="18" t="str">
        <f t="shared" si="0"/>
        <v>MOLIA (P1)</v>
      </c>
      <c r="I8" s="6" t="s">
        <v>96</v>
      </c>
      <c r="J8" s="6" t="s">
        <v>35</v>
      </c>
      <c r="K8" s="6" t="s">
        <v>207</v>
      </c>
      <c r="L8" s="6" t="s">
        <v>209</v>
      </c>
      <c r="M8" s="18" t="str">
        <f>VLOOKUP(L8, GLOSSARY!$A:$C, 2, FALSE)</f>
        <v>BREADNUT ISLAND PEN</v>
      </c>
      <c r="N8" s="6" t="s">
        <v>68</v>
      </c>
      <c r="O8" s="6"/>
      <c r="P8" s="6"/>
      <c r="Q8" s="6"/>
      <c r="R8" s="6"/>
      <c r="S8" s="6"/>
      <c r="T8" s="6"/>
      <c r="U8" s="6"/>
      <c r="V8" s="6"/>
      <c r="W8" s="6"/>
      <c r="X8" s="6"/>
      <c r="Y8" s="6"/>
      <c r="Z8" s="6"/>
      <c r="AA8" s="6"/>
      <c r="AB8" s="6"/>
      <c r="AC8" s="6"/>
      <c r="AD8" s="6"/>
      <c r="AE8" s="6"/>
    </row>
    <row r="9" spans="1:31" x14ac:dyDescent="0.2">
      <c r="A9" s="6" t="s">
        <v>69</v>
      </c>
      <c r="B9" s="6" t="s">
        <v>253</v>
      </c>
      <c r="C9" s="25" t="s">
        <v>258</v>
      </c>
      <c r="D9" s="6" t="s">
        <v>261</v>
      </c>
      <c r="E9" s="6" t="s">
        <v>263</v>
      </c>
      <c r="F9" s="6" t="s">
        <v>263</v>
      </c>
      <c r="G9" s="26" t="s">
        <v>266</v>
      </c>
      <c r="H9" s="18" t="str">
        <f t="shared" si="0"/>
        <v>PARADISE QUASHEBA
MOLIA
OGO
NANNY (P18
P1
 P13 
P15)</v>
      </c>
      <c r="I9" s="6" t="s">
        <v>96</v>
      </c>
      <c r="J9" s="6" t="s">
        <v>213</v>
      </c>
      <c r="K9" s="6" t="s">
        <v>207</v>
      </c>
      <c r="L9" s="6" t="s">
        <v>209</v>
      </c>
      <c r="M9" s="18" t="str">
        <f>VLOOKUP(L9, GLOSSARY!$A:$C, 2, FALSE)</f>
        <v>BREADNUT ISLAND PEN</v>
      </c>
      <c r="N9" s="6" t="s">
        <v>68</v>
      </c>
      <c r="O9" s="6"/>
      <c r="P9" s="6"/>
      <c r="Q9" s="6"/>
      <c r="R9" s="6"/>
      <c r="S9" s="6"/>
      <c r="T9" s="6"/>
      <c r="U9" s="6"/>
      <c r="V9" s="6"/>
      <c r="W9" s="6"/>
      <c r="X9" s="6"/>
      <c r="Y9" s="6"/>
      <c r="Z9" s="6"/>
      <c r="AA9" s="6"/>
      <c r="AB9" s="6"/>
      <c r="AC9" s="6"/>
      <c r="AD9" s="6"/>
      <c r="AE9" s="6"/>
    </row>
  </sheetData>
  <dataValidations count="1">
    <dataValidation type="list" allowBlank="1" showErrorMessage="1" sqref="I1:I9" xr:uid="{00000000-0002-0000-0300-000000000000}">
      <formula1>"HIGGLING/PROVISION,ESCAPE/TRUANCY,SEASONING,SALE,SCRAMBLE,PUNISHMENT/VIOLENCE,VISIT,ILLNESS,GARDENING/AGRICULTURE,PREGNANCY/BIRTH,HUSBANDRY/LIVESTOCK/FISHING,ANANSI,MYAL/OBEAH/RELIGION,SUICIDE,SCHOOL,LABOR,DEATH,CHILDCARE,INVENTORY/RECORDS,SEX,WEATHER,REB"&amp;"ELLION/UPRISING,MISCELLANEOUS,MAROONS/MARRONAGE,DOMESTIC RELATIONS(HIPS),GEOPHAGIA,FREEDOM/MANUMISSION,SUPPLY/LOAN/GIFT EXCHANGE,SPECIAL SKILL/TALENT,GEOGRAPHY/TERRAIN,RECREATION,FAMILY/KINSHIP,BRITAIN,SUPERSTITION,ASTRONOMY"</formula1>
    </dataValidation>
  </dataValidations>
  <pageMargins left="0.7" right="0.7" top="0.75" bottom="0.75" header="0.3" footer="0.3"/>
  <tableParts count="5">
    <tablePart r:id="rId1"/>
    <tablePart r:id="rId2"/>
    <tablePart r:id="rId3"/>
    <tablePart r:id="rId4"/>
    <tablePart r:id="rId5"/>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Y1047"/>
  <sheetViews>
    <sheetView workbookViewId="0">
      <selection activeCell="D3" sqref="D3"/>
    </sheetView>
  </sheetViews>
  <sheetFormatPr defaultColWidth="12.6640625" defaultRowHeight="15.75" customHeight="1" x14ac:dyDescent="0.2"/>
  <cols>
    <col min="1" max="1" width="14.109375" customWidth="1"/>
    <col min="2" max="2" width="16.44140625" customWidth="1"/>
    <col min="3" max="3" width="17.33203125" customWidth="1"/>
    <col min="4" max="4" width="29.77734375" customWidth="1"/>
    <col min="5" max="5" width="20.109375" customWidth="1"/>
    <col min="6" max="6" width="17.109375" customWidth="1"/>
  </cols>
  <sheetData>
    <row r="1" spans="1:25" x14ac:dyDescent="0.2">
      <c r="A1" s="3" t="s">
        <v>0</v>
      </c>
      <c r="B1" s="35" t="s">
        <v>3</v>
      </c>
      <c r="C1" s="5" t="s">
        <v>12</v>
      </c>
      <c r="D1" s="7" t="s">
        <v>17</v>
      </c>
      <c r="E1" s="5" t="s">
        <v>20</v>
      </c>
      <c r="F1" s="10"/>
      <c r="G1" s="10"/>
      <c r="H1" s="10"/>
      <c r="I1" s="10"/>
      <c r="J1" s="10"/>
      <c r="K1" s="10"/>
      <c r="L1" s="10"/>
      <c r="M1" s="10"/>
      <c r="N1" s="10"/>
      <c r="O1" s="10"/>
      <c r="P1" s="10"/>
      <c r="Q1" s="10"/>
      <c r="R1" s="10"/>
      <c r="S1" s="10"/>
      <c r="T1" s="10"/>
      <c r="U1" s="10"/>
      <c r="V1" s="10"/>
      <c r="W1" s="10"/>
      <c r="X1" s="10"/>
      <c r="Y1" s="10"/>
    </row>
    <row r="2" spans="1:25" x14ac:dyDescent="0.2">
      <c r="A2" s="14" t="s">
        <v>28</v>
      </c>
      <c r="B2" s="17" t="s">
        <v>506</v>
      </c>
      <c r="C2" s="15" t="s">
        <v>507</v>
      </c>
      <c r="D2" s="16" t="s">
        <v>508</v>
      </c>
      <c r="E2" s="15" t="s">
        <v>40</v>
      </c>
      <c r="F2" s="17" t="str">
        <f>VLOOKUP(E2,GLOSSARY!A:C,2,FALSE)</f>
        <v>SILVIA</v>
      </c>
      <c r="G2" s="17"/>
      <c r="H2" s="17"/>
      <c r="I2" s="17"/>
      <c r="J2" s="17"/>
      <c r="K2" s="17"/>
      <c r="L2" s="17"/>
      <c r="M2" s="17"/>
      <c r="N2" s="17"/>
      <c r="O2" s="17"/>
      <c r="P2" s="17"/>
      <c r="Q2" s="17"/>
      <c r="R2" s="17"/>
      <c r="S2" s="17"/>
      <c r="T2" s="17"/>
      <c r="U2" s="17"/>
      <c r="V2" s="17"/>
      <c r="W2" s="17"/>
      <c r="X2" s="17"/>
      <c r="Y2" s="17"/>
    </row>
    <row r="3" spans="1:25" x14ac:dyDescent="0.2">
      <c r="A3" s="14" t="s">
        <v>28</v>
      </c>
      <c r="B3" s="17" t="s">
        <v>506</v>
      </c>
      <c r="C3" s="15" t="s">
        <v>507</v>
      </c>
      <c r="D3" s="16" t="s">
        <v>522</v>
      </c>
      <c r="E3" s="6" t="s">
        <v>58</v>
      </c>
      <c r="F3" s="17" t="str">
        <f>VLOOKUP(E3,GLOSSARY!A:C,2,FALSE)</f>
        <v>PEGGY</v>
      </c>
      <c r="G3" s="16"/>
      <c r="H3" s="16"/>
      <c r="I3" s="16"/>
      <c r="J3" s="16"/>
      <c r="K3" s="16"/>
      <c r="L3" s="16"/>
      <c r="M3" s="16"/>
      <c r="N3" s="16"/>
      <c r="O3" s="16"/>
      <c r="P3" s="16"/>
      <c r="Q3" s="16"/>
      <c r="R3" s="16"/>
      <c r="S3" s="16"/>
      <c r="T3" s="16"/>
      <c r="U3" s="16"/>
      <c r="V3" s="16"/>
      <c r="W3" s="16"/>
      <c r="X3" s="16"/>
      <c r="Y3" s="16"/>
    </row>
    <row r="4" spans="1:25" x14ac:dyDescent="0.2">
      <c r="A4" s="14" t="s">
        <v>28</v>
      </c>
      <c r="B4" s="17" t="s">
        <v>506</v>
      </c>
      <c r="C4" s="15" t="s">
        <v>507</v>
      </c>
      <c r="D4" s="16" t="s">
        <v>72</v>
      </c>
      <c r="E4" s="6" t="s">
        <v>73</v>
      </c>
      <c r="F4" s="17" t="str">
        <f>VLOOKUP(E4,GLOSSARY!A:C,2,FALSE)</f>
        <v>SHIPMATE</v>
      </c>
      <c r="G4" s="16"/>
      <c r="H4" s="16"/>
      <c r="I4" s="16"/>
      <c r="J4" s="16"/>
      <c r="K4" s="16"/>
      <c r="L4" s="16"/>
      <c r="M4" s="16"/>
      <c r="N4" s="16"/>
      <c r="O4" s="16"/>
      <c r="P4" s="16"/>
      <c r="Q4" s="16"/>
      <c r="R4" s="16"/>
      <c r="S4" s="16"/>
      <c r="T4" s="16"/>
      <c r="U4" s="16"/>
      <c r="V4" s="16"/>
      <c r="W4" s="16"/>
      <c r="X4" s="16"/>
      <c r="Y4" s="16"/>
    </row>
    <row r="5" spans="1:25" x14ac:dyDescent="0.2">
      <c r="A5" s="14" t="s">
        <v>28</v>
      </c>
      <c r="B5" s="17" t="s">
        <v>506</v>
      </c>
      <c r="C5" s="15" t="s">
        <v>507</v>
      </c>
      <c r="D5" s="16" t="s">
        <v>539</v>
      </c>
      <c r="E5" s="6" t="s">
        <v>88</v>
      </c>
      <c r="F5" s="17" t="str">
        <f>VLOOKUP(E5,GLOSSARY!A:C,2,FALSE)</f>
        <v>OGO</v>
      </c>
      <c r="G5" s="16"/>
      <c r="H5" s="16"/>
      <c r="I5" s="16"/>
      <c r="J5" s="16"/>
      <c r="K5" s="16"/>
      <c r="L5" s="16"/>
      <c r="M5" s="16"/>
      <c r="N5" s="16"/>
      <c r="O5" s="16"/>
      <c r="P5" s="16"/>
      <c r="Q5" s="16"/>
      <c r="R5" s="16"/>
      <c r="S5" s="16"/>
      <c r="T5" s="16"/>
      <c r="U5" s="16"/>
      <c r="V5" s="16"/>
      <c r="W5" s="16"/>
      <c r="X5" s="16"/>
      <c r="Y5" s="16"/>
    </row>
    <row r="6" spans="1:25" x14ac:dyDescent="0.2">
      <c r="A6" s="14" t="s">
        <v>28</v>
      </c>
      <c r="B6" s="17" t="s">
        <v>506</v>
      </c>
      <c r="C6" s="15" t="s">
        <v>507</v>
      </c>
      <c r="D6" s="16" t="s">
        <v>547</v>
      </c>
      <c r="E6" s="6" t="s">
        <v>89</v>
      </c>
      <c r="F6" s="17" t="str">
        <f>VLOOKUP(E6,GLOSSARY!A:C,2,FALSE)</f>
        <v>ABBA</v>
      </c>
      <c r="G6" s="16"/>
      <c r="H6" s="16"/>
      <c r="I6" s="16"/>
      <c r="J6" s="16"/>
      <c r="K6" s="16"/>
      <c r="L6" s="16"/>
      <c r="M6" s="16"/>
      <c r="N6" s="16"/>
      <c r="O6" s="16"/>
      <c r="P6" s="16"/>
      <c r="Q6" s="16"/>
      <c r="R6" s="16"/>
      <c r="S6" s="16"/>
      <c r="T6" s="16"/>
      <c r="U6" s="16"/>
      <c r="V6" s="16"/>
      <c r="W6" s="16"/>
      <c r="X6" s="16"/>
      <c r="Y6" s="16"/>
    </row>
    <row r="7" spans="1:25" x14ac:dyDescent="0.2">
      <c r="A7" s="14" t="s">
        <v>28</v>
      </c>
      <c r="B7" s="17" t="s">
        <v>506</v>
      </c>
      <c r="C7" s="15" t="s">
        <v>507</v>
      </c>
      <c r="D7" s="16" t="s">
        <v>115</v>
      </c>
      <c r="E7" s="6"/>
      <c r="F7" s="17"/>
      <c r="G7" s="16"/>
      <c r="H7" s="16"/>
      <c r="I7" s="16"/>
      <c r="J7" s="16"/>
      <c r="K7" s="16"/>
      <c r="L7" s="16"/>
      <c r="M7" s="16"/>
      <c r="N7" s="16"/>
      <c r="O7" s="16"/>
      <c r="P7" s="16"/>
      <c r="Q7" s="16"/>
      <c r="R7" s="16"/>
      <c r="S7" s="16"/>
      <c r="T7" s="16"/>
      <c r="U7" s="16"/>
      <c r="V7" s="16"/>
      <c r="W7" s="16"/>
      <c r="X7" s="16"/>
      <c r="Y7" s="16"/>
    </row>
    <row r="8" spans="1:25" x14ac:dyDescent="0.2">
      <c r="A8" s="21"/>
      <c r="B8" s="23"/>
      <c r="C8" s="22"/>
      <c r="D8" s="16"/>
      <c r="E8" s="22"/>
      <c r="F8" s="22"/>
      <c r="G8" s="23"/>
      <c r="H8" s="23"/>
      <c r="I8" s="23"/>
      <c r="J8" s="23"/>
      <c r="K8" s="23"/>
      <c r="L8" s="23"/>
      <c r="M8" s="23"/>
      <c r="N8" s="23"/>
      <c r="O8" s="23"/>
      <c r="P8" s="23"/>
      <c r="Q8" s="23"/>
      <c r="R8" s="23"/>
      <c r="S8" s="23"/>
      <c r="T8" s="23"/>
      <c r="U8" s="23"/>
      <c r="V8" s="23"/>
      <c r="W8" s="23"/>
      <c r="X8" s="23"/>
      <c r="Y8" s="23"/>
    </row>
    <row r="9" spans="1:25" x14ac:dyDescent="0.2">
      <c r="A9" s="14" t="s">
        <v>40</v>
      </c>
      <c r="B9" s="16" t="s">
        <v>566</v>
      </c>
      <c r="C9" s="6"/>
      <c r="D9" s="16" t="s">
        <v>568</v>
      </c>
      <c r="E9" s="6" t="s">
        <v>28</v>
      </c>
      <c r="F9" s="17" t="str">
        <f>VLOOKUP(E9,GLOSSARY!A:C,2,FALSE)</f>
        <v>MOLIA</v>
      </c>
      <c r="G9" s="16"/>
      <c r="H9" s="16"/>
      <c r="I9" s="16"/>
      <c r="J9" s="16"/>
      <c r="K9" s="16"/>
      <c r="L9" s="16"/>
      <c r="M9" s="16"/>
      <c r="N9" s="16"/>
      <c r="O9" s="16"/>
      <c r="P9" s="16"/>
      <c r="Q9" s="16"/>
      <c r="R9" s="16"/>
      <c r="S9" s="16"/>
      <c r="T9" s="16"/>
      <c r="U9" s="16"/>
      <c r="V9" s="16"/>
      <c r="W9" s="16"/>
      <c r="X9" s="16"/>
      <c r="Y9" s="16"/>
    </row>
    <row r="10" spans="1:25" x14ac:dyDescent="0.2">
      <c r="A10" s="21"/>
      <c r="B10" s="23"/>
      <c r="C10" s="22"/>
      <c r="D10" s="23"/>
      <c r="E10" s="22"/>
      <c r="F10" s="22"/>
      <c r="G10" s="23"/>
      <c r="H10" s="23"/>
      <c r="I10" s="23"/>
      <c r="J10" s="23"/>
      <c r="K10" s="23"/>
      <c r="L10" s="23"/>
      <c r="M10" s="23"/>
      <c r="N10" s="23"/>
      <c r="O10" s="23"/>
      <c r="P10" s="23"/>
      <c r="Q10" s="23"/>
      <c r="R10" s="23"/>
      <c r="S10" s="23"/>
      <c r="T10" s="23"/>
      <c r="U10" s="23"/>
      <c r="V10" s="23"/>
      <c r="W10" s="23"/>
      <c r="X10" s="23"/>
      <c r="Y10" s="23"/>
    </row>
    <row r="11" spans="1:25" x14ac:dyDescent="0.2">
      <c r="A11" s="14" t="s">
        <v>51</v>
      </c>
      <c r="B11" s="16" t="s">
        <v>577</v>
      </c>
      <c r="C11" s="6"/>
      <c r="D11" s="16" t="s">
        <v>508</v>
      </c>
      <c r="E11" s="6" t="s">
        <v>64</v>
      </c>
      <c r="F11" s="17" t="str">
        <f>VLOOKUP(E11,GLOSSARY!A:C,2,FALSE)</f>
        <v>JULINA</v>
      </c>
      <c r="G11" s="16"/>
      <c r="H11" s="16"/>
      <c r="I11" s="16"/>
      <c r="J11" s="16"/>
      <c r="K11" s="16"/>
      <c r="L11" s="16"/>
      <c r="M11" s="16"/>
      <c r="N11" s="16"/>
      <c r="O11" s="16"/>
      <c r="P11" s="16"/>
      <c r="Q11" s="16"/>
      <c r="R11" s="16"/>
      <c r="S11" s="16"/>
      <c r="T11" s="16"/>
      <c r="U11" s="16"/>
      <c r="V11" s="16"/>
      <c r="W11" s="16"/>
      <c r="X11" s="16"/>
      <c r="Y11" s="16"/>
    </row>
    <row r="12" spans="1:25" x14ac:dyDescent="0.2">
      <c r="A12" s="14" t="s">
        <v>51</v>
      </c>
      <c r="B12" s="16" t="s">
        <v>577</v>
      </c>
      <c r="C12" s="6"/>
      <c r="D12" s="16" t="s">
        <v>508</v>
      </c>
      <c r="E12" s="6" t="s">
        <v>74</v>
      </c>
      <c r="F12" s="17" t="str">
        <f>VLOOKUP(E12,GLOSSARY!A:C,2,FALSE)</f>
        <v>LITTLE QUASHE</v>
      </c>
      <c r="G12" s="16"/>
      <c r="H12" s="16"/>
      <c r="I12" s="16"/>
      <c r="J12" s="16"/>
      <c r="K12" s="16"/>
      <c r="L12" s="16"/>
      <c r="M12" s="16"/>
      <c r="N12" s="16"/>
      <c r="O12" s="16"/>
      <c r="P12" s="16"/>
      <c r="Q12" s="16"/>
      <c r="R12" s="16"/>
      <c r="S12" s="16"/>
      <c r="T12" s="16"/>
      <c r="U12" s="16"/>
      <c r="V12" s="16"/>
      <c r="W12" s="16"/>
      <c r="X12" s="16"/>
      <c r="Y12" s="16"/>
    </row>
    <row r="13" spans="1:25" x14ac:dyDescent="0.2">
      <c r="A13" s="14" t="s">
        <v>51</v>
      </c>
      <c r="B13" s="16" t="s">
        <v>577</v>
      </c>
      <c r="C13" s="6"/>
      <c r="D13" s="16" t="s">
        <v>593</v>
      </c>
      <c r="E13" s="6" t="s">
        <v>100</v>
      </c>
      <c r="F13" s="17" t="str">
        <f>VLOOKUP(E13,GLOSSARY!A:C,2,FALSE)</f>
        <v>PHIBBAH</v>
      </c>
      <c r="G13" s="16"/>
      <c r="H13" s="16"/>
      <c r="I13" s="16"/>
      <c r="J13" s="16"/>
      <c r="K13" s="16"/>
      <c r="L13" s="16"/>
      <c r="M13" s="16"/>
      <c r="N13" s="16"/>
      <c r="O13" s="16"/>
      <c r="P13" s="16"/>
      <c r="Q13" s="16"/>
      <c r="R13" s="16"/>
      <c r="S13" s="16"/>
      <c r="T13" s="16"/>
      <c r="U13" s="16"/>
      <c r="V13" s="16"/>
      <c r="W13" s="16"/>
      <c r="X13" s="16"/>
      <c r="Y13" s="16"/>
    </row>
    <row r="14" spans="1:25" x14ac:dyDescent="0.2">
      <c r="A14" s="14" t="s">
        <v>51</v>
      </c>
      <c r="B14" s="16" t="s">
        <v>577</v>
      </c>
      <c r="C14" s="6"/>
      <c r="D14" s="16" t="s">
        <v>593</v>
      </c>
      <c r="E14" s="6" t="s">
        <v>113</v>
      </c>
      <c r="F14" s="17" t="str">
        <f>VLOOKUP(E14,GLOSSARY!A:C,2,FALSE)</f>
        <v>NANCY</v>
      </c>
      <c r="G14" s="16"/>
      <c r="H14" s="16"/>
      <c r="I14" s="16"/>
      <c r="J14" s="16"/>
      <c r="K14" s="16"/>
      <c r="L14" s="16"/>
      <c r="M14" s="16"/>
      <c r="N14" s="16"/>
      <c r="O14" s="16"/>
      <c r="P14" s="16"/>
      <c r="Q14" s="16"/>
      <c r="R14" s="16"/>
      <c r="S14" s="16"/>
      <c r="T14" s="16"/>
      <c r="U14" s="16"/>
      <c r="V14" s="16"/>
      <c r="W14" s="16"/>
      <c r="X14" s="16"/>
      <c r="Y14" s="16"/>
    </row>
    <row r="15" spans="1:25" x14ac:dyDescent="0.2">
      <c r="A15" s="14" t="s">
        <v>51</v>
      </c>
      <c r="B15" s="16" t="s">
        <v>577</v>
      </c>
      <c r="C15" s="6"/>
      <c r="D15" s="16" t="s">
        <v>593</v>
      </c>
      <c r="E15" s="6" t="s">
        <v>135</v>
      </c>
      <c r="F15" s="17" t="str">
        <f>VLOOKUP(E15,GLOSSARY!A:C,2,FALSE)</f>
        <v>HOUSE FRANKE</v>
      </c>
      <c r="G15" s="16"/>
      <c r="H15" s="16"/>
      <c r="I15" s="16"/>
      <c r="J15" s="16"/>
      <c r="K15" s="16"/>
      <c r="L15" s="16"/>
      <c r="M15" s="16"/>
      <c r="N15" s="16"/>
      <c r="O15" s="16"/>
      <c r="P15" s="16"/>
      <c r="Q15" s="16"/>
      <c r="R15" s="16"/>
      <c r="S15" s="16"/>
      <c r="T15" s="16"/>
      <c r="U15" s="16"/>
      <c r="V15" s="16"/>
      <c r="W15" s="16"/>
      <c r="X15" s="16"/>
      <c r="Y15" s="16"/>
    </row>
    <row r="16" spans="1:25" x14ac:dyDescent="0.2">
      <c r="A16" s="14" t="s">
        <v>51</v>
      </c>
      <c r="B16" s="16" t="s">
        <v>577</v>
      </c>
      <c r="C16" s="6"/>
      <c r="D16" s="16" t="s">
        <v>593</v>
      </c>
      <c r="E16" s="6" t="s">
        <v>150</v>
      </c>
      <c r="F16" s="17" t="str">
        <f>VLOOKUP(E16,GLOSSARY!A:C,2,FALSE)</f>
        <v>VINE</v>
      </c>
      <c r="G16" s="16"/>
      <c r="H16" s="16"/>
      <c r="I16" s="16"/>
      <c r="J16" s="16"/>
      <c r="K16" s="16"/>
      <c r="L16" s="16"/>
      <c r="M16" s="16"/>
      <c r="N16" s="16"/>
      <c r="O16" s="16"/>
      <c r="P16" s="16"/>
      <c r="Q16" s="16"/>
      <c r="R16" s="16"/>
      <c r="S16" s="16"/>
      <c r="T16" s="16"/>
      <c r="U16" s="16"/>
      <c r="V16" s="16"/>
      <c r="W16" s="16"/>
      <c r="X16" s="16"/>
      <c r="Y16" s="16"/>
    </row>
    <row r="17" spans="1:25" x14ac:dyDescent="0.2">
      <c r="A17" s="14" t="s">
        <v>51</v>
      </c>
      <c r="B17" s="16" t="s">
        <v>577</v>
      </c>
      <c r="C17" s="6"/>
      <c r="D17" s="16" t="s">
        <v>626</v>
      </c>
      <c r="E17" s="6" t="s">
        <v>100</v>
      </c>
      <c r="F17" s="17" t="str">
        <f>VLOOKUP(E17,GLOSSARY!A:C,2,FALSE)</f>
        <v>PHIBBAH</v>
      </c>
      <c r="G17" s="16"/>
      <c r="H17" s="16"/>
      <c r="I17" s="16"/>
      <c r="J17" s="16"/>
      <c r="K17" s="16"/>
      <c r="L17" s="16"/>
      <c r="M17" s="16"/>
      <c r="N17" s="16"/>
      <c r="O17" s="16"/>
      <c r="P17" s="16"/>
      <c r="Q17" s="16"/>
      <c r="R17" s="16"/>
      <c r="S17" s="16"/>
      <c r="T17" s="16"/>
      <c r="U17" s="16"/>
      <c r="V17" s="16"/>
      <c r="W17" s="16"/>
      <c r="X17" s="16"/>
      <c r="Y17" s="16"/>
    </row>
    <row r="18" spans="1:25" x14ac:dyDescent="0.2">
      <c r="A18" s="14" t="s">
        <v>51</v>
      </c>
      <c r="B18" s="16" t="s">
        <v>577</v>
      </c>
      <c r="C18" s="6"/>
      <c r="D18" s="16" t="s">
        <v>626</v>
      </c>
      <c r="E18" s="6" t="s">
        <v>135</v>
      </c>
      <c r="F18" s="17" t="str">
        <f>VLOOKUP(E18,GLOSSARY!A:C,2,FALSE)</f>
        <v>HOUSE FRANKE</v>
      </c>
      <c r="G18" s="16"/>
      <c r="H18" s="16"/>
      <c r="I18" s="16"/>
      <c r="J18" s="16"/>
      <c r="K18" s="16"/>
      <c r="L18" s="16"/>
      <c r="M18" s="16"/>
      <c r="N18" s="16"/>
      <c r="O18" s="16"/>
      <c r="P18" s="16"/>
      <c r="Q18" s="16"/>
      <c r="R18" s="16"/>
      <c r="S18" s="16"/>
      <c r="T18" s="16"/>
      <c r="U18" s="16"/>
      <c r="V18" s="16"/>
      <c r="W18" s="16"/>
      <c r="X18" s="16"/>
      <c r="Y18" s="16"/>
    </row>
    <row r="19" spans="1:25" x14ac:dyDescent="0.2">
      <c r="A19" s="14" t="s">
        <v>51</v>
      </c>
      <c r="B19" s="16" t="s">
        <v>577</v>
      </c>
      <c r="C19" s="6"/>
      <c r="D19" s="16" t="s">
        <v>626</v>
      </c>
      <c r="E19" s="6" t="s">
        <v>113</v>
      </c>
      <c r="F19" s="17" t="str">
        <f>VLOOKUP(E19,GLOSSARY!A:C,2,FALSE)</f>
        <v>NANCY</v>
      </c>
      <c r="G19" s="16"/>
      <c r="H19" s="16"/>
      <c r="I19" s="16"/>
      <c r="J19" s="16"/>
      <c r="K19" s="16"/>
      <c r="L19" s="16"/>
      <c r="M19" s="16"/>
      <c r="N19" s="16"/>
      <c r="O19" s="16"/>
      <c r="P19" s="16"/>
      <c r="Q19" s="16"/>
      <c r="R19" s="16"/>
      <c r="S19" s="16"/>
      <c r="T19" s="16"/>
      <c r="U19" s="16"/>
      <c r="V19" s="16"/>
      <c r="W19" s="16"/>
      <c r="X19" s="16"/>
      <c r="Y19" s="16"/>
    </row>
    <row r="20" spans="1:25" x14ac:dyDescent="0.2">
      <c r="A20" s="14" t="s">
        <v>51</v>
      </c>
      <c r="B20" s="16" t="s">
        <v>577</v>
      </c>
      <c r="C20" s="6"/>
      <c r="D20" s="16" t="s">
        <v>626</v>
      </c>
      <c r="E20" s="6" t="s">
        <v>191</v>
      </c>
      <c r="F20" s="17" t="str">
        <f>VLOOKUP(E20,GLOSSARY!A:C,2,FALSE)</f>
        <v>COOBAH</v>
      </c>
      <c r="G20" s="16"/>
      <c r="H20" s="16"/>
      <c r="I20" s="16"/>
      <c r="J20" s="16"/>
      <c r="K20" s="16"/>
      <c r="L20" s="16"/>
      <c r="M20" s="16"/>
      <c r="N20" s="16"/>
      <c r="O20" s="16"/>
      <c r="P20" s="16"/>
      <c r="Q20" s="16"/>
      <c r="R20" s="16"/>
      <c r="S20" s="16"/>
      <c r="T20" s="16"/>
      <c r="U20" s="16"/>
      <c r="V20" s="16"/>
      <c r="W20" s="16"/>
      <c r="X20" s="16"/>
      <c r="Y20" s="16"/>
    </row>
    <row r="21" spans="1:25" x14ac:dyDescent="0.2">
      <c r="A21" s="14" t="s">
        <v>51</v>
      </c>
      <c r="B21" s="16" t="s">
        <v>577</v>
      </c>
      <c r="C21" s="6"/>
      <c r="D21" s="16" t="s">
        <v>659</v>
      </c>
      <c r="E21" s="6" t="s">
        <v>118</v>
      </c>
      <c r="F21" s="17" t="str">
        <f>VLOOKUP(E21,GLOSSARY!A:C,2,FALSE)</f>
        <v>JOHN</v>
      </c>
      <c r="G21" s="16"/>
      <c r="H21" s="16"/>
      <c r="I21" s="16"/>
      <c r="J21" s="16"/>
      <c r="K21" s="16"/>
      <c r="L21" s="16"/>
      <c r="M21" s="16"/>
      <c r="N21" s="16"/>
      <c r="O21" s="16"/>
      <c r="P21" s="16"/>
      <c r="Q21" s="16"/>
      <c r="R21" s="16"/>
      <c r="S21" s="16"/>
      <c r="T21" s="16"/>
      <c r="U21" s="16"/>
      <c r="V21" s="16"/>
      <c r="W21" s="16"/>
      <c r="X21" s="16"/>
      <c r="Y21" s="16"/>
    </row>
    <row r="22" spans="1:25" x14ac:dyDescent="0.2">
      <c r="A22" s="14" t="s">
        <v>51</v>
      </c>
      <c r="B22" s="16" t="s">
        <v>577</v>
      </c>
      <c r="C22" s="6"/>
      <c r="D22" s="16" t="s">
        <v>547</v>
      </c>
      <c r="E22" s="6" t="s">
        <v>118</v>
      </c>
      <c r="F22" s="17" t="str">
        <f>VLOOKUP(E22,GLOSSARY!A:C,2,FALSE)</f>
        <v>JOHN</v>
      </c>
      <c r="G22" s="16"/>
      <c r="H22" s="16"/>
      <c r="I22" s="16"/>
      <c r="J22" s="16"/>
      <c r="K22" s="16"/>
      <c r="L22" s="16"/>
      <c r="M22" s="16"/>
      <c r="N22" s="16"/>
      <c r="O22" s="16"/>
      <c r="P22" s="16"/>
      <c r="Q22" s="16"/>
      <c r="R22" s="16"/>
      <c r="S22" s="16"/>
      <c r="T22" s="16"/>
      <c r="U22" s="16"/>
      <c r="V22" s="16"/>
      <c r="W22" s="16"/>
      <c r="X22" s="16"/>
      <c r="Y22" s="16"/>
    </row>
    <row r="23" spans="1:25" x14ac:dyDescent="0.2">
      <c r="A23" s="14" t="s">
        <v>51</v>
      </c>
      <c r="B23" s="16" t="s">
        <v>577</v>
      </c>
      <c r="C23" s="6"/>
      <c r="D23" s="16" t="s">
        <v>115</v>
      </c>
      <c r="E23" s="6"/>
      <c r="F23" s="17" t="e">
        <f>VLOOKUP(E23,GLOSSARY!A:C,2,FALSE)</f>
        <v>#N/A</v>
      </c>
      <c r="G23" s="16"/>
      <c r="H23" s="16"/>
      <c r="I23" s="16"/>
      <c r="J23" s="16"/>
      <c r="K23" s="16"/>
      <c r="L23" s="16"/>
      <c r="M23" s="16"/>
      <c r="N23" s="16"/>
      <c r="O23" s="16"/>
      <c r="P23" s="16"/>
      <c r="Q23" s="16"/>
      <c r="R23" s="16"/>
      <c r="S23" s="16"/>
      <c r="T23" s="16"/>
      <c r="U23" s="16"/>
      <c r="V23" s="16"/>
      <c r="W23" s="16"/>
      <c r="X23" s="16"/>
      <c r="Y23" s="16"/>
    </row>
    <row r="24" spans="1:25" x14ac:dyDescent="0.2">
      <c r="A24" s="14" t="s">
        <v>51</v>
      </c>
      <c r="B24" s="16" t="s">
        <v>577</v>
      </c>
      <c r="C24" s="6"/>
      <c r="D24" s="16" t="s">
        <v>683</v>
      </c>
      <c r="E24" s="6" t="s">
        <v>88</v>
      </c>
      <c r="F24" s="17" t="str">
        <f>VLOOKUP(E24,GLOSSARY!A:C,2,FALSE)</f>
        <v>OGO</v>
      </c>
      <c r="G24" s="16"/>
      <c r="H24" s="16"/>
      <c r="I24" s="16"/>
      <c r="J24" s="16"/>
      <c r="K24" s="16"/>
      <c r="L24" s="16"/>
      <c r="M24" s="16"/>
      <c r="N24" s="16"/>
      <c r="O24" s="16"/>
      <c r="P24" s="16"/>
      <c r="Q24" s="16"/>
      <c r="R24" s="16"/>
      <c r="S24" s="16"/>
      <c r="T24" s="16"/>
      <c r="U24" s="16"/>
      <c r="V24" s="16"/>
      <c r="W24" s="16"/>
      <c r="X24" s="16"/>
      <c r="Y24" s="16"/>
    </row>
    <row r="25" spans="1:25" x14ac:dyDescent="0.2">
      <c r="A25" s="14" t="s">
        <v>51</v>
      </c>
      <c r="B25" s="16" t="s">
        <v>577</v>
      </c>
      <c r="C25" s="6"/>
      <c r="D25" s="16" t="s">
        <v>688</v>
      </c>
      <c r="E25" s="6"/>
      <c r="F25" s="17" t="e">
        <f>VLOOKUP(E25,GLOSSARY!A:C,2,FALSE)</f>
        <v>#N/A</v>
      </c>
      <c r="G25" s="16"/>
      <c r="H25" s="16"/>
      <c r="I25" s="16"/>
      <c r="J25" s="16"/>
      <c r="K25" s="16"/>
      <c r="L25" s="16"/>
      <c r="M25" s="16"/>
      <c r="N25" s="16"/>
      <c r="O25" s="16"/>
      <c r="P25" s="16"/>
      <c r="Q25" s="16"/>
      <c r="R25" s="16"/>
      <c r="S25" s="16"/>
      <c r="T25" s="16"/>
      <c r="U25" s="16"/>
      <c r="V25" s="16"/>
      <c r="W25" s="16"/>
      <c r="X25" s="16"/>
      <c r="Y25" s="16"/>
    </row>
    <row r="26" spans="1:25" x14ac:dyDescent="0.2">
      <c r="A26" s="21"/>
      <c r="B26" s="23"/>
      <c r="C26" s="22"/>
      <c r="D26" s="23"/>
      <c r="E26" s="22"/>
      <c r="F26" s="22"/>
      <c r="G26" s="23"/>
      <c r="H26" s="23"/>
      <c r="I26" s="23"/>
      <c r="J26" s="23"/>
      <c r="K26" s="23"/>
      <c r="L26" s="23"/>
      <c r="M26" s="23"/>
      <c r="N26" s="23"/>
      <c r="O26" s="23"/>
      <c r="P26" s="23"/>
      <c r="Q26" s="23"/>
      <c r="R26" s="23"/>
      <c r="S26" s="23"/>
      <c r="T26" s="23"/>
      <c r="U26" s="23"/>
      <c r="V26" s="23"/>
      <c r="W26" s="23"/>
      <c r="X26" s="23"/>
      <c r="Y26" s="23"/>
    </row>
    <row r="27" spans="1:25" x14ac:dyDescent="0.2">
      <c r="A27" s="14" t="s">
        <v>64</v>
      </c>
      <c r="B27" s="16" t="s">
        <v>699</v>
      </c>
      <c r="C27" s="6"/>
      <c r="D27" s="16" t="s">
        <v>568</v>
      </c>
      <c r="E27" s="6" t="s">
        <v>51</v>
      </c>
      <c r="F27" s="17" t="str">
        <f>VLOOKUP(E27,GLOSSARY!A:C,2,FALSE)</f>
        <v>EGYPT LUCY</v>
      </c>
      <c r="G27" s="16"/>
      <c r="H27" s="16"/>
      <c r="I27" s="16"/>
      <c r="J27" s="16"/>
      <c r="K27" s="16"/>
      <c r="L27" s="16"/>
      <c r="M27" s="16"/>
      <c r="N27" s="16"/>
      <c r="O27" s="16"/>
      <c r="P27" s="16"/>
      <c r="Q27" s="16"/>
      <c r="R27" s="16"/>
      <c r="S27" s="16"/>
      <c r="T27" s="16"/>
      <c r="U27" s="16"/>
      <c r="V27" s="16"/>
      <c r="W27" s="16"/>
      <c r="X27" s="16"/>
      <c r="Y27" s="16"/>
    </row>
    <row r="28" spans="1:25" x14ac:dyDescent="0.2">
      <c r="A28" s="14" t="s">
        <v>64</v>
      </c>
      <c r="B28" s="16"/>
      <c r="C28" s="6"/>
      <c r="D28" s="16" t="s">
        <v>708</v>
      </c>
      <c r="E28" s="6" t="s">
        <v>74</v>
      </c>
      <c r="F28" s="17" t="str">
        <f>VLOOKUP(E28,GLOSSARY!A:C,2,FALSE)</f>
        <v>LITTLE QUASHE</v>
      </c>
      <c r="G28" s="16"/>
      <c r="H28" s="16"/>
      <c r="I28" s="16"/>
      <c r="J28" s="16"/>
      <c r="K28" s="16"/>
      <c r="L28" s="16"/>
      <c r="M28" s="16"/>
      <c r="N28" s="16"/>
      <c r="O28" s="16"/>
      <c r="P28" s="16"/>
      <c r="Q28" s="16"/>
      <c r="R28" s="16"/>
      <c r="S28" s="16"/>
      <c r="T28" s="16"/>
      <c r="U28" s="16"/>
      <c r="V28" s="16"/>
      <c r="W28" s="16"/>
      <c r="X28" s="16"/>
      <c r="Y28" s="16"/>
    </row>
    <row r="29" spans="1:25" x14ac:dyDescent="0.2">
      <c r="A29" s="14" t="s">
        <v>64</v>
      </c>
      <c r="B29" s="16"/>
      <c r="C29" s="6"/>
      <c r="D29" s="16" t="s">
        <v>547</v>
      </c>
      <c r="E29" s="6" t="s">
        <v>28</v>
      </c>
      <c r="F29" s="17" t="str">
        <f>VLOOKUP(E29,GLOSSARY!A:C,2,FALSE)</f>
        <v>MOLIA</v>
      </c>
      <c r="G29" s="16"/>
      <c r="H29" s="16"/>
      <c r="I29" s="16"/>
      <c r="J29" s="16"/>
      <c r="K29" s="16"/>
      <c r="L29" s="16"/>
      <c r="M29" s="16"/>
      <c r="N29" s="16"/>
      <c r="O29" s="16"/>
      <c r="P29" s="16"/>
      <c r="Q29" s="16"/>
      <c r="R29" s="16"/>
      <c r="S29" s="16"/>
      <c r="T29" s="16"/>
      <c r="U29" s="16"/>
      <c r="V29" s="16"/>
      <c r="W29" s="16"/>
      <c r="X29" s="16"/>
      <c r="Y29" s="16"/>
    </row>
    <row r="30" spans="1:25" x14ac:dyDescent="0.2">
      <c r="A30" s="21"/>
      <c r="B30" s="23"/>
      <c r="C30" s="22"/>
      <c r="D30" s="23"/>
      <c r="E30" s="22"/>
      <c r="F30" s="17" t="e">
        <f>VLOOKUP(E30,GLOSSARY!A:C,2,FALSE)</f>
        <v>#N/A</v>
      </c>
      <c r="G30" s="23"/>
      <c r="H30" s="23"/>
      <c r="I30" s="23"/>
      <c r="J30" s="23"/>
      <c r="K30" s="23"/>
      <c r="L30" s="23"/>
      <c r="M30" s="23"/>
      <c r="N30" s="23"/>
      <c r="O30" s="23"/>
      <c r="P30" s="23"/>
      <c r="Q30" s="23"/>
      <c r="R30" s="23"/>
      <c r="S30" s="23"/>
      <c r="T30" s="23"/>
      <c r="U30" s="23"/>
      <c r="V30" s="23"/>
      <c r="W30" s="23"/>
      <c r="X30" s="23"/>
      <c r="Y30" s="23"/>
    </row>
    <row r="31" spans="1:25" x14ac:dyDescent="0.2">
      <c r="A31" s="14" t="s">
        <v>74</v>
      </c>
      <c r="B31" s="16" t="s">
        <v>724</v>
      </c>
      <c r="C31" s="6"/>
      <c r="D31" s="16" t="s">
        <v>725</v>
      </c>
      <c r="E31" s="6" t="s">
        <v>51</v>
      </c>
      <c r="F31" s="17" t="str">
        <f>VLOOKUP(E31,GLOSSARY!A:C,2,FALSE)</f>
        <v>EGYPT LUCY</v>
      </c>
      <c r="G31" s="16"/>
      <c r="H31" s="16"/>
      <c r="I31" s="16"/>
      <c r="J31" s="16"/>
      <c r="K31" s="16"/>
      <c r="L31" s="16"/>
      <c r="M31" s="16"/>
      <c r="N31" s="16"/>
      <c r="O31" s="16"/>
      <c r="P31" s="16"/>
      <c r="Q31" s="16"/>
      <c r="R31" s="16"/>
      <c r="S31" s="16"/>
      <c r="T31" s="16"/>
      <c r="U31" s="16"/>
      <c r="V31" s="16"/>
      <c r="W31" s="16"/>
      <c r="X31" s="16"/>
      <c r="Y31" s="16"/>
    </row>
    <row r="32" spans="1:25" x14ac:dyDescent="0.2">
      <c r="A32" s="14" t="s">
        <v>74</v>
      </c>
      <c r="B32" s="16"/>
      <c r="C32" s="6"/>
      <c r="D32" s="16" t="s">
        <v>734</v>
      </c>
      <c r="E32" s="6" t="s">
        <v>64</v>
      </c>
      <c r="F32" s="17" t="str">
        <f>VLOOKUP(E32,GLOSSARY!A:C,2,FALSE)</f>
        <v>JULINA</v>
      </c>
      <c r="G32" s="16"/>
      <c r="H32" s="16"/>
      <c r="I32" s="16"/>
      <c r="J32" s="16"/>
      <c r="K32" s="16"/>
      <c r="L32" s="16"/>
      <c r="M32" s="16"/>
      <c r="N32" s="16"/>
      <c r="O32" s="16"/>
      <c r="P32" s="16"/>
      <c r="Q32" s="16"/>
      <c r="R32" s="16"/>
      <c r="S32" s="16"/>
      <c r="T32" s="16"/>
      <c r="U32" s="16"/>
      <c r="V32" s="16"/>
      <c r="W32" s="16"/>
      <c r="X32" s="16"/>
      <c r="Y32" s="16"/>
    </row>
    <row r="33" spans="1:25" x14ac:dyDescent="0.2">
      <c r="A33" s="21"/>
      <c r="B33" s="23"/>
      <c r="C33" s="22"/>
      <c r="D33" s="23"/>
      <c r="E33" s="22"/>
      <c r="F33" s="17" t="e">
        <f>VLOOKUP(E33,GLOSSARY!A:C,2)</f>
        <v>#N/A</v>
      </c>
      <c r="G33" s="23"/>
      <c r="H33" s="23"/>
      <c r="I33" s="23"/>
      <c r="J33" s="23"/>
      <c r="K33" s="23"/>
      <c r="L33" s="23"/>
      <c r="M33" s="23"/>
      <c r="N33" s="23"/>
      <c r="O33" s="23"/>
      <c r="P33" s="23"/>
      <c r="Q33" s="23"/>
      <c r="R33" s="23"/>
      <c r="S33" s="23"/>
      <c r="T33" s="23"/>
      <c r="U33" s="23"/>
      <c r="V33" s="23"/>
      <c r="W33" s="23"/>
      <c r="X33" s="23"/>
      <c r="Y33" s="23"/>
    </row>
    <row r="34" spans="1:25" x14ac:dyDescent="0.2">
      <c r="A34" s="14" t="s">
        <v>89</v>
      </c>
      <c r="B34" s="16" t="s">
        <v>746</v>
      </c>
      <c r="C34" s="6"/>
      <c r="D34" s="16" t="s">
        <v>508</v>
      </c>
      <c r="E34" s="6" t="s">
        <v>747</v>
      </c>
      <c r="F34" s="17" t="str">
        <f>VLOOKUP(E34,GLOSSARY!A:C,2)</f>
        <v>THE GOVERNOR'S WIFE</v>
      </c>
      <c r="G34" s="16"/>
      <c r="H34" s="16"/>
      <c r="I34" s="16"/>
      <c r="J34" s="16"/>
      <c r="K34" s="16"/>
      <c r="L34" s="16"/>
      <c r="M34" s="16"/>
      <c r="N34" s="16"/>
      <c r="O34" s="16"/>
      <c r="P34" s="16"/>
      <c r="Q34" s="16"/>
      <c r="R34" s="16"/>
      <c r="S34" s="16"/>
      <c r="T34" s="16"/>
      <c r="U34" s="16"/>
      <c r="V34" s="16"/>
      <c r="W34" s="16"/>
      <c r="X34" s="16"/>
      <c r="Y34" s="16"/>
    </row>
    <row r="35" spans="1:25" x14ac:dyDescent="0.2">
      <c r="A35" s="14" t="s">
        <v>89</v>
      </c>
      <c r="B35" s="16"/>
      <c r="C35" s="6"/>
      <c r="D35" s="16" t="s">
        <v>522</v>
      </c>
      <c r="E35" s="6"/>
      <c r="F35" s="16"/>
      <c r="G35" s="16"/>
      <c r="H35" s="16"/>
      <c r="I35" s="16"/>
      <c r="J35" s="16"/>
      <c r="K35" s="16"/>
      <c r="L35" s="16"/>
      <c r="M35" s="16"/>
      <c r="N35" s="16"/>
      <c r="O35" s="16"/>
      <c r="P35" s="16"/>
      <c r="Q35" s="16"/>
      <c r="R35" s="16"/>
      <c r="S35" s="16"/>
      <c r="T35" s="16"/>
      <c r="U35" s="16"/>
      <c r="V35" s="16"/>
      <c r="W35" s="16"/>
      <c r="X35" s="16"/>
      <c r="Y35" s="16"/>
    </row>
    <row r="36" spans="1:25" x14ac:dyDescent="0.2">
      <c r="A36" s="14" t="s">
        <v>89</v>
      </c>
      <c r="B36" s="16"/>
      <c r="C36" s="6"/>
      <c r="D36" s="16" t="s">
        <v>91</v>
      </c>
      <c r="E36" s="6"/>
      <c r="F36" s="16"/>
      <c r="G36" s="16"/>
      <c r="H36" s="16"/>
      <c r="I36" s="16"/>
      <c r="J36" s="16"/>
      <c r="K36" s="16"/>
      <c r="L36" s="16"/>
      <c r="M36" s="16"/>
      <c r="N36" s="16"/>
      <c r="O36" s="16"/>
      <c r="P36" s="16"/>
      <c r="Q36" s="16"/>
      <c r="R36" s="16"/>
      <c r="S36" s="16"/>
      <c r="T36" s="16"/>
      <c r="U36" s="16"/>
      <c r="V36" s="16"/>
      <c r="W36" s="16"/>
      <c r="X36" s="16"/>
      <c r="Y36" s="16"/>
    </row>
    <row r="37" spans="1:25" x14ac:dyDescent="0.2">
      <c r="A37" s="14" t="s">
        <v>89</v>
      </c>
      <c r="B37" s="16"/>
      <c r="C37" s="6"/>
      <c r="D37" s="16" t="s">
        <v>777</v>
      </c>
      <c r="E37" s="6"/>
      <c r="F37" s="16"/>
      <c r="G37" s="16"/>
      <c r="H37" s="16"/>
      <c r="I37" s="16"/>
      <c r="J37" s="16"/>
      <c r="K37" s="16"/>
      <c r="L37" s="16"/>
      <c r="M37" s="16"/>
      <c r="N37" s="16"/>
      <c r="O37" s="16"/>
      <c r="P37" s="16"/>
      <c r="Q37" s="16"/>
      <c r="R37" s="16"/>
      <c r="S37" s="16"/>
      <c r="T37" s="16"/>
      <c r="U37" s="16"/>
      <c r="V37" s="16"/>
      <c r="W37" s="16"/>
      <c r="X37" s="16"/>
      <c r="Y37" s="16"/>
    </row>
    <row r="38" spans="1:25" x14ac:dyDescent="0.2">
      <c r="A38" s="21"/>
      <c r="B38" s="23"/>
      <c r="C38" s="22"/>
      <c r="D38" s="23"/>
      <c r="E38" s="22"/>
      <c r="F38" s="23"/>
      <c r="G38" s="23"/>
      <c r="H38" s="23"/>
      <c r="I38" s="23"/>
      <c r="J38" s="23"/>
      <c r="K38" s="23"/>
      <c r="L38" s="23"/>
      <c r="M38" s="23"/>
      <c r="N38" s="23"/>
      <c r="O38" s="23"/>
      <c r="P38" s="23"/>
      <c r="Q38" s="23"/>
      <c r="R38" s="23"/>
      <c r="S38" s="23"/>
      <c r="T38" s="23"/>
      <c r="U38" s="23"/>
      <c r="V38" s="23"/>
      <c r="W38" s="23"/>
      <c r="X38" s="23"/>
      <c r="Y38" s="23"/>
    </row>
    <row r="39" spans="1:25" x14ac:dyDescent="0.2">
      <c r="A39" s="14" t="s">
        <v>100</v>
      </c>
      <c r="B39" s="16" t="s">
        <v>786</v>
      </c>
      <c r="C39" s="6" t="s">
        <v>787</v>
      </c>
      <c r="D39" s="16" t="s">
        <v>508</v>
      </c>
      <c r="E39" s="6"/>
      <c r="F39" s="16"/>
      <c r="G39" s="16"/>
      <c r="H39" s="16"/>
      <c r="I39" s="16"/>
      <c r="J39" s="16"/>
      <c r="K39" s="16"/>
      <c r="L39" s="16"/>
      <c r="M39" s="16"/>
      <c r="N39" s="16"/>
      <c r="O39" s="16"/>
      <c r="P39" s="16"/>
      <c r="Q39" s="16"/>
      <c r="R39" s="16"/>
      <c r="S39" s="16"/>
      <c r="T39" s="16"/>
      <c r="U39" s="16"/>
      <c r="V39" s="16"/>
      <c r="W39" s="16"/>
      <c r="X39" s="16"/>
      <c r="Y39" s="16"/>
    </row>
    <row r="40" spans="1:25" x14ac:dyDescent="0.2">
      <c r="A40" s="14" t="s">
        <v>100</v>
      </c>
      <c r="B40" s="16"/>
      <c r="C40" s="6"/>
      <c r="D40" s="16" t="s">
        <v>708</v>
      </c>
      <c r="E40" s="6"/>
      <c r="F40" s="16"/>
      <c r="G40" s="16"/>
      <c r="H40" s="16"/>
      <c r="I40" s="16"/>
      <c r="J40" s="16"/>
      <c r="K40" s="16"/>
      <c r="L40" s="16"/>
      <c r="M40" s="16"/>
      <c r="N40" s="16"/>
      <c r="O40" s="16"/>
      <c r="P40" s="16"/>
      <c r="Q40" s="16"/>
      <c r="R40" s="16"/>
      <c r="S40" s="16"/>
      <c r="T40" s="16"/>
      <c r="U40" s="16"/>
      <c r="V40" s="16"/>
      <c r="W40" s="16"/>
      <c r="X40" s="16"/>
      <c r="Y40" s="16"/>
    </row>
    <row r="41" spans="1:25" x14ac:dyDescent="0.2">
      <c r="A41" s="14" t="s">
        <v>100</v>
      </c>
      <c r="B41" s="16"/>
      <c r="C41" s="6"/>
      <c r="D41" s="16" t="s">
        <v>798</v>
      </c>
      <c r="E41" s="6"/>
      <c r="F41" s="16"/>
      <c r="G41" s="16"/>
      <c r="H41" s="16"/>
      <c r="I41" s="16"/>
      <c r="J41" s="16"/>
      <c r="K41" s="16"/>
      <c r="L41" s="16"/>
      <c r="M41" s="16"/>
      <c r="N41" s="16"/>
      <c r="O41" s="16"/>
      <c r="P41" s="16"/>
      <c r="Q41" s="16"/>
      <c r="R41" s="16"/>
      <c r="S41" s="16"/>
      <c r="T41" s="16"/>
      <c r="U41" s="16"/>
      <c r="V41" s="16"/>
      <c r="W41" s="16"/>
      <c r="X41" s="16"/>
      <c r="Y41" s="16"/>
    </row>
    <row r="42" spans="1:25" x14ac:dyDescent="0.2">
      <c r="A42" s="14" t="s">
        <v>100</v>
      </c>
      <c r="B42" s="16"/>
      <c r="C42" s="6"/>
      <c r="D42" s="16" t="s">
        <v>593</v>
      </c>
      <c r="E42" s="6"/>
      <c r="F42" s="16"/>
      <c r="G42" s="16"/>
      <c r="H42" s="16"/>
      <c r="I42" s="16"/>
      <c r="J42" s="16"/>
      <c r="K42" s="16"/>
      <c r="L42" s="16"/>
      <c r="M42" s="16"/>
      <c r="N42" s="16"/>
      <c r="O42" s="16"/>
      <c r="P42" s="16"/>
      <c r="Q42" s="16"/>
      <c r="R42" s="16"/>
      <c r="S42" s="16"/>
      <c r="T42" s="16"/>
      <c r="U42" s="16"/>
      <c r="V42" s="16"/>
      <c r="W42" s="16"/>
      <c r="X42" s="16"/>
      <c r="Y42" s="16"/>
    </row>
    <row r="43" spans="1:25" x14ac:dyDescent="0.2">
      <c r="A43" s="14" t="s">
        <v>100</v>
      </c>
      <c r="B43" s="16"/>
      <c r="C43" s="6"/>
      <c r="D43" s="16" t="s">
        <v>626</v>
      </c>
      <c r="E43" s="6"/>
      <c r="F43" s="16"/>
      <c r="G43" s="16"/>
      <c r="H43" s="16"/>
      <c r="I43" s="16"/>
      <c r="J43" s="16"/>
      <c r="K43" s="16"/>
      <c r="L43" s="16"/>
      <c r="M43" s="16"/>
      <c r="N43" s="16"/>
      <c r="O43" s="16"/>
      <c r="P43" s="16"/>
      <c r="Q43" s="16"/>
      <c r="R43" s="16"/>
      <c r="S43" s="16"/>
      <c r="T43" s="16"/>
      <c r="U43" s="16"/>
      <c r="V43" s="16"/>
      <c r="W43" s="16"/>
      <c r="X43" s="16"/>
      <c r="Y43" s="16"/>
    </row>
    <row r="44" spans="1:25" x14ac:dyDescent="0.2">
      <c r="A44" s="14" t="s">
        <v>100</v>
      </c>
      <c r="B44" s="16"/>
      <c r="C44" s="6"/>
      <c r="D44" s="16" t="s">
        <v>812</v>
      </c>
      <c r="E44" s="6"/>
      <c r="F44" s="16"/>
      <c r="G44" s="16"/>
      <c r="H44" s="16"/>
      <c r="I44" s="16"/>
      <c r="J44" s="16"/>
      <c r="K44" s="16"/>
      <c r="L44" s="16"/>
      <c r="M44" s="16"/>
      <c r="N44" s="16"/>
      <c r="O44" s="16"/>
      <c r="P44" s="16"/>
      <c r="Q44" s="16"/>
      <c r="R44" s="16"/>
      <c r="S44" s="16"/>
      <c r="T44" s="16"/>
      <c r="U44" s="16"/>
      <c r="V44" s="16"/>
      <c r="W44" s="16"/>
      <c r="X44" s="16"/>
      <c r="Y44" s="16"/>
    </row>
    <row r="45" spans="1:25" x14ac:dyDescent="0.2">
      <c r="A45" s="21"/>
      <c r="B45" s="23"/>
      <c r="C45" s="22"/>
      <c r="D45" s="23"/>
      <c r="E45" s="22"/>
      <c r="F45" s="23"/>
      <c r="G45" s="23"/>
      <c r="H45" s="23"/>
      <c r="I45" s="23"/>
      <c r="J45" s="23"/>
      <c r="K45" s="23"/>
      <c r="L45" s="23"/>
      <c r="M45" s="23"/>
      <c r="N45" s="23"/>
      <c r="O45" s="23"/>
      <c r="P45" s="23"/>
      <c r="Q45" s="23"/>
      <c r="R45" s="23"/>
      <c r="S45" s="23"/>
      <c r="T45" s="23"/>
      <c r="U45" s="23"/>
      <c r="V45" s="23"/>
      <c r="W45" s="23"/>
      <c r="X45" s="23"/>
      <c r="Y45" s="23"/>
    </row>
    <row r="46" spans="1:25" x14ac:dyDescent="0.2">
      <c r="A46" s="14" t="s">
        <v>113</v>
      </c>
      <c r="B46" s="16" t="s">
        <v>817</v>
      </c>
      <c r="C46" s="6"/>
      <c r="D46" s="16" t="s">
        <v>708</v>
      </c>
      <c r="E46" s="6"/>
      <c r="F46" s="16"/>
      <c r="G46" s="16"/>
      <c r="H46" s="16"/>
      <c r="I46" s="16"/>
      <c r="J46" s="16"/>
      <c r="K46" s="16"/>
      <c r="L46" s="16"/>
      <c r="M46" s="16"/>
      <c r="N46" s="16"/>
      <c r="O46" s="16"/>
      <c r="P46" s="16"/>
      <c r="Q46" s="16"/>
      <c r="R46" s="16"/>
      <c r="S46" s="16"/>
      <c r="T46" s="16"/>
      <c r="U46" s="16"/>
      <c r="V46" s="16"/>
      <c r="W46" s="16"/>
      <c r="X46" s="16"/>
      <c r="Y46" s="16"/>
    </row>
    <row r="47" spans="1:25" x14ac:dyDescent="0.2">
      <c r="A47" s="14" t="s">
        <v>113</v>
      </c>
      <c r="B47" s="16"/>
      <c r="C47" s="6"/>
      <c r="D47" s="16" t="s">
        <v>626</v>
      </c>
      <c r="E47" s="6"/>
      <c r="F47" s="16"/>
      <c r="G47" s="16"/>
      <c r="H47" s="16"/>
      <c r="I47" s="16"/>
      <c r="J47" s="16"/>
      <c r="K47" s="16"/>
      <c r="L47" s="16"/>
      <c r="M47" s="16"/>
      <c r="N47" s="16"/>
      <c r="O47" s="16"/>
      <c r="P47" s="16"/>
      <c r="Q47" s="16"/>
      <c r="R47" s="16"/>
      <c r="S47" s="16"/>
      <c r="T47" s="16"/>
      <c r="U47" s="16"/>
      <c r="V47" s="16"/>
      <c r="W47" s="16"/>
      <c r="X47" s="16"/>
      <c r="Y47" s="16"/>
    </row>
    <row r="48" spans="1:25" x14ac:dyDescent="0.2">
      <c r="A48" s="14" t="s">
        <v>113</v>
      </c>
      <c r="B48" s="16"/>
      <c r="C48" s="6"/>
      <c r="D48" s="16" t="s">
        <v>593</v>
      </c>
      <c r="E48" s="6"/>
      <c r="F48" s="16"/>
      <c r="G48" s="16"/>
      <c r="H48" s="16"/>
      <c r="I48" s="16"/>
      <c r="J48" s="16"/>
      <c r="K48" s="16"/>
      <c r="L48" s="16"/>
      <c r="M48" s="16"/>
      <c r="N48" s="16"/>
      <c r="O48" s="16"/>
      <c r="P48" s="16"/>
      <c r="Q48" s="16"/>
      <c r="R48" s="16"/>
      <c r="S48" s="16"/>
      <c r="T48" s="16"/>
      <c r="U48" s="16"/>
      <c r="V48" s="16"/>
      <c r="W48" s="16"/>
      <c r="X48" s="16"/>
      <c r="Y48" s="16"/>
    </row>
    <row r="49" spans="1:25" x14ac:dyDescent="0.2">
      <c r="A49" s="14" t="s">
        <v>113</v>
      </c>
      <c r="B49" s="16"/>
      <c r="C49" s="6"/>
      <c r="D49" s="16" t="s">
        <v>798</v>
      </c>
      <c r="E49" s="6"/>
      <c r="F49" s="16"/>
      <c r="G49" s="16"/>
      <c r="H49" s="16"/>
      <c r="I49" s="16"/>
      <c r="J49" s="16"/>
      <c r="K49" s="16"/>
      <c r="L49" s="16"/>
      <c r="M49" s="16"/>
      <c r="N49" s="16"/>
      <c r="O49" s="16"/>
      <c r="P49" s="16"/>
      <c r="Q49" s="16"/>
      <c r="R49" s="16"/>
      <c r="S49" s="16"/>
      <c r="T49" s="16"/>
      <c r="U49" s="16"/>
      <c r="V49" s="16"/>
      <c r="W49" s="16"/>
      <c r="X49" s="16"/>
      <c r="Y49" s="16"/>
    </row>
    <row r="50" spans="1:25" x14ac:dyDescent="0.2">
      <c r="A50" s="14" t="s">
        <v>113</v>
      </c>
      <c r="B50" s="16"/>
      <c r="C50" s="6"/>
      <c r="D50" s="16" t="s">
        <v>508</v>
      </c>
      <c r="E50" s="6"/>
      <c r="F50" s="16"/>
      <c r="G50" s="16"/>
      <c r="H50" s="16"/>
      <c r="I50" s="16"/>
      <c r="J50" s="16"/>
      <c r="K50" s="16"/>
      <c r="L50" s="16"/>
      <c r="M50" s="16"/>
      <c r="N50" s="16"/>
      <c r="O50" s="16"/>
      <c r="P50" s="16"/>
      <c r="Q50" s="16"/>
      <c r="R50" s="16"/>
      <c r="S50" s="16"/>
      <c r="T50" s="16"/>
      <c r="U50" s="16"/>
      <c r="V50" s="16"/>
      <c r="W50" s="16"/>
      <c r="X50" s="16"/>
      <c r="Y50" s="16"/>
    </row>
    <row r="51" spans="1:25" x14ac:dyDescent="0.2">
      <c r="A51" s="21"/>
      <c r="B51" s="23"/>
      <c r="C51" s="22"/>
      <c r="D51" s="23"/>
      <c r="E51" s="22"/>
      <c r="F51" s="23"/>
      <c r="G51" s="23"/>
      <c r="H51" s="23"/>
      <c r="I51" s="23"/>
      <c r="J51" s="23"/>
      <c r="K51" s="23"/>
      <c r="L51" s="23"/>
      <c r="M51" s="23"/>
      <c r="N51" s="23"/>
      <c r="O51" s="23"/>
      <c r="P51" s="23"/>
      <c r="Q51" s="23"/>
      <c r="R51" s="23"/>
      <c r="S51" s="23"/>
      <c r="T51" s="23"/>
      <c r="U51" s="23"/>
      <c r="V51" s="23"/>
      <c r="W51" s="23"/>
      <c r="X51" s="23"/>
      <c r="Y51" s="23"/>
    </row>
    <row r="52" spans="1:25" x14ac:dyDescent="0.2">
      <c r="A52" s="14" t="s">
        <v>118</v>
      </c>
      <c r="B52" s="16" t="s">
        <v>845</v>
      </c>
      <c r="C52" s="6" t="s">
        <v>846</v>
      </c>
      <c r="D52" s="16" t="s">
        <v>725</v>
      </c>
      <c r="E52" s="6"/>
      <c r="F52" s="16"/>
      <c r="G52" s="16"/>
      <c r="H52" s="16"/>
      <c r="I52" s="16"/>
      <c r="J52" s="16"/>
      <c r="K52" s="16"/>
      <c r="L52" s="16"/>
      <c r="M52" s="16"/>
      <c r="N52" s="16"/>
      <c r="O52" s="16"/>
      <c r="P52" s="16"/>
      <c r="Q52" s="16"/>
      <c r="R52" s="16"/>
      <c r="S52" s="16"/>
      <c r="T52" s="16"/>
      <c r="U52" s="16"/>
      <c r="V52" s="16"/>
      <c r="W52" s="16"/>
      <c r="X52" s="16"/>
      <c r="Y52" s="16"/>
    </row>
    <row r="53" spans="1:25" x14ac:dyDescent="0.2">
      <c r="A53" s="14" t="s">
        <v>118</v>
      </c>
      <c r="B53" s="16"/>
      <c r="C53" s="6"/>
      <c r="D53" s="16" t="s">
        <v>734</v>
      </c>
      <c r="E53" s="6"/>
      <c r="F53" s="16"/>
      <c r="G53" s="16"/>
      <c r="H53" s="16"/>
      <c r="I53" s="16"/>
      <c r="J53" s="16"/>
      <c r="K53" s="16"/>
      <c r="L53" s="16"/>
      <c r="M53" s="16"/>
      <c r="N53" s="16"/>
      <c r="O53" s="16"/>
      <c r="P53" s="16"/>
      <c r="Q53" s="16"/>
      <c r="R53" s="16"/>
      <c r="S53" s="16"/>
      <c r="T53" s="16"/>
      <c r="U53" s="16"/>
      <c r="V53" s="16"/>
      <c r="W53" s="16"/>
      <c r="X53" s="16"/>
      <c r="Y53" s="16"/>
    </row>
    <row r="54" spans="1:25" x14ac:dyDescent="0.2">
      <c r="A54" s="23"/>
      <c r="B54" s="23"/>
      <c r="C54" s="22"/>
      <c r="D54" s="23"/>
      <c r="E54" s="22"/>
      <c r="F54" s="23"/>
      <c r="G54" s="23"/>
      <c r="H54" s="23"/>
      <c r="I54" s="23"/>
      <c r="J54" s="23"/>
      <c r="K54" s="23"/>
      <c r="L54" s="23"/>
      <c r="M54" s="23"/>
      <c r="N54" s="23"/>
      <c r="O54" s="23"/>
      <c r="P54" s="23"/>
      <c r="Q54" s="23"/>
      <c r="R54" s="23"/>
      <c r="S54" s="23"/>
      <c r="T54" s="23"/>
      <c r="U54" s="23"/>
      <c r="V54" s="23"/>
      <c r="W54" s="23"/>
      <c r="X54" s="23"/>
      <c r="Y54" s="23"/>
    </row>
    <row r="55" spans="1:25" x14ac:dyDescent="0.2">
      <c r="A55" s="16" t="s">
        <v>135</v>
      </c>
      <c r="B55" s="16" t="s">
        <v>862</v>
      </c>
      <c r="C55" s="6"/>
      <c r="D55" s="16" t="s">
        <v>593</v>
      </c>
      <c r="E55" s="6"/>
      <c r="F55" s="16"/>
      <c r="G55" s="16"/>
      <c r="H55" s="16"/>
      <c r="I55" s="16"/>
      <c r="J55" s="16"/>
      <c r="K55" s="16"/>
      <c r="L55" s="16"/>
      <c r="M55" s="16"/>
      <c r="N55" s="16"/>
      <c r="O55" s="16"/>
      <c r="P55" s="16"/>
      <c r="Q55" s="16"/>
      <c r="R55" s="16"/>
      <c r="S55" s="16"/>
      <c r="T55" s="16"/>
      <c r="U55" s="16"/>
      <c r="V55" s="16"/>
      <c r="W55" s="16"/>
      <c r="X55" s="16"/>
      <c r="Y55" s="16"/>
    </row>
    <row r="56" spans="1:25" x14ac:dyDescent="0.2">
      <c r="A56" s="16" t="s">
        <v>135</v>
      </c>
      <c r="B56" s="16"/>
      <c r="C56" s="6"/>
      <c r="D56" s="16" t="s">
        <v>626</v>
      </c>
      <c r="E56" s="6"/>
      <c r="F56" s="16"/>
      <c r="G56" s="16"/>
      <c r="H56" s="16"/>
      <c r="I56" s="16"/>
      <c r="J56" s="16"/>
      <c r="K56" s="16"/>
      <c r="L56" s="16"/>
      <c r="M56" s="16"/>
      <c r="N56" s="16"/>
      <c r="O56" s="16"/>
      <c r="P56" s="16"/>
      <c r="Q56" s="16"/>
      <c r="R56" s="16"/>
      <c r="S56" s="16"/>
      <c r="T56" s="16"/>
      <c r="U56" s="16"/>
      <c r="V56" s="16"/>
      <c r="W56" s="16"/>
      <c r="X56" s="16"/>
      <c r="Y56" s="16"/>
    </row>
    <row r="57" spans="1:25" x14ac:dyDescent="0.2">
      <c r="A57" s="16" t="s">
        <v>135</v>
      </c>
      <c r="B57" s="16"/>
      <c r="C57" s="6"/>
      <c r="D57" s="16" t="s">
        <v>812</v>
      </c>
      <c r="E57" s="6"/>
      <c r="F57" s="16"/>
      <c r="G57" s="16"/>
      <c r="H57" s="16"/>
      <c r="I57" s="16"/>
      <c r="J57" s="16"/>
      <c r="K57" s="16"/>
      <c r="L57" s="16"/>
      <c r="M57" s="16"/>
      <c r="N57" s="16"/>
      <c r="O57" s="16"/>
      <c r="P57" s="16"/>
      <c r="Q57" s="16"/>
      <c r="R57" s="16"/>
      <c r="S57" s="16"/>
      <c r="T57" s="16"/>
      <c r="U57" s="16"/>
      <c r="V57" s="16"/>
      <c r="W57" s="16"/>
      <c r="X57" s="16"/>
      <c r="Y57" s="16"/>
    </row>
    <row r="58" spans="1:25" x14ac:dyDescent="0.2">
      <c r="A58" s="23"/>
      <c r="B58" s="23"/>
      <c r="C58" s="22"/>
      <c r="D58" s="23"/>
      <c r="E58" s="22"/>
      <c r="F58" s="23"/>
      <c r="G58" s="23"/>
      <c r="H58" s="23"/>
      <c r="I58" s="23"/>
      <c r="J58" s="23"/>
      <c r="K58" s="23"/>
      <c r="L58" s="23"/>
      <c r="M58" s="23"/>
      <c r="N58" s="23"/>
      <c r="O58" s="23"/>
      <c r="P58" s="23"/>
      <c r="Q58" s="23"/>
      <c r="R58" s="23"/>
      <c r="S58" s="23"/>
      <c r="T58" s="23"/>
      <c r="U58" s="23"/>
      <c r="V58" s="23"/>
      <c r="W58" s="23"/>
      <c r="X58" s="23"/>
      <c r="Y58" s="23"/>
    </row>
    <row r="59" spans="1:25" x14ac:dyDescent="0.2">
      <c r="A59" s="14" t="s">
        <v>143</v>
      </c>
      <c r="B59" s="16" t="s">
        <v>883</v>
      </c>
      <c r="C59" s="6"/>
      <c r="D59" s="16" t="s">
        <v>884</v>
      </c>
      <c r="E59" s="6"/>
      <c r="F59" s="16"/>
      <c r="G59" s="16"/>
      <c r="H59" s="16"/>
      <c r="I59" s="16"/>
      <c r="J59" s="16"/>
      <c r="K59" s="16"/>
      <c r="L59" s="16"/>
      <c r="M59" s="16"/>
      <c r="N59" s="16"/>
      <c r="O59" s="16"/>
      <c r="P59" s="16"/>
      <c r="Q59" s="16"/>
      <c r="R59" s="16"/>
      <c r="S59" s="16"/>
      <c r="T59" s="16"/>
      <c r="U59" s="16"/>
      <c r="V59" s="16"/>
      <c r="W59" s="16"/>
      <c r="X59" s="16"/>
      <c r="Y59" s="16"/>
    </row>
    <row r="60" spans="1:25" x14ac:dyDescent="0.2">
      <c r="A60" s="21"/>
      <c r="B60" s="23"/>
      <c r="C60" s="22"/>
      <c r="D60" s="23"/>
      <c r="E60" s="22"/>
      <c r="F60" s="23"/>
      <c r="G60" s="23"/>
      <c r="H60" s="23"/>
      <c r="I60" s="23"/>
      <c r="J60" s="23"/>
      <c r="K60" s="23"/>
      <c r="L60" s="23"/>
      <c r="M60" s="23"/>
      <c r="N60" s="23"/>
      <c r="O60" s="23"/>
      <c r="P60" s="23"/>
      <c r="Q60" s="23"/>
      <c r="R60" s="23"/>
      <c r="S60" s="23"/>
      <c r="T60" s="23"/>
      <c r="U60" s="23"/>
      <c r="V60" s="23"/>
      <c r="W60" s="23"/>
      <c r="X60" s="23"/>
      <c r="Y60" s="23"/>
    </row>
    <row r="61" spans="1:25" x14ac:dyDescent="0.2">
      <c r="A61" s="14" t="s">
        <v>150</v>
      </c>
      <c r="B61" s="16" t="s">
        <v>897</v>
      </c>
      <c r="C61" s="6"/>
      <c r="D61" s="16" t="s">
        <v>812</v>
      </c>
      <c r="E61" s="6"/>
      <c r="F61" s="16"/>
      <c r="G61" s="16"/>
      <c r="H61" s="16"/>
      <c r="I61" s="16"/>
      <c r="J61" s="16"/>
      <c r="K61" s="16"/>
      <c r="L61" s="16"/>
      <c r="M61" s="16"/>
      <c r="N61" s="16"/>
      <c r="O61" s="16"/>
      <c r="P61" s="16"/>
      <c r="Q61" s="16"/>
      <c r="R61" s="16"/>
      <c r="S61" s="16"/>
      <c r="T61" s="16"/>
      <c r="U61" s="16"/>
      <c r="V61" s="16"/>
      <c r="W61" s="16"/>
      <c r="X61" s="16"/>
      <c r="Y61" s="16"/>
    </row>
    <row r="62" spans="1:25" x14ac:dyDescent="0.2">
      <c r="A62" s="14" t="s">
        <v>150</v>
      </c>
      <c r="B62" s="16"/>
      <c r="C62" s="6"/>
      <c r="D62" s="16" t="s">
        <v>593</v>
      </c>
      <c r="E62" s="6"/>
      <c r="F62" s="16"/>
      <c r="G62" s="16"/>
      <c r="H62" s="16"/>
      <c r="I62" s="16"/>
      <c r="J62" s="16"/>
      <c r="K62" s="16"/>
      <c r="L62" s="16"/>
      <c r="M62" s="16"/>
      <c r="N62" s="16"/>
      <c r="O62" s="16"/>
      <c r="P62" s="16"/>
      <c r="Q62" s="16"/>
      <c r="R62" s="16"/>
      <c r="S62" s="16"/>
      <c r="T62" s="16"/>
      <c r="U62" s="16"/>
      <c r="V62" s="16"/>
      <c r="W62" s="16"/>
      <c r="X62" s="16"/>
      <c r="Y62" s="16"/>
    </row>
    <row r="63" spans="1:25" x14ac:dyDescent="0.2">
      <c r="A63" s="14" t="s">
        <v>150</v>
      </c>
      <c r="B63" s="16"/>
      <c r="C63" s="6"/>
      <c r="D63" s="16" t="s">
        <v>777</v>
      </c>
      <c r="E63" s="6"/>
      <c r="F63" s="16"/>
      <c r="G63" s="16"/>
      <c r="H63" s="16"/>
      <c r="I63" s="16"/>
      <c r="J63" s="16"/>
      <c r="K63" s="16"/>
      <c r="L63" s="16"/>
      <c r="M63" s="16"/>
      <c r="N63" s="16"/>
      <c r="O63" s="16"/>
      <c r="P63" s="16"/>
      <c r="Q63" s="16"/>
      <c r="R63" s="16"/>
      <c r="S63" s="16"/>
      <c r="T63" s="16"/>
      <c r="U63" s="16"/>
      <c r="V63" s="16"/>
      <c r="W63" s="16"/>
      <c r="X63" s="16"/>
      <c r="Y63" s="16"/>
    </row>
    <row r="64" spans="1:25" x14ac:dyDescent="0.2">
      <c r="A64" s="21"/>
      <c r="B64" s="23"/>
      <c r="C64" s="22"/>
      <c r="D64" s="23"/>
      <c r="E64" s="22"/>
      <c r="F64" s="23"/>
      <c r="G64" s="23"/>
      <c r="H64" s="23"/>
      <c r="I64" s="23"/>
      <c r="J64" s="23"/>
      <c r="K64" s="23"/>
      <c r="L64" s="23"/>
      <c r="M64" s="23"/>
      <c r="N64" s="23"/>
      <c r="O64" s="23"/>
      <c r="P64" s="23"/>
      <c r="Q64" s="23"/>
      <c r="R64" s="23"/>
      <c r="S64" s="23"/>
      <c r="T64" s="23"/>
      <c r="U64" s="23"/>
      <c r="V64" s="23"/>
      <c r="W64" s="23"/>
      <c r="X64" s="23"/>
      <c r="Y64" s="23"/>
    </row>
    <row r="65" spans="1:25" x14ac:dyDescent="0.2">
      <c r="A65" s="14" t="s">
        <v>88</v>
      </c>
      <c r="B65" s="16" t="s">
        <v>921</v>
      </c>
      <c r="C65" s="6" t="s">
        <v>922</v>
      </c>
      <c r="D65" s="16" t="s">
        <v>539</v>
      </c>
      <c r="E65" s="6"/>
      <c r="F65" s="16"/>
      <c r="G65" s="16"/>
      <c r="H65" s="16"/>
      <c r="I65" s="16"/>
      <c r="J65" s="16"/>
      <c r="K65" s="16"/>
      <c r="L65" s="16"/>
      <c r="M65" s="16"/>
      <c r="N65" s="16"/>
      <c r="O65" s="16"/>
      <c r="P65" s="16"/>
      <c r="Q65" s="16"/>
      <c r="R65" s="16"/>
      <c r="S65" s="16"/>
      <c r="T65" s="16"/>
      <c r="U65" s="16"/>
      <c r="V65" s="16"/>
      <c r="W65" s="16"/>
      <c r="X65" s="16"/>
      <c r="Y65" s="16"/>
    </row>
    <row r="66" spans="1:25" x14ac:dyDescent="0.2">
      <c r="A66" s="14" t="s">
        <v>88</v>
      </c>
      <c r="B66" s="16"/>
      <c r="C66" s="6"/>
      <c r="D66" s="16" t="s">
        <v>508</v>
      </c>
      <c r="E66" s="6"/>
      <c r="F66" s="16"/>
      <c r="G66" s="16"/>
      <c r="H66" s="16"/>
      <c r="I66" s="16"/>
      <c r="J66" s="16"/>
      <c r="K66" s="16"/>
      <c r="L66" s="16"/>
      <c r="M66" s="16"/>
      <c r="N66" s="16"/>
      <c r="O66" s="16"/>
      <c r="P66" s="16"/>
      <c r="Q66" s="16"/>
      <c r="R66" s="16"/>
      <c r="S66" s="16"/>
      <c r="T66" s="16"/>
      <c r="U66" s="16"/>
      <c r="V66" s="16"/>
      <c r="W66" s="16"/>
      <c r="X66" s="16"/>
      <c r="Y66" s="16"/>
    </row>
    <row r="67" spans="1:25" x14ac:dyDescent="0.2">
      <c r="A67" s="14" t="s">
        <v>88</v>
      </c>
      <c r="B67" s="16"/>
      <c r="C67" s="6"/>
      <c r="D67" s="16" t="s">
        <v>812</v>
      </c>
      <c r="E67" s="6"/>
      <c r="F67" s="16"/>
      <c r="G67" s="16"/>
      <c r="H67" s="16"/>
      <c r="I67" s="16"/>
      <c r="J67" s="16"/>
      <c r="K67" s="16"/>
      <c r="L67" s="16"/>
      <c r="M67" s="16"/>
      <c r="N67" s="16"/>
      <c r="O67" s="16"/>
      <c r="P67" s="16"/>
      <c r="Q67" s="16"/>
      <c r="R67" s="16"/>
      <c r="S67" s="16"/>
      <c r="T67" s="16"/>
      <c r="U67" s="16"/>
      <c r="V67" s="16"/>
      <c r="W67" s="16"/>
      <c r="X67" s="16"/>
      <c r="Y67" s="16"/>
    </row>
    <row r="68" spans="1:25" x14ac:dyDescent="0.2">
      <c r="A68" s="14" t="s">
        <v>88</v>
      </c>
      <c r="B68" s="16"/>
      <c r="C68" s="6"/>
      <c r="D68" s="16" t="s">
        <v>522</v>
      </c>
      <c r="E68" s="6"/>
      <c r="F68" s="16"/>
      <c r="G68" s="16"/>
      <c r="H68" s="16"/>
      <c r="I68" s="16"/>
      <c r="J68" s="16"/>
      <c r="K68" s="16"/>
      <c r="L68" s="16"/>
      <c r="M68" s="16"/>
      <c r="N68" s="16"/>
      <c r="O68" s="16"/>
      <c r="P68" s="16"/>
      <c r="Q68" s="16"/>
      <c r="R68" s="16"/>
      <c r="S68" s="16"/>
      <c r="T68" s="16"/>
      <c r="U68" s="16"/>
      <c r="V68" s="16"/>
      <c r="W68" s="16"/>
      <c r="X68" s="16"/>
      <c r="Y68" s="16"/>
    </row>
    <row r="69" spans="1:25" x14ac:dyDescent="0.2">
      <c r="A69" s="14" t="s">
        <v>88</v>
      </c>
      <c r="B69" s="16"/>
      <c r="C69" s="6"/>
      <c r="D69" s="16" t="s">
        <v>948</v>
      </c>
      <c r="E69" s="6"/>
      <c r="F69" s="16"/>
      <c r="G69" s="16"/>
      <c r="H69" s="16"/>
      <c r="I69" s="16"/>
      <c r="J69" s="16"/>
      <c r="K69" s="16"/>
      <c r="L69" s="16"/>
      <c r="M69" s="16"/>
      <c r="N69" s="16"/>
      <c r="O69" s="16"/>
      <c r="P69" s="16"/>
      <c r="Q69" s="16"/>
      <c r="R69" s="16"/>
      <c r="S69" s="16"/>
      <c r="T69" s="16"/>
      <c r="U69" s="16"/>
      <c r="V69" s="16"/>
      <c r="W69" s="16"/>
      <c r="X69" s="16"/>
      <c r="Y69" s="16"/>
    </row>
    <row r="70" spans="1:25" x14ac:dyDescent="0.2">
      <c r="A70" s="14" t="s">
        <v>88</v>
      </c>
      <c r="B70" s="16"/>
      <c r="C70" s="6"/>
      <c r="D70" s="16" t="s">
        <v>547</v>
      </c>
      <c r="E70" s="6"/>
      <c r="F70" s="16"/>
      <c r="G70" s="16"/>
      <c r="H70" s="16"/>
      <c r="I70" s="16"/>
      <c r="J70" s="16"/>
      <c r="K70" s="16"/>
      <c r="L70" s="16"/>
      <c r="M70" s="16"/>
      <c r="N70" s="16"/>
      <c r="O70" s="16"/>
      <c r="P70" s="16"/>
      <c r="Q70" s="16"/>
      <c r="R70" s="16"/>
      <c r="S70" s="16"/>
      <c r="T70" s="16"/>
      <c r="U70" s="16"/>
      <c r="V70" s="16"/>
      <c r="W70" s="16"/>
      <c r="X70" s="16"/>
      <c r="Y70" s="16"/>
    </row>
    <row r="71" spans="1:25" x14ac:dyDescent="0.2">
      <c r="A71" s="21"/>
      <c r="B71" s="23"/>
      <c r="C71" s="22"/>
      <c r="D71" s="23"/>
      <c r="E71" s="22"/>
      <c r="F71" s="23"/>
      <c r="G71" s="23"/>
      <c r="H71" s="23"/>
      <c r="I71" s="23"/>
      <c r="J71" s="23"/>
      <c r="K71" s="23"/>
      <c r="L71" s="23"/>
      <c r="M71" s="23"/>
      <c r="N71" s="23"/>
      <c r="O71" s="23"/>
      <c r="P71" s="23"/>
      <c r="Q71" s="23"/>
      <c r="R71" s="23"/>
      <c r="S71" s="23"/>
      <c r="T71" s="23"/>
      <c r="U71" s="23"/>
      <c r="V71" s="23"/>
      <c r="W71" s="23"/>
      <c r="X71" s="23"/>
      <c r="Y71" s="23"/>
    </row>
    <row r="72" spans="1:25" x14ac:dyDescent="0.2">
      <c r="A72" s="14" t="s">
        <v>168</v>
      </c>
      <c r="B72" s="16" t="s">
        <v>965</v>
      </c>
      <c r="C72" s="6" t="s">
        <v>966</v>
      </c>
      <c r="D72" s="16" t="s">
        <v>568</v>
      </c>
      <c r="E72" s="6"/>
      <c r="F72" s="16"/>
      <c r="G72" s="16"/>
      <c r="H72" s="16"/>
      <c r="I72" s="16"/>
      <c r="J72" s="16"/>
      <c r="K72" s="16"/>
      <c r="L72" s="16"/>
      <c r="M72" s="16"/>
      <c r="N72" s="16"/>
      <c r="O72" s="16"/>
      <c r="P72" s="16"/>
      <c r="Q72" s="16"/>
      <c r="R72" s="16"/>
      <c r="S72" s="16"/>
      <c r="T72" s="16"/>
      <c r="U72" s="16"/>
      <c r="V72" s="16"/>
      <c r="W72" s="16"/>
      <c r="X72" s="16"/>
      <c r="Y72" s="16"/>
    </row>
    <row r="73" spans="1:25" x14ac:dyDescent="0.2">
      <c r="A73" s="21"/>
      <c r="B73" s="23"/>
      <c r="C73" s="22"/>
      <c r="D73" s="23"/>
      <c r="E73" s="22"/>
      <c r="F73" s="23"/>
      <c r="G73" s="23"/>
      <c r="H73" s="23"/>
      <c r="I73" s="23"/>
      <c r="J73" s="23"/>
      <c r="K73" s="23"/>
      <c r="L73" s="23"/>
      <c r="M73" s="23"/>
      <c r="N73" s="23"/>
      <c r="O73" s="23"/>
      <c r="P73" s="23"/>
      <c r="Q73" s="23"/>
      <c r="R73" s="23"/>
      <c r="S73" s="23"/>
      <c r="T73" s="23"/>
      <c r="U73" s="23"/>
      <c r="V73" s="23"/>
      <c r="W73" s="23"/>
      <c r="X73" s="23"/>
      <c r="Y73" s="23"/>
    </row>
    <row r="74" spans="1:25" x14ac:dyDescent="0.2">
      <c r="A74" s="14" t="s">
        <v>181</v>
      </c>
      <c r="B74" s="16" t="s">
        <v>982</v>
      </c>
      <c r="C74" s="6"/>
      <c r="D74" s="16" t="s">
        <v>91</v>
      </c>
      <c r="E74" s="6"/>
      <c r="F74" s="16"/>
      <c r="G74" s="16"/>
      <c r="H74" s="16"/>
      <c r="I74" s="16"/>
      <c r="J74" s="16"/>
      <c r="K74" s="16"/>
      <c r="L74" s="16"/>
      <c r="M74" s="16"/>
      <c r="N74" s="16"/>
      <c r="O74" s="16"/>
      <c r="P74" s="16"/>
      <c r="Q74" s="16"/>
      <c r="R74" s="16"/>
      <c r="S74" s="16"/>
      <c r="T74" s="16"/>
      <c r="U74" s="16"/>
      <c r="V74" s="16"/>
      <c r="W74" s="16"/>
      <c r="X74" s="16"/>
      <c r="Y74" s="16"/>
    </row>
    <row r="75" spans="1:25" x14ac:dyDescent="0.2">
      <c r="A75" s="14" t="s">
        <v>181</v>
      </c>
      <c r="B75" s="16"/>
      <c r="C75" s="6"/>
      <c r="D75" s="16" t="s">
        <v>508</v>
      </c>
      <c r="E75" s="6"/>
      <c r="F75" s="16"/>
      <c r="G75" s="16"/>
      <c r="H75" s="16"/>
      <c r="I75" s="16"/>
      <c r="J75" s="16"/>
      <c r="K75" s="16"/>
      <c r="L75" s="16"/>
      <c r="M75" s="16"/>
      <c r="N75" s="16"/>
      <c r="O75" s="16"/>
      <c r="P75" s="16"/>
      <c r="Q75" s="16"/>
      <c r="R75" s="16"/>
      <c r="S75" s="16"/>
      <c r="T75" s="16"/>
      <c r="U75" s="16"/>
      <c r="V75" s="16"/>
      <c r="W75" s="16"/>
      <c r="X75" s="16"/>
      <c r="Y75" s="16"/>
    </row>
    <row r="76" spans="1:25" x14ac:dyDescent="0.2">
      <c r="A76" s="14" t="s">
        <v>181</v>
      </c>
      <c r="B76" s="16"/>
      <c r="C76" s="6"/>
      <c r="D76" s="16" t="s">
        <v>547</v>
      </c>
      <c r="E76" s="6"/>
      <c r="F76" s="16"/>
      <c r="G76" s="16"/>
      <c r="H76" s="16"/>
      <c r="I76" s="16"/>
      <c r="J76" s="16"/>
      <c r="K76" s="16"/>
      <c r="L76" s="16"/>
      <c r="M76" s="16"/>
      <c r="N76" s="16"/>
      <c r="O76" s="16"/>
      <c r="P76" s="16"/>
      <c r="Q76" s="16"/>
      <c r="R76" s="16"/>
      <c r="S76" s="16"/>
      <c r="T76" s="16"/>
      <c r="U76" s="16"/>
      <c r="V76" s="16"/>
      <c r="W76" s="16"/>
      <c r="X76" s="16"/>
      <c r="Y76" s="16"/>
    </row>
    <row r="77" spans="1:25" x14ac:dyDescent="0.2">
      <c r="A77" s="21"/>
      <c r="B77" s="23"/>
      <c r="C77" s="22"/>
      <c r="D77" s="23"/>
      <c r="E77" s="22"/>
      <c r="F77" s="23"/>
      <c r="G77" s="23"/>
      <c r="H77" s="23"/>
      <c r="I77" s="23"/>
      <c r="J77" s="23"/>
      <c r="K77" s="23"/>
      <c r="L77" s="23"/>
      <c r="M77" s="23"/>
      <c r="N77" s="23"/>
      <c r="O77" s="23"/>
      <c r="P77" s="23"/>
      <c r="Q77" s="23"/>
      <c r="R77" s="23"/>
      <c r="S77" s="23"/>
      <c r="T77" s="23"/>
      <c r="U77" s="23"/>
      <c r="V77" s="23"/>
      <c r="W77" s="23"/>
      <c r="X77" s="23"/>
      <c r="Y77" s="23"/>
    </row>
    <row r="78" spans="1:25" x14ac:dyDescent="0.2">
      <c r="A78" s="14" t="s">
        <v>191</v>
      </c>
      <c r="B78" s="16" t="s">
        <v>507</v>
      </c>
      <c r="C78" s="6" t="s">
        <v>998</v>
      </c>
      <c r="D78" s="16" t="s">
        <v>568</v>
      </c>
      <c r="E78" s="6"/>
      <c r="F78" s="16"/>
      <c r="G78" s="16"/>
      <c r="H78" s="16"/>
      <c r="I78" s="16"/>
      <c r="J78" s="16"/>
      <c r="K78" s="16"/>
      <c r="L78" s="16"/>
      <c r="M78" s="16"/>
      <c r="N78" s="16"/>
      <c r="O78" s="16"/>
      <c r="P78" s="16"/>
      <c r="Q78" s="16"/>
      <c r="R78" s="16"/>
      <c r="S78" s="16"/>
      <c r="T78" s="16"/>
      <c r="U78" s="16"/>
      <c r="V78" s="16"/>
      <c r="W78" s="16"/>
      <c r="X78" s="16"/>
      <c r="Y78" s="16"/>
    </row>
    <row r="79" spans="1:25" x14ac:dyDescent="0.2">
      <c r="A79" s="14" t="s">
        <v>191</v>
      </c>
      <c r="B79" s="16"/>
      <c r="C79" s="6"/>
      <c r="D79" s="16" t="s">
        <v>708</v>
      </c>
      <c r="E79" s="6"/>
      <c r="F79" s="16"/>
      <c r="G79" s="16"/>
      <c r="H79" s="16"/>
      <c r="I79" s="16"/>
      <c r="J79" s="16"/>
      <c r="K79" s="16"/>
      <c r="L79" s="16"/>
      <c r="M79" s="16"/>
      <c r="N79" s="16"/>
      <c r="O79" s="16"/>
      <c r="P79" s="16"/>
      <c r="Q79" s="16"/>
      <c r="R79" s="16"/>
      <c r="S79" s="16"/>
      <c r="T79" s="16"/>
      <c r="U79" s="16"/>
      <c r="V79" s="16"/>
      <c r="W79" s="16"/>
      <c r="X79" s="16"/>
      <c r="Y79" s="16"/>
    </row>
    <row r="80" spans="1:25" x14ac:dyDescent="0.2">
      <c r="A80" s="14" t="s">
        <v>191</v>
      </c>
      <c r="B80" s="16"/>
      <c r="C80" s="6"/>
      <c r="D80" s="16" t="s">
        <v>508</v>
      </c>
      <c r="E80" s="6"/>
      <c r="F80" s="16"/>
      <c r="G80" s="16"/>
      <c r="H80" s="16"/>
      <c r="I80" s="16"/>
      <c r="J80" s="16"/>
      <c r="K80" s="16"/>
      <c r="L80" s="16"/>
      <c r="M80" s="16"/>
      <c r="N80" s="16"/>
      <c r="O80" s="16"/>
      <c r="P80" s="16"/>
      <c r="Q80" s="16"/>
      <c r="R80" s="16"/>
      <c r="S80" s="16"/>
      <c r="T80" s="16"/>
      <c r="U80" s="16"/>
      <c r="V80" s="16"/>
      <c r="W80" s="16"/>
      <c r="X80" s="16"/>
      <c r="Y80" s="16"/>
    </row>
    <row r="81" spans="1:25" x14ac:dyDescent="0.2">
      <c r="A81" s="14" t="s">
        <v>191</v>
      </c>
      <c r="B81" s="16"/>
      <c r="C81" s="6"/>
      <c r="D81" s="16" t="s">
        <v>626</v>
      </c>
      <c r="E81" s="6"/>
      <c r="F81" s="16"/>
      <c r="G81" s="16"/>
      <c r="H81" s="16"/>
      <c r="I81" s="16"/>
      <c r="J81" s="16"/>
      <c r="K81" s="16"/>
      <c r="L81" s="16"/>
      <c r="M81" s="16"/>
      <c r="N81" s="16"/>
      <c r="O81" s="16"/>
      <c r="P81" s="16"/>
      <c r="Q81" s="16"/>
      <c r="R81" s="16"/>
      <c r="S81" s="16"/>
      <c r="T81" s="16"/>
      <c r="U81" s="16"/>
      <c r="V81" s="16"/>
      <c r="W81" s="16"/>
      <c r="X81" s="16"/>
      <c r="Y81" s="16"/>
    </row>
    <row r="82" spans="1:25" x14ac:dyDescent="0.2">
      <c r="A82" s="14" t="s">
        <v>191</v>
      </c>
      <c r="B82" s="16"/>
      <c r="C82" s="6"/>
      <c r="D82" s="16" t="s">
        <v>1021</v>
      </c>
      <c r="E82" s="6"/>
      <c r="F82" s="16"/>
      <c r="G82" s="16"/>
      <c r="H82" s="16"/>
      <c r="I82" s="16"/>
      <c r="J82" s="16"/>
      <c r="K82" s="16"/>
      <c r="L82" s="16"/>
      <c r="M82" s="16"/>
      <c r="N82" s="16"/>
      <c r="O82" s="16"/>
      <c r="P82" s="16"/>
      <c r="Q82" s="16"/>
      <c r="R82" s="16"/>
      <c r="S82" s="16"/>
      <c r="T82" s="16"/>
      <c r="U82" s="16"/>
      <c r="V82" s="16"/>
      <c r="W82" s="16"/>
      <c r="X82" s="16"/>
      <c r="Y82" s="16"/>
    </row>
    <row r="83" spans="1:25" x14ac:dyDescent="0.2">
      <c r="A83" s="21"/>
      <c r="B83" s="23"/>
      <c r="C83" s="22"/>
      <c r="D83" s="23"/>
      <c r="E83" s="22"/>
      <c r="F83" s="23"/>
      <c r="G83" s="23"/>
      <c r="H83" s="23"/>
      <c r="I83" s="23"/>
      <c r="J83" s="23"/>
      <c r="K83" s="23"/>
      <c r="L83" s="23"/>
      <c r="M83" s="23"/>
      <c r="N83" s="23"/>
      <c r="O83" s="23"/>
      <c r="P83" s="23"/>
      <c r="Q83" s="23"/>
      <c r="R83" s="23"/>
      <c r="S83" s="23"/>
      <c r="T83" s="23"/>
      <c r="U83" s="23"/>
      <c r="V83" s="23"/>
      <c r="W83" s="23"/>
      <c r="X83" s="23"/>
      <c r="Y83" s="23"/>
    </row>
    <row r="84" spans="1:25" x14ac:dyDescent="0.2">
      <c r="A84" s="14" t="s">
        <v>201</v>
      </c>
      <c r="B84" s="16" t="s">
        <v>1039</v>
      </c>
      <c r="C84" s="6"/>
      <c r="D84" s="16" t="s">
        <v>204</v>
      </c>
      <c r="E84" s="6"/>
      <c r="F84" s="16"/>
      <c r="G84" s="16"/>
      <c r="H84" s="16"/>
      <c r="I84" s="16"/>
      <c r="J84" s="16"/>
      <c r="K84" s="16"/>
      <c r="L84" s="16"/>
      <c r="M84" s="16"/>
      <c r="N84" s="16"/>
      <c r="O84" s="16"/>
      <c r="P84" s="16"/>
      <c r="Q84" s="16"/>
      <c r="R84" s="16"/>
      <c r="S84" s="16"/>
      <c r="T84" s="16"/>
      <c r="U84" s="16"/>
      <c r="V84" s="16"/>
      <c r="W84" s="16"/>
      <c r="X84" s="16"/>
      <c r="Y84" s="16"/>
    </row>
    <row r="85" spans="1:25" x14ac:dyDescent="0.2">
      <c r="A85" s="14" t="s">
        <v>201</v>
      </c>
      <c r="B85" s="16"/>
      <c r="C85" s="6"/>
      <c r="D85" s="16" t="s">
        <v>522</v>
      </c>
      <c r="E85" s="6"/>
      <c r="F85" s="16"/>
      <c r="G85" s="16"/>
      <c r="H85" s="16"/>
      <c r="I85" s="16"/>
      <c r="J85" s="16"/>
      <c r="K85" s="16"/>
      <c r="L85" s="16"/>
      <c r="M85" s="16"/>
      <c r="N85" s="16"/>
      <c r="O85" s="16"/>
      <c r="P85" s="16"/>
      <c r="Q85" s="16"/>
      <c r="R85" s="16"/>
      <c r="S85" s="16"/>
      <c r="T85" s="16"/>
      <c r="U85" s="16"/>
      <c r="V85" s="16"/>
      <c r="W85" s="16"/>
      <c r="X85" s="16"/>
      <c r="Y85" s="16"/>
    </row>
    <row r="86" spans="1:25" x14ac:dyDescent="0.2">
      <c r="A86" s="14" t="s">
        <v>201</v>
      </c>
      <c r="B86" s="16"/>
      <c r="C86" s="6"/>
      <c r="D86" s="16" t="s">
        <v>115</v>
      </c>
      <c r="E86" s="6"/>
      <c r="F86" s="16"/>
      <c r="G86" s="16"/>
      <c r="H86" s="16"/>
      <c r="I86" s="16"/>
      <c r="J86" s="16"/>
      <c r="K86" s="16"/>
      <c r="L86" s="16"/>
      <c r="M86" s="16"/>
      <c r="N86" s="16"/>
      <c r="O86" s="16"/>
      <c r="P86" s="16"/>
      <c r="Q86" s="16"/>
      <c r="R86" s="16"/>
      <c r="S86" s="16"/>
      <c r="T86" s="16"/>
      <c r="U86" s="16"/>
      <c r="V86" s="16"/>
      <c r="W86" s="16"/>
      <c r="X86" s="16"/>
      <c r="Y86" s="16"/>
    </row>
    <row r="87" spans="1:25" x14ac:dyDescent="0.2">
      <c r="A87" s="21"/>
      <c r="B87" s="23"/>
      <c r="C87" s="22"/>
      <c r="D87" s="23"/>
      <c r="E87" s="22"/>
      <c r="F87" s="23"/>
      <c r="G87" s="23"/>
      <c r="H87" s="23"/>
      <c r="I87" s="23"/>
      <c r="J87" s="23"/>
      <c r="K87" s="23"/>
      <c r="L87" s="23"/>
      <c r="M87" s="23"/>
      <c r="N87" s="23"/>
      <c r="O87" s="23"/>
      <c r="P87" s="23"/>
      <c r="Q87" s="23"/>
      <c r="R87" s="23"/>
      <c r="S87" s="23"/>
      <c r="T87" s="23"/>
      <c r="U87" s="23"/>
      <c r="V87" s="23"/>
      <c r="W87" s="23"/>
      <c r="X87" s="23"/>
      <c r="Y87" s="23"/>
    </row>
    <row r="88" spans="1:25" x14ac:dyDescent="0.2">
      <c r="A88" s="14" t="s">
        <v>214</v>
      </c>
      <c r="B88" s="16" t="s">
        <v>1062</v>
      </c>
      <c r="C88" s="6"/>
      <c r="D88" s="16" t="s">
        <v>884</v>
      </c>
      <c r="E88" s="6"/>
      <c r="F88" s="16"/>
      <c r="G88" s="16"/>
      <c r="H88" s="16"/>
      <c r="I88" s="16"/>
      <c r="J88" s="16"/>
      <c r="K88" s="16"/>
      <c r="L88" s="16"/>
      <c r="M88" s="16"/>
      <c r="N88" s="16"/>
      <c r="O88" s="16"/>
      <c r="P88" s="16"/>
      <c r="Q88" s="16"/>
      <c r="R88" s="16"/>
      <c r="S88" s="16"/>
      <c r="T88" s="16"/>
      <c r="U88" s="16"/>
      <c r="V88" s="16"/>
      <c r="W88" s="16"/>
      <c r="X88" s="16"/>
      <c r="Y88" s="16"/>
    </row>
    <row r="89" spans="1:25" x14ac:dyDescent="0.2">
      <c r="A89" s="21"/>
      <c r="B89" s="23"/>
      <c r="C89" s="22"/>
      <c r="D89" s="23"/>
      <c r="E89" s="22"/>
      <c r="F89" s="23"/>
      <c r="G89" s="23"/>
      <c r="H89" s="23"/>
      <c r="I89" s="23"/>
      <c r="J89" s="23"/>
      <c r="K89" s="23"/>
      <c r="L89" s="23"/>
      <c r="M89" s="23"/>
      <c r="N89" s="23"/>
      <c r="O89" s="23"/>
      <c r="P89" s="23"/>
      <c r="Q89" s="23"/>
      <c r="R89" s="23"/>
      <c r="S89" s="23"/>
      <c r="T89" s="23"/>
      <c r="U89" s="23"/>
      <c r="V89" s="23"/>
      <c r="W89" s="23"/>
      <c r="X89" s="23"/>
      <c r="Y89" s="23"/>
    </row>
    <row r="90" spans="1:25" x14ac:dyDescent="0.2">
      <c r="A90" s="14" t="s">
        <v>58</v>
      </c>
      <c r="B90" s="16" t="s">
        <v>1072</v>
      </c>
      <c r="C90" s="6"/>
      <c r="D90" s="16" t="s">
        <v>91</v>
      </c>
      <c r="E90" s="6"/>
      <c r="F90" s="16"/>
      <c r="G90" s="16"/>
      <c r="H90" s="16"/>
      <c r="I90" s="16"/>
      <c r="J90" s="16"/>
      <c r="K90" s="16"/>
      <c r="L90" s="16"/>
      <c r="M90" s="16"/>
      <c r="N90" s="16"/>
      <c r="O90" s="16"/>
      <c r="P90" s="16"/>
      <c r="Q90" s="16"/>
      <c r="R90" s="16"/>
      <c r="S90" s="16"/>
      <c r="T90" s="16"/>
      <c r="U90" s="16"/>
      <c r="V90" s="16"/>
      <c r="W90" s="16"/>
      <c r="X90" s="16"/>
      <c r="Y90" s="16"/>
    </row>
    <row r="91" spans="1:25" x14ac:dyDescent="0.2">
      <c r="A91" s="14" t="s">
        <v>58</v>
      </c>
      <c r="B91" s="16"/>
      <c r="C91" s="6"/>
      <c r="D91" s="16" t="s">
        <v>72</v>
      </c>
      <c r="E91" s="6"/>
      <c r="F91" s="16"/>
      <c r="G91" s="16"/>
      <c r="H91" s="16"/>
      <c r="I91" s="16"/>
      <c r="J91" s="16"/>
      <c r="K91" s="16"/>
      <c r="L91" s="16"/>
      <c r="M91" s="16"/>
      <c r="N91" s="16"/>
      <c r="O91" s="16"/>
      <c r="P91" s="16"/>
      <c r="Q91" s="16"/>
      <c r="R91" s="16"/>
      <c r="S91" s="16"/>
      <c r="T91" s="16"/>
      <c r="U91" s="16"/>
      <c r="V91" s="16"/>
      <c r="W91" s="16"/>
      <c r="X91" s="16"/>
      <c r="Y91" s="16"/>
    </row>
    <row r="92" spans="1:25" x14ac:dyDescent="0.2">
      <c r="A92" s="14" t="s">
        <v>58</v>
      </c>
      <c r="B92" s="16"/>
      <c r="C92" s="6"/>
      <c r="D92" s="16" t="s">
        <v>522</v>
      </c>
      <c r="E92" s="6"/>
      <c r="F92" s="16"/>
      <c r="G92" s="16"/>
      <c r="H92" s="16"/>
      <c r="I92" s="16"/>
      <c r="J92" s="16"/>
      <c r="K92" s="16"/>
      <c r="L92" s="16"/>
      <c r="M92" s="16"/>
      <c r="N92" s="16"/>
      <c r="O92" s="16"/>
      <c r="P92" s="16"/>
      <c r="Q92" s="16"/>
      <c r="R92" s="16"/>
      <c r="S92" s="16"/>
      <c r="T92" s="16"/>
      <c r="U92" s="16"/>
      <c r="V92" s="16"/>
      <c r="W92" s="16"/>
      <c r="X92" s="16"/>
      <c r="Y92" s="16"/>
    </row>
    <row r="93" spans="1:25" x14ac:dyDescent="0.2">
      <c r="A93" s="14" t="s">
        <v>58</v>
      </c>
      <c r="B93" s="16"/>
      <c r="C93" s="6"/>
      <c r="D93" s="16" t="s">
        <v>115</v>
      </c>
      <c r="E93" s="6"/>
      <c r="F93" s="16"/>
      <c r="G93" s="16"/>
      <c r="H93" s="16"/>
      <c r="I93" s="16"/>
      <c r="J93" s="16"/>
      <c r="K93" s="16"/>
      <c r="L93" s="16"/>
      <c r="M93" s="16"/>
      <c r="N93" s="16"/>
      <c r="O93" s="16"/>
      <c r="P93" s="16"/>
      <c r="Q93" s="16"/>
      <c r="R93" s="16"/>
      <c r="S93" s="16"/>
      <c r="T93" s="16"/>
      <c r="U93" s="16"/>
      <c r="V93" s="16"/>
      <c r="W93" s="16"/>
      <c r="X93" s="16"/>
      <c r="Y93" s="16"/>
    </row>
    <row r="94" spans="1:25" x14ac:dyDescent="0.2">
      <c r="A94" s="21"/>
      <c r="B94" s="23"/>
      <c r="C94" s="22"/>
      <c r="D94" s="23"/>
      <c r="E94" s="22"/>
      <c r="F94" s="23"/>
      <c r="G94" s="23"/>
      <c r="H94" s="23"/>
      <c r="I94" s="23"/>
      <c r="J94" s="23"/>
      <c r="K94" s="23"/>
      <c r="L94" s="23"/>
      <c r="M94" s="23"/>
      <c r="N94" s="23"/>
      <c r="O94" s="23"/>
      <c r="P94" s="23"/>
      <c r="Q94" s="23"/>
      <c r="R94" s="23"/>
      <c r="S94" s="23"/>
      <c r="T94" s="23"/>
      <c r="U94" s="23"/>
      <c r="V94" s="23"/>
      <c r="W94" s="23"/>
      <c r="X94" s="23"/>
      <c r="Y94" s="23"/>
    </row>
    <row r="95" spans="1:25" x14ac:dyDescent="0.2">
      <c r="A95" s="14" t="s">
        <v>233</v>
      </c>
      <c r="B95" s="16" t="s">
        <v>1112</v>
      </c>
      <c r="C95" s="6"/>
      <c r="D95" s="16" t="s">
        <v>725</v>
      </c>
      <c r="E95" s="6"/>
      <c r="F95" s="16"/>
      <c r="G95" s="16"/>
      <c r="H95" s="16"/>
      <c r="I95" s="16"/>
      <c r="J95" s="16"/>
      <c r="K95" s="16"/>
      <c r="L95" s="16"/>
      <c r="M95" s="16"/>
      <c r="N95" s="16"/>
      <c r="O95" s="16"/>
      <c r="P95" s="16"/>
      <c r="Q95" s="16"/>
      <c r="R95" s="16"/>
      <c r="S95" s="16"/>
      <c r="T95" s="16"/>
      <c r="U95" s="16"/>
      <c r="V95" s="16"/>
      <c r="W95" s="16"/>
      <c r="X95" s="16"/>
      <c r="Y95" s="16"/>
    </row>
    <row r="96" spans="1:25" x14ac:dyDescent="0.2">
      <c r="A96" s="14" t="s">
        <v>233</v>
      </c>
      <c r="B96" s="16"/>
      <c r="C96" s="6"/>
      <c r="D96" s="16" t="s">
        <v>734</v>
      </c>
      <c r="E96" s="6"/>
      <c r="F96" s="16"/>
      <c r="G96" s="16"/>
      <c r="H96" s="16"/>
      <c r="I96" s="16"/>
      <c r="J96" s="16"/>
      <c r="K96" s="16"/>
      <c r="L96" s="16"/>
      <c r="M96" s="16"/>
      <c r="N96" s="16"/>
      <c r="O96" s="16"/>
      <c r="P96" s="16"/>
      <c r="Q96" s="16"/>
      <c r="R96" s="16"/>
      <c r="S96" s="16"/>
      <c r="T96" s="16"/>
      <c r="U96" s="16"/>
      <c r="V96" s="16"/>
      <c r="W96" s="16"/>
      <c r="X96" s="16"/>
      <c r="Y96" s="16"/>
    </row>
    <row r="97" spans="1:25" x14ac:dyDescent="0.2">
      <c r="A97" s="21"/>
      <c r="B97" s="23"/>
      <c r="C97" s="22"/>
      <c r="D97" s="23"/>
      <c r="E97" s="22"/>
      <c r="F97" s="23"/>
      <c r="G97" s="23"/>
      <c r="H97" s="23"/>
      <c r="I97" s="23"/>
      <c r="J97" s="23"/>
      <c r="K97" s="23"/>
      <c r="L97" s="23"/>
      <c r="M97" s="23"/>
      <c r="N97" s="23"/>
      <c r="O97" s="23"/>
      <c r="P97" s="23"/>
      <c r="Q97" s="23"/>
      <c r="R97" s="23"/>
      <c r="S97" s="23"/>
      <c r="T97" s="23"/>
      <c r="U97" s="23"/>
      <c r="V97" s="23"/>
      <c r="W97" s="23"/>
      <c r="X97" s="23"/>
      <c r="Y97" s="23"/>
    </row>
    <row r="98" spans="1:25" x14ac:dyDescent="0.2">
      <c r="A98" s="14" t="s">
        <v>242</v>
      </c>
      <c r="B98" s="16" t="s">
        <v>1126</v>
      </c>
      <c r="C98" s="6"/>
      <c r="D98" s="16" t="s">
        <v>568</v>
      </c>
      <c r="E98" s="6"/>
      <c r="F98" s="16"/>
      <c r="G98" s="16"/>
      <c r="H98" s="16"/>
      <c r="I98" s="16"/>
      <c r="J98" s="16"/>
      <c r="K98" s="16"/>
      <c r="L98" s="16"/>
      <c r="M98" s="16"/>
      <c r="N98" s="16"/>
      <c r="O98" s="16"/>
      <c r="P98" s="16"/>
      <c r="Q98" s="16"/>
      <c r="R98" s="16"/>
      <c r="S98" s="16"/>
      <c r="T98" s="16"/>
      <c r="U98" s="16"/>
      <c r="V98" s="16"/>
      <c r="W98" s="16"/>
      <c r="X98" s="16"/>
      <c r="Y98" s="16"/>
    </row>
    <row r="99" spans="1:25" x14ac:dyDescent="0.2">
      <c r="A99" s="14" t="s">
        <v>242</v>
      </c>
      <c r="B99" s="16"/>
      <c r="C99" s="6"/>
      <c r="D99" s="16" t="s">
        <v>708</v>
      </c>
      <c r="E99" s="6"/>
      <c r="F99" s="16"/>
      <c r="G99" s="16"/>
      <c r="H99" s="16"/>
      <c r="I99" s="16"/>
      <c r="J99" s="16"/>
      <c r="K99" s="16"/>
      <c r="L99" s="16"/>
      <c r="M99" s="16"/>
      <c r="N99" s="16"/>
      <c r="O99" s="16"/>
      <c r="P99" s="16"/>
      <c r="Q99" s="16"/>
      <c r="R99" s="16"/>
      <c r="S99" s="16"/>
      <c r="T99" s="16"/>
      <c r="U99" s="16"/>
      <c r="V99" s="16"/>
      <c r="W99" s="16"/>
      <c r="X99" s="16"/>
      <c r="Y99" s="16"/>
    </row>
    <row r="100" spans="1:25" x14ac:dyDescent="0.2">
      <c r="A100" s="21"/>
      <c r="B100" s="23"/>
      <c r="C100" s="22"/>
      <c r="D100" s="23"/>
      <c r="E100" s="22"/>
      <c r="F100" s="23"/>
      <c r="G100" s="23"/>
      <c r="H100" s="23"/>
      <c r="I100" s="23"/>
      <c r="J100" s="23"/>
      <c r="K100" s="23"/>
      <c r="L100" s="23"/>
      <c r="M100" s="23"/>
      <c r="N100" s="23"/>
      <c r="O100" s="23"/>
      <c r="P100" s="23"/>
      <c r="Q100" s="23"/>
      <c r="R100" s="23"/>
      <c r="S100" s="23"/>
      <c r="T100" s="23"/>
      <c r="U100" s="23"/>
      <c r="V100" s="23"/>
      <c r="W100" s="23"/>
      <c r="X100" s="23"/>
      <c r="Y100" s="23"/>
    </row>
    <row r="101" spans="1:25" x14ac:dyDescent="0.2">
      <c r="A101" s="14" t="s">
        <v>249</v>
      </c>
      <c r="B101" s="16" t="s">
        <v>1143</v>
      </c>
      <c r="C101" s="6"/>
      <c r="D101" s="16" t="s">
        <v>568</v>
      </c>
      <c r="E101" s="6"/>
      <c r="F101" s="16"/>
      <c r="G101" s="16"/>
      <c r="H101" s="16"/>
      <c r="I101" s="16"/>
      <c r="J101" s="16"/>
      <c r="K101" s="16"/>
      <c r="L101" s="16"/>
      <c r="M101" s="16"/>
      <c r="N101" s="16"/>
      <c r="O101" s="16"/>
      <c r="P101" s="16"/>
      <c r="Q101" s="16"/>
      <c r="R101" s="16"/>
      <c r="S101" s="16"/>
      <c r="T101" s="16"/>
      <c r="U101" s="16"/>
      <c r="V101" s="16"/>
      <c r="W101" s="16"/>
      <c r="X101" s="16"/>
      <c r="Y101" s="16"/>
    </row>
    <row r="102" spans="1:25" x14ac:dyDescent="0.2">
      <c r="A102" s="14" t="s">
        <v>249</v>
      </c>
      <c r="B102" s="16"/>
      <c r="C102" s="6"/>
      <c r="D102" s="16" t="s">
        <v>708</v>
      </c>
      <c r="E102" s="6"/>
      <c r="F102" s="16"/>
      <c r="G102" s="16"/>
      <c r="H102" s="16"/>
      <c r="I102" s="16"/>
      <c r="J102" s="16"/>
      <c r="K102" s="16"/>
      <c r="L102" s="16"/>
      <c r="M102" s="16"/>
      <c r="N102" s="16"/>
      <c r="O102" s="16"/>
      <c r="P102" s="16"/>
      <c r="Q102" s="16"/>
      <c r="R102" s="16"/>
      <c r="S102" s="16"/>
      <c r="T102" s="16"/>
      <c r="U102" s="16"/>
      <c r="V102" s="16"/>
      <c r="W102" s="16"/>
      <c r="X102" s="16"/>
      <c r="Y102" s="16"/>
    </row>
    <row r="103" spans="1:25" x14ac:dyDescent="0.2">
      <c r="A103" s="21"/>
      <c r="B103" s="23"/>
      <c r="C103" s="22"/>
      <c r="D103" s="23"/>
      <c r="E103" s="22"/>
      <c r="F103" s="23"/>
      <c r="G103" s="23"/>
      <c r="H103" s="23"/>
      <c r="I103" s="23"/>
      <c r="J103" s="23"/>
      <c r="K103" s="23"/>
      <c r="L103" s="23"/>
      <c r="M103" s="23"/>
      <c r="N103" s="23"/>
      <c r="O103" s="23"/>
      <c r="P103" s="23"/>
      <c r="Q103" s="23"/>
      <c r="R103" s="23"/>
      <c r="S103" s="23"/>
      <c r="T103" s="23"/>
      <c r="U103" s="23"/>
      <c r="V103" s="23"/>
      <c r="W103" s="23"/>
      <c r="X103" s="23"/>
      <c r="Y103" s="23"/>
    </row>
    <row r="104" spans="1:25" x14ac:dyDescent="0.2">
      <c r="A104" s="14" t="s">
        <v>73</v>
      </c>
      <c r="B104" s="16" t="s">
        <v>1161</v>
      </c>
      <c r="C104" s="6"/>
      <c r="D104" s="16" t="s">
        <v>91</v>
      </c>
      <c r="E104" s="6"/>
      <c r="F104" s="16"/>
      <c r="G104" s="16"/>
      <c r="H104" s="16"/>
      <c r="I104" s="16"/>
      <c r="J104" s="16"/>
      <c r="K104" s="16"/>
      <c r="L104" s="16"/>
      <c r="M104" s="16"/>
      <c r="N104" s="16"/>
      <c r="O104" s="16"/>
      <c r="P104" s="16"/>
      <c r="Q104" s="16"/>
      <c r="R104" s="16"/>
      <c r="S104" s="16"/>
      <c r="T104" s="16"/>
      <c r="U104" s="16"/>
      <c r="V104" s="16"/>
      <c r="W104" s="16"/>
      <c r="X104" s="16"/>
      <c r="Y104" s="16"/>
    </row>
    <row r="105" spans="1:25" x14ac:dyDescent="0.2">
      <c r="A105" s="14" t="s">
        <v>73</v>
      </c>
      <c r="B105" s="16"/>
      <c r="C105" s="6"/>
      <c r="D105" s="16" t="s">
        <v>72</v>
      </c>
      <c r="E105" s="6"/>
      <c r="F105" s="16"/>
      <c r="G105" s="16"/>
      <c r="H105" s="16"/>
      <c r="I105" s="16"/>
      <c r="J105" s="16"/>
      <c r="K105" s="16"/>
      <c r="L105" s="16"/>
      <c r="M105" s="16"/>
      <c r="N105" s="16"/>
      <c r="O105" s="16"/>
      <c r="P105" s="16"/>
      <c r="Q105" s="16"/>
      <c r="R105" s="16"/>
      <c r="S105" s="16"/>
      <c r="T105" s="16"/>
      <c r="U105" s="16"/>
      <c r="V105" s="16"/>
      <c r="W105" s="16"/>
      <c r="X105" s="16"/>
      <c r="Y105" s="16"/>
    </row>
    <row r="106" spans="1:25" x14ac:dyDescent="0.2">
      <c r="A106" s="21"/>
      <c r="B106" s="23"/>
      <c r="C106" s="22"/>
      <c r="D106" s="23"/>
      <c r="E106" s="22"/>
      <c r="F106" s="23"/>
      <c r="G106" s="23"/>
      <c r="H106" s="23"/>
      <c r="I106" s="23"/>
      <c r="J106" s="23"/>
      <c r="K106" s="23"/>
      <c r="L106" s="23"/>
      <c r="M106" s="23"/>
      <c r="N106" s="23"/>
      <c r="O106" s="23"/>
      <c r="P106" s="23"/>
      <c r="Q106" s="23"/>
      <c r="R106" s="23"/>
      <c r="S106" s="23"/>
      <c r="T106" s="23"/>
      <c r="U106" s="23"/>
      <c r="V106" s="23"/>
      <c r="W106" s="23"/>
      <c r="X106" s="23"/>
      <c r="Y106" s="23"/>
    </row>
    <row r="107" spans="1:25" x14ac:dyDescent="0.2">
      <c r="A107" s="14" t="s">
        <v>268</v>
      </c>
      <c r="B107" s="16" t="s">
        <v>1177</v>
      </c>
      <c r="C107" s="6"/>
      <c r="D107" s="16" t="s">
        <v>539</v>
      </c>
      <c r="E107" s="6"/>
      <c r="F107" s="16"/>
      <c r="G107" s="16"/>
      <c r="H107" s="16"/>
      <c r="I107" s="16"/>
      <c r="J107" s="16"/>
      <c r="K107" s="16"/>
      <c r="L107" s="16"/>
      <c r="M107" s="16"/>
      <c r="N107" s="16"/>
      <c r="O107" s="16"/>
      <c r="P107" s="16"/>
      <c r="Q107" s="16"/>
      <c r="R107" s="16"/>
      <c r="S107" s="16"/>
      <c r="T107" s="16"/>
      <c r="U107" s="16"/>
      <c r="V107" s="16"/>
      <c r="W107" s="16"/>
      <c r="X107" s="16"/>
      <c r="Y107" s="16"/>
    </row>
    <row r="108" spans="1:25" x14ac:dyDescent="0.2">
      <c r="A108" s="14"/>
      <c r="B108" s="16"/>
      <c r="C108" s="6"/>
      <c r="D108" s="16" t="s">
        <v>688</v>
      </c>
      <c r="E108" s="6"/>
      <c r="F108" s="16"/>
      <c r="G108" s="16"/>
      <c r="H108" s="16"/>
      <c r="I108" s="16"/>
      <c r="J108" s="16"/>
      <c r="K108" s="16"/>
      <c r="L108" s="16"/>
      <c r="M108" s="16"/>
      <c r="N108" s="16"/>
      <c r="O108" s="16"/>
      <c r="P108" s="16"/>
      <c r="Q108" s="16"/>
      <c r="R108" s="16"/>
      <c r="S108" s="16"/>
      <c r="T108" s="16"/>
      <c r="U108" s="16"/>
      <c r="V108" s="16"/>
      <c r="W108" s="16"/>
      <c r="X108" s="16"/>
      <c r="Y108" s="16"/>
    </row>
    <row r="109" spans="1:25" x14ac:dyDescent="0.2">
      <c r="A109" s="14"/>
      <c r="B109" s="16"/>
      <c r="C109" s="6"/>
      <c r="D109" s="16"/>
      <c r="E109" s="6"/>
      <c r="F109" s="16"/>
      <c r="G109" s="16"/>
      <c r="H109" s="16"/>
      <c r="I109" s="16"/>
      <c r="J109" s="16"/>
      <c r="K109" s="16"/>
      <c r="L109" s="16"/>
      <c r="M109" s="16"/>
      <c r="N109" s="16"/>
      <c r="O109" s="16"/>
      <c r="P109" s="16"/>
      <c r="Q109" s="16"/>
      <c r="R109" s="16"/>
      <c r="S109" s="16"/>
      <c r="T109" s="16"/>
      <c r="U109" s="16"/>
      <c r="V109" s="16"/>
      <c r="W109" s="16"/>
      <c r="X109" s="16"/>
      <c r="Y109" s="16"/>
    </row>
    <row r="110" spans="1:25" x14ac:dyDescent="0.2">
      <c r="A110" s="14"/>
      <c r="B110" s="16"/>
      <c r="C110" s="6"/>
      <c r="D110" s="16"/>
      <c r="E110" s="6"/>
      <c r="F110" s="16"/>
      <c r="G110" s="16"/>
      <c r="H110" s="16"/>
      <c r="I110" s="16"/>
      <c r="J110" s="16"/>
      <c r="K110" s="16"/>
      <c r="L110" s="16"/>
      <c r="M110" s="16"/>
      <c r="N110" s="16"/>
      <c r="O110" s="16"/>
      <c r="P110" s="16"/>
      <c r="Q110" s="16"/>
      <c r="R110" s="16"/>
      <c r="S110" s="16"/>
      <c r="T110" s="16"/>
      <c r="U110" s="16"/>
      <c r="V110" s="16"/>
      <c r="W110" s="16"/>
      <c r="X110" s="16"/>
      <c r="Y110" s="16"/>
    </row>
    <row r="111" spans="1:25" x14ac:dyDescent="0.2">
      <c r="A111" s="14"/>
      <c r="B111" s="16"/>
      <c r="C111" s="6"/>
      <c r="D111" s="16"/>
      <c r="E111" s="6"/>
      <c r="F111" s="16"/>
      <c r="G111" s="16"/>
      <c r="H111" s="16"/>
      <c r="I111" s="16"/>
      <c r="J111" s="16"/>
      <c r="K111" s="16"/>
      <c r="L111" s="16"/>
      <c r="M111" s="16"/>
      <c r="N111" s="16"/>
      <c r="O111" s="16"/>
      <c r="P111" s="16"/>
      <c r="Q111" s="16"/>
      <c r="R111" s="16"/>
      <c r="S111" s="16"/>
      <c r="T111" s="16"/>
      <c r="U111" s="16"/>
      <c r="V111" s="16"/>
      <c r="W111" s="16"/>
      <c r="X111" s="16"/>
      <c r="Y111" s="16"/>
    </row>
    <row r="112" spans="1:25" x14ac:dyDescent="0.2">
      <c r="A112" s="14"/>
      <c r="B112" s="16"/>
      <c r="C112" s="6"/>
      <c r="D112" s="16"/>
      <c r="E112" s="6"/>
      <c r="F112" s="16"/>
      <c r="G112" s="16"/>
      <c r="H112" s="16"/>
      <c r="I112" s="16"/>
      <c r="J112" s="16"/>
      <c r="K112" s="16"/>
      <c r="L112" s="16"/>
      <c r="M112" s="16"/>
      <c r="N112" s="16"/>
      <c r="O112" s="16"/>
      <c r="P112" s="16"/>
      <c r="Q112" s="16"/>
      <c r="R112" s="16"/>
      <c r="S112" s="16"/>
      <c r="T112" s="16"/>
      <c r="U112" s="16"/>
      <c r="V112" s="16"/>
      <c r="W112" s="16"/>
      <c r="X112" s="16"/>
      <c r="Y112" s="16"/>
    </row>
    <row r="113" spans="1:25" x14ac:dyDescent="0.2">
      <c r="A113" s="14"/>
      <c r="B113" s="16"/>
      <c r="C113" s="6"/>
      <c r="D113" s="16"/>
      <c r="E113" s="6"/>
      <c r="F113" s="16"/>
      <c r="G113" s="16"/>
      <c r="H113" s="16"/>
      <c r="I113" s="16"/>
      <c r="J113" s="16"/>
      <c r="K113" s="16"/>
      <c r="L113" s="16"/>
      <c r="M113" s="16"/>
      <c r="N113" s="16"/>
      <c r="O113" s="16"/>
      <c r="P113" s="16"/>
      <c r="Q113" s="16"/>
      <c r="R113" s="16"/>
      <c r="S113" s="16"/>
      <c r="T113" s="16"/>
      <c r="U113" s="16"/>
      <c r="V113" s="16"/>
      <c r="W113" s="16"/>
      <c r="X113" s="16"/>
      <c r="Y113" s="16"/>
    </row>
    <row r="114" spans="1:25" x14ac:dyDescent="0.2">
      <c r="A114" s="14"/>
      <c r="B114" s="16"/>
      <c r="C114" s="6"/>
      <c r="D114" s="16"/>
      <c r="E114" s="6"/>
      <c r="F114" s="16"/>
      <c r="G114" s="16"/>
      <c r="H114" s="16"/>
      <c r="I114" s="16"/>
      <c r="J114" s="16"/>
      <c r="K114" s="16"/>
      <c r="L114" s="16"/>
      <c r="M114" s="16"/>
      <c r="N114" s="16"/>
      <c r="O114" s="16"/>
      <c r="P114" s="16"/>
      <c r="Q114" s="16"/>
      <c r="R114" s="16"/>
      <c r="S114" s="16"/>
      <c r="T114" s="16"/>
      <c r="U114" s="16"/>
      <c r="V114" s="16"/>
      <c r="W114" s="16"/>
      <c r="X114" s="16"/>
      <c r="Y114" s="16"/>
    </row>
    <row r="115" spans="1:25" x14ac:dyDescent="0.2">
      <c r="A115" s="14"/>
      <c r="B115" s="16"/>
      <c r="C115" s="6"/>
      <c r="D115" s="16"/>
      <c r="E115" s="6"/>
      <c r="F115" s="16"/>
      <c r="G115" s="16"/>
      <c r="H115" s="16"/>
      <c r="I115" s="16"/>
      <c r="J115" s="16"/>
      <c r="K115" s="16"/>
      <c r="L115" s="16"/>
      <c r="M115" s="16"/>
      <c r="N115" s="16"/>
      <c r="O115" s="16"/>
      <c r="P115" s="16"/>
      <c r="Q115" s="16"/>
      <c r="R115" s="16"/>
      <c r="S115" s="16"/>
      <c r="T115" s="16"/>
      <c r="U115" s="16"/>
      <c r="V115" s="16"/>
      <c r="W115" s="16"/>
      <c r="X115" s="16"/>
      <c r="Y115" s="16"/>
    </row>
    <row r="116" spans="1:25" x14ac:dyDescent="0.2">
      <c r="A116" s="14"/>
      <c r="B116" s="16"/>
      <c r="C116" s="6"/>
      <c r="D116" s="16"/>
      <c r="E116" s="6"/>
      <c r="F116" s="16"/>
      <c r="G116" s="16"/>
      <c r="H116" s="16"/>
      <c r="I116" s="16"/>
      <c r="J116" s="16"/>
      <c r="K116" s="16"/>
      <c r="L116" s="16"/>
      <c r="M116" s="16"/>
      <c r="N116" s="16"/>
      <c r="O116" s="16"/>
      <c r="P116" s="16"/>
      <c r="Q116" s="16"/>
      <c r="R116" s="16"/>
      <c r="S116" s="16"/>
      <c r="T116" s="16"/>
      <c r="U116" s="16"/>
      <c r="V116" s="16"/>
      <c r="W116" s="16"/>
      <c r="X116" s="16"/>
      <c r="Y116" s="16"/>
    </row>
    <row r="117" spans="1:25" x14ac:dyDescent="0.2">
      <c r="A117" s="14"/>
      <c r="B117" s="16"/>
      <c r="C117" s="6"/>
      <c r="D117" s="16"/>
      <c r="E117" s="6"/>
      <c r="F117" s="16"/>
      <c r="G117" s="16"/>
      <c r="H117" s="16"/>
      <c r="I117" s="16"/>
      <c r="J117" s="16"/>
      <c r="K117" s="16"/>
      <c r="L117" s="16"/>
      <c r="M117" s="16"/>
      <c r="N117" s="16"/>
      <c r="O117" s="16"/>
      <c r="P117" s="16"/>
      <c r="Q117" s="16"/>
      <c r="R117" s="16"/>
      <c r="S117" s="16"/>
      <c r="T117" s="16"/>
      <c r="U117" s="16"/>
      <c r="V117" s="16"/>
      <c r="W117" s="16"/>
      <c r="X117" s="16"/>
      <c r="Y117" s="16"/>
    </row>
    <row r="118" spans="1:25" x14ac:dyDescent="0.2">
      <c r="A118" s="14"/>
      <c r="B118" s="16"/>
      <c r="C118" s="6"/>
      <c r="D118" s="16"/>
      <c r="E118" s="6"/>
      <c r="F118" s="16"/>
      <c r="G118" s="16"/>
      <c r="H118" s="16"/>
      <c r="I118" s="16"/>
      <c r="J118" s="16"/>
      <c r="K118" s="16"/>
      <c r="L118" s="16"/>
      <c r="M118" s="16"/>
      <c r="N118" s="16"/>
      <c r="O118" s="16"/>
      <c r="P118" s="16"/>
      <c r="Q118" s="16"/>
      <c r="R118" s="16"/>
      <c r="S118" s="16"/>
      <c r="T118" s="16"/>
      <c r="U118" s="16"/>
      <c r="V118" s="16"/>
      <c r="W118" s="16"/>
      <c r="X118" s="16"/>
      <c r="Y118" s="16"/>
    </row>
    <row r="119" spans="1:25" x14ac:dyDescent="0.2">
      <c r="A119" s="14"/>
      <c r="B119" s="16"/>
      <c r="C119" s="6"/>
      <c r="D119" s="16"/>
      <c r="E119" s="6"/>
      <c r="F119" s="16"/>
      <c r="G119" s="16"/>
      <c r="H119" s="16"/>
      <c r="I119" s="16"/>
      <c r="J119" s="16"/>
      <c r="K119" s="16"/>
      <c r="L119" s="16"/>
      <c r="M119" s="16"/>
      <c r="N119" s="16"/>
      <c r="O119" s="16"/>
      <c r="P119" s="16"/>
      <c r="Q119" s="16"/>
      <c r="R119" s="16"/>
      <c r="S119" s="16"/>
      <c r="T119" s="16"/>
      <c r="U119" s="16"/>
      <c r="V119" s="16"/>
      <c r="W119" s="16"/>
      <c r="X119" s="16"/>
      <c r="Y119" s="16"/>
    </row>
    <row r="120" spans="1:25" x14ac:dyDescent="0.2">
      <c r="A120" s="14"/>
      <c r="B120" s="16"/>
      <c r="C120" s="6"/>
      <c r="D120" s="16"/>
      <c r="E120" s="6"/>
      <c r="F120" s="16"/>
      <c r="G120" s="16"/>
      <c r="H120" s="16"/>
      <c r="I120" s="16"/>
      <c r="J120" s="16"/>
      <c r="K120" s="16"/>
      <c r="L120" s="16"/>
      <c r="M120" s="16"/>
      <c r="N120" s="16"/>
      <c r="O120" s="16"/>
      <c r="P120" s="16"/>
      <c r="Q120" s="16"/>
      <c r="R120" s="16"/>
      <c r="S120" s="16"/>
      <c r="T120" s="16"/>
      <c r="U120" s="16"/>
      <c r="V120" s="16"/>
      <c r="W120" s="16"/>
      <c r="X120" s="16"/>
      <c r="Y120" s="16"/>
    </row>
    <row r="121" spans="1:25" x14ac:dyDescent="0.2">
      <c r="A121" s="14"/>
      <c r="B121" s="16"/>
      <c r="C121" s="6"/>
      <c r="D121" s="16"/>
      <c r="E121" s="6"/>
      <c r="F121" s="16"/>
      <c r="G121" s="16"/>
      <c r="H121" s="16"/>
      <c r="I121" s="16"/>
      <c r="J121" s="16"/>
      <c r="K121" s="16"/>
      <c r="L121" s="16"/>
      <c r="M121" s="16"/>
      <c r="N121" s="16"/>
      <c r="O121" s="16"/>
      <c r="P121" s="16"/>
      <c r="Q121" s="16"/>
      <c r="R121" s="16"/>
      <c r="S121" s="16"/>
      <c r="T121" s="16"/>
      <c r="U121" s="16"/>
      <c r="V121" s="16"/>
      <c r="W121" s="16"/>
      <c r="X121" s="16"/>
      <c r="Y121" s="16"/>
    </row>
    <row r="122" spans="1:25" x14ac:dyDescent="0.2">
      <c r="A122" s="14"/>
      <c r="B122" s="16"/>
      <c r="C122" s="6"/>
      <c r="D122" s="16"/>
      <c r="E122" s="6"/>
      <c r="F122" s="16"/>
      <c r="G122" s="16"/>
      <c r="H122" s="16"/>
      <c r="I122" s="16"/>
      <c r="J122" s="16"/>
      <c r="K122" s="16"/>
      <c r="L122" s="16"/>
      <c r="M122" s="16"/>
      <c r="N122" s="16"/>
      <c r="O122" s="16"/>
      <c r="P122" s="16"/>
      <c r="Q122" s="16"/>
      <c r="R122" s="16"/>
      <c r="S122" s="16"/>
      <c r="T122" s="16"/>
      <c r="U122" s="16"/>
      <c r="V122" s="16"/>
      <c r="W122" s="16"/>
      <c r="X122" s="16"/>
      <c r="Y122" s="16"/>
    </row>
    <row r="123" spans="1:25" x14ac:dyDescent="0.2">
      <c r="A123" s="14"/>
      <c r="B123" s="16"/>
      <c r="C123" s="6"/>
      <c r="D123" s="16"/>
      <c r="E123" s="6"/>
      <c r="F123" s="16"/>
      <c r="G123" s="16"/>
      <c r="H123" s="16"/>
      <c r="I123" s="16"/>
      <c r="J123" s="16"/>
      <c r="K123" s="16"/>
      <c r="L123" s="16"/>
      <c r="M123" s="16"/>
      <c r="N123" s="16"/>
      <c r="O123" s="16"/>
      <c r="P123" s="16"/>
      <c r="Q123" s="16"/>
      <c r="R123" s="16"/>
      <c r="S123" s="16"/>
      <c r="T123" s="16"/>
      <c r="U123" s="16"/>
      <c r="V123" s="16"/>
      <c r="W123" s="16"/>
      <c r="X123" s="16"/>
      <c r="Y123" s="16"/>
    </row>
    <row r="124" spans="1:25" x14ac:dyDescent="0.2">
      <c r="A124" s="14"/>
      <c r="B124" s="16"/>
      <c r="C124" s="6"/>
      <c r="D124" s="16"/>
      <c r="E124" s="6"/>
      <c r="F124" s="16"/>
      <c r="G124" s="16"/>
      <c r="H124" s="16"/>
      <c r="I124" s="16"/>
      <c r="J124" s="16"/>
      <c r="K124" s="16"/>
      <c r="L124" s="16"/>
      <c r="M124" s="16"/>
      <c r="N124" s="16"/>
      <c r="O124" s="16"/>
      <c r="P124" s="16"/>
      <c r="Q124" s="16"/>
      <c r="R124" s="16"/>
      <c r="S124" s="16"/>
      <c r="T124" s="16"/>
      <c r="U124" s="16"/>
      <c r="V124" s="16"/>
      <c r="W124" s="16"/>
      <c r="X124" s="16"/>
      <c r="Y124" s="16"/>
    </row>
    <row r="125" spans="1:25" x14ac:dyDescent="0.2">
      <c r="A125" s="14"/>
      <c r="B125" s="16"/>
      <c r="C125" s="6"/>
      <c r="D125" s="16"/>
      <c r="E125" s="6"/>
      <c r="F125" s="16"/>
      <c r="G125" s="16"/>
      <c r="H125" s="16"/>
      <c r="I125" s="16"/>
      <c r="J125" s="16"/>
      <c r="K125" s="16"/>
      <c r="L125" s="16"/>
      <c r="M125" s="16"/>
      <c r="N125" s="16"/>
      <c r="O125" s="16"/>
      <c r="P125" s="16"/>
      <c r="Q125" s="16"/>
      <c r="R125" s="16"/>
      <c r="S125" s="16"/>
      <c r="T125" s="16"/>
      <c r="U125" s="16"/>
      <c r="V125" s="16"/>
      <c r="W125" s="16"/>
      <c r="X125" s="16"/>
      <c r="Y125" s="16"/>
    </row>
    <row r="126" spans="1:25" x14ac:dyDescent="0.2">
      <c r="A126" s="14"/>
      <c r="B126" s="16"/>
      <c r="C126" s="6"/>
      <c r="D126" s="16"/>
      <c r="E126" s="6"/>
      <c r="F126" s="16"/>
      <c r="G126" s="16"/>
      <c r="H126" s="16"/>
      <c r="I126" s="16"/>
      <c r="J126" s="16"/>
      <c r="K126" s="16"/>
      <c r="L126" s="16"/>
      <c r="M126" s="16"/>
      <c r="N126" s="16"/>
      <c r="O126" s="16"/>
      <c r="P126" s="16"/>
      <c r="Q126" s="16"/>
      <c r="R126" s="16"/>
      <c r="S126" s="16"/>
      <c r="T126" s="16"/>
      <c r="U126" s="16"/>
      <c r="V126" s="16"/>
      <c r="W126" s="16"/>
      <c r="X126" s="16"/>
      <c r="Y126" s="16"/>
    </row>
    <row r="127" spans="1:25" x14ac:dyDescent="0.2">
      <c r="A127" s="14"/>
      <c r="B127" s="16"/>
      <c r="C127" s="6"/>
      <c r="D127" s="16"/>
      <c r="E127" s="6"/>
      <c r="F127" s="16"/>
      <c r="G127" s="16"/>
      <c r="H127" s="16"/>
      <c r="I127" s="16"/>
      <c r="J127" s="16"/>
      <c r="K127" s="16"/>
      <c r="L127" s="16"/>
      <c r="M127" s="16"/>
      <c r="N127" s="16"/>
      <c r="O127" s="16"/>
      <c r="P127" s="16"/>
      <c r="Q127" s="16"/>
      <c r="R127" s="16"/>
      <c r="S127" s="16"/>
      <c r="T127" s="16"/>
      <c r="U127" s="16"/>
      <c r="V127" s="16"/>
      <c r="W127" s="16"/>
      <c r="X127" s="16"/>
      <c r="Y127" s="16"/>
    </row>
    <row r="128" spans="1:25" x14ac:dyDescent="0.2">
      <c r="A128" s="14"/>
      <c r="B128" s="16"/>
      <c r="C128" s="6"/>
      <c r="D128" s="16"/>
      <c r="E128" s="6"/>
      <c r="F128" s="16"/>
      <c r="G128" s="16"/>
      <c r="H128" s="16"/>
      <c r="I128" s="16"/>
      <c r="J128" s="16"/>
      <c r="K128" s="16"/>
      <c r="L128" s="16"/>
      <c r="M128" s="16"/>
      <c r="N128" s="16"/>
      <c r="O128" s="16"/>
      <c r="P128" s="16"/>
      <c r="Q128" s="16"/>
      <c r="R128" s="16"/>
      <c r="S128" s="16"/>
      <c r="T128" s="16"/>
      <c r="U128" s="16"/>
      <c r="V128" s="16"/>
      <c r="W128" s="16"/>
      <c r="X128" s="16"/>
      <c r="Y128" s="16"/>
    </row>
    <row r="129" spans="1:25" x14ac:dyDescent="0.2">
      <c r="A129" s="14"/>
      <c r="B129" s="16"/>
      <c r="C129" s="6"/>
      <c r="D129" s="16"/>
      <c r="E129" s="6"/>
      <c r="F129" s="16"/>
      <c r="G129" s="16"/>
      <c r="H129" s="16"/>
      <c r="I129" s="16"/>
      <c r="J129" s="16"/>
      <c r="K129" s="16"/>
      <c r="L129" s="16"/>
      <c r="M129" s="16"/>
      <c r="N129" s="16"/>
      <c r="O129" s="16"/>
      <c r="P129" s="16"/>
      <c r="Q129" s="16"/>
      <c r="R129" s="16"/>
      <c r="S129" s="16"/>
      <c r="T129" s="16"/>
      <c r="U129" s="16"/>
      <c r="V129" s="16"/>
      <c r="W129" s="16"/>
      <c r="X129" s="16"/>
      <c r="Y129" s="16"/>
    </row>
    <row r="130" spans="1:25" x14ac:dyDescent="0.2">
      <c r="A130" s="14"/>
      <c r="B130" s="16"/>
      <c r="C130" s="6"/>
      <c r="D130" s="16"/>
      <c r="E130" s="6"/>
      <c r="F130" s="16"/>
      <c r="G130" s="16"/>
      <c r="H130" s="16"/>
      <c r="I130" s="16"/>
      <c r="J130" s="16"/>
      <c r="K130" s="16"/>
      <c r="L130" s="16"/>
      <c r="M130" s="16"/>
      <c r="N130" s="16"/>
      <c r="O130" s="16"/>
      <c r="P130" s="16"/>
      <c r="Q130" s="16"/>
      <c r="R130" s="16"/>
      <c r="S130" s="16"/>
      <c r="T130" s="16"/>
      <c r="U130" s="16"/>
      <c r="V130" s="16"/>
      <c r="W130" s="16"/>
      <c r="X130" s="16"/>
      <c r="Y130" s="16"/>
    </row>
    <row r="131" spans="1:25" x14ac:dyDescent="0.2">
      <c r="A131" s="14"/>
      <c r="B131" s="16"/>
      <c r="C131" s="6"/>
      <c r="D131" s="16"/>
      <c r="E131" s="6"/>
      <c r="F131" s="16"/>
      <c r="G131" s="16"/>
      <c r="H131" s="16"/>
      <c r="I131" s="16"/>
      <c r="J131" s="16"/>
      <c r="K131" s="16"/>
      <c r="L131" s="16"/>
      <c r="M131" s="16"/>
      <c r="N131" s="16"/>
      <c r="O131" s="16"/>
      <c r="P131" s="16"/>
      <c r="Q131" s="16"/>
      <c r="R131" s="16"/>
      <c r="S131" s="16"/>
      <c r="T131" s="16"/>
      <c r="U131" s="16"/>
      <c r="V131" s="16"/>
      <c r="W131" s="16"/>
      <c r="X131" s="16"/>
      <c r="Y131" s="16"/>
    </row>
    <row r="132" spans="1:25" x14ac:dyDescent="0.2">
      <c r="A132" s="14"/>
      <c r="B132" s="16"/>
      <c r="C132" s="6"/>
      <c r="D132" s="16"/>
      <c r="E132" s="6"/>
      <c r="F132" s="16"/>
      <c r="G132" s="16"/>
      <c r="H132" s="16"/>
      <c r="I132" s="16"/>
      <c r="J132" s="16"/>
      <c r="K132" s="16"/>
      <c r="L132" s="16"/>
      <c r="M132" s="16"/>
      <c r="N132" s="16"/>
      <c r="O132" s="16"/>
      <c r="P132" s="16"/>
      <c r="Q132" s="16"/>
      <c r="R132" s="16"/>
      <c r="S132" s="16"/>
      <c r="T132" s="16"/>
      <c r="U132" s="16"/>
      <c r="V132" s="16"/>
      <c r="W132" s="16"/>
      <c r="X132" s="16"/>
      <c r="Y132" s="16"/>
    </row>
    <row r="133" spans="1:25" x14ac:dyDescent="0.2">
      <c r="A133" s="14"/>
      <c r="B133" s="16"/>
      <c r="C133" s="6"/>
      <c r="D133" s="16"/>
      <c r="E133" s="6"/>
      <c r="F133" s="16"/>
      <c r="G133" s="16"/>
      <c r="H133" s="16"/>
      <c r="I133" s="16"/>
      <c r="J133" s="16"/>
      <c r="K133" s="16"/>
      <c r="L133" s="16"/>
      <c r="M133" s="16"/>
      <c r="N133" s="16"/>
      <c r="O133" s="16"/>
      <c r="P133" s="16"/>
      <c r="Q133" s="16"/>
      <c r="R133" s="16"/>
      <c r="S133" s="16"/>
      <c r="T133" s="16"/>
      <c r="U133" s="16"/>
      <c r="V133" s="16"/>
      <c r="W133" s="16"/>
      <c r="X133" s="16"/>
      <c r="Y133" s="16"/>
    </row>
    <row r="134" spans="1:25" x14ac:dyDescent="0.2">
      <c r="A134" s="14"/>
      <c r="B134" s="16"/>
      <c r="C134" s="6"/>
      <c r="D134" s="16"/>
      <c r="E134" s="6"/>
      <c r="F134" s="16"/>
      <c r="G134" s="16"/>
      <c r="H134" s="16"/>
      <c r="I134" s="16"/>
      <c r="J134" s="16"/>
      <c r="K134" s="16"/>
      <c r="L134" s="16"/>
      <c r="M134" s="16"/>
      <c r="N134" s="16"/>
      <c r="O134" s="16"/>
      <c r="P134" s="16"/>
      <c r="Q134" s="16"/>
      <c r="R134" s="16"/>
      <c r="S134" s="16"/>
      <c r="T134" s="16"/>
      <c r="U134" s="16"/>
      <c r="V134" s="16"/>
      <c r="W134" s="16"/>
      <c r="X134" s="16"/>
      <c r="Y134" s="16"/>
    </row>
    <row r="135" spans="1:25" x14ac:dyDescent="0.2">
      <c r="A135" s="14"/>
      <c r="B135" s="16"/>
      <c r="C135" s="6"/>
      <c r="D135" s="16"/>
      <c r="E135" s="6"/>
      <c r="F135" s="16"/>
      <c r="G135" s="16"/>
      <c r="H135" s="16"/>
      <c r="I135" s="16"/>
      <c r="J135" s="16"/>
      <c r="K135" s="16"/>
      <c r="L135" s="16"/>
      <c r="M135" s="16"/>
      <c r="N135" s="16"/>
      <c r="O135" s="16"/>
      <c r="P135" s="16"/>
      <c r="Q135" s="16"/>
      <c r="R135" s="16"/>
      <c r="S135" s="16"/>
      <c r="T135" s="16"/>
      <c r="U135" s="16"/>
      <c r="V135" s="16"/>
      <c r="W135" s="16"/>
      <c r="X135" s="16"/>
      <c r="Y135" s="16"/>
    </row>
    <row r="136" spans="1:25" x14ac:dyDescent="0.2">
      <c r="A136" s="14"/>
      <c r="B136" s="16"/>
      <c r="C136" s="6"/>
      <c r="D136" s="16"/>
      <c r="E136" s="6"/>
      <c r="F136" s="16"/>
      <c r="G136" s="16"/>
      <c r="H136" s="16"/>
      <c r="I136" s="16"/>
      <c r="J136" s="16"/>
      <c r="K136" s="16"/>
      <c r="L136" s="16"/>
      <c r="M136" s="16"/>
      <c r="N136" s="16"/>
      <c r="O136" s="16"/>
      <c r="P136" s="16"/>
      <c r="Q136" s="16"/>
      <c r="R136" s="16"/>
      <c r="S136" s="16"/>
      <c r="T136" s="16"/>
      <c r="U136" s="16"/>
      <c r="V136" s="16"/>
      <c r="W136" s="16"/>
      <c r="X136" s="16"/>
      <c r="Y136" s="16"/>
    </row>
    <row r="137" spans="1:25" x14ac:dyDescent="0.2">
      <c r="A137" s="14"/>
      <c r="B137" s="16"/>
      <c r="C137" s="6"/>
      <c r="D137" s="16"/>
      <c r="E137" s="6"/>
      <c r="F137" s="16"/>
      <c r="G137" s="16"/>
      <c r="H137" s="16"/>
      <c r="I137" s="16"/>
      <c r="J137" s="16"/>
      <c r="K137" s="16"/>
      <c r="L137" s="16"/>
      <c r="M137" s="16"/>
      <c r="N137" s="16"/>
      <c r="O137" s="16"/>
      <c r="P137" s="16"/>
      <c r="Q137" s="16"/>
      <c r="R137" s="16"/>
      <c r="S137" s="16"/>
      <c r="T137" s="16"/>
      <c r="U137" s="16"/>
      <c r="V137" s="16"/>
      <c r="W137" s="16"/>
      <c r="X137" s="16"/>
      <c r="Y137" s="16"/>
    </row>
    <row r="138" spans="1:25" x14ac:dyDescent="0.2">
      <c r="A138" s="14"/>
      <c r="B138" s="16"/>
      <c r="C138" s="6"/>
      <c r="D138" s="16"/>
      <c r="E138" s="6"/>
      <c r="F138" s="16"/>
      <c r="G138" s="16"/>
      <c r="H138" s="16"/>
      <c r="I138" s="16"/>
      <c r="J138" s="16"/>
      <c r="K138" s="16"/>
      <c r="L138" s="16"/>
      <c r="M138" s="16"/>
      <c r="N138" s="16"/>
      <c r="O138" s="16"/>
      <c r="P138" s="16"/>
      <c r="Q138" s="16"/>
      <c r="R138" s="16"/>
      <c r="S138" s="16"/>
      <c r="T138" s="16"/>
      <c r="U138" s="16"/>
      <c r="V138" s="16"/>
      <c r="W138" s="16"/>
      <c r="X138" s="16"/>
      <c r="Y138" s="16"/>
    </row>
    <row r="139" spans="1:25" x14ac:dyDescent="0.2">
      <c r="A139" s="14"/>
      <c r="B139" s="16"/>
      <c r="C139" s="6"/>
      <c r="D139" s="16"/>
      <c r="E139" s="6"/>
      <c r="F139" s="16"/>
      <c r="G139" s="16"/>
      <c r="H139" s="16"/>
      <c r="I139" s="16"/>
      <c r="J139" s="16"/>
      <c r="K139" s="16"/>
      <c r="L139" s="16"/>
      <c r="M139" s="16"/>
      <c r="N139" s="16"/>
      <c r="O139" s="16"/>
      <c r="P139" s="16"/>
      <c r="Q139" s="16"/>
      <c r="R139" s="16"/>
      <c r="S139" s="16"/>
      <c r="T139" s="16"/>
      <c r="U139" s="16"/>
      <c r="V139" s="16"/>
      <c r="W139" s="16"/>
      <c r="X139" s="16"/>
      <c r="Y139" s="16"/>
    </row>
    <row r="140" spans="1:25" x14ac:dyDescent="0.2">
      <c r="A140" s="14"/>
      <c r="B140" s="16"/>
      <c r="C140" s="6"/>
      <c r="D140" s="16"/>
      <c r="E140" s="6"/>
      <c r="F140" s="16"/>
      <c r="G140" s="16"/>
      <c r="H140" s="16"/>
      <c r="I140" s="16"/>
      <c r="J140" s="16"/>
      <c r="K140" s="16"/>
      <c r="L140" s="16"/>
      <c r="M140" s="16"/>
      <c r="N140" s="16"/>
      <c r="O140" s="16"/>
      <c r="P140" s="16"/>
      <c r="Q140" s="16"/>
      <c r="R140" s="16"/>
      <c r="S140" s="16"/>
      <c r="T140" s="16"/>
      <c r="U140" s="16"/>
      <c r="V140" s="16"/>
      <c r="W140" s="16"/>
      <c r="X140" s="16"/>
      <c r="Y140" s="16"/>
    </row>
    <row r="141" spans="1:25" x14ac:dyDescent="0.2">
      <c r="A141" s="14"/>
      <c r="B141" s="16"/>
      <c r="C141" s="6"/>
      <c r="D141" s="16"/>
      <c r="E141" s="6"/>
      <c r="F141" s="16"/>
      <c r="G141" s="16"/>
      <c r="H141" s="16"/>
      <c r="I141" s="16"/>
      <c r="J141" s="16"/>
      <c r="K141" s="16"/>
      <c r="L141" s="16"/>
      <c r="M141" s="16"/>
      <c r="N141" s="16"/>
      <c r="O141" s="16"/>
      <c r="P141" s="16"/>
      <c r="Q141" s="16"/>
      <c r="R141" s="16"/>
      <c r="S141" s="16"/>
      <c r="T141" s="16"/>
      <c r="U141" s="16"/>
      <c r="V141" s="16"/>
      <c r="W141" s="16"/>
      <c r="X141" s="16"/>
      <c r="Y141" s="16"/>
    </row>
    <row r="142" spans="1:25" x14ac:dyDescent="0.2">
      <c r="A142" s="14"/>
      <c r="B142" s="16"/>
      <c r="C142" s="6"/>
      <c r="D142" s="16"/>
      <c r="E142" s="6"/>
      <c r="F142" s="16"/>
      <c r="G142" s="16"/>
      <c r="H142" s="16"/>
      <c r="I142" s="16"/>
      <c r="J142" s="16"/>
      <c r="K142" s="16"/>
      <c r="L142" s="16"/>
      <c r="M142" s="16"/>
      <c r="N142" s="16"/>
      <c r="O142" s="16"/>
      <c r="P142" s="16"/>
      <c r="Q142" s="16"/>
      <c r="R142" s="16"/>
      <c r="S142" s="16"/>
      <c r="T142" s="16"/>
      <c r="U142" s="16"/>
      <c r="V142" s="16"/>
      <c r="W142" s="16"/>
      <c r="X142" s="16"/>
      <c r="Y142" s="16"/>
    </row>
    <row r="143" spans="1:25" x14ac:dyDescent="0.2">
      <c r="A143" s="14"/>
      <c r="B143" s="16"/>
      <c r="C143" s="6"/>
      <c r="D143" s="16"/>
      <c r="E143" s="6"/>
      <c r="F143" s="16"/>
      <c r="G143" s="16"/>
      <c r="H143" s="16"/>
      <c r="I143" s="16"/>
      <c r="J143" s="16"/>
      <c r="K143" s="16"/>
      <c r="L143" s="16"/>
      <c r="M143" s="16"/>
      <c r="N143" s="16"/>
      <c r="O143" s="16"/>
      <c r="P143" s="16"/>
      <c r="Q143" s="16"/>
      <c r="R143" s="16"/>
      <c r="S143" s="16"/>
      <c r="T143" s="16"/>
      <c r="U143" s="16"/>
      <c r="V143" s="16"/>
      <c r="W143" s="16"/>
      <c r="X143" s="16"/>
      <c r="Y143" s="16"/>
    </row>
    <row r="144" spans="1:25" x14ac:dyDescent="0.2">
      <c r="A144" s="14"/>
      <c r="B144" s="16"/>
      <c r="C144" s="6"/>
      <c r="D144" s="16"/>
      <c r="E144" s="6"/>
      <c r="F144" s="16"/>
      <c r="G144" s="16"/>
      <c r="H144" s="16"/>
      <c r="I144" s="16"/>
      <c r="J144" s="16"/>
      <c r="K144" s="16"/>
      <c r="L144" s="16"/>
      <c r="M144" s="16"/>
      <c r="N144" s="16"/>
      <c r="O144" s="16"/>
      <c r="P144" s="16"/>
      <c r="Q144" s="16"/>
      <c r="R144" s="16"/>
      <c r="S144" s="16"/>
      <c r="T144" s="16"/>
      <c r="U144" s="16"/>
      <c r="V144" s="16"/>
      <c r="W144" s="16"/>
      <c r="X144" s="16"/>
      <c r="Y144" s="16"/>
    </row>
    <row r="145" spans="1:25" x14ac:dyDescent="0.2">
      <c r="A145" s="14"/>
      <c r="B145" s="16"/>
      <c r="C145" s="6"/>
      <c r="D145" s="16"/>
      <c r="E145" s="6"/>
      <c r="F145" s="16"/>
      <c r="G145" s="16"/>
      <c r="H145" s="16"/>
      <c r="I145" s="16"/>
      <c r="J145" s="16"/>
      <c r="K145" s="16"/>
      <c r="L145" s="16"/>
      <c r="M145" s="16"/>
      <c r="N145" s="16"/>
      <c r="O145" s="16"/>
      <c r="P145" s="16"/>
      <c r="Q145" s="16"/>
      <c r="R145" s="16"/>
      <c r="S145" s="16"/>
      <c r="T145" s="16"/>
      <c r="U145" s="16"/>
      <c r="V145" s="16"/>
      <c r="W145" s="16"/>
      <c r="X145" s="16"/>
      <c r="Y145" s="16"/>
    </row>
    <row r="146" spans="1:25" x14ac:dyDescent="0.2">
      <c r="A146" s="14"/>
      <c r="B146" s="16"/>
      <c r="C146" s="6"/>
      <c r="D146" s="16"/>
      <c r="E146" s="6"/>
      <c r="F146" s="16"/>
      <c r="G146" s="16"/>
      <c r="H146" s="16"/>
      <c r="I146" s="16"/>
      <c r="J146" s="16"/>
      <c r="K146" s="16"/>
      <c r="L146" s="16"/>
      <c r="M146" s="16"/>
      <c r="N146" s="16"/>
      <c r="O146" s="16"/>
      <c r="P146" s="16"/>
      <c r="Q146" s="16"/>
      <c r="R146" s="16"/>
      <c r="S146" s="16"/>
      <c r="T146" s="16"/>
      <c r="U146" s="16"/>
      <c r="V146" s="16"/>
      <c r="W146" s="16"/>
      <c r="X146" s="16"/>
      <c r="Y146" s="16"/>
    </row>
    <row r="147" spans="1:25" x14ac:dyDescent="0.2">
      <c r="A147" s="14"/>
      <c r="B147" s="16"/>
      <c r="C147" s="6"/>
      <c r="D147" s="16"/>
      <c r="E147" s="6"/>
      <c r="F147" s="16"/>
      <c r="G147" s="16"/>
      <c r="H147" s="16"/>
      <c r="I147" s="16"/>
      <c r="J147" s="16"/>
      <c r="K147" s="16"/>
      <c r="L147" s="16"/>
      <c r="M147" s="16"/>
      <c r="N147" s="16"/>
      <c r="O147" s="16"/>
      <c r="P147" s="16"/>
      <c r="Q147" s="16"/>
      <c r="R147" s="16"/>
      <c r="S147" s="16"/>
      <c r="T147" s="16"/>
      <c r="U147" s="16"/>
      <c r="V147" s="16"/>
      <c r="W147" s="16"/>
      <c r="X147" s="16"/>
      <c r="Y147" s="16"/>
    </row>
    <row r="148" spans="1:25" x14ac:dyDescent="0.2">
      <c r="A148" s="14"/>
      <c r="B148" s="16"/>
      <c r="C148" s="6"/>
      <c r="D148" s="16"/>
      <c r="E148" s="6"/>
      <c r="F148" s="16"/>
      <c r="G148" s="16"/>
      <c r="H148" s="16"/>
      <c r="I148" s="16"/>
      <c r="J148" s="16"/>
      <c r="K148" s="16"/>
      <c r="L148" s="16"/>
      <c r="M148" s="16"/>
      <c r="N148" s="16"/>
      <c r="O148" s="16"/>
      <c r="P148" s="16"/>
      <c r="Q148" s="16"/>
      <c r="R148" s="16"/>
      <c r="S148" s="16"/>
      <c r="T148" s="16"/>
      <c r="U148" s="16"/>
      <c r="V148" s="16"/>
      <c r="W148" s="16"/>
      <c r="X148" s="16"/>
      <c r="Y148" s="16"/>
    </row>
    <row r="149" spans="1:25" x14ac:dyDescent="0.2">
      <c r="A149" s="14"/>
      <c r="B149" s="16"/>
      <c r="C149" s="6"/>
      <c r="D149" s="16"/>
      <c r="E149" s="6"/>
      <c r="F149" s="16"/>
      <c r="G149" s="16"/>
      <c r="H149" s="16"/>
      <c r="I149" s="16"/>
      <c r="J149" s="16"/>
      <c r="K149" s="16"/>
      <c r="L149" s="16"/>
      <c r="M149" s="16"/>
      <c r="N149" s="16"/>
      <c r="O149" s="16"/>
      <c r="P149" s="16"/>
      <c r="Q149" s="16"/>
      <c r="R149" s="16"/>
      <c r="S149" s="16"/>
      <c r="T149" s="16"/>
      <c r="U149" s="16"/>
      <c r="V149" s="16"/>
      <c r="W149" s="16"/>
      <c r="X149" s="16"/>
      <c r="Y149" s="16"/>
    </row>
    <row r="150" spans="1:25" x14ac:dyDescent="0.2">
      <c r="A150" s="14"/>
      <c r="B150" s="16"/>
      <c r="C150" s="6"/>
      <c r="D150" s="16"/>
      <c r="E150" s="6"/>
      <c r="F150" s="16"/>
      <c r="G150" s="16"/>
      <c r="H150" s="16"/>
      <c r="I150" s="16"/>
      <c r="J150" s="16"/>
      <c r="K150" s="16"/>
      <c r="L150" s="16"/>
      <c r="M150" s="16"/>
      <c r="N150" s="16"/>
      <c r="O150" s="16"/>
      <c r="P150" s="16"/>
      <c r="Q150" s="16"/>
      <c r="R150" s="16"/>
      <c r="S150" s="16"/>
      <c r="T150" s="16"/>
      <c r="U150" s="16"/>
      <c r="V150" s="16"/>
      <c r="W150" s="16"/>
      <c r="X150" s="16"/>
      <c r="Y150" s="16"/>
    </row>
    <row r="151" spans="1:25" x14ac:dyDescent="0.2">
      <c r="A151" s="14"/>
      <c r="B151" s="16"/>
      <c r="C151" s="6"/>
      <c r="D151" s="16"/>
      <c r="E151" s="6"/>
      <c r="F151" s="16"/>
      <c r="G151" s="16"/>
      <c r="H151" s="16"/>
      <c r="I151" s="16"/>
      <c r="J151" s="16"/>
      <c r="K151" s="16"/>
      <c r="L151" s="16"/>
      <c r="M151" s="16"/>
      <c r="N151" s="16"/>
      <c r="O151" s="16"/>
      <c r="P151" s="16"/>
      <c r="Q151" s="16"/>
      <c r="R151" s="16"/>
      <c r="S151" s="16"/>
      <c r="T151" s="16"/>
      <c r="U151" s="16"/>
      <c r="V151" s="16"/>
      <c r="W151" s="16"/>
      <c r="X151" s="16"/>
      <c r="Y151" s="16"/>
    </row>
    <row r="152" spans="1:25" x14ac:dyDescent="0.2">
      <c r="A152" s="14"/>
      <c r="B152" s="16"/>
      <c r="C152" s="6"/>
      <c r="D152" s="16"/>
      <c r="E152" s="6"/>
      <c r="F152" s="16"/>
      <c r="G152" s="16"/>
      <c r="H152" s="16"/>
      <c r="I152" s="16"/>
      <c r="J152" s="16"/>
      <c r="K152" s="16"/>
      <c r="L152" s="16"/>
      <c r="M152" s="16"/>
      <c r="N152" s="16"/>
      <c r="O152" s="16"/>
      <c r="P152" s="16"/>
      <c r="Q152" s="16"/>
      <c r="R152" s="16"/>
      <c r="S152" s="16"/>
      <c r="T152" s="16"/>
      <c r="U152" s="16"/>
      <c r="V152" s="16"/>
      <c r="W152" s="16"/>
      <c r="X152" s="16"/>
      <c r="Y152" s="16"/>
    </row>
    <row r="153" spans="1:25" x14ac:dyDescent="0.2">
      <c r="A153" s="14"/>
      <c r="B153" s="16"/>
      <c r="C153" s="6"/>
      <c r="D153" s="16"/>
      <c r="E153" s="6"/>
      <c r="F153" s="16"/>
      <c r="G153" s="16"/>
      <c r="H153" s="16"/>
      <c r="I153" s="16"/>
      <c r="J153" s="16"/>
      <c r="K153" s="16"/>
      <c r="L153" s="16"/>
      <c r="M153" s="16"/>
      <c r="N153" s="16"/>
      <c r="O153" s="16"/>
      <c r="P153" s="16"/>
      <c r="Q153" s="16"/>
      <c r="R153" s="16"/>
      <c r="S153" s="16"/>
      <c r="T153" s="16"/>
      <c r="U153" s="16"/>
      <c r="V153" s="16"/>
      <c r="W153" s="16"/>
      <c r="X153" s="16"/>
      <c r="Y153" s="16"/>
    </row>
    <row r="154" spans="1:25" x14ac:dyDescent="0.2">
      <c r="A154" s="14"/>
      <c r="B154" s="16"/>
      <c r="C154" s="6"/>
      <c r="D154" s="16"/>
      <c r="E154" s="6"/>
      <c r="F154" s="16"/>
      <c r="G154" s="16"/>
      <c r="H154" s="16"/>
      <c r="I154" s="16"/>
      <c r="J154" s="16"/>
      <c r="K154" s="16"/>
      <c r="L154" s="16"/>
      <c r="M154" s="16"/>
      <c r="N154" s="16"/>
      <c r="O154" s="16"/>
      <c r="P154" s="16"/>
      <c r="Q154" s="16"/>
      <c r="R154" s="16"/>
      <c r="S154" s="16"/>
      <c r="T154" s="16"/>
      <c r="U154" s="16"/>
      <c r="V154" s="16"/>
      <c r="W154" s="16"/>
      <c r="X154" s="16"/>
      <c r="Y154" s="16"/>
    </row>
    <row r="155" spans="1:25" x14ac:dyDescent="0.2">
      <c r="A155" s="14"/>
      <c r="B155" s="16"/>
      <c r="C155" s="6"/>
      <c r="D155" s="16"/>
      <c r="E155" s="6"/>
      <c r="F155" s="16"/>
      <c r="G155" s="16"/>
      <c r="H155" s="16"/>
      <c r="I155" s="16"/>
      <c r="J155" s="16"/>
      <c r="K155" s="16"/>
      <c r="L155" s="16"/>
      <c r="M155" s="16"/>
      <c r="N155" s="16"/>
      <c r="O155" s="16"/>
      <c r="P155" s="16"/>
      <c r="Q155" s="16"/>
      <c r="R155" s="16"/>
      <c r="S155" s="16"/>
      <c r="T155" s="16"/>
      <c r="U155" s="16"/>
      <c r="V155" s="16"/>
      <c r="W155" s="16"/>
      <c r="X155" s="16"/>
      <c r="Y155" s="16"/>
    </row>
    <row r="156" spans="1:25" x14ac:dyDescent="0.2">
      <c r="A156" s="14"/>
      <c r="B156" s="16"/>
      <c r="C156" s="6"/>
      <c r="D156" s="16"/>
      <c r="E156" s="6"/>
      <c r="F156" s="16"/>
      <c r="G156" s="16"/>
      <c r="H156" s="16"/>
      <c r="I156" s="16"/>
      <c r="J156" s="16"/>
      <c r="K156" s="16"/>
      <c r="L156" s="16"/>
      <c r="M156" s="16"/>
      <c r="N156" s="16"/>
      <c r="O156" s="16"/>
      <c r="P156" s="16"/>
      <c r="Q156" s="16"/>
      <c r="R156" s="16"/>
      <c r="S156" s="16"/>
      <c r="T156" s="16"/>
      <c r="U156" s="16"/>
      <c r="V156" s="16"/>
      <c r="W156" s="16"/>
      <c r="X156" s="16"/>
      <c r="Y156" s="16"/>
    </row>
    <row r="157" spans="1:25" x14ac:dyDescent="0.2">
      <c r="A157" s="14"/>
      <c r="B157" s="16"/>
      <c r="C157" s="6"/>
      <c r="D157" s="16"/>
      <c r="E157" s="6"/>
      <c r="F157" s="16"/>
      <c r="G157" s="16"/>
      <c r="H157" s="16"/>
      <c r="I157" s="16"/>
      <c r="J157" s="16"/>
      <c r="K157" s="16"/>
      <c r="L157" s="16"/>
      <c r="M157" s="16"/>
      <c r="N157" s="16"/>
      <c r="O157" s="16"/>
      <c r="P157" s="16"/>
      <c r="Q157" s="16"/>
      <c r="R157" s="16"/>
      <c r="S157" s="16"/>
      <c r="T157" s="16"/>
      <c r="U157" s="16"/>
      <c r="V157" s="16"/>
      <c r="W157" s="16"/>
      <c r="X157" s="16"/>
      <c r="Y157" s="16"/>
    </row>
    <row r="158" spans="1:25" x14ac:dyDescent="0.2">
      <c r="A158" s="14"/>
      <c r="B158" s="16"/>
      <c r="C158" s="6"/>
      <c r="D158" s="16"/>
      <c r="E158" s="6"/>
      <c r="F158" s="16"/>
      <c r="G158" s="16"/>
      <c r="H158" s="16"/>
      <c r="I158" s="16"/>
      <c r="J158" s="16"/>
      <c r="K158" s="16"/>
      <c r="L158" s="16"/>
      <c r="M158" s="16"/>
      <c r="N158" s="16"/>
      <c r="O158" s="16"/>
      <c r="P158" s="16"/>
      <c r="Q158" s="16"/>
      <c r="R158" s="16"/>
      <c r="S158" s="16"/>
      <c r="T158" s="16"/>
      <c r="U158" s="16"/>
      <c r="V158" s="16"/>
      <c r="W158" s="16"/>
      <c r="X158" s="16"/>
      <c r="Y158" s="16"/>
    </row>
    <row r="159" spans="1:25" x14ac:dyDescent="0.2">
      <c r="A159" s="14"/>
      <c r="B159" s="16"/>
      <c r="C159" s="6"/>
      <c r="D159" s="16"/>
      <c r="E159" s="6"/>
      <c r="F159" s="16"/>
      <c r="G159" s="16"/>
      <c r="H159" s="16"/>
      <c r="I159" s="16"/>
      <c r="J159" s="16"/>
      <c r="K159" s="16"/>
      <c r="L159" s="16"/>
      <c r="M159" s="16"/>
      <c r="N159" s="16"/>
      <c r="O159" s="16"/>
      <c r="P159" s="16"/>
      <c r="Q159" s="16"/>
      <c r="R159" s="16"/>
      <c r="S159" s="16"/>
      <c r="T159" s="16"/>
      <c r="U159" s="16"/>
      <c r="V159" s="16"/>
      <c r="W159" s="16"/>
      <c r="X159" s="16"/>
      <c r="Y159" s="16"/>
    </row>
    <row r="160" spans="1:25" x14ac:dyDescent="0.2">
      <c r="A160" s="14"/>
      <c r="B160" s="16"/>
      <c r="C160" s="6"/>
      <c r="D160" s="16"/>
      <c r="E160" s="6"/>
      <c r="F160" s="16"/>
      <c r="G160" s="16"/>
      <c r="H160" s="16"/>
      <c r="I160" s="16"/>
      <c r="J160" s="16"/>
      <c r="K160" s="16"/>
      <c r="L160" s="16"/>
      <c r="M160" s="16"/>
      <c r="N160" s="16"/>
      <c r="O160" s="16"/>
      <c r="P160" s="16"/>
      <c r="Q160" s="16"/>
      <c r="R160" s="16"/>
      <c r="S160" s="16"/>
      <c r="T160" s="16"/>
      <c r="U160" s="16"/>
      <c r="V160" s="16"/>
      <c r="W160" s="16"/>
      <c r="X160" s="16"/>
      <c r="Y160" s="16"/>
    </row>
    <row r="161" spans="1:25" x14ac:dyDescent="0.2">
      <c r="A161" s="14"/>
      <c r="B161" s="16"/>
      <c r="C161" s="6"/>
      <c r="D161" s="16"/>
      <c r="E161" s="6"/>
      <c r="F161" s="16"/>
      <c r="G161" s="16"/>
      <c r="H161" s="16"/>
      <c r="I161" s="16"/>
      <c r="J161" s="16"/>
      <c r="K161" s="16"/>
      <c r="L161" s="16"/>
      <c r="M161" s="16"/>
      <c r="N161" s="16"/>
      <c r="O161" s="16"/>
      <c r="P161" s="16"/>
      <c r="Q161" s="16"/>
      <c r="R161" s="16"/>
      <c r="S161" s="16"/>
      <c r="T161" s="16"/>
      <c r="U161" s="16"/>
      <c r="V161" s="16"/>
      <c r="W161" s="16"/>
      <c r="X161" s="16"/>
      <c r="Y161" s="16"/>
    </row>
    <row r="162" spans="1:25" x14ac:dyDescent="0.2">
      <c r="A162" s="14"/>
      <c r="B162" s="16"/>
      <c r="C162" s="6"/>
      <c r="D162" s="16"/>
      <c r="E162" s="6"/>
      <c r="F162" s="16"/>
      <c r="G162" s="16"/>
      <c r="H162" s="16"/>
      <c r="I162" s="16"/>
      <c r="J162" s="16"/>
      <c r="K162" s="16"/>
      <c r="L162" s="16"/>
      <c r="M162" s="16"/>
      <c r="N162" s="16"/>
      <c r="O162" s="16"/>
      <c r="P162" s="16"/>
      <c r="Q162" s="16"/>
      <c r="R162" s="16"/>
      <c r="S162" s="16"/>
      <c r="T162" s="16"/>
      <c r="U162" s="16"/>
      <c r="V162" s="16"/>
      <c r="W162" s="16"/>
      <c r="X162" s="16"/>
      <c r="Y162" s="16"/>
    </row>
    <row r="163" spans="1:25" x14ac:dyDescent="0.2">
      <c r="A163" s="14"/>
      <c r="B163" s="16"/>
      <c r="C163" s="6"/>
      <c r="D163" s="16"/>
      <c r="E163" s="6"/>
      <c r="F163" s="16"/>
      <c r="G163" s="16"/>
      <c r="H163" s="16"/>
      <c r="I163" s="16"/>
      <c r="J163" s="16"/>
      <c r="K163" s="16"/>
      <c r="L163" s="16"/>
      <c r="M163" s="16"/>
      <c r="N163" s="16"/>
      <c r="O163" s="16"/>
      <c r="P163" s="16"/>
      <c r="Q163" s="16"/>
      <c r="R163" s="16"/>
      <c r="S163" s="16"/>
      <c r="T163" s="16"/>
      <c r="U163" s="16"/>
      <c r="V163" s="16"/>
      <c r="W163" s="16"/>
      <c r="X163" s="16"/>
      <c r="Y163" s="16"/>
    </row>
    <row r="164" spans="1:25" x14ac:dyDescent="0.2">
      <c r="A164" s="14"/>
      <c r="B164" s="16"/>
      <c r="C164" s="6"/>
      <c r="D164" s="16"/>
      <c r="E164" s="6"/>
      <c r="F164" s="16"/>
      <c r="G164" s="16"/>
      <c r="H164" s="16"/>
      <c r="I164" s="16"/>
      <c r="J164" s="16"/>
      <c r="K164" s="16"/>
      <c r="L164" s="16"/>
      <c r="M164" s="16"/>
      <c r="N164" s="16"/>
      <c r="O164" s="16"/>
      <c r="P164" s="16"/>
      <c r="Q164" s="16"/>
      <c r="R164" s="16"/>
      <c r="S164" s="16"/>
      <c r="T164" s="16"/>
      <c r="U164" s="16"/>
      <c r="V164" s="16"/>
      <c r="W164" s="16"/>
      <c r="X164" s="16"/>
      <c r="Y164" s="16"/>
    </row>
    <row r="165" spans="1:25" x14ac:dyDescent="0.2">
      <c r="A165" s="14"/>
      <c r="B165" s="16"/>
      <c r="C165" s="6"/>
      <c r="D165" s="16"/>
      <c r="E165" s="6"/>
      <c r="F165" s="16"/>
      <c r="G165" s="16"/>
      <c r="H165" s="16"/>
      <c r="I165" s="16"/>
      <c r="J165" s="16"/>
      <c r="K165" s="16"/>
      <c r="L165" s="16"/>
      <c r="M165" s="16"/>
      <c r="N165" s="16"/>
      <c r="O165" s="16"/>
      <c r="P165" s="16"/>
      <c r="Q165" s="16"/>
      <c r="R165" s="16"/>
      <c r="S165" s="16"/>
      <c r="T165" s="16"/>
      <c r="U165" s="16"/>
      <c r="V165" s="16"/>
      <c r="W165" s="16"/>
      <c r="X165" s="16"/>
      <c r="Y165" s="16"/>
    </row>
    <row r="166" spans="1:25" x14ac:dyDescent="0.2">
      <c r="A166" s="14"/>
      <c r="B166" s="16"/>
      <c r="C166" s="6"/>
      <c r="D166" s="16"/>
      <c r="E166" s="6"/>
      <c r="F166" s="16"/>
      <c r="G166" s="16"/>
      <c r="H166" s="16"/>
      <c r="I166" s="16"/>
      <c r="J166" s="16"/>
      <c r="K166" s="16"/>
      <c r="L166" s="16"/>
      <c r="M166" s="16"/>
      <c r="N166" s="16"/>
      <c r="O166" s="16"/>
      <c r="P166" s="16"/>
      <c r="Q166" s="16"/>
      <c r="R166" s="16"/>
      <c r="S166" s="16"/>
      <c r="T166" s="16"/>
      <c r="U166" s="16"/>
      <c r="V166" s="16"/>
      <c r="W166" s="16"/>
      <c r="X166" s="16"/>
      <c r="Y166" s="16"/>
    </row>
    <row r="167" spans="1:25" x14ac:dyDescent="0.2">
      <c r="A167" s="14"/>
      <c r="B167" s="16"/>
      <c r="C167" s="6"/>
      <c r="D167" s="16"/>
      <c r="E167" s="6"/>
      <c r="F167" s="16"/>
      <c r="G167" s="16"/>
      <c r="H167" s="16"/>
      <c r="I167" s="16"/>
      <c r="J167" s="16"/>
      <c r="K167" s="16"/>
      <c r="L167" s="16"/>
      <c r="M167" s="16"/>
      <c r="N167" s="16"/>
      <c r="O167" s="16"/>
      <c r="P167" s="16"/>
      <c r="Q167" s="16"/>
      <c r="R167" s="16"/>
      <c r="S167" s="16"/>
      <c r="T167" s="16"/>
      <c r="U167" s="16"/>
      <c r="V167" s="16"/>
      <c r="W167" s="16"/>
      <c r="X167" s="16"/>
      <c r="Y167" s="16"/>
    </row>
    <row r="168" spans="1:25" x14ac:dyDescent="0.2">
      <c r="A168" s="14"/>
      <c r="B168" s="16"/>
      <c r="C168" s="6"/>
      <c r="D168" s="16"/>
      <c r="E168" s="6"/>
      <c r="F168" s="16"/>
      <c r="G168" s="16"/>
      <c r="H168" s="16"/>
      <c r="I168" s="16"/>
      <c r="J168" s="16"/>
      <c r="K168" s="16"/>
      <c r="L168" s="16"/>
      <c r="M168" s="16"/>
      <c r="N168" s="16"/>
      <c r="O168" s="16"/>
      <c r="P168" s="16"/>
      <c r="Q168" s="16"/>
      <c r="R168" s="16"/>
      <c r="S168" s="16"/>
      <c r="T168" s="16"/>
      <c r="U168" s="16"/>
      <c r="V168" s="16"/>
      <c r="W168" s="16"/>
      <c r="X168" s="16"/>
      <c r="Y168" s="16"/>
    </row>
    <row r="169" spans="1:25" x14ac:dyDescent="0.2">
      <c r="A169" s="14"/>
      <c r="B169" s="16"/>
      <c r="C169" s="6"/>
      <c r="D169" s="16"/>
      <c r="E169" s="6"/>
      <c r="F169" s="16"/>
      <c r="G169" s="16"/>
      <c r="H169" s="16"/>
      <c r="I169" s="16"/>
      <c r="J169" s="16"/>
      <c r="K169" s="16"/>
      <c r="L169" s="16"/>
      <c r="M169" s="16"/>
      <c r="N169" s="16"/>
      <c r="O169" s="16"/>
      <c r="P169" s="16"/>
      <c r="Q169" s="16"/>
      <c r="R169" s="16"/>
      <c r="S169" s="16"/>
      <c r="T169" s="16"/>
      <c r="U169" s="16"/>
      <c r="V169" s="16"/>
      <c r="W169" s="16"/>
      <c r="X169" s="16"/>
      <c r="Y169" s="16"/>
    </row>
    <row r="170" spans="1:25" x14ac:dyDescent="0.2">
      <c r="A170" s="14"/>
      <c r="B170" s="16"/>
      <c r="C170" s="6"/>
      <c r="D170" s="16"/>
      <c r="E170" s="6"/>
      <c r="F170" s="16"/>
      <c r="G170" s="16"/>
      <c r="H170" s="16"/>
      <c r="I170" s="16"/>
      <c r="J170" s="16"/>
      <c r="K170" s="16"/>
      <c r="L170" s="16"/>
      <c r="M170" s="16"/>
      <c r="N170" s="16"/>
      <c r="O170" s="16"/>
      <c r="P170" s="16"/>
      <c r="Q170" s="16"/>
      <c r="R170" s="16"/>
      <c r="S170" s="16"/>
      <c r="T170" s="16"/>
      <c r="U170" s="16"/>
      <c r="V170" s="16"/>
      <c r="W170" s="16"/>
      <c r="X170" s="16"/>
      <c r="Y170" s="16"/>
    </row>
    <row r="171" spans="1:25" x14ac:dyDescent="0.2">
      <c r="A171" s="14"/>
      <c r="B171" s="16"/>
      <c r="C171" s="6"/>
      <c r="D171" s="16"/>
      <c r="E171" s="6"/>
      <c r="F171" s="16"/>
      <c r="G171" s="16"/>
      <c r="H171" s="16"/>
      <c r="I171" s="16"/>
      <c r="J171" s="16"/>
      <c r="K171" s="16"/>
      <c r="L171" s="16"/>
      <c r="M171" s="16"/>
      <c r="N171" s="16"/>
      <c r="O171" s="16"/>
      <c r="P171" s="16"/>
      <c r="Q171" s="16"/>
      <c r="R171" s="16"/>
      <c r="S171" s="16"/>
      <c r="T171" s="16"/>
      <c r="U171" s="16"/>
      <c r="V171" s="16"/>
      <c r="W171" s="16"/>
      <c r="X171" s="16"/>
      <c r="Y171" s="16"/>
    </row>
    <row r="172" spans="1:25" x14ac:dyDescent="0.2">
      <c r="A172" s="14"/>
      <c r="B172" s="16"/>
      <c r="C172" s="6"/>
      <c r="D172" s="16"/>
      <c r="E172" s="6"/>
      <c r="F172" s="16"/>
      <c r="G172" s="16"/>
      <c r="H172" s="16"/>
      <c r="I172" s="16"/>
      <c r="J172" s="16"/>
      <c r="K172" s="16"/>
      <c r="L172" s="16"/>
      <c r="M172" s="16"/>
      <c r="N172" s="16"/>
      <c r="O172" s="16"/>
      <c r="P172" s="16"/>
      <c r="Q172" s="16"/>
      <c r="R172" s="16"/>
      <c r="S172" s="16"/>
      <c r="T172" s="16"/>
      <c r="U172" s="16"/>
      <c r="V172" s="16"/>
      <c r="W172" s="16"/>
      <c r="X172" s="16"/>
      <c r="Y172" s="16"/>
    </row>
    <row r="173" spans="1:25" x14ac:dyDescent="0.2">
      <c r="A173" s="14"/>
      <c r="B173" s="16"/>
      <c r="C173" s="6"/>
      <c r="D173" s="16"/>
      <c r="E173" s="6"/>
      <c r="F173" s="16"/>
      <c r="G173" s="16"/>
      <c r="H173" s="16"/>
      <c r="I173" s="16"/>
      <c r="J173" s="16"/>
      <c r="K173" s="16"/>
      <c r="L173" s="16"/>
      <c r="M173" s="16"/>
      <c r="N173" s="16"/>
      <c r="O173" s="16"/>
      <c r="P173" s="16"/>
      <c r="Q173" s="16"/>
      <c r="R173" s="16"/>
      <c r="S173" s="16"/>
      <c r="T173" s="16"/>
      <c r="U173" s="16"/>
      <c r="V173" s="16"/>
      <c r="W173" s="16"/>
      <c r="X173" s="16"/>
      <c r="Y173" s="16"/>
    </row>
    <row r="174" spans="1:25" x14ac:dyDescent="0.2">
      <c r="A174" s="14"/>
      <c r="B174" s="16"/>
      <c r="C174" s="6"/>
      <c r="D174" s="16"/>
      <c r="E174" s="6"/>
      <c r="F174" s="16"/>
      <c r="G174" s="16"/>
      <c r="H174" s="16"/>
      <c r="I174" s="16"/>
      <c r="J174" s="16"/>
      <c r="K174" s="16"/>
      <c r="L174" s="16"/>
      <c r="M174" s="16"/>
      <c r="N174" s="16"/>
      <c r="O174" s="16"/>
      <c r="P174" s="16"/>
      <c r="Q174" s="16"/>
      <c r="R174" s="16"/>
      <c r="S174" s="16"/>
      <c r="T174" s="16"/>
      <c r="U174" s="16"/>
      <c r="V174" s="16"/>
      <c r="W174" s="16"/>
      <c r="X174" s="16"/>
      <c r="Y174" s="16"/>
    </row>
    <row r="175" spans="1:25" x14ac:dyDescent="0.2">
      <c r="A175" s="14"/>
      <c r="B175" s="16"/>
      <c r="C175" s="6"/>
      <c r="D175" s="16"/>
      <c r="E175" s="6"/>
      <c r="F175" s="16"/>
      <c r="G175" s="16"/>
      <c r="H175" s="16"/>
      <c r="I175" s="16"/>
      <c r="J175" s="16"/>
      <c r="K175" s="16"/>
      <c r="L175" s="16"/>
      <c r="M175" s="16"/>
      <c r="N175" s="16"/>
      <c r="O175" s="16"/>
      <c r="P175" s="16"/>
      <c r="Q175" s="16"/>
      <c r="R175" s="16"/>
      <c r="S175" s="16"/>
      <c r="T175" s="16"/>
      <c r="U175" s="16"/>
      <c r="V175" s="16"/>
      <c r="W175" s="16"/>
      <c r="X175" s="16"/>
      <c r="Y175" s="16"/>
    </row>
    <row r="176" spans="1:25" x14ac:dyDescent="0.2">
      <c r="A176" s="14"/>
      <c r="B176" s="16"/>
      <c r="C176" s="6"/>
      <c r="D176" s="16"/>
      <c r="E176" s="6"/>
      <c r="F176" s="16"/>
      <c r="G176" s="16"/>
      <c r="H176" s="16"/>
      <c r="I176" s="16"/>
      <c r="J176" s="16"/>
      <c r="K176" s="16"/>
      <c r="L176" s="16"/>
      <c r="M176" s="16"/>
      <c r="N176" s="16"/>
      <c r="O176" s="16"/>
      <c r="P176" s="16"/>
      <c r="Q176" s="16"/>
      <c r="R176" s="16"/>
      <c r="S176" s="16"/>
      <c r="T176" s="16"/>
      <c r="U176" s="16"/>
      <c r="V176" s="16"/>
      <c r="W176" s="16"/>
      <c r="X176" s="16"/>
      <c r="Y176" s="16"/>
    </row>
    <row r="177" spans="1:25" x14ac:dyDescent="0.2">
      <c r="A177" s="14"/>
      <c r="B177" s="16"/>
      <c r="C177" s="6"/>
      <c r="D177" s="16"/>
      <c r="E177" s="6"/>
      <c r="F177" s="16"/>
      <c r="G177" s="16"/>
      <c r="H177" s="16"/>
      <c r="I177" s="16"/>
      <c r="J177" s="16"/>
      <c r="K177" s="16"/>
      <c r="L177" s="16"/>
      <c r="M177" s="16"/>
      <c r="N177" s="16"/>
      <c r="O177" s="16"/>
      <c r="P177" s="16"/>
      <c r="Q177" s="16"/>
      <c r="R177" s="16"/>
      <c r="S177" s="16"/>
      <c r="T177" s="16"/>
      <c r="U177" s="16"/>
      <c r="V177" s="16"/>
      <c r="W177" s="16"/>
      <c r="X177" s="16"/>
      <c r="Y177" s="16"/>
    </row>
    <row r="178" spans="1:25" x14ac:dyDescent="0.2">
      <c r="A178" s="14"/>
      <c r="B178" s="16"/>
      <c r="C178" s="6"/>
      <c r="D178" s="16"/>
      <c r="E178" s="6"/>
      <c r="F178" s="16"/>
      <c r="G178" s="16"/>
      <c r="H178" s="16"/>
      <c r="I178" s="16"/>
      <c r="J178" s="16"/>
      <c r="K178" s="16"/>
      <c r="L178" s="16"/>
      <c r="M178" s="16"/>
      <c r="N178" s="16"/>
      <c r="O178" s="16"/>
      <c r="P178" s="16"/>
      <c r="Q178" s="16"/>
      <c r="R178" s="16"/>
      <c r="S178" s="16"/>
      <c r="T178" s="16"/>
      <c r="U178" s="16"/>
      <c r="V178" s="16"/>
      <c r="W178" s="16"/>
      <c r="X178" s="16"/>
      <c r="Y178" s="16"/>
    </row>
    <row r="179" spans="1:25" x14ac:dyDescent="0.2">
      <c r="A179" s="14"/>
      <c r="B179" s="16"/>
      <c r="C179" s="6"/>
      <c r="D179" s="16"/>
      <c r="E179" s="6"/>
      <c r="F179" s="16"/>
      <c r="G179" s="16"/>
      <c r="H179" s="16"/>
      <c r="I179" s="16"/>
      <c r="J179" s="16"/>
      <c r="K179" s="16"/>
      <c r="L179" s="16"/>
      <c r="M179" s="16"/>
      <c r="N179" s="16"/>
      <c r="O179" s="16"/>
      <c r="P179" s="16"/>
      <c r="Q179" s="16"/>
      <c r="R179" s="16"/>
      <c r="S179" s="16"/>
      <c r="T179" s="16"/>
      <c r="U179" s="16"/>
      <c r="V179" s="16"/>
      <c r="W179" s="16"/>
      <c r="X179" s="16"/>
      <c r="Y179" s="16"/>
    </row>
    <row r="180" spans="1:25" x14ac:dyDescent="0.2">
      <c r="A180" s="14"/>
      <c r="B180" s="16"/>
      <c r="C180" s="6"/>
      <c r="D180" s="16"/>
      <c r="E180" s="6"/>
      <c r="F180" s="16"/>
      <c r="G180" s="16"/>
      <c r="H180" s="16"/>
      <c r="I180" s="16"/>
      <c r="J180" s="16"/>
      <c r="K180" s="16"/>
      <c r="L180" s="16"/>
      <c r="M180" s="16"/>
      <c r="N180" s="16"/>
      <c r="O180" s="16"/>
      <c r="P180" s="16"/>
      <c r="Q180" s="16"/>
      <c r="R180" s="16"/>
      <c r="S180" s="16"/>
      <c r="T180" s="16"/>
      <c r="U180" s="16"/>
      <c r="V180" s="16"/>
      <c r="W180" s="16"/>
      <c r="X180" s="16"/>
      <c r="Y180" s="16"/>
    </row>
    <row r="181" spans="1:25" x14ac:dyDescent="0.2">
      <c r="A181" s="14"/>
      <c r="B181" s="16"/>
      <c r="C181" s="6"/>
      <c r="D181" s="16"/>
      <c r="E181" s="6"/>
      <c r="F181" s="16"/>
      <c r="G181" s="16"/>
      <c r="H181" s="16"/>
      <c r="I181" s="16"/>
      <c r="J181" s="16"/>
      <c r="K181" s="16"/>
      <c r="L181" s="16"/>
      <c r="M181" s="16"/>
      <c r="N181" s="16"/>
      <c r="O181" s="16"/>
      <c r="P181" s="16"/>
      <c r="Q181" s="16"/>
      <c r="R181" s="16"/>
      <c r="S181" s="16"/>
      <c r="T181" s="16"/>
      <c r="U181" s="16"/>
      <c r="V181" s="16"/>
      <c r="W181" s="16"/>
      <c r="X181" s="16"/>
      <c r="Y181" s="16"/>
    </row>
    <row r="182" spans="1:25" x14ac:dyDescent="0.2">
      <c r="A182" s="14"/>
      <c r="B182" s="16"/>
      <c r="C182" s="6"/>
      <c r="D182" s="16"/>
      <c r="E182" s="6"/>
      <c r="F182" s="16"/>
      <c r="G182" s="16"/>
      <c r="H182" s="16"/>
      <c r="I182" s="16"/>
      <c r="J182" s="16"/>
      <c r="K182" s="16"/>
      <c r="L182" s="16"/>
      <c r="M182" s="16"/>
      <c r="N182" s="16"/>
      <c r="O182" s="16"/>
      <c r="P182" s="16"/>
      <c r="Q182" s="16"/>
      <c r="R182" s="16"/>
      <c r="S182" s="16"/>
      <c r="T182" s="16"/>
      <c r="U182" s="16"/>
      <c r="V182" s="16"/>
      <c r="W182" s="16"/>
      <c r="X182" s="16"/>
      <c r="Y182" s="16"/>
    </row>
    <row r="183" spans="1:25" x14ac:dyDescent="0.2">
      <c r="A183" s="14"/>
      <c r="B183" s="16"/>
      <c r="C183" s="6"/>
      <c r="D183" s="16"/>
      <c r="E183" s="6"/>
      <c r="F183" s="16"/>
      <c r="G183" s="16"/>
      <c r="H183" s="16"/>
      <c r="I183" s="16"/>
      <c r="J183" s="16"/>
      <c r="K183" s="16"/>
      <c r="L183" s="16"/>
      <c r="M183" s="16"/>
      <c r="N183" s="16"/>
      <c r="O183" s="16"/>
      <c r="P183" s="16"/>
      <c r="Q183" s="16"/>
      <c r="R183" s="16"/>
      <c r="S183" s="16"/>
      <c r="T183" s="16"/>
      <c r="U183" s="16"/>
      <c r="V183" s="16"/>
      <c r="W183" s="16"/>
      <c r="X183" s="16"/>
      <c r="Y183" s="16"/>
    </row>
    <row r="184" spans="1:25" x14ac:dyDescent="0.2">
      <c r="A184" s="14"/>
      <c r="B184" s="16"/>
      <c r="C184" s="6"/>
      <c r="D184" s="16"/>
      <c r="E184" s="6"/>
      <c r="F184" s="16"/>
      <c r="G184" s="16"/>
      <c r="H184" s="16"/>
      <c r="I184" s="16"/>
      <c r="J184" s="16"/>
      <c r="K184" s="16"/>
      <c r="L184" s="16"/>
      <c r="M184" s="16"/>
      <c r="N184" s="16"/>
      <c r="O184" s="16"/>
      <c r="P184" s="16"/>
      <c r="Q184" s="16"/>
      <c r="R184" s="16"/>
      <c r="S184" s="16"/>
      <c r="T184" s="16"/>
      <c r="U184" s="16"/>
      <c r="V184" s="16"/>
      <c r="W184" s="16"/>
      <c r="X184" s="16"/>
      <c r="Y184" s="16"/>
    </row>
    <row r="185" spans="1:25" x14ac:dyDescent="0.2">
      <c r="A185" s="14"/>
      <c r="B185" s="16"/>
      <c r="C185" s="6"/>
      <c r="D185" s="16"/>
      <c r="E185" s="6"/>
      <c r="F185" s="16"/>
      <c r="G185" s="16"/>
      <c r="H185" s="16"/>
      <c r="I185" s="16"/>
      <c r="J185" s="16"/>
      <c r="K185" s="16"/>
      <c r="L185" s="16"/>
      <c r="M185" s="16"/>
      <c r="N185" s="16"/>
      <c r="O185" s="16"/>
      <c r="P185" s="16"/>
      <c r="Q185" s="16"/>
      <c r="R185" s="16"/>
      <c r="S185" s="16"/>
      <c r="T185" s="16"/>
      <c r="U185" s="16"/>
      <c r="V185" s="16"/>
      <c r="W185" s="16"/>
      <c r="X185" s="16"/>
      <c r="Y185" s="16"/>
    </row>
    <row r="186" spans="1:25" x14ac:dyDescent="0.2">
      <c r="A186" s="14"/>
      <c r="B186" s="16"/>
      <c r="C186" s="6"/>
      <c r="D186" s="16"/>
      <c r="E186" s="6"/>
      <c r="F186" s="16"/>
      <c r="G186" s="16"/>
      <c r="H186" s="16"/>
      <c r="I186" s="16"/>
      <c r="J186" s="16"/>
      <c r="K186" s="16"/>
      <c r="L186" s="16"/>
      <c r="M186" s="16"/>
      <c r="N186" s="16"/>
      <c r="O186" s="16"/>
      <c r="P186" s="16"/>
      <c r="Q186" s="16"/>
      <c r="R186" s="16"/>
      <c r="S186" s="16"/>
      <c r="T186" s="16"/>
      <c r="U186" s="16"/>
      <c r="V186" s="16"/>
      <c r="W186" s="16"/>
      <c r="X186" s="16"/>
      <c r="Y186" s="16"/>
    </row>
    <row r="187" spans="1:25" x14ac:dyDescent="0.2">
      <c r="A187" s="14"/>
      <c r="B187" s="16"/>
      <c r="C187" s="6"/>
      <c r="D187" s="16"/>
      <c r="E187" s="6"/>
      <c r="F187" s="16"/>
      <c r="G187" s="16"/>
      <c r="H187" s="16"/>
      <c r="I187" s="16"/>
      <c r="J187" s="16"/>
      <c r="K187" s="16"/>
      <c r="L187" s="16"/>
      <c r="M187" s="16"/>
      <c r="N187" s="16"/>
      <c r="O187" s="16"/>
      <c r="P187" s="16"/>
      <c r="Q187" s="16"/>
      <c r="R187" s="16"/>
      <c r="S187" s="16"/>
      <c r="T187" s="16"/>
      <c r="U187" s="16"/>
      <c r="V187" s="16"/>
      <c r="W187" s="16"/>
      <c r="X187" s="16"/>
      <c r="Y187" s="16"/>
    </row>
    <row r="188" spans="1:25" x14ac:dyDescent="0.2">
      <c r="A188" s="14"/>
      <c r="B188" s="16"/>
      <c r="C188" s="6"/>
      <c r="D188" s="16"/>
      <c r="E188" s="6"/>
      <c r="F188" s="16"/>
      <c r="G188" s="16"/>
      <c r="H188" s="16"/>
      <c r="I188" s="16"/>
      <c r="J188" s="16"/>
      <c r="K188" s="16"/>
      <c r="L188" s="16"/>
      <c r="M188" s="16"/>
      <c r="N188" s="16"/>
      <c r="O188" s="16"/>
      <c r="P188" s="16"/>
      <c r="Q188" s="16"/>
      <c r="R188" s="16"/>
      <c r="S188" s="16"/>
      <c r="T188" s="16"/>
      <c r="U188" s="16"/>
      <c r="V188" s="16"/>
      <c r="W188" s="16"/>
      <c r="X188" s="16"/>
      <c r="Y188" s="16"/>
    </row>
    <row r="189" spans="1:25" x14ac:dyDescent="0.2">
      <c r="A189" s="14"/>
      <c r="B189" s="16"/>
      <c r="C189" s="6"/>
      <c r="D189" s="16"/>
      <c r="E189" s="6"/>
      <c r="F189" s="16"/>
      <c r="G189" s="16"/>
      <c r="H189" s="16"/>
      <c r="I189" s="16"/>
      <c r="J189" s="16"/>
      <c r="K189" s="16"/>
      <c r="L189" s="16"/>
      <c r="M189" s="16"/>
      <c r="N189" s="16"/>
      <c r="O189" s="16"/>
      <c r="P189" s="16"/>
      <c r="Q189" s="16"/>
      <c r="R189" s="16"/>
      <c r="S189" s="16"/>
      <c r="T189" s="16"/>
      <c r="U189" s="16"/>
      <c r="V189" s="16"/>
      <c r="W189" s="16"/>
      <c r="X189" s="16"/>
      <c r="Y189" s="16"/>
    </row>
    <row r="190" spans="1:25" x14ac:dyDescent="0.2">
      <c r="A190" s="14"/>
      <c r="B190" s="16"/>
      <c r="C190" s="6"/>
      <c r="D190" s="16"/>
      <c r="E190" s="6"/>
      <c r="F190" s="16"/>
      <c r="G190" s="16"/>
      <c r="H190" s="16"/>
      <c r="I190" s="16"/>
      <c r="J190" s="16"/>
      <c r="K190" s="16"/>
      <c r="L190" s="16"/>
      <c r="M190" s="16"/>
      <c r="N190" s="16"/>
      <c r="O190" s="16"/>
      <c r="P190" s="16"/>
      <c r="Q190" s="16"/>
      <c r="R190" s="16"/>
      <c r="S190" s="16"/>
      <c r="T190" s="16"/>
      <c r="U190" s="16"/>
      <c r="V190" s="16"/>
      <c r="W190" s="16"/>
      <c r="X190" s="16"/>
      <c r="Y190" s="16"/>
    </row>
    <row r="191" spans="1:25" x14ac:dyDescent="0.2">
      <c r="A191" s="14"/>
      <c r="B191" s="16"/>
      <c r="C191" s="6"/>
      <c r="D191" s="16"/>
      <c r="E191" s="6"/>
      <c r="F191" s="16"/>
      <c r="G191" s="16"/>
      <c r="H191" s="16"/>
      <c r="I191" s="16"/>
      <c r="J191" s="16"/>
      <c r="K191" s="16"/>
      <c r="L191" s="16"/>
      <c r="M191" s="16"/>
      <c r="N191" s="16"/>
      <c r="O191" s="16"/>
      <c r="P191" s="16"/>
      <c r="Q191" s="16"/>
      <c r="R191" s="16"/>
      <c r="S191" s="16"/>
      <c r="T191" s="16"/>
      <c r="U191" s="16"/>
      <c r="V191" s="16"/>
      <c r="W191" s="16"/>
      <c r="X191" s="16"/>
      <c r="Y191" s="16"/>
    </row>
    <row r="192" spans="1:25" x14ac:dyDescent="0.2">
      <c r="A192" s="14"/>
      <c r="B192" s="16"/>
      <c r="C192" s="6"/>
      <c r="D192" s="16"/>
      <c r="E192" s="6"/>
      <c r="F192" s="16"/>
      <c r="G192" s="16"/>
      <c r="H192" s="16"/>
      <c r="I192" s="16"/>
      <c r="J192" s="16"/>
      <c r="K192" s="16"/>
      <c r="L192" s="16"/>
      <c r="M192" s="16"/>
      <c r="N192" s="16"/>
      <c r="O192" s="16"/>
      <c r="P192" s="16"/>
      <c r="Q192" s="16"/>
      <c r="R192" s="16"/>
      <c r="S192" s="16"/>
      <c r="T192" s="16"/>
      <c r="U192" s="16"/>
      <c r="V192" s="16"/>
      <c r="W192" s="16"/>
      <c r="X192" s="16"/>
      <c r="Y192" s="16"/>
    </row>
    <row r="193" spans="1:25" x14ac:dyDescent="0.2">
      <c r="A193" s="14"/>
      <c r="B193" s="16"/>
      <c r="C193" s="6"/>
      <c r="D193" s="16"/>
      <c r="E193" s="6"/>
      <c r="F193" s="16"/>
      <c r="G193" s="16"/>
      <c r="H193" s="16"/>
      <c r="I193" s="16"/>
      <c r="J193" s="16"/>
      <c r="K193" s="16"/>
      <c r="L193" s="16"/>
      <c r="M193" s="16"/>
      <c r="N193" s="16"/>
      <c r="O193" s="16"/>
      <c r="P193" s="16"/>
      <c r="Q193" s="16"/>
      <c r="R193" s="16"/>
      <c r="S193" s="16"/>
      <c r="T193" s="16"/>
      <c r="U193" s="16"/>
      <c r="V193" s="16"/>
      <c r="W193" s="16"/>
      <c r="X193" s="16"/>
      <c r="Y193" s="16"/>
    </row>
    <row r="194" spans="1:25" x14ac:dyDescent="0.2">
      <c r="A194" s="14"/>
      <c r="B194" s="16"/>
      <c r="C194" s="6"/>
      <c r="D194" s="16"/>
      <c r="E194" s="6"/>
      <c r="F194" s="16"/>
      <c r="G194" s="16"/>
      <c r="H194" s="16"/>
      <c r="I194" s="16"/>
      <c r="J194" s="16"/>
      <c r="K194" s="16"/>
      <c r="L194" s="16"/>
      <c r="M194" s="16"/>
      <c r="N194" s="16"/>
      <c r="O194" s="16"/>
      <c r="P194" s="16"/>
      <c r="Q194" s="16"/>
      <c r="R194" s="16"/>
      <c r="S194" s="16"/>
      <c r="T194" s="16"/>
      <c r="U194" s="16"/>
      <c r="V194" s="16"/>
      <c r="W194" s="16"/>
      <c r="X194" s="16"/>
      <c r="Y194" s="16"/>
    </row>
    <row r="195" spans="1:25" x14ac:dyDescent="0.2">
      <c r="A195" s="14"/>
      <c r="B195" s="16"/>
      <c r="C195" s="6"/>
      <c r="D195" s="16"/>
      <c r="E195" s="6"/>
      <c r="F195" s="16"/>
      <c r="G195" s="16"/>
      <c r="H195" s="16"/>
      <c r="I195" s="16"/>
      <c r="J195" s="16"/>
      <c r="K195" s="16"/>
      <c r="L195" s="16"/>
      <c r="M195" s="16"/>
      <c r="N195" s="16"/>
      <c r="O195" s="16"/>
      <c r="P195" s="16"/>
      <c r="Q195" s="16"/>
      <c r="R195" s="16"/>
      <c r="S195" s="16"/>
      <c r="T195" s="16"/>
      <c r="U195" s="16"/>
      <c r="V195" s="16"/>
      <c r="W195" s="16"/>
      <c r="X195" s="16"/>
      <c r="Y195" s="16"/>
    </row>
    <row r="196" spans="1:25" x14ac:dyDescent="0.2">
      <c r="A196" s="14"/>
      <c r="B196" s="16"/>
      <c r="C196" s="6"/>
      <c r="D196" s="16"/>
      <c r="E196" s="6"/>
      <c r="F196" s="16"/>
      <c r="G196" s="16"/>
      <c r="H196" s="16"/>
      <c r="I196" s="16"/>
      <c r="J196" s="16"/>
      <c r="K196" s="16"/>
      <c r="L196" s="16"/>
      <c r="M196" s="16"/>
      <c r="N196" s="16"/>
      <c r="O196" s="16"/>
      <c r="P196" s="16"/>
      <c r="Q196" s="16"/>
      <c r="R196" s="16"/>
      <c r="S196" s="16"/>
      <c r="T196" s="16"/>
      <c r="U196" s="16"/>
      <c r="V196" s="16"/>
      <c r="W196" s="16"/>
      <c r="X196" s="16"/>
      <c r="Y196" s="16"/>
    </row>
    <row r="197" spans="1:25" x14ac:dyDescent="0.2">
      <c r="A197" s="14"/>
      <c r="B197" s="16"/>
      <c r="C197" s="6"/>
      <c r="D197" s="16"/>
      <c r="E197" s="6"/>
      <c r="F197" s="16"/>
      <c r="G197" s="16"/>
      <c r="H197" s="16"/>
      <c r="I197" s="16"/>
      <c r="J197" s="16"/>
      <c r="K197" s="16"/>
      <c r="L197" s="16"/>
      <c r="M197" s="16"/>
      <c r="N197" s="16"/>
      <c r="O197" s="16"/>
      <c r="P197" s="16"/>
      <c r="Q197" s="16"/>
      <c r="R197" s="16"/>
      <c r="S197" s="16"/>
      <c r="T197" s="16"/>
      <c r="U197" s="16"/>
      <c r="V197" s="16"/>
      <c r="W197" s="16"/>
      <c r="X197" s="16"/>
      <c r="Y197" s="16"/>
    </row>
    <row r="198" spans="1:25" x14ac:dyDescent="0.2">
      <c r="A198" s="14"/>
      <c r="B198" s="16"/>
      <c r="C198" s="6"/>
      <c r="D198" s="16"/>
      <c r="E198" s="6"/>
      <c r="F198" s="16"/>
      <c r="G198" s="16"/>
      <c r="H198" s="16"/>
      <c r="I198" s="16"/>
      <c r="J198" s="16"/>
      <c r="K198" s="16"/>
      <c r="L198" s="16"/>
      <c r="M198" s="16"/>
      <c r="N198" s="16"/>
      <c r="O198" s="16"/>
      <c r="P198" s="16"/>
      <c r="Q198" s="16"/>
      <c r="R198" s="16"/>
      <c r="S198" s="16"/>
      <c r="T198" s="16"/>
      <c r="U198" s="16"/>
      <c r="V198" s="16"/>
      <c r="W198" s="16"/>
      <c r="X198" s="16"/>
      <c r="Y198" s="16"/>
    </row>
    <row r="199" spans="1:25" x14ac:dyDescent="0.2">
      <c r="A199" s="14"/>
      <c r="B199" s="16"/>
      <c r="C199" s="6"/>
      <c r="D199" s="16"/>
      <c r="E199" s="6"/>
      <c r="F199" s="16"/>
      <c r="G199" s="16"/>
      <c r="H199" s="16"/>
      <c r="I199" s="16"/>
      <c r="J199" s="16"/>
      <c r="K199" s="16"/>
      <c r="L199" s="16"/>
      <c r="M199" s="16"/>
      <c r="N199" s="16"/>
      <c r="O199" s="16"/>
      <c r="P199" s="16"/>
      <c r="Q199" s="16"/>
      <c r="R199" s="16"/>
      <c r="S199" s="16"/>
      <c r="T199" s="16"/>
      <c r="U199" s="16"/>
      <c r="V199" s="16"/>
      <c r="W199" s="16"/>
      <c r="X199" s="16"/>
      <c r="Y199" s="16"/>
    </row>
    <row r="200" spans="1:25" x14ac:dyDescent="0.2">
      <c r="A200" s="14"/>
      <c r="B200" s="16"/>
      <c r="C200" s="6"/>
      <c r="D200" s="16"/>
      <c r="E200" s="6"/>
      <c r="F200" s="16"/>
      <c r="G200" s="16"/>
      <c r="H200" s="16"/>
      <c r="I200" s="16"/>
      <c r="J200" s="16"/>
      <c r="K200" s="16"/>
      <c r="L200" s="16"/>
      <c r="M200" s="16"/>
      <c r="N200" s="16"/>
      <c r="O200" s="16"/>
      <c r="P200" s="16"/>
      <c r="Q200" s="16"/>
      <c r="R200" s="16"/>
      <c r="S200" s="16"/>
      <c r="T200" s="16"/>
      <c r="U200" s="16"/>
      <c r="V200" s="16"/>
      <c r="W200" s="16"/>
      <c r="X200" s="16"/>
      <c r="Y200" s="16"/>
    </row>
    <row r="201" spans="1:25" x14ac:dyDescent="0.2">
      <c r="A201" s="14"/>
      <c r="B201" s="16"/>
      <c r="C201" s="6"/>
      <c r="D201" s="16"/>
      <c r="E201" s="6"/>
      <c r="F201" s="16"/>
      <c r="G201" s="16"/>
      <c r="H201" s="16"/>
      <c r="I201" s="16"/>
      <c r="J201" s="16"/>
      <c r="K201" s="16"/>
      <c r="L201" s="16"/>
      <c r="M201" s="16"/>
      <c r="N201" s="16"/>
      <c r="O201" s="16"/>
      <c r="P201" s="16"/>
      <c r="Q201" s="16"/>
      <c r="R201" s="16"/>
      <c r="S201" s="16"/>
      <c r="T201" s="16"/>
      <c r="U201" s="16"/>
      <c r="V201" s="16"/>
      <c r="W201" s="16"/>
      <c r="X201" s="16"/>
      <c r="Y201" s="16"/>
    </row>
    <row r="202" spans="1:25" x14ac:dyDescent="0.2">
      <c r="A202" s="14"/>
      <c r="B202" s="16"/>
      <c r="C202" s="6"/>
      <c r="D202" s="16"/>
      <c r="E202" s="6"/>
      <c r="F202" s="16"/>
      <c r="G202" s="16"/>
      <c r="H202" s="16"/>
      <c r="I202" s="16"/>
      <c r="J202" s="16"/>
      <c r="K202" s="16"/>
      <c r="L202" s="16"/>
      <c r="M202" s="16"/>
      <c r="N202" s="16"/>
      <c r="O202" s="16"/>
      <c r="P202" s="16"/>
      <c r="Q202" s="16"/>
      <c r="R202" s="16"/>
      <c r="S202" s="16"/>
      <c r="T202" s="16"/>
      <c r="U202" s="16"/>
      <c r="V202" s="16"/>
      <c r="W202" s="16"/>
      <c r="X202" s="16"/>
      <c r="Y202" s="16"/>
    </row>
    <row r="203" spans="1:25" x14ac:dyDescent="0.2">
      <c r="A203" s="14"/>
      <c r="B203" s="16"/>
      <c r="C203" s="6"/>
      <c r="D203" s="16"/>
      <c r="E203" s="6"/>
      <c r="F203" s="16"/>
      <c r="G203" s="16"/>
      <c r="H203" s="16"/>
      <c r="I203" s="16"/>
      <c r="J203" s="16"/>
      <c r="K203" s="16"/>
      <c r="L203" s="16"/>
      <c r="M203" s="16"/>
      <c r="N203" s="16"/>
      <c r="O203" s="16"/>
      <c r="P203" s="16"/>
      <c r="Q203" s="16"/>
      <c r="R203" s="16"/>
      <c r="S203" s="16"/>
      <c r="T203" s="16"/>
      <c r="U203" s="16"/>
      <c r="V203" s="16"/>
      <c r="W203" s="16"/>
      <c r="X203" s="16"/>
      <c r="Y203" s="16"/>
    </row>
    <row r="204" spans="1:25" x14ac:dyDescent="0.2">
      <c r="A204" s="14"/>
      <c r="B204" s="16"/>
      <c r="C204" s="6"/>
      <c r="D204" s="16"/>
      <c r="E204" s="6"/>
      <c r="F204" s="16"/>
      <c r="G204" s="16"/>
      <c r="H204" s="16"/>
      <c r="I204" s="16"/>
      <c r="J204" s="16"/>
      <c r="K204" s="16"/>
      <c r="L204" s="16"/>
      <c r="M204" s="16"/>
      <c r="N204" s="16"/>
      <c r="O204" s="16"/>
      <c r="P204" s="16"/>
      <c r="Q204" s="16"/>
      <c r="R204" s="16"/>
      <c r="S204" s="16"/>
      <c r="T204" s="16"/>
      <c r="U204" s="16"/>
      <c r="V204" s="16"/>
      <c r="W204" s="16"/>
      <c r="X204" s="16"/>
      <c r="Y204" s="16"/>
    </row>
    <row r="205" spans="1:25" x14ac:dyDescent="0.2">
      <c r="A205" s="14"/>
      <c r="B205" s="16"/>
      <c r="C205" s="6"/>
      <c r="D205" s="16"/>
      <c r="E205" s="6"/>
      <c r="F205" s="16"/>
      <c r="G205" s="16"/>
      <c r="H205" s="16"/>
      <c r="I205" s="16"/>
      <c r="J205" s="16"/>
      <c r="K205" s="16"/>
      <c r="L205" s="16"/>
      <c r="M205" s="16"/>
      <c r="N205" s="16"/>
      <c r="O205" s="16"/>
      <c r="P205" s="16"/>
      <c r="Q205" s="16"/>
      <c r="R205" s="16"/>
      <c r="S205" s="16"/>
      <c r="T205" s="16"/>
      <c r="U205" s="16"/>
      <c r="V205" s="16"/>
      <c r="W205" s="16"/>
      <c r="X205" s="16"/>
      <c r="Y205" s="16"/>
    </row>
    <row r="206" spans="1:25" x14ac:dyDescent="0.2">
      <c r="A206" s="14"/>
      <c r="B206" s="16"/>
      <c r="C206" s="6"/>
      <c r="D206" s="16"/>
      <c r="E206" s="6"/>
      <c r="F206" s="16"/>
      <c r="G206" s="16"/>
      <c r="H206" s="16"/>
      <c r="I206" s="16"/>
      <c r="J206" s="16"/>
      <c r="K206" s="16"/>
      <c r="L206" s="16"/>
      <c r="M206" s="16"/>
      <c r="N206" s="16"/>
      <c r="O206" s="16"/>
      <c r="P206" s="16"/>
      <c r="Q206" s="16"/>
      <c r="R206" s="16"/>
      <c r="S206" s="16"/>
      <c r="T206" s="16"/>
      <c r="U206" s="16"/>
      <c r="V206" s="16"/>
      <c r="W206" s="16"/>
      <c r="X206" s="16"/>
      <c r="Y206" s="16"/>
    </row>
    <row r="207" spans="1:25" x14ac:dyDescent="0.2">
      <c r="A207" s="14"/>
      <c r="B207" s="16"/>
      <c r="C207" s="6"/>
      <c r="D207" s="16"/>
      <c r="E207" s="6"/>
      <c r="F207" s="16"/>
      <c r="G207" s="16"/>
      <c r="H207" s="16"/>
      <c r="I207" s="16"/>
      <c r="J207" s="16"/>
      <c r="K207" s="16"/>
      <c r="L207" s="16"/>
      <c r="M207" s="16"/>
      <c r="N207" s="16"/>
      <c r="O207" s="16"/>
      <c r="P207" s="16"/>
      <c r="Q207" s="16"/>
      <c r="R207" s="16"/>
      <c r="S207" s="16"/>
      <c r="T207" s="16"/>
      <c r="U207" s="16"/>
      <c r="V207" s="16"/>
      <c r="W207" s="16"/>
      <c r="X207" s="16"/>
      <c r="Y207" s="16"/>
    </row>
    <row r="208" spans="1:25" x14ac:dyDescent="0.2">
      <c r="A208" s="14"/>
      <c r="B208" s="16"/>
      <c r="C208" s="6"/>
      <c r="D208" s="16"/>
      <c r="E208" s="6"/>
      <c r="F208" s="16"/>
      <c r="G208" s="16"/>
      <c r="H208" s="16"/>
      <c r="I208" s="16"/>
      <c r="J208" s="16"/>
      <c r="K208" s="16"/>
      <c r="L208" s="16"/>
      <c r="M208" s="16"/>
      <c r="N208" s="16"/>
      <c r="O208" s="16"/>
      <c r="P208" s="16"/>
      <c r="Q208" s="16"/>
      <c r="R208" s="16"/>
      <c r="S208" s="16"/>
      <c r="T208" s="16"/>
      <c r="U208" s="16"/>
      <c r="V208" s="16"/>
      <c r="W208" s="16"/>
      <c r="X208" s="16"/>
      <c r="Y208" s="16"/>
    </row>
    <row r="209" spans="1:25" x14ac:dyDescent="0.2">
      <c r="A209" s="14"/>
      <c r="B209" s="16"/>
      <c r="C209" s="6"/>
      <c r="D209" s="16"/>
      <c r="E209" s="6"/>
      <c r="F209" s="16"/>
      <c r="G209" s="16"/>
      <c r="H209" s="16"/>
      <c r="I209" s="16"/>
      <c r="J209" s="16"/>
      <c r="K209" s="16"/>
      <c r="L209" s="16"/>
      <c r="M209" s="16"/>
      <c r="N209" s="16"/>
      <c r="O209" s="16"/>
      <c r="P209" s="16"/>
      <c r="Q209" s="16"/>
      <c r="R209" s="16"/>
      <c r="S209" s="16"/>
      <c r="T209" s="16"/>
      <c r="U209" s="16"/>
      <c r="V209" s="16"/>
      <c r="W209" s="16"/>
      <c r="X209" s="16"/>
      <c r="Y209" s="16"/>
    </row>
    <row r="210" spans="1:25" x14ac:dyDescent="0.2">
      <c r="A210" s="14"/>
      <c r="B210" s="16"/>
      <c r="C210" s="6"/>
      <c r="D210" s="16"/>
      <c r="E210" s="6"/>
      <c r="F210" s="16"/>
      <c r="G210" s="16"/>
      <c r="H210" s="16"/>
      <c r="I210" s="16"/>
      <c r="J210" s="16"/>
      <c r="K210" s="16"/>
      <c r="L210" s="16"/>
      <c r="M210" s="16"/>
      <c r="N210" s="16"/>
      <c r="O210" s="16"/>
      <c r="P210" s="16"/>
      <c r="Q210" s="16"/>
      <c r="R210" s="16"/>
      <c r="S210" s="16"/>
      <c r="T210" s="16"/>
      <c r="U210" s="16"/>
      <c r="V210" s="16"/>
      <c r="W210" s="16"/>
      <c r="X210" s="16"/>
      <c r="Y210" s="16"/>
    </row>
    <row r="211" spans="1:25" x14ac:dyDescent="0.2">
      <c r="A211" s="14"/>
      <c r="B211" s="16"/>
      <c r="C211" s="6"/>
      <c r="D211" s="16"/>
      <c r="E211" s="6"/>
      <c r="F211" s="16"/>
      <c r="G211" s="16"/>
      <c r="H211" s="16"/>
      <c r="I211" s="16"/>
      <c r="J211" s="16"/>
      <c r="K211" s="16"/>
      <c r="L211" s="16"/>
      <c r="M211" s="16"/>
      <c r="N211" s="16"/>
      <c r="O211" s="16"/>
      <c r="P211" s="16"/>
      <c r="Q211" s="16"/>
      <c r="R211" s="16"/>
      <c r="S211" s="16"/>
      <c r="T211" s="16"/>
      <c r="U211" s="16"/>
      <c r="V211" s="16"/>
      <c r="W211" s="16"/>
      <c r="X211" s="16"/>
      <c r="Y211" s="16"/>
    </row>
    <row r="212" spans="1:25" x14ac:dyDescent="0.2">
      <c r="A212" s="14"/>
      <c r="B212" s="16"/>
      <c r="C212" s="6"/>
      <c r="D212" s="16"/>
      <c r="E212" s="6"/>
      <c r="F212" s="16"/>
      <c r="G212" s="16"/>
      <c r="H212" s="16"/>
      <c r="I212" s="16"/>
      <c r="J212" s="16"/>
      <c r="K212" s="16"/>
      <c r="L212" s="16"/>
      <c r="M212" s="16"/>
      <c r="N212" s="16"/>
      <c r="O212" s="16"/>
      <c r="P212" s="16"/>
      <c r="Q212" s="16"/>
      <c r="R212" s="16"/>
      <c r="S212" s="16"/>
      <c r="T212" s="16"/>
      <c r="U212" s="16"/>
      <c r="V212" s="16"/>
      <c r="W212" s="16"/>
      <c r="X212" s="16"/>
      <c r="Y212" s="16"/>
    </row>
    <row r="213" spans="1:25" x14ac:dyDescent="0.2">
      <c r="A213" s="14"/>
      <c r="B213" s="16"/>
      <c r="C213" s="6"/>
      <c r="D213" s="16"/>
      <c r="E213" s="6"/>
      <c r="F213" s="16"/>
      <c r="G213" s="16"/>
      <c r="H213" s="16"/>
      <c r="I213" s="16"/>
      <c r="J213" s="16"/>
      <c r="K213" s="16"/>
      <c r="L213" s="16"/>
      <c r="M213" s="16"/>
      <c r="N213" s="16"/>
      <c r="O213" s="16"/>
      <c r="P213" s="16"/>
      <c r="Q213" s="16"/>
      <c r="R213" s="16"/>
      <c r="S213" s="16"/>
      <c r="T213" s="16"/>
      <c r="U213" s="16"/>
      <c r="V213" s="16"/>
      <c r="W213" s="16"/>
      <c r="X213" s="16"/>
      <c r="Y213" s="16"/>
    </row>
    <row r="214" spans="1:25" x14ac:dyDescent="0.2">
      <c r="A214" s="14"/>
      <c r="B214" s="16"/>
      <c r="C214" s="6"/>
      <c r="D214" s="16"/>
      <c r="E214" s="6"/>
      <c r="F214" s="16"/>
      <c r="G214" s="16"/>
      <c r="H214" s="16"/>
      <c r="I214" s="16"/>
      <c r="J214" s="16"/>
      <c r="K214" s="16"/>
      <c r="L214" s="16"/>
      <c r="M214" s="16"/>
      <c r="N214" s="16"/>
      <c r="O214" s="16"/>
      <c r="P214" s="16"/>
      <c r="Q214" s="16"/>
      <c r="R214" s="16"/>
      <c r="S214" s="16"/>
      <c r="T214" s="16"/>
      <c r="U214" s="16"/>
      <c r="V214" s="16"/>
      <c r="W214" s="16"/>
      <c r="X214" s="16"/>
      <c r="Y214" s="16"/>
    </row>
    <row r="215" spans="1:25" x14ac:dyDescent="0.2">
      <c r="A215" s="14"/>
      <c r="B215" s="16"/>
      <c r="C215" s="6"/>
      <c r="D215" s="16"/>
      <c r="E215" s="6"/>
      <c r="F215" s="16"/>
      <c r="G215" s="16"/>
      <c r="H215" s="16"/>
      <c r="I215" s="16"/>
      <c r="J215" s="16"/>
      <c r="K215" s="16"/>
      <c r="L215" s="16"/>
      <c r="M215" s="16"/>
      <c r="N215" s="16"/>
      <c r="O215" s="16"/>
      <c r="P215" s="16"/>
      <c r="Q215" s="16"/>
      <c r="R215" s="16"/>
      <c r="S215" s="16"/>
      <c r="T215" s="16"/>
      <c r="U215" s="16"/>
      <c r="V215" s="16"/>
      <c r="W215" s="16"/>
      <c r="X215" s="16"/>
      <c r="Y215" s="16"/>
    </row>
    <row r="216" spans="1:25" x14ac:dyDescent="0.2">
      <c r="A216" s="14"/>
      <c r="B216" s="16"/>
      <c r="C216" s="6"/>
      <c r="D216" s="16"/>
      <c r="E216" s="6"/>
      <c r="F216" s="16"/>
      <c r="G216" s="16"/>
      <c r="H216" s="16"/>
      <c r="I216" s="16"/>
      <c r="J216" s="16"/>
      <c r="K216" s="16"/>
      <c r="L216" s="16"/>
      <c r="M216" s="16"/>
      <c r="N216" s="16"/>
      <c r="O216" s="16"/>
      <c r="P216" s="16"/>
      <c r="Q216" s="16"/>
      <c r="R216" s="16"/>
      <c r="S216" s="16"/>
      <c r="T216" s="16"/>
      <c r="U216" s="16"/>
      <c r="V216" s="16"/>
      <c r="W216" s="16"/>
      <c r="X216" s="16"/>
      <c r="Y216" s="16"/>
    </row>
    <row r="217" spans="1:25" x14ac:dyDescent="0.2">
      <c r="A217" s="14"/>
      <c r="B217" s="16"/>
      <c r="C217" s="6"/>
      <c r="D217" s="16"/>
      <c r="E217" s="6"/>
      <c r="F217" s="16"/>
      <c r="G217" s="16"/>
      <c r="H217" s="16"/>
      <c r="I217" s="16"/>
      <c r="J217" s="16"/>
      <c r="K217" s="16"/>
      <c r="L217" s="16"/>
      <c r="M217" s="16"/>
      <c r="N217" s="16"/>
      <c r="O217" s="16"/>
      <c r="P217" s="16"/>
      <c r="Q217" s="16"/>
      <c r="R217" s="16"/>
      <c r="S217" s="16"/>
      <c r="T217" s="16"/>
      <c r="U217" s="16"/>
      <c r="V217" s="16"/>
      <c r="W217" s="16"/>
      <c r="X217" s="16"/>
      <c r="Y217" s="16"/>
    </row>
    <row r="218" spans="1:25" x14ac:dyDescent="0.2">
      <c r="A218" s="14"/>
      <c r="B218" s="16"/>
      <c r="C218" s="6"/>
      <c r="D218" s="16"/>
      <c r="E218" s="6"/>
      <c r="F218" s="16"/>
      <c r="G218" s="16"/>
      <c r="H218" s="16"/>
      <c r="I218" s="16"/>
      <c r="J218" s="16"/>
      <c r="K218" s="16"/>
      <c r="L218" s="16"/>
      <c r="M218" s="16"/>
      <c r="N218" s="16"/>
      <c r="O218" s="16"/>
      <c r="P218" s="16"/>
      <c r="Q218" s="16"/>
      <c r="R218" s="16"/>
      <c r="S218" s="16"/>
      <c r="T218" s="16"/>
      <c r="U218" s="16"/>
      <c r="V218" s="16"/>
      <c r="W218" s="16"/>
      <c r="X218" s="16"/>
      <c r="Y218" s="16"/>
    </row>
    <row r="219" spans="1:25" x14ac:dyDescent="0.2">
      <c r="A219" s="14"/>
      <c r="B219" s="16"/>
      <c r="C219" s="6"/>
      <c r="D219" s="16"/>
      <c r="E219" s="6"/>
      <c r="F219" s="16"/>
      <c r="G219" s="16"/>
      <c r="H219" s="16"/>
      <c r="I219" s="16"/>
      <c r="J219" s="16"/>
      <c r="K219" s="16"/>
      <c r="L219" s="16"/>
      <c r="M219" s="16"/>
      <c r="N219" s="16"/>
      <c r="O219" s="16"/>
      <c r="P219" s="16"/>
      <c r="Q219" s="16"/>
      <c r="R219" s="16"/>
      <c r="S219" s="16"/>
      <c r="T219" s="16"/>
      <c r="U219" s="16"/>
      <c r="V219" s="16"/>
      <c r="W219" s="16"/>
      <c r="X219" s="16"/>
      <c r="Y219" s="16"/>
    </row>
    <row r="220" spans="1:25" x14ac:dyDescent="0.2">
      <c r="A220" s="14"/>
      <c r="B220" s="16"/>
      <c r="C220" s="6"/>
      <c r="D220" s="16"/>
      <c r="E220" s="6"/>
      <c r="F220" s="16"/>
      <c r="G220" s="16"/>
      <c r="H220" s="16"/>
      <c r="I220" s="16"/>
      <c r="J220" s="16"/>
      <c r="K220" s="16"/>
      <c r="L220" s="16"/>
      <c r="M220" s="16"/>
      <c r="N220" s="16"/>
      <c r="O220" s="16"/>
      <c r="P220" s="16"/>
      <c r="Q220" s="16"/>
      <c r="R220" s="16"/>
      <c r="S220" s="16"/>
      <c r="T220" s="16"/>
      <c r="U220" s="16"/>
      <c r="V220" s="16"/>
      <c r="W220" s="16"/>
      <c r="X220" s="16"/>
      <c r="Y220" s="16"/>
    </row>
    <row r="221" spans="1:25" x14ac:dyDescent="0.2">
      <c r="A221" s="14"/>
      <c r="B221" s="16"/>
      <c r="C221" s="6"/>
      <c r="D221" s="16"/>
      <c r="E221" s="6"/>
      <c r="F221" s="16"/>
      <c r="G221" s="16"/>
      <c r="H221" s="16"/>
      <c r="I221" s="16"/>
      <c r="J221" s="16"/>
      <c r="K221" s="16"/>
      <c r="L221" s="16"/>
      <c r="M221" s="16"/>
      <c r="N221" s="16"/>
      <c r="O221" s="16"/>
      <c r="P221" s="16"/>
      <c r="Q221" s="16"/>
      <c r="R221" s="16"/>
      <c r="S221" s="16"/>
      <c r="T221" s="16"/>
      <c r="U221" s="16"/>
      <c r="V221" s="16"/>
      <c r="W221" s="16"/>
      <c r="X221" s="16"/>
      <c r="Y221" s="16"/>
    </row>
    <row r="222" spans="1:25" x14ac:dyDescent="0.2">
      <c r="A222" s="14"/>
      <c r="B222" s="16"/>
      <c r="C222" s="6"/>
      <c r="D222" s="16"/>
      <c r="E222" s="6"/>
      <c r="F222" s="16"/>
      <c r="G222" s="16"/>
      <c r="H222" s="16"/>
      <c r="I222" s="16"/>
      <c r="J222" s="16"/>
      <c r="K222" s="16"/>
      <c r="L222" s="16"/>
      <c r="M222" s="16"/>
      <c r="N222" s="16"/>
      <c r="O222" s="16"/>
      <c r="P222" s="16"/>
      <c r="Q222" s="16"/>
      <c r="R222" s="16"/>
      <c r="S222" s="16"/>
      <c r="T222" s="16"/>
      <c r="U222" s="16"/>
      <c r="V222" s="16"/>
      <c r="W222" s="16"/>
      <c r="X222" s="16"/>
      <c r="Y222" s="16"/>
    </row>
    <row r="223" spans="1:25" x14ac:dyDescent="0.2">
      <c r="A223" s="14"/>
      <c r="B223" s="16"/>
      <c r="C223" s="6"/>
      <c r="D223" s="16"/>
      <c r="E223" s="6"/>
      <c r="F223" s="16"/>
      <c r="G223" s="16"/>
      <c r="H223" s="16"/>
      <c r="I223" s="16"/>
      <c r="J223" s="16"/>
      <c r="K223" s="16"/>
      <c r="L223" s="16"/>
      <c r="M223" s="16"/>
      <c r="N223" s="16"/>
      <c r="O223" s="16"/>
      <c r="P223" s="16"/>
      <c r="Q223" s="16"/>
      <c r="R223" s="16"/>
      <c r="S223" s="16"/>
      <c r="T223" s="16"/>
      <c r="U223" s="16"/>
      <c r="V223" s="16"/>
      <c r="W223" s="16"/>
      <c r="X223" s="16"/>
      <c r="Y223" s="16"/>
    </row>
    <row r="224" spans="1:25" x14ac:dyDescent="0.2">
      <c r="A224" s="14"/>
      <c r="B224" s="16"/>
      <c r="C224" s="6"/>
      <c r="D224" s="16"/>
      <c r="E224" s="6"/>
      <c r="F224" s="16"/>
      <c r="G224" s="16"/>
      <c r="H224" s="16"/>
      <c r="I224" s="16"/>
      <c r="J224" s="16"/>
      <c r="K224" s="16"/>
      <c r="L224" s="16"/>
      <c r="M224" s="16"/>
      <c r="N224" s="16"/>
      <c r="O224" s="16"/>
      <c r="P224" s="16"/>
      <c r="Q224" s="16"/>
      <c r="R224" s="16"/>
      <c r="S224" s="16"/>
      <c r="T224" s="16"/>
      <c r="U224" s="16"/>
      <c r="V224" s="16"/>
      <c r="W224" s="16"/>
      <c r="X224" s="16"/>
      <c r="Y224" s="16"/>
    </row>
    <row r="225" spans="1:25" x14ac:dyDescent="0.2">
      <c r="A225" s="14"/>
      <c r="B225" s="16"/>
      <c r="C225" s="6"/>
      <c r="D225" s="16"/>
      <c r="E225" s="6"/>
      <c r="F225" s="16"/>
      <c r="G225" s="16"/>
      <c r="H225" s="16"/>
      <c r="I225" s="16"/>
      <c r="J225" s="16"/>
      <c r="K225" s="16"/>
      <c r="L225" s="16"/>
      <c r="M225" s="16"/>
      <c r="N225" s="16"/>
      <c r="O225" s="16"/>
      <c r="P225" s="16"/>
      <c r="Q225" s="16"/>
      <c r="R225" s="16"/>
      <c r="S225" s="16"/>
      <c r="T225" s="16"/>
      <c r="U225" s="16"/>
      <c r="V225" s="16"/>
      <c r="W225" s="16"/>
      <c r="X225" s="16"/>
      <c r="Y225" s="16"/>
    </row>
    <row r="226" spans="1:25" x14ac:dyDescent="0.2">
      <c r="A226" s="14"/>
      <c r="B226" s="16"/>
      <c r="C226" s="6"/>
      <c r="D226" s="16"/>
      <c r="E226" s="6"/>
      <c r="F226" s="16"/>
      <c r="G226" s="16"/>
      <c r="H226" s="16"/>
      <c r="I226" s="16"/>
      <c r="J226" s="16"/>
      <c r="K226" s="16"/>
      <c r="L226" s="16"/>
      <c r="M226" s="16"/>
      <c r="N226" s="16"/>
      <c r="O226" s="16"/>
      <c r="P226" s="16"/>
      <c r="Q226" s="16"/>
      <c r="R226" s="16"/>
      <c r="S226" s="16"/>
      <c r="T226" s="16"/>
      <c r="U226" s="16"/>
      <c r="V226" s="16"/>
      <c r="W226" s="16"/>
      <c r="X226" s="16"/>
      <c r="Y226" s="16"/>
    </row>
    <row r="227" spans="1:25" x14ac:dyDescent="0.2">
      <c r="A227" s="14"/>
      <c r="B227" s="16"/>
      <c r="C227" s="6"/>
      <c r="D227" s="16"/>
      <c r="E227" s="6"/>
      <c r="F227" s="16"/>
      <c r="G227" s="16"/>
      <c r="H227" s="16"/>
      <c r="I227" s="16"/>
      <c r="J227" s="16"/>
      <c r="K227" s="16"/>
      <c r="L227" s="16"/>
      <c r="M227" s="16"/>
      <c r="N227" s="16"/>
      <c r="O227" s="16"/>
      <c r="P227" s="16"/>
      <c r="Q227" s="16"/>
      <c r="R227" s="16"/>
      <c r="S227" s="16"/>
      <c r="T227" s="16"/>
      <c r="U227" s="16"/>
      <c r="V227" s="16"/>
      <c r="W227" s="16"/>
      <c r="X227" s="16"/>
      <c r="Y227" s="16"/>
    </row>
    <row r="228" spans="1:25" x14ac:dyDescent="0.2">
      <c r="A228" s="14"/>
      <c r="B228" s="16"/>
      <c r="C228" s="6"/>
      <c r="D228" s="16"/>
      <c r="E228" s="6"/>
      <c r="F228" s="16"/>
      <c r="G228" s="16"/>
      <c r="H228" s="16"/>
      <c r="I228" s="16"/>
      <c r="J228" s="16"/>
      <c r="K228" s="16"/>
      <c r="L228" s="16"/>
      <c r="M228" s="16"/>
      <c r="N228" s="16"/>
      <c r="O228" s="16"/>
      <c r="P228" s="16"/>
      <c r="Q228" s="16"/>
      <c r="R228" s="16"/>
      <c r="S228" s="16"/>
      <c r="T228" s="16"/>
      <c r="U228" s="16"/>
      <c r="V228" s="16"/>
      <c r="W228" s="16"/>
      <c r="X228" s="16"/>
      <c r="Y228" s="16"/>
    </row>
    <row r="229" spans="1:25" x14ac:dyDescent="0.2">
      <c r="A229" s="14"/>
      <c r="B229" s="16"/>
      <c r="C229" s="6"/>
      <c r="D229" s="16"/>
      <c r="E229" s="6"/>
      <c r="F229" s="16"/>
      <c r="G229" s="16"/>
      <c r="H229" s="16"/>
      <c r="I229" s="16"/>
      <c r="J229" s="16"/>
      <c r="K229" s="16"/>
      <c r="L229" s="16"/>
      <c r="M229" s="16"/>
      <c r="N229" s="16"/>
      <c r="O229" s="16"/>
      <c r="P229" s="16"/>
      <c r="Q229" s="16"/>
      <c r="R229" s="16"/>
      <c r="S229" s="16"/>
      <c r="T229" s="16"/>
      <c r="U229" s="16"/>
      <c r="V229" s="16"/>
      <c r="W229" s="16"/>
      <c r="X229" s="16"/>
      <c r="Y229" s="16"/>
    </row>
    <row r="230" spans="1:25" x14ac:dyDescent="0.2">
      <c r="A230" s="14"/>
      <c r="B230" s="16"/>
      <c r="C230" s="6"/>
      <c r="D230" s="16"/>
      <c r="E230" s="6"/>
      <c r="F230" s="16"/>
      <c r="G230" s="16"/>
      <c r="H230" s="16"/>
      <c r="I230" s="16"/>
      <c r="J230" s="16"/>
      <c r="K230" s="16"/>
      <c r="L230" s="16"/>
      <c r="M230" s="16"/>
      <c r="N230" s="16"/>
      <c r="O230" s="16"/>
      <c r="P230" s="16"/>
      <c r="Q230" s="16"/>
      <c r="R230" s="16"/>
      <c r="S230" s="16"/>
      <c r="T230" s="16"/>
      <c r="U230" s="16"/>
      <c r="V230" s="16"/>
      <c r="W230" s="16"/>
      <c r="X230" s="16"/>
      <c r="Y230" s="16"/>
    </row>
    <row r="231" spans="1:25" x14ac:dyDescent="0.2">
      <c r="A231" s="14"/>
      <c r="B231" s="16"/>
      <c r="C231" s="6"/>
      <c r="D231" s="16"/>
      <c r="E231" s="6"/>
      <c r="F231" s="16"/>
      <c r="G231" s="16"/>
      <c r="H231" s="16"/>
      <c r="I231" s="16"/>
      <c r="J231" s="16"/>
      <c r="K231" s="16"/>
      <c r="L231" s="16"/>
      <c r="M231" s="16"/>
      <c r="N231" s="16"/>
      <c r="O231" s="16"/>
      <c r="P231" s="16"/>
      <c r="Q231" s="16"/>
      <c r="R231" s="16"/>
      <c r="S231" s="16"/>
      <c r="T231" s="16"/>
      <c r="U231" s="16"/>
      <c r="V231" s="16"/>
      <c r="W231" s="16"/>
      <c r="X231" s="16"/>
      <c r="Y231" s="16"/>
    </row>
    <row r="232" spans="1:25" x14ac:dyDescent="0.2">
      <c r="A232" s="14"/>
      <c r="B232" s="16"/>
      <c r="C232" s="6"/>
      <c r="D232" s="16"/>
      <c r="E232" s="6"/>
      <c r="F232" s="16"/>
      <c r="G232" s="16"/>
      <c r="H232" s="16"/>
      <c r="I232" s="16"/>
      <c r="J232" s="16"/>
      <c r="K232" s="16"/>
      <c r="L232" s="16"/>
      <c r="M232" s="16"/>
      <c r="N232" s="16"/>
      <c r="O232" s="16"/>
      <c r="P232" s="16"/>
      <c r="Q232" s="16"/>
      <c r="R232" s="16"/>
      <c r="S232" s="16"/>
      <c r="T232" s="16"/>
      <c r="U232" s="16"/>
      <c r="V232" s="16"/>
      <c r="W232" s="16"/>
      <c r="X232" s="16"/>
      <c r="Y232" s="16"/>
    </row>
    <row r="233" spans="1:25" x14ac:dyDescent="0.2">
      <c r="A233" s="14"/>
      <c r="B233" s="16"/>
      <c r="C233" s="6"/>
      <c r="D233" s="16"/>
      <c r="E233" s="6"/>
      <c r="F233" s="16"/>
      <c r="G233" s="16"/>
      <c r="H233" s="16"/>
      <c r="I233" s="16"/>
      <c r="J233" s="16"/>
      <c r="K233" s="16"/>
      <c r="L233" s="16"/>
      <c r="M233" s="16"/>
      <c r="N233" s="16"/>
      <c r="O233" s="16"/>
      <c r="P233" s="16"/>
      <c r="Q233" s="16"/>
      <c r="R233" s="16"/>
      <c r="S233" s="16"/>
      <c r="T233" s="16"/>
      <c r="U233" s="16"/>
      <c r="V233" s="16"/>
      <c r="W233" s="16"/>
      <c r="X233" s="16"/>
      <c r="Y233" s="16"/>
    </row>
    <row r="234" spans="1:25" x14ac:dyDescent="0.2">
      <c r="A234" s="14"/>
      <c r="B234" s="16"/>
      <c r="C234" s="6"/>
      <c r="D234" s="16"/>
      <c r="E234" s="6"/>
      <c r="F234" s="16"/>
      <c r="G234" s="16"/>
      <c r="H234" s="16"/>
      <c r="I234" s="16"/>
      <c r="J234" s="16"/>
      <c r="K234" s="16"/>
      <c r="L234" s="16"/>
      <c r="M234" s="16"/>
      <c r="N234" s="16"/>
      <c r="O234" s="16"/>
      <c r="P234" s="16"/>
      <c r="Q234" s="16"/>
      <c r="R234" s="16"/>
      <c r="S234" s="16"/>
      <c r="T234" s="16"/>
      <c r="U234" s="16"/>
      <c r="V234" s="16"/>
      <c r="W234" s="16"/>
      <c r="X234" s="16"/>
      <c r="Y234" s="16"/>
    </row>
    <row r="235" spans="1:25" x14ac:dyDescent="0.2">
      <c r="A235" s="14"/>
      <c r="B235" s="16"/>
      <c r="C235" s="6"/>
      <c r="D235" s="16"/>
      <c r="E235" s="6"/>
      <c r="F235" s="16"/>
      <c r="G235" s="16"/>
      <c r="H235" s="16"/>
      <c r="I235" s="16"/>
      <c r="J235" s="16"/>
      <c r="K235" s="16"/>
      <c r="L235" s="16"/>
      <c r="M235" s="16"/>
      <c r="N235" s="16"/>
      <c r="O235" s="16"/>
      <c r="P235" s="16"/>
      <c r="Q235" s="16"/>
      <c r="R235" s="16"/>
      <c r="S235" s="16"/>
      <c r="T235" s="16"/>
      <c r="U235" s="16"/>
      <c r="V235" s="16"/>
      <c r="W235" s="16"/>
      <c r="X235" s="16"/>
      <c r="Y235" s="16"/>
    </row>
    <row r="236" spans="1:25" x14ac:dyDescent="0.2">
      <c r="A236" s="14"/>
      <c r="B236" s="16"/>
      <c r="C236" s="6"/>
      <c r="D236" s="16"/>
      <c r="E236" s="6"/>
      <c r="F236" s="16"/>
      <c r="G236" s="16"/>
      <c r="H236" s="16"/>
      <c r="I236" s="16"/>
      <c r="J236" s="16"/>
      <c r="K236" s="16"/>
      <c r="L236" s="16"/>
      <c r="M236" s="16"/>
      <c r="N236" s="16"/>
      <c r="O236" s="16"/>
      <c r="P236" s="16"/>
      <c r="Q236" s="16"/>
      <c r="R236" s="16"/>
      <c r="S236" s="16"/>
      <c r="T236" s="16"/>
      <c r="U236" s="16"/>
      <c r="V236" s="16"/>
      <c r="W236" s="16"/>
      <c r="X236" s="16"/>
      <c r="Y236" s="16"/>
    </row>
    <row r="237" spans="1:25" x14ac:dyDescent="0.2">
      <c r="A237" s="14"/>
      <c r="B237" s="16"/>
      <c r="C237" s="6"/>
      <c r="D237" s="16"/>
      <c r="E237" s="6"/>
      <c r="F237" s="16"/>
      <c r="G237" s="16"/>
      <c r="H237" s="16"/>
      <c r="I237" s="16"/>
      <c r="J237" s="16"/>
      <c r="K237" s="16"/>
      <c r="L237" s="16"/>
      <c r="M237" s="16"/>
      <c r="N237" s="16"/>
      <c r="O237" s="16"/>
      <c r="P237" s="16"/>
      <c r="Q237" s="16"/>
      <c r="R237" s="16"/>
      <c r="S237" s="16"/>
      <c r="T237" s="16"/>
      <c r="U237" s="16"/>
      <c r="V237" s="16"/>
      <c r="W237" s="16"/>
      <c r="X237" s="16"/>
      <c r="Y237" s="16"/>
    </row>
    <row r="238" spans="1:25" x14ac:dyDescent="0.2">
      <c r="A238" s="14"/>
      <c r="B238" s="16"/>
      <c r="C238" s="6"/>
      <c r="D238" s="16"/>
      <c r="E238" s="6"/>
      <c r="F238" s="16"/>
      <c r="G238" s="16"/>
      <c r="H238" s="16"/>
      <c r="I238" s="16"/>
      <c r="J238" s="16"/>
      <c r="K238" s="16"/>
      <c r="L238" s="16"/>
      <c r="M238" s="16"/>
      <c r="N238" s="16"/>
      <c r="O238" s="16"/>
      <c r="P238" s="16"/>
      <c r="Q238" s="16"/>
      <c r="R238" s="16"/>
      <c r="S238" s="16"/>
      <c r="T238" s="16"/>
      <c r="U238" s="16"/>
      <c r="V238" s="16"/>
      <c r="W238" s="16"/>
      <c r="X238" s="16"/>
      <c r="Y238" s="16"/>
    </row>
    <row r="239" spans="1:25" x14ac:dyDescent="0.2">
      <c r="A239" s="14"/>
      <c r="B239" s="16"/>
      <c r="C239" s="6"/>
      <c r="D239" s="16"/>
      <c r="E239" s="6"/>
      <c r="F239" s="16"/>
      <c r="G239" s="16"/>
      <c r="H239" s="16"/>
      <c r="I239" s="16"/>
      <c r="J239" s="16"/>
      <c r="K239" s="16"/>
      <c r="L239" s="16"/>
      <c r="M239" s="16"/>
      <c r="N239" s="16"/>
      <c r="O239" s="16"/>
      <c r="P239" s="16"/>
      <c r="Q239" s="16"/>
      <c r="R239" s="16"/>
      <c r="S239" s="16"/>
      <c r="T239" s="16"/>
      <c r="U239" s="16"/>
      <c r="V239" s="16"/>
      <c r="W239" s="16"/>
      <c r="X239" s="16"/>
      <c r="Y239" s="16"/>
    </row>
    <row r="240" spans="1:25" x14ac:dyDescent="0.2">
      <c r="A240" s="14"/>
      <c r="B240" s="16"/>
      <c r="C240" s="6"/>
      <c r="D240" s="16"/>
      <c r="E240" s="6"/>
      <c r="F240" s="16"/>
      <c r="G240" s="16"/>
      <c r="H240" s="16"/>
      <c r="I240" s="16"/>
      <c r="J240" s="16"/>
      <c r="K240" s="16"/>
      <c r="L240" s="16"/>
      <c r="M240" s="16"/>
      <c r="N240" s="16"/>
      <c r="O240" s="16"/>
      <c r="P240" s="16"/>
      <c r="Q240" s="16"/>
      <c r="R240" s="16"/>
      <c r="S240" s="16"/>
      <c r="T240" s="16"/>
      <c r="U240" s="16"/>
      <c r="V240" s="16"/>
      <c r="W240" s="16"/>
      <c r="X240" s="16"/>
      <c r="Y240" s="16"/>
    </row>
    <row r="241" spans="1:25" x14ac:dyDescent="0.2">
      <c r="A241" s="14"/>
      <c r="B241" s="16"/>
      <c r="C241" s="6"/>
      <c r="D241" s="16"/>
      <c r="E241" s="6"/>
      <c r="F241" s="16"/>
      <c r="G241" s="16"/>
      <c r="H241" s="16"/>
      <c r="I241" s="16"/>
      <c r="J241" s="16"/>
      <c r="K241" s="16"/>
      <c r="L241" s="16"/>
      <c r="M241" s="16"/>
      <c r="N241" s="16"/>
      <c r="O241" s="16"/>
      <c r="P241" s="16"/>
      <c r="Q241" s="16"/>
      <c r="R241" s="16"/>
      <c r="S241" s="16"/>
      <c r="T241" s="16"/>
      <c r="U241" s="16"/>
      <c r="V241" s="16"/>
      <c r="W241" s="16"/>
      <c r="X241" s="16"/>
      <c r="Y241" s="16"/>
    </row>
    <row r="242" spans="1:25" x14ac:dyDescent="0.2">
      <c r="A242" s="14"/>
      <c r="B242" s="16"/>
      <c r="C242" s="6"/>
      <c r="D242" s="16"/>
      <c r="E242" s="6"/>
      <c r="F242" s="16"/>
      <c r="G242" s="16"/>
      <c r="H242" s="16"/>
      <c r="I242" s="16"/>
      <c r="J242" s="16"/>
      <c r="K242" s="16"/>
      <c r="L242" s="16"/>
      <c r="M242" s="16"/>
      <c r="N242" s="16"/>
      <c r="O242" s="16"/>
      <c r="P242" s="16"/>
      <c r="Q242" s="16"/>
      <c r="R242" s="16"/>
      <c r="S242" s="16"/>
      <c r="T242" s="16"/>
      <c r="U242" s="16"/>
      <c r="V242" s="16"/>
      <c r="W242" s="16"/>
      <c r="X242" s="16"/>
      <c r="Y242" s="16"/>
    </row>
    <row r="243" spans="1:25" x14ac:dyDescent="0.2">
      <c r="A243" s="14"/>
      <c r="B243" s="16"/>
      <c r="C243" s="6"/>
      <c r="D243" s="16"/>
      <c r="E243" s="6"/>
      <c r="F243" s="16"/>
      <c r="G243" s="16"/>
      <c r="H243" s="16"/>
      <c r="I243" s="16"/>
      <c r="J243" s="16"/>
      <c r="K243" s="16"/>
      <c r="L243" s="16"/>
      <c r="M243" s="16"/>
      <c r="N243" s="16"/>
      <c r="O243" s="16"/>
      <c r="P243" s="16"/>
      <c r="Q243" s="16"/>
      <c r="R243" s="16"/>
      <c r="S243" s="16"/>
      <c r="T243" s="16"/>
      <c r="U243" s="16"/>
      <c r="V243" s="16"/>
      <c r="W243" s="16"/>
      <c r="X243" s="16"/>
      <c r="Y243" s="16"/>
    </row>
    <row r="244" spans="1:25" x14ac:dyDescent="0.2">
      <c r="A244" s="14"/>
      <c r="B244" s="16"/>
      <c r="C244" s="6"/>
      <c r="D244" s="16"/>
      <c r="E244" s="6"/>
      <c r="F244" s="16"/>
      <c r="G244" s="16"/>
      <c r="H244" s="16"/>
      <c r="I244" s="16"/>
      <c r="J244" s="16"/>
      <c r="K244" s="16"/>
      <c r="L244" s="16"/>
      <c r="M244" s="16"/>
      <c r="N244" s="16"/>
      <c r="O244" s="16"/>
      <c r="P244" s="16"/>
      <c r="Q244" s="16"/>
      <c r="R244" s="16"/>
      <c r="S244" s="16"/>
      <c r="T244" s="16"/>
      <c r="U244" s="16"/>
      <c r="V244" s="16"/>
      <c r="W244" s="16"/>
      <c r="X244" s="16"/>
      <c r="Y244" s="16"/>
    </row>
    <row r="245" spans="1:25" x14ac:dyDescent="0.2">
      <c r="A245" s="14"/>
      <c r="B245" s="16"/>
      <c r="C245" s="6"/>
      <c r="D245" s="16"/>
      <c r="E245" s="6"/>
      <c r="F245" s="16"/>
      <c r="G245" s="16"/>
      <c r="H245" s="16"/>
      <c r="I245" s="16"/>
      <c r="J245" s="16"/>
      <c r="K245" s="16"/>
      <c r="L245" s="16"/>
      <c r="M245" s="16"/>
      <c r="N245" s="16"/>
      <c r="O245" s="16"/>
      <c r="P245" s="16"/>
      <c r="Q245" s="16"/>
      <c r="R245" s="16"/>
      <c r="S245" s="16"/>
      <c r="T245" s="16"/>
      <c r="U245" s="16"/>
      <c r="V245" s="16"/>
      <c r="W245" s="16"/>
      <c r="X245" s="16"/>
      <c r="Y245" s="16"/>
    </row>
    <row r="246" spans="1:25" x14ac:dyDescent="0.2">
      <c r="A246" s="14"/>
      <c r="B246" s="16"/>
      <c r="C246" s="6"/>
      <c r="D246" s="16"/>
      <c r="E246" s="6"/>
      <c r="F246" s="16"/>
      <c r="G246" s="16"/>
      <c r="H246" s="16"/>
      <c r="I246" s="16"/>
      <c r="J246" s="16"/>
      <c r="K246" s="16"/>
      <c r="L246" s="16"/>
      <c r="M246" s="16"/>
      <c r="N246" s="16"/>
      <c r="O246" s="16"/>
      <c r="P246" s="16"/>
      <c r="Q246" s="16"/>
      <c r="R246" s="16"/>
      <c r="S246" s="16"/>
      <c r="T246" s="16"/>
      <c r="U246" s="16"/>
      <c r="V246" s="16"/>
      <c r="W246" s="16"/>
      <c r="X246" s="16"/>
      <c r="Y246" s="16"/>
    </row>
    <row r="247" spans="1:25" x14ac:dyDescent="0.2">
      <c r="A247" s="14"/>
      <c r="B247" s="16"/>
      <c r="C247" s="6"/>
      <c r="D247" s="16"/>
      <c r="E247" s="6"/>
      <c r="F247" s="16"/>
      <c r="G247" s="16"/>
      <c r="H247" s="16"/>
      <c r="I247" s="16"/>
      <c r="J247" s="16"/>
      <c r="K247" s="16"/>
      <c r="L247" s="16"/>
      <c r="M247" s="16"/>
      <c r="N247" s="16"/>
      <c r="O247" s="16"/>
      <c r="P247" s="16"/>
      <c r="Q247" s="16"/>
      <c r="R247" s="16"/>
      <c r="S247" s="16"/>
      <c r="T247" s="16"/>
      <c r="U247" s="16"/>
      <c r="V247" s="16"/>
      <c r="W247" s="16"/>
      <c r="X247" s="16"/>
      <c r="Y247" s="16"/>
    </row>
    <row r="248" spans="1:25" x14ac:dyDescent="0.2">
      <c r="A248" s="14"/>
      <c r="B248" s="16"/>
      <c r="C248" s="6"/>
      <c r="D248" s="16"/>
      <c r="E248" s="6"/>
      <c r="F248" s="16"/>
      <c r="G248" s="16"/>
      <c r="H248" s="16"/>
      <c r="I248" s="16"/>
      <c r="J248" s="16"/>
      <c r="K248" s="16"/>
      <c r="L248" s="16"/>
      <c r="M248" s="16"/>
      <c r="N248" s="16"/>
      <c r="O248" s="16"/>
      <c r="P248" s="16"/>
      <c r="Q248" s="16"/>
      <c r="R248" s="16"/>
      <c r="S248" s="16"/>
      <c r="T248" s="16"/>
      <c r="U248" s="16"/>
      <c r="V248" s="16"/>
      <c r="W248" s="16"/>
      <c r="X248" s="16"/>
      <c r="Y248" s="16"/>
    </row>
    <row r="249" spans="1:25" x14ac:dyDescent="0.2">
      <c r="A249" s="14"/>
      <c r="B249" s="16"/>
      <c r="C249" s="6"/>
      <c r="D249" s="16"/>
      <c r="E249" s="6"/>
      <c r="F249" s="16"/>
      <c r="G249" s="16"/>
      <c r="H249" s="16"/>
      <c r="I249" s="16"/>
      <c r="J249" s="16"/>
      <c r="K249" s="16"/>
      <c r="L249" s="16"/>
      <c r="M249" s="16"/>
      <c r="N249" s="16"/>
      <c r="O249" s="16"/>
      <c r="P249" s="16"/>
      <c r="Q249" s="16"/>
      <c r="R249" s="16"/>
      <c r="S249" s="16"/>
      <c r="T249" s="16"/>
      <c r="U249" s="16"/>
      <c r="V249" s="16"/>
      <c r="W249" s="16"/>
      <c r="X249" s="16"/>
      <c r="Y249" s="16"/>
    </row>
    <row r="250" spans="1:25" x14ac:dyDescent="0.2">
      <c r="A250" s="14"/>
      <c r="B250" s="16"/>
      <c r="C250" s="6"/>
      <c r="D250" s="16"/>
      <c r="E250" s="6"/>
      <c r="F250" s="16"/>
      <c r="G250" s="16"/>
      <c r="H250" s="16"/>
      <c r="I250" s="16"/>
      <c r="J250" s="16"/>
      <c r="K250" s="16"/>
      <c r="L250" s="16"/>
      <c r="M250" s="16"/>
      <c r="N250" s="16"/>
      <c r="O250" s="16"/>
      <c r="P250" s="16"/>
      <c r="Q250" s="16"/>
      <c r="R250" s="16"/>
      <c r="S250" s="16"/>
      <c r="T250" s="16"/>
      <c r="U250" s="16"/>
      <c r="V250" s="16"/>
      <c r="W250" s="16"/>
      <c r="X250" s="16"/>
      <c r="Y250" s="16"/>
    </row>
    <row r="251" spans="1:25" x14ac:dyDescent="0.2">
      <c r="A251" s="14"/>
      <c r="B251" s="16"/>
      <c r="C251" s="6"/>
      <c r="D251" s="16"/>
      <c r="E251" s="6"/>
      <c r="F251" s="16"/>
      <c r="G251" s="16"/>
      <c r="H251" s="16"/>
      <c r="I251" s="16"/>
      <c r="J251" s="16"/>
      <c r="K251" s="16"/>
      <c r="L251" s="16"/>
      <c r="M251" s="16"/>
      <c r="N251" s="16"/>
      <c r="O251" s="16"/>
      <c r="P251" s="16"/>
      <c r="Q251" s="16"/>
      <c r="R251" s="16"/>
      <c r="S251" s="16"/>
      <c r="T251" s="16"/>
      <c r="U251" s="16"/>
      <c r="V251" s="16"/>
      <c r="W251" s="16"/>
      <c r="X251" s="16"/>
      <c r="Y251" s="16"/>
    </row>
    <row r="252" spans="1:25" x14ac:dyDescent="0.2">
      <c r="A252" s="14"/>
      <c r="B252" s="16"/>
      <c r="C252" s="6"/>
      <c r="D252" s="16"/>
      <c r="E252" s="6"/>
      <c r="F252" s="16"/>
      <c r="G252" s="16"/>
      <c r="H252" s="16"/>
      <c r="I252" s="16"/>
      <c r="J252" s="16"/>
      <c r="K252" s="16"/>
      <c r="L252" s="16"/>
      <c r="M252" s="16"/>
      <c r="N252" s="16"/>
      <c r="O252" s="16"/>
      <c r="P252" s="16"/>
      <c r="Q252" s="16"/>
      <c r="R252" s="16"/>
      <c r="S252" s="16"/>
      <c r="T252" s="16"/>
      <c r="U252" s="16"/>
      <c r="V252" s="16"/>
      <c r="W252" s="16"/>
      <c r="X252" s="16"/>
      <c r="Y252" s="16"/>
    </row>
    <row r="253" spans="1:25" x14ac:dyDescent="0.2">
      <c r="A253" s="14"/>
      <c r="B253" s="16"/>
      <c r="C253" s="6"/>
      <c r="D253" s="16"/>
      <c r="E253" s="6"/>
      <c r="F253" s="16"/>
      <c r="G253" s="16"/>
      <c r="H253" s="16"/>
      <c r="I253" s="16"/>
      <c r="J253" s="16"/>
      <c r="K253" s="16"/>
      <c r="L253" s="16"/>
      <c r="M253" s="16"/>
      <c r="N253" s="16"/>
      <c r="O253" s="16"/>
      <c r="P253" s="16"/>
      <c r="Q253" s="16"/>
      <c r="R253" s="16"/>
      <c r="S253" s="16"/>
      <c r="T253" s="16"/>
      <c r="U253" s="16"/>
      <c r="V253" s="16"/>
      <c r="W253" s="16"/>
      <c r="X253" s="16"/>
      <c r="Y253" s="16"/>
    </row>
    <row r="254" spans="1:25" x14ac:dyDescent="0.2">
      <c r="A254" s="14"/>
      <c r="B254" s="16"/>
      <c r="C254" s="6"/>
      <c r="D254" s="16"/>
      <c r="E254" s="6"/>
      <c r="F254" s="16"/>
      <c r="G254" s="16"/>
      <c r="H254" s="16"/>
      <c r="I254" s="16"/>
      <c r="J254" s="16"/>
      <c r="K254" s="16"/>
      <c r="L254" s="16"/>
      <c r="M254" s="16"/>
      <c r="N254" s="16"/>
      <c r="O254" s="16"/>
      <c r="P254" s="16"/>
      <c r="Q254" s="16"/>
      <c r="R254" s="16"/>
      <c r="S254" s="16"/>
      <c r="T254" s="16"/>
      <c r="U254" s="16"/>
      <c r="V254" s="16"/>
      <c r="W254" s="16"/>
      <c r="X254" s="16"/>
      <c r="Y254" s="16"/>
    </row>
    <row r="255" spans="1:25" x14ac:dyDescent="0.2">
      <c r="A255" s="14"/>
      <c r="B255" s="16"/>
      <c r="C255" s="6"/>
      <c r="D255" s="16"/>
      <c r="E255" s="6"/>
      <c r="F255" s="16"/>
      <c r="G255" s="16"/>
      <c r="H255" s="16"/>
      <c r="I255" s="16"/>
      <c r="J255" s="16"/>
      <c r="K255" s="16"/>
      <c r="L255" s="16"/>
      <c r="M255" s="16"/>
      <c r="N255" s="16"/>
      <c r="O255" s="16"/>
      <c r="P255" s="16"/>
      <c r="Q255" s="16"/>
      <c r="R255" s="16"/>
      <c r="S255" s="16"/>
      <c r="T255" s="16"/>
      <c r="U255" s="16"/>
      <c r="V255" s="16"/>
      <c r="W255" s="16"/>
      <c r="X255" s="16"/>
      <c r="Y255" s="16"/>
    </row>
    <row r="256" spans="1:25" x14ac:dyDescent="0.2">
      <c r="A256" s="14"/>
      <c r="B256" s="16"/>
      <c r="C256" s="6"/>
      <c r="D256" s="16"/>
      <c r="E256" s="6"/>
      <c r="F256" s="16"/>
      <c r="G256" s="16"/>
      <c r="H256" s="16"/>
      <c r="I256" s="16"/>
      <c r="J256" s="16"/>
      <c r="K256" s="16"/>
      <c r="L256" s="16"/>
      <c r="M256" s="16"/>
      <c r="N256" s="16"/>
      <c r="O256" s="16"/>
      <c r="P256" s="16"/>
      <c r="Q256" s="16"/>
      <c r="R256" s="16"/>
      <c r="S256" s="16"/>
      <c r="T256" s="16"/>
      <c r="U256" s="16"/>
      <c r="V256" s="16"/>
      <c r="W256" s="16"/>
      <c r="X256" s="16"/>
      <c r="Y256" s="16"/>
    </row>
    <row r="257" spans="1:25" x14ac:dyDescent="0.2">
      <c r="A257" s="14"/>
      <c r="B257" s="16"/>
      <c r="C257" s="6"/>
      <c r="D257" s="16"/>
      <c r="E257" s="6"/>
      <c r="F257" s="16"/>
      <c r="G257" s="16"/>
      <c r="H257" s="16"/>
      <c r="I257" s="16"/>
      <c r="J257" s="16"/>
      <c r="K257" s="16"/>
      <c r="L257" s="16"/>
      <c r="M257" s="16"/>
      <c r="N257" s="16"/>
      <c r="O257" s="16"/>
      <c r="P257" s="16"/>
      <c r="Q257" s="16"/>
      <c r="R257" s="16"/>
      <c r="S257" s="16"/>
      <c r="T257" s="16"/>
      <c r="U257" s="16"/>
      <c r="V257" s="16"/>
      <c r="W257" s="16"/>
      <c r="X257" s="16"/>
      <c r="Y257" s="16"/>
    </row>
    <row r="258" spans="1:25" x14ac:dyDescent="0.2">
      <c r="A258" s="14"/>
      <c r="B258" s="16"/>
      <c r="C258" s="6"/>
      <c r="D258" s="16"/>
      <c r="E258" s="6"/>
      <c r="F258" s="16"/>
      <c r="G258" s="16"/>
      <c r="H258" s="16"/>
      <c r="I258" s="16"/>
      <c r="J258" s="16"/>
      <c r="K258" s="16"/>
      <c r="L258" s="16"/>
      <c r="M258" s="16"/>
      <c r="N258" s="16"/>
      <c r="O258" s="16"/>
      <c r="P258" s="16"/>
      <c r="Q258" s="16"/>
      <c r="R258" s="16"/>
      <c r="S258" s="16"/>
      <c r="T258" s="16"/>
      <c r="U258" s="16"/>
      <c r="V258" s="16"/>
      <c r="W258" s="16"/>
      <c r="X258" s="16"/>
      <c r="Y258" s="16"/>
    </row>
    <row r="259" spans="1:25" x14ac:dyDescent="0.2">
      <c r="A259" s="14"/>
      <c r="B259" s="16"/>
      <c r="C259" s="6"/>
      <c r="D259" s="16"/>
      <c r="E259" s="6"/>
      <c r="F259" s="16"/>
      <c r="G259" s="16"/>
      <c r="H259" s="16"/>
      <c r="I259" s="16"/>
      <c r="J259" s="16"/>
      <c r="K259" s="16"/>
      <c r="L259" s="16"/>
      <c r="M259" s="16"/>
      <c r="N259" s="16"/>
      <c r="O259" s="16"/>
      <c r="P259" s="16"/>
      <c r="Q259" s="16"/>
      <c r="R259" s="16"/>
      <c r="S259" s="16"/>
      <c r="T259" s="16"/>
      <c r="U259" s="16"/>
      <c r="V259" s="16"/>
      <c r="W259" s="16"/>
      <c r="X259" s="16"/>
      <c r="Y259" s="16"/>
    </row>
    <row r="260" spans="1:25" x14ac:dyDescent="0.2">
      <c r="A260" s="14"/>
      <c r="B260" s="16"/>
      <c r="C260" s="6"/>
      <c r="D260" s="16"/>
      <c r="E260" s="6"/>
      <c r="F260" s="16"/>
      <c r="G260" s="16"/>
      <c r="H260" s="16"/>
      <c r="I260" s="16"/>
      <c r="J260" s="16"/>
      <c r="K260" s="16"/>
      <c r="L260" s="16"/>
      <c r="M260" s="16"/>
      <c r="N260" s="16"/>
      <c r="O260" s="16"/>
      <c r="P260" s="16"/>
      <c r="Q260" s="16"/>
      <c r="R260" s="16"/>
      <c r="S260" s="16"/>
      <c r="T260" s="16"/>
      <c r="U260" s="16"/>
      <c r="V260" s="16"/>
      <c r="W260" s="16"/>
      <c r="X260" s="16"/>
      <c r="Y260" s="16"/>
    </row>
    <row r="261" spans="1:25" x14ac:dyDescent="0.2">
      <c r="A261" s="14"/>
      <c r="B261" s="16"/>
      <c r="C261" s="6"/>
      <c r="D261" s="16"/>
      <c r="E261" s="6"/>
      <c r="F261" s="16"/>
      <c r="G261" s="16"/>
      <c r="H261" s="16"/>
      <c r="I261" s="16"/>
      <c r="J261" s="16"/>
      <c r="K261" s="16"/>
      <c r="L261" s="16"/>
      <c r="M261" s="16"/>
      <c r="N261" s="16"/>
      <c r="O261" s="16"/>
      <c r="P261" s="16"/>
      <c r="Q261" s="16"/>
      <c r="R261" s="16"/>
      <c r="S261" s="16"/>
      <c r="T261" s="16"/>
      <c r="U261" s="16"/>
      <c r="V261" s="16"/>
      <c r="W261" s="16"/>
      <c r="X261" s="16"/>
      <c r="Y261" s="16"/>
    </row>
    <row r="262" spans="1:25" x14ac:dyDescent="0.2">
      <c r="A262" s="14"/>
      <c r="B262" s="16"/>
      <c r="C262" s="6"/>
      <c r="D262" s="16"/>
      <c r="E262" s="6"/>
      <c r="F262" s="16"/>
      <c r="G262" s="16"/>
      <c r="H262" s="16"/>
      <c r="I262" s="16"/>
      <c r="J262" s="16"/>
      <c r="K262" s="16"/>
      <c r="L262" s="16"/>
      <c r="M262" s="16"/>
      <c r="N262" s="16"/>
      <c r="O262" s="16"/>
      <c r="P262" s="16"/>
      <c r="Q262" s="16"/>
      <c r="R262" s="16"/>
      <c r="S262" s="16"/>
      <c r="T262" s="16"/>
      <c r="U262" s="16"/>
      <c r="V262" s="16"/>
      <c r="W262" s="16"/>
      <c r="X262" s="16"/>
      <c r="Y262" s="16"/>
    </row>
    <row r="263" spans="1:25" x14ac:dyDescent="0.2">
      <c r="A263" s="14"/>
      <c r="B263" s="16"/>
      <c r="C263" s="6"/>
      <c r="D263" s="16"/>
      <c r="E263" s="6"/>
      <c r="F263" s="16"/>
      <c r="G263" s="16"/>
      <c r="H263" s="16"/>
      <c r="I263" s="16"/>
      <c r="J263" s="16"/>
      <c r="K263" s="16"/>
      <c r="L263" s="16"/>
      <c r="M263" s="16"/>
      <c r="N263" s="16"/>
      <c r="O263" s="16"/>
      <c r="P263" s="16"/>
      <c r="Q263" s="16"/>
      <c r="R263" s="16"/>
      <c r="S263" s="16"/>
      <c r="T263" s="16"/>
      <c r="U263" s="16"/>
      <c r="V263" s="16"/>
      <c r="W263" s="16"/>
      <c r="X263" s="16"/>
      <c r="Y263" s="16"/>
    </row>
    <row r="264" spans="1:25" x14ac:dyDescent="0.2">
      <c r="A264" s="14"/>
      <c r="B264" s="16"/>
      <c r="C264" s="6"/>
      <c r="D264" s="16"/>
      <c r="E264" s="6"/>
      <c r="F264" s="16"/>
      <c r="G264" s="16"/>
      <c r="H264" s="16"/>
      <c r="I264" s="16"/>
      <c r="J264" s="16"/>
      <c r="K264" s="16"/>
      <c r="L264" s="16"/>
      <c r="M264" s="16"/>
      <c r="N264" s="16"/>
      <c r="O264" s="16"/>
      <c r="P264" s="16"/>
      <c r="Q264" s="16"/>
      <c r="R264" s="16"/>
      <c r="S264" s="16"/>
      <c r="T264" s="16"/>
      <c r="U264" s="16"/>
      <c r="V264" s="16"/>
      <c r="W264" s="16"/>
      <c r="X264" s="16"/>
      <c r="Y264" s="16"/>
    </row>
    <row r="265" spans="1:25" x14ac:dyDescent="0.2">
      <c r="A265" s="14"/>
      <c r="B265" s="16"/>
      <c r="C265" s="6"/>
      <c r="D265" s="16"/>
      <c r="E265" s="6"/>
      <c r="F265" s="16"/>
      <c r="G265" s="16"/>
      <c r="H265" s="16"/>
      <c r="I265" s="16"/>
      <c r="J265" s="16"/>
      <c r="K265" s="16"/>
      <c r="L265" s="16"/>
      <c r="M265" s="16"/>
      <c r="N265" s="16"/>
      <c r="O265" s="16"/>
      <c r="P265" s="16"/>
      <c r="Q265" s="16"/>
      <c r="R265" s="16"/>
      <c r="S265" s="16"/>
      <c r="T265" s="16"/>
      <c r="U265" s="16"/>
      <c r="V265" s="16"/>
      <c r="W265" s="16"/>
      <c r="X265" s="16"/>
      <c r="Y265" s="16"/>
    </row>
    <row r="266" spans="1:25" x14ac:dyDescent="0.2">
      <c r="A266" s="14"/>
      <c r="B266" s="16"/>
      <c r="C266" s="6"/>
      <c r="D266" s="16"/>
      <c r="E266" s="6"/>
      <c r="F266" s="16"/>
      <c r="G266" s="16"/>
      <c r="H266" s="16"/>
      <c r="I266" s="16"/>
      <c r="J266" s="16"/>
      <c r="K266" s="16"/>
      <c r="L266" s="16"/>
      <c r="M266" s="16"/>
      <c r="N266" s="16"/>
      <c r="O266" s="16"/>
      <c r="P266" s="16"/>
      <c r="Q266" s="16"/>
      <c r="R266" s="16"/>
      <c r="S266" s="16"/>
      <c r="T266" s="16"/>
      <c r="U266" s="16"/>
      <c r="V266" s="16"/>
      <c r="W266" s="16"/>
      <c r="X266" s="16"/>
      <c r="Y266" s="16"/>
    </row>
    <row r="267" spans="1:25" x14ac:dyDescent="0.2">
      <c r="A267" s="14"/>
      <c r="B267" s="16"/>
      <c r="C267" s="6"/>
      <c r="D267" s="16"/>
      <c r="E267" s="6"/>
      <c r="F267" s="16"/>
      <c r="G267" s="16"/>
      <c r="H267" s="16"/>
      <c r="I267" s="16"/>
      <c r="J267" s="16"/>
      <c r="K267" s="16"/>
      <c r="L267" s="16"/>
      <c r="M267" s="16"/>
      <c r="N267" s="16"/>
      <c r="O267" s="16"/>
      <c r="P267" s="16"/>
      <c r="Q267" s="16"/>
      <c r="R267" s="16"/>
      <c r="S267" s="16"/>
      <c r="T267" s="16"/>
      <c r="U267" s="16"/>
      <c r="V267" s="16"/>
      <c r="W267" s="16"/>
      <c r="X267" s="16"/>
      <c r="Y267" s="16"/>
    </row>
    <row r="268" spans="1:25" x14ac:dyDescent="0.2">
      <c r="A268" s="14"/>
      <c r="B268" s="16"/>
      <c r="C268" s="6"/>
      <c r="D268" s="16"/>
      <c r="E268" s="6"/>
      <c r="F268" s="16"/>
      <c r="G268" s="16"/>
      <c r="H268" s="16"/>
      <c r="I268" s="16"/>
      <c r="J268" s="16"/>
      <c r="K268" s="16"/>
      <c r="L268" s="16"/>
      <c r="M268" s="16"/>
      <c r="N268" s="16"/>
      <c r="O268" s="16"/>
      <c r="P268" s="16"/>
      <c r="Q268" s="16"/>
      <c r="R268" s="16"/>
      <c r="S268" s="16"/>
      <c r="T268" s="16"/>
      <c r="U268" s="16"/>
      <c r="V268" s="16"/>
      <c r="W268" s="16"/>
      <c r="X268" s="16"/>
      <c r="Y268" s="16"/>
    </row>
    <row r="269" spans="1:25" x14ac:dyDescent="0.2">
      <c r="A269" s="14"/>
      <c r="B269" s="16"/>
      <c r="C269" s="6"/>
      <c r="D269" s="16"/>
      <c r="E269" s="6"/>
      <c r="F269" s="16"/>
      <c r="G269" s="16"/>
      <c r="H269" s="16"/>
      <c r="I269" s="16"/>
      <c r="J269" s="16"/>
      <c r="K269" s="16"/>
      <c r="L269" s="16"/>
      <c r="M269" s="16"/>
      <c r="N269" s="16"/>
      <c r="O269" s="16"/>
      <c r="P269" s="16"/>
      <c r="Q269" s="16"/>
      <c r="R269" s="16"/>
      <c r="S269" s="16"/>
      <c r="T269" s="16"/>
      <c r="U269" s="16"/>
      <c r="V269" s="16"/>
      <c r="W269" s="16"/>
      <c r="X269" s="16"/>
      <c r="Y269" s="16"/>
    </row>
    <row r="270" spans="1:25" x14ac:dyDescent="0.2">
      <c r="A270" s="14"/>
      <c r="B270" s="16"/>
      <c r="C270" s="6"/>
      <c r="D270" s="16"/>
      <c r="E270" s="6"/>
      <c r="F270" s="16"/>
      <c r="G270" s="16"/>
      <c r="H270" s="16"/>
      <c r="I270" s="16"/>
      <c r="J270" s="16"/>
      <c r="K270" s="16"/>
      <c r="L270" s="16"/>
      <c r="M270" s="16"/>
      <c r="N270" s="16"/>
      <c r="O270" s="16"/>
      <c r="P270" s="16"/>
      <c r="Q270" s="16"/>
      <c r="R270" s="16"/>
      <c r="S270" s="16"/>
      <c r="T270" s="16"/>
      <c r="U270" s="16"/>
      <c r="V270" s="16"/>
      <c r="W270" s="16"/>
      <c r="X270" s="16"/>
      <c r="Y270" s="16"/>
    </row>
    <row r="271" spans="1:25" x14ac:dyDescent="0.2">
      <c r="A271" s="14"/>
      <c r="B271" s="16"/>
      <c r="C271" s="6"/>
      <c r="D271" s="16"/>
      <c r="E271" s="6"/>
      <c r="F271" s="16"/>
      <c r="G271" s="16"/>
      <c r="H271" s="16"/>
      <c r="I271" s="16"/>
      <c r="J271" s="16"/>
      <c r="K271" s="16"/>
      <c r="L271" s="16"/>
      <c r="M271" s="16"/>
      <c r="N271" s="16"/>
      <c r="O271" s="16"/>
      <c r="P271" s="16"/>
      <c r="Q271" s="16"/>
      <c r="R271" s="16"/>
      <c r="S271" s="16"/>
      <c r="T271" s="16"/>
      <c r="U271" s="16"/>
      <c r="V271" s="16"/>
      <c r="W271" s="16"/>
      <c r="X271" s="16"/>
      <c r="Y271" s="16"/>
    </row>
    <row r="272" spans="1:25" x14ac:dyDescent="0.2">
      <c r="A272" s="14"/>
      <c r="B272" s="16"/>
      <c r="C272" s="6"/>
      <c r="D272" s="16"/>
      <c r="E272" s="6"/>
      <c r="F272" s="16"/>
      <c r="G272" s="16"/>
      <c r="H272" s="16"/>
      <c r="I272" s="16"/>
      <c r="J272" s="16"/>
      <c r="K272" s="16"/>
      <c r="L272" s="16"/>
      <c r="M272" s="16"/>
      <c r="N272" s="16"/>
      <c r="O272" s="16"/>
      <c r="P272" s="16"/>
      <c r="Q272" s="16"/>
      <c r="R272" s="16"/>
      <c r="S272" s="16"/>
      <c r="T272" s="16"/>
      <c r="U272" s="16"/>
      <c r="V272" s="16"/>
      <c r="W272" s="16"/>
      <c r="X272" s="16"/>
      <c r="Y272" s="16"/>
    </row>
    <row r="273" spans="1:25" x14ac:dyDescent="0.2">
      <c r="A273" s="14"/>
      <c r="B273" s="16"/>
      <c r="C273" s="6"/>
      <c r="D273" s="16"/>
      <c r="E273" s="6"/>
      <c r="F273" s="16"/>
      <c r="G273" s="16"/>
      <c r="H273" s="16"/>
      <c r="I273" s="16"/>
      <c r="J273" s="16"/>
      <c r="K273" s="16"/>
      <c r="L273" s="16"/>
      <c r="M273" s="16"/>
      <c r="N273" s="16"/>
      <c r="O273" s="16"/>
      <c r="P273" s="16"/>
      <c r="Q273" s="16"/>
      <c r="R273" s="16"/>
      <c r="S273" s="16"/>
      <c r="T273" s="16"/>
      <c r="U273" s="16"/>
      <c r="V273" s="16"/>
      <c r="W273" s="16"/>
      <c r="X273" s="16"/>
      <c r="Y273" s="16"/>
    </row>
    <row r="274" spans="1:25" x14ac:dyDescent="0.2">
      <c r="A274" s="14"/>
      <c r="B274" s="16"/>
      <c r="C274" s="6"/>
      <c r="D274" s="16"/>
      <c r="E274" s="6"/>
      <c r="F274" s="16"/>
      <c r="G274" s="16"/>
      <c r="H274" s="16"/>
      <c r="I274" s="16"/>
      <c r="J274" s="16"/>
      <c r="K274" s="16"/>
      <c r="L274" s="16"/>
      <c r="M274" s="16"/>
      <c r="N274" s="16"/>
      <c r="O274" s="16"/>
      <c r="P274" s="16"/>
      <c r="Q274" s="16"/>
      <c r="R274" s="16"/>
      <c r="S274" s="16"/>
      <c r="T274" s="16"/>
      <c r="U274" s="16"/>
      <c r="V274" s="16"/>
      <c r="W274" s="16"/>
      <c r="X274" s="16"/>
      <c r="Y274" s="16"/>
    </row>
    <row r="275" spans="1:25" x14ac:dyDescent="0.2">
      <c r="A275" s="14"/>
      <c r="B275" s="16"/>
      <c r="C275" s="6"/>
      <c r="D275" s="16"/>
      <c r="E275" s="6"/>
      <c r="F275" s="16"/>
      <c r="G275" s="16"/>
      <c r="H275" s="16"/>
      <c r="I275" s="16"/>
      <c r="J275" s="16"/>
      <c r="K275" s="16"/>
      <c r="L275" s="16"/>
      <c r="M275" s="16"/>
      <c r="N275" s="16"/>
      <c r="O275" s="16"/>
      <c r="P275" s="16"/>
      <c r="Q275" s="16"/>
      <c r="R275" s="16"/>
      <c r="S275" s="16"/>
      <c r="T275" s="16"/>
      <c r="U275" s="16"/>
      <c r="V275" s="16"/>
      <c r="W275" s="16"/>
      <c r="X275" s="16"/>
      <c r="Y275" s="16"/>
    </row>
    <row r="276" spans="1:25" x14ac:dyDescent="0.2">
      <c r="A276" s="14"/>
      <c r="B276" s="16"/>
      <c r="C276" s="6"/>
      <c r="D276" s="16"/>
      <c r="E276" s="6"/>
      <c r="F276" s="16"/>
      <c r="G276" s="16"/>
      <c r="H276" s="16"/>
      <c r="I276" s="16"/>
      <c r="J276" s="16"/>
      <c r="K276" s="16"/>
      <c r="L276" s="16"/>
      <c r="M276" s="16"/>
      <c r="N276" s="16"/>
      <c r="O276" s="16"/>
      <c r="P276" s="16"/>
      <c r="Q276" s="16"/>
      <c r="R276" s="16"/>
      <c r="S276" s="16"/>
      <c r="T276" s="16"/>
      <c r="U276" s="16"/>
      <c r="V276" s="16"/>
      <c r="W276" s="16"/>
      <c r="X276" s="16"/>
      <c r="Y276" s="16"/>
    </row>
    <row r="277" spans="1:25" x14ac:dyDescent="0.2">
      <c r="A277" s="14"/>
      <c r="B277" s="16"/>
      <c r="C277" s="6"/>
      <c r="D277" s="16"/>
      <c r="E277" s="6"/>
      <c r="F277" s="16"/>
      <c r="G277" s="16"/>
      <c r="H277" s="16"/>
      <c r="I277" s="16"/>
      <c r="J277" s="16"/>
      <c r="K277" s="16"/>
      <c r="L277" s="16"/>
      <c r="M277" s="16"/>
      <c r="N277" s="16"/>
      <c r="O277" s="16"/>
      <c r="P277" s="16"/>
      <c r="Q277" s="16"/>
      <c r="R277" s="16"/>
      <c r="S277" s="16"/>
      <c r="T277" s="16"/>
      <c r="U277" s="16"/>
      <c r="V277" s="16"/>
      <c r="W277" s="16"/>
      <c r="X277" s="16"/>
      <c r="Y277" s="16"/>
    </row>
    <row r="278" spans="1:25" x14ac:dyDescent="0.2">
      <c r="A278" s="14"/>
      <c r="B278" s="16"/>
      <c r="C278" s="6"/>
      <c r="D278" s="16"/>
      <c r="E278" s="6"/>
      <c r="F278" s="16"/>
      <c r="G278" s="16"/>
      <c r="H278" s="16"/>
      <c r="I278" s="16"/>
      <c r="J278" s="16"/>
      <c r="K278" s="16"/>
      <c r="L278" s="16"/>
      <c r="M278" s="16"/>
      <c r="N278" s="16"/>
      <c r="O278" s="16"/>
      <c r="P278" s="16"/>
      <c r="Q278" s="16"/>
      <c r="R278" s="16"/>
      <c r="S278" s="16"/>
      <c r="T278" s="16"/>
      <c r="U278" s="16"/>
      <c r="V278" s="16"/>
      <c r="W278" s="16"/>
      <c r="X278" s="16"/>
      <c r="Y278" s="16"/>
    </row>
    <row r="279" spans="1:25" x14ac:dyDescent="0.2">
      <c r="A279" s="14"/>
      <c r="B279" s="16"/>
      <c r="C279" s="6"/>
      <c r="D279" s="16"/>
      <c r="E279" s="6"/>
      <c r="F279" s="16"/>
      <c r="G279" s="16"/>
      <c r="H279" s="16"/>
      <c r="I279" s="16"/>
      <c r="J279" s="16"/>
      <c r="K279" s="16"/>
      <c r="L279" s="16"/>
      <c r="M279" s="16"/>
      <c r="N279" s="16"/>
      <c r="O279" s="16"/>
      <c r="P279" s="16"/>
      <c r="Q279" s="16"/>
      <c r="R279" s="16"/>
      <c r="S279" s="16"/>
      <c r="T279" s="16"/>
      <c r="U279" s="16"/>
      <c r="V279" s="16"/>
      <c r="W279" s="16"/>
      <c r="X279" s="16"/>
      <c r="Y279" s="16"/>
    </row>
    <row r="280" spans="1:25" x14ac:dyDescent="0.2">
      <c r="A280" s="14"/>
      <c r="B280" s="16"/>
      <c r="C280" s="6"/>
      <c r="D280" s="16"/>
      <c r="E280" s="6"/>
      <c r="F280" s="16"/>
      <c r="G280" s="16"/>
      <c r="H280" s="16"/>
      <c r="I280" s="16"/>
      <c r="J280" s="16"/>
      <c r="K280" s="16"/>
      <c r="L280" s="16"/>
      <c r="M280" s="16"/>
      <c r="N280" s="16"/>
      <c r="O280" s="16"/>
      <c r="P280" s="16"/>
      <c r="Q280" s="16"/>
      <c r="R280" s="16"/>
      <c r="S280" s="16"/>
      <c r="T280" s="16"/>
      <c r="U280" s="16"/>
      <c r="V280" s="16"/>
      <c r="W280" s="16"/>
      <c r="X280" s="16"/>
      <c r="Y280" s="16"/>
    </row>
    <row r="281" spans="1:25" x14ac:dyDescent="0.2">
      <c r="A281" s="14"/>
      <c r="B281" s="16"/>
      <c r="C281" s="6"/>
      <c r="D281" s="16"/>
      <c r="E281" s="6"/>
      <c r="F281" s="16"/>
      <c r="G281" s="16"/>
      <c r="H281" s="16"/>
      <c r="I281" s="16"/>
      <c r="J281" s="16"/>
      <c r="K281" s="16"/>
      <c r="L281" s="16"/>
      <c r="M281" s="16"/>
      <c r="N281" s="16"/>
      <c r="O281" s="16"/>
      <c r="P281" s="16"/>
      <c r="Q281" s="16"/>
      <c r="R281" s="16"/>
      <c r="S281" s="16"/>
      <c r="T281" s="16"/>
      <c r="U281" s="16"/>
      <c r="V281" s="16"/>
      <c r="W281" s="16"/>
      <c r="X281" s="16"/>
      <c r="Y281" s="16"/>
    </row>
    <row r="282" spans="1:25" x14ac:dyDescent="0.2">
      <c r="A282" s="14"/>
      <c r="B282" s="16"/>
      <c r="C282" s="6"/>
      <c r="D282" s="16"/>
      <c r="E282" s="6"/>
      <c r="F282" s="16"/>
      <c r="G282" s="16"/>
      <c r="H282" s="16"/>
      <c r="I282" s="16"/>
      <c r="J282" s="16"/>
      <c r="K282" s="16"/>
      <c r="L282" s="16"/>
      <c r="M282" s="16"/>
      <c r="N282" s="16"/>
      <c r="O282" s="16"/>
      <c r="P282" s="16"/>
      <c r="Q282" s="16"/>
      <c r="R282" s="16"/>
      <c r="S282" s="16"/>
      <c r="T282" s="16"/>
      <c r="U282" s="16"/>
      <c r="V282" s="16"/>
      <c r="W282" s="16"/>
      <c r="X282" s="16"/>
      <c r="Y282" s="16"/>
    </row>
    <row r="283" spans="1:25" x14ac:dyDescent="0.2">
      <c r="A283" s="14"/>
      <c r="B283" s="16"/>
      <c r="C283" s="6"/>
      <c r="D283" s="16"/>
      <c r="E283" s="6"/>
      <c r="F283" s="16"/>
      <c r="G283" s="16"/>
      <c r="H283" s="16"/>
      <c r="I283" s="16"/>
      <c r="J283" s="16"/>
      <c r="K283" s="16"/>
      <c r="L283" s="16"/>
      <c r="M283" s="16"/>
      <c r="N283" s="16"/>
      <c r="O283" s="16"/>
      <c r="P283" s="16"/>
      <c r="Q283" s="16"/>
      <c r="R283" s="16"/>
      <c r="S283" s="16"/>
      <c r="T283" s="16"/>
      <c r="U283" s="16"/>
      <c r="V283" s="16"/>
      <c r="W283" s="16"/>
      <c r="X283" s="16"/>
      <c r="Y283" s="16"/>
    </row>
    <row r="284" spans="1:25" x14ac:dyDescent="0.2">
      <c r="A284" s="14"/>
      <c r="B284" s="16"/>
      <c r="C284" s="6"/>
      <c r="D284" s="16"/>
      <c r="E284" s="6"/>
      <c r="F284" s="16"/>
      <c r="G284" s="16"/>
      <c r="H284" s="16"/>
      <c r="I284" s="16"/>
      <c r="J284" s="16"/>
      <c r="K284" s="16"/>
      <c r="L284" s="16"/>
      <c r="M284" s="16"/>
      <c r="N284" s="16"/>
      <c r="O284" s="16"/>
      <c r="P284" s="16"/>
      <c r="Q284" s="16"/>
      <c r="R284" s="16"/>
      <c r="S284" s="16"/>
      <c r="T284" s="16"/>
      <c r="U284" s="16"/>
      <c r="V284" s="16"/>
      <c r="W284" s="16"/>
      <c r="X284" s="16"/>
      <c r="Y284" s="16"/>
    </row>
    <row r="285" spans="1:25" x14ac:dyDescent="0.2">
      <c r="A285" s="14"/>
      <c r="B285" s="16"/>
      <c r="C285" s="6"/>
      <c r="D285" s="16"/>
      <c r="E285" s="6"/>
      <c r="F285" s="16"/>
      <c r="G285" s="16"/>
      <c r="H285" s="16"/>
      <c r="I285" s="16"/>
      <c r="J285" s="16"/>
      <c r="K285" s="16"/>
      <c r="L285" s="16"/>
      <c r="M285" s="16"/>
      <c r="N285" s="16"/>
      <c r="O285" s="16"/>
      <c r="P285" s="16"/>
      <c r="Q285" s="16"/>
      <c r="R285" s="16"/>
      <c r="S285" s="16"/>
      <c r="T285" s="16"/>
      <c r="U285" s="16"/>
      <c r="V285" s="16"/>
      <c r="W285" s="16"/>
      <c r="X285" s="16"/>
      <c r="Y285" s="16"/>
    </row>
    <row r="286" spans="1:25" x14ac:dyDescent="0.2">
      <c r="A286" s="14"/>
      <c r="B286" s="16"/>
      <c r="C286" s="6"/>
      <c r="D286" s="16"/>
      <c r="E286" s="6"/>
      <c r="F286" s="16"/>
      <c r="G286" s="16"/>
      <c r="H286" s="16"/>
      <c r="I286" s="16"/>
      <c r="J286" s="16"/>
      <c r="K286" s="16"/>
      <c r="L286" s="16"/>
      <c r="M286" s="16"/>
      <c r="N286" s="16"/>
      <c r="O286" s="16"/>
      <c r="P286" s="16"/>
      <c r="Q286" s="16"/>
      <c r="R286" s="16"/>
      <c r="S286" s="16"/>
      <c r="T286" s="16"/>
      <c r="U286" s="16"/>
      <c r="V286" s="16"/>
      <c r="W286" s="16"/>
      <c r="X286" s="16"/>
      <c r="Y286" s="16"/>
    </row>
    <row r="287" spans="1:25" x14ac:dyDescent="0.2">
      <c r="A287" s="14"/>
      <c r="B287" s="16"/>
      <c r="C287" s="6"/>
      <c r="D287" s="16"/>
      <c r="E287" s="6"/>
      <c r="F287" s="16"/>
      <c r="G287" s="16"/>
      <c r="H287" s="16"/>
      <c r="I287" s="16"/>
      <c r="J287" s="16"/>
      <c r="K287" s="16"/>
      <c r="L287" s="16"/>
      <c r="M287" s="16"/>
      <c r="N287" s="16"/>
      <c r="O287" s="16"/>
      <c r="P287" s="16"/>
      <c r="Q287" s="16"/>
      <c r="R287" s="16"/>
      <c r="S287" s="16"/>
      <c r="T287" s="16"/>
      <c r="U287" s="16"/>
      <c r="V287" s="16"/>
      <c r="W287" s="16"/>
      <c r="X287" s="16"/>
      <c r="Y287" s="16"/>
    </row>
    <row r="288" spans="1:25" x14ac:dyDescent="0.2">
      <c r="A288" s="14"/>
      <c r="B288" s="16"/>
      <c r="C288" s="6"/>
      <c r="D288" s="16"/>
      <c r="E288" s="6"/>
      <c r="F288" s="16"/>
      <c r="G288" s="16"/>
      <c r="H288" s="16"/>
      <c r="I288" s="16"/>
      <c r="J288" s="16"/>
      <c r="K288" s="16"/>
      <c r="L288" s="16"/>
      <c r="M288" s="16"/>
      <c r="N288" s="16"/>
      <c r="O288" s="16"/>
      <c r="P288" s="16"/>
      <c r="Q288" s="16"/>
      <c r="R288" s="16"/>
      <c r="S288" s="16"/>
      <c r="T288" s="16"/>
      <c r="U288" s="16"/>
      <c r="V288" s="16"/>
      <c r="W288" s="16"/>
      <c r="X288" s="16"/>
      <c r="Y288" s="16"/>
    </row>
    <row r="289" spans="1:25" x14ac:dyDescent="0.2">
      <c r="A289" s="14"/>
      <c r="B289" s="16"/>
      <c r="C289" s="6"/>
      <c r="D289" s="16"/>
      <c r="E289" s="6"/>
      <c r="F289" s="16"/>
      <c r="G289" s="16"/>
      <c r="H289" s="16"/>
      <c r="I289" s="16"/>
      <c r="J289" s="16"/>
      <c r="K289" s="16"/>
      <c r="L289" s="16"/>
      <c r="M289" s="16"/>
      <c r="N289" s="16"/>
      <c r="O289" s="16"/>
      <c r="P289" s="16"/>
      <c r="Q289" s="16"/>
      <c r="R289" s="16"/>
      <c r="S289" s="16"/>
      <c r="T289" s="16"/>
      <c r="U289" s="16"/>
      <c r="V289" s="16"/>
      <c r="W289" s="16"/>
      <c r="X289" s="16"/>
      <c r="Y289" s="16"/>
    </row>
    <row r="290" spans="1:25" x14ac:dyDescent="0.2">
      <c r="A290" s="14"/>
      <c r="B290" s="16"/>
      <c r="C290" s="6"/>
      <c r="D290" s="16"/>
      <c r="E290" s="6"/>
      <c r="F290" s="16"/>
      <c r="G290" s="16"/>
      <c r="H290" s="16"/>
      <c r="I290" s="16"/>
      <c r="J290" s="16"/>
      <c r="K290" s="16"/>
      <c r="L290" s="16"/>
      <c r="M290" s="16"/>
      <c r="N290" s="16"/>
      <c r="O290" s="16"/>
      <c r="P290" s="16"/>
      <c r="Q290" s="16"/>
      <c r="R290" s="16"/>
      <c r="S290" s="16"/>
      <c r="T290" s="16"/>
      <c r="U290" s="16"/>
      <c r="V290" s="16"/>
      <c r="W290" s="16"/>
      <c r="X290" s="16"/>
      <c r="Y290" s="16"/>
    </row>
    <row r="291" spans="1:25" x14ac:dyDescent="0.2">
      <c r="A291" s="14"/>
      <c r="B291" s="16"/>
      <c r="C291" s="6"/>
      <c r="D291" s="16"/>
      <c r="E291" s="6"/>
      <c r="F291" s="16"/>
      <c r="G291" s="16"/>
      <c r="H291" s="16"/>
      <c r="I291" s="16"/>
      <c r="J291" s="16"/>
      <c r="K291" s="16"/>
      <c r="L291" s="16"/>
      <c r="M291" s="16"/>
      <c r="N291" s="16"/>
      <c r="O291" s="16"/>
      <c r="P291" s="16"/>
      <c r="Q291" s="16"/>
      <c r="R291" s="16"/>
      <c r="S291" s="16"/>
      <c r="T291" s="16"/>
      <c r="U291" s="16"/>
      <c r="V291" s="16"/>
      <c r="W291" s="16"/>
      <c r="X291" s="16"/>
      <c r="Y291" s="16"/>
    </row>
    <row r="292" spans="1:25" x14ac:dyDescent="0.2">
      <c r="A292" s="14"/>
      <c r="B292" s="16"/>
      <c r="C292" s="6"/>
      <c r="D292" s="16"/>
      <c r="E292" s="6"/>
      <c r="F292" s="16"/>
      <c r="G292" s="16"/>
      <c r="H292" s="16"/>
      <c r="I292" s="16"/>
      <c r="J292" s="16"/>
      <c r="K292" s="16"/>
      <c r="L292" s="16"/>
      <c r="M292" s="16"/>
      <c r="N292" s="16"/>
      <c r="O292" s="16"/>
      <c r="P292" s="16"/>
      <c r="Q292" s="16"/>
      <c r="R292" s="16"/>
      <c r="S292" s="16"/>
      <c r="T292" s="16"/>
      <c r="U292" s="16"/>
      <c r="V292" s="16"/>
      <c r="W292" s="16"/>
      <c r="X292" s="16"/>
      <c r="Y292" s="16"/>
    </row>
    <row r="293" spans="1:25" x14ac:dyDescent="0.2">
      <c r="A293" s="14"/>
      <c r="B293" s="16"/>
      <c r="C293" s="6"/>
      <c r="D293" s="16"/>
      <c r="E293" s="6"/>
      <c r="F293" s="16"/>
      <c r="G293" s="16"/>
      <c r="H293" s="16"/>
      <c r="I293" s="16"/>
      <c r="J293" s="16"/>
      <c r="K293" s="16"/>
      <c r="L293" s="16"/>
      <c r="M293" s="16"/>
      <c r="N293" s="16"/>
      <c r="O293" s="16"/>
      <c r="P293" s="16"/>
      <c r="Q293" s="16"/>
      <c r="R293" s="16"/>
      <c r="S293" s="16"/>
      <c r="T293" s="16"/>
      <c r="U293" s="16"/>
      <c r="V293" s="16"/>
      <c r="W293" s="16"/>
      <c r="X293" s="16"/>
      <c r="Y293" s="16"/>
    </row>
    <row r="294" spans="1:25" x14ac:dyDescent="0.2">
      <c r="A294" s="14"/>
      <c r="B294" s="16"/>
      <c r="C294" s="6"/>
      <c r="D294" s="16"/>
      <c r="E294" s="6"/>
      <c r="F294" s="16"/>
      <c r="G294" s="16"/>
      <c r="H294" s="16"/>
      <c r="I294" s="16"/>
      <c r="J294" s="16"/>
      <c r="K294" s="16"/>
      <c r="L294" s="16"/>
      <c r="M294" s="16"/>
      <c r="N294" s="16"/>
      <c r="O294" s="16"/>
      <c r="P294" s="16"/>
      <c r="Q294" s="16"/>
      <c r="R294" s="16"/>
      <c r="S294" s="16"/>
      <c r="T294" s="16"/>
      <c r="U294" s="16"/>
      <c r="V294" s="16"/>
      <c r="W294" s="16"/>
      <c r="X294" s="16"/>
      <c r="Y294" s="16"/>
    </row>
    <row r="295" spans="1:25" x14ac:dyDescent="0.2">
      <c r="A295" s="14"/>
      <c r="B295" s="16"/>
      <c r="C295" s="6"/>
      <c r="D295" s="16"/>
      <c r="E295" s="6"/>
      <c r="F295" s="16"/>
      <c r="G295" s="16"/>
      <c r="H295" s="16"/>
      <c r="I295" s="16"/>
      <c r="J295" s="16"/>
      <c r="K295" s="16"/>
      <c r="L295" s="16"/>
      <c r="M295" s="16"/>
      <c r="N295" s="16"/>
      <c r="O295" s="16"/>
      <c r="P295" s="16"/>
      <c r="Q295" s="16"/>
      <c r="R295" s="16"/>
      <c r="S295" s="16"/>
      <c r="T295" s="16"/>
      <c r="U295" s="16"/>
      <c r="V295" s="16"/>
      <c r="W295" s="16"/>
      <c r="X295" s="16"/>
      <c r="Y295" s="16"/>
    </row>
    <row r="296" spans="1:25" x14ac:dyDescent="0.2">
      <c r="A296" s="14"/>
      <c r="B296" s="16"/>
      <c r="C296" s="6"/>
      <c r="D296" s="16"/>
      <c r="E296" s="6"/>
      <c r="F296" s="16"/>
      <c r="G296" s="16"/>
      <c r="H296" s="16"/>
      <c r="I296" s="16"/>
      <c r="J296" s="16"/>
      <c r="K296" s="16"/>
      <c r="L296" s="16"/>
      <c r="M296" s="16"/>
      <c r="N296" s="16"/>
      <c r="O296" s="16"/>
      <c r="P296" s="16"/>
      <c r="Q296" s="16"/>
      <c r="R296" s="16"/>
      <c r="S296" s="16"/>
      <c r="T296" s="16"/>
      <c r="U296" s="16"/>
      <c r="V296" s="16"/>
      <c r="W296" s="16"/>
      <c r="X296" s="16"/>
      <c r="Y296" s="16"/>
    </row>
    <row r="297" spans="1:25" x14ac:dyDescent="0.2">
      <c r="A297" s="14"/>
      <c r="B297" s="16"/>
      <c r="C297" s="6"/>
      <c r="D297" s="16"/>
      <c r="E297" s="6"/>
      <c r="F297" s="16"/>
      <c r="G297" s="16"/>
      <c r="H297" s="16"/>
      <c r="I297" s="16"/>
      <c r="J297" s="16"/>
      <c r="K297" s="16"/>
      <c r="L297" s="16"/>
      <c r="M297" s="16"/>
      <c r="N297" s="16"/>
      <c r="O297" s="16"/>
      <c r="P297" s="16"/>
      <c r="Q297" s="16"/>
      <c r="R297" s="16"/>
      <c r="S297" s="16"/>
      <c r="T297" s="16"/>
      <c r="U297" s="16"/>
      <c r="V297" s="16"/>
      <c r="W297" s="16"/>
      <c r="X297" s="16"/>
      <c r="Y297" s="16"/>
    </row>
    <row r="298" spans="1:25" x14ac:dyDescent="0.2">
      <c r="A298" s="14"/>
      <c r="B298" s="16"/>
      <c r="C298" s="6"/>
      <c r="D298" s="16"/>
      <c r="E298" s="6"/>
      <c r="F298" s="16"/>
      <c r="G298" s="16"/>
      <c r="H298" s="16"/>
      <c r="I298" s="16"/>
      <c r="J298" s="16"/>
      <c r="K298" s="16"/>
      <c r="L298" s="16"/>
      <c r="M298" s="16"/>
      <c r="N298" s="16"/>
      <c r="O298" s="16"/>
      <c r="P298" s="16"/>
      <c r="Q298" s="16"/>
      <c r="R298" s="16"/>
      <c r="S298" s="16"/>
      <c r="T298" s="16"/>
      <c r="U298" s="16"/>
      <c r="V298" s="16"/>
      <c r="W298" s="16"/>
      <c r="X298" s="16"/>
      <c r="Y298" s="16"/>
    </row>
    <row r="299" spans="1:25" x14ac:dyDescent="0.2">
      <c r="A299" s="14"/>
      <c r="B299" s="16"/>
      <c r="C299" s="6"/>
      <c r="D299" s="16"/>
      <c r="E299" s="6"/>
      <c r="F299" s="16"/>
      <c r="G299" s="16"/>
      <c r="H299" s="16"/>
      <c r="I299" s="16"/>
      <c r="J299" s="16"/>
      <c r="K299" s="16"/>
      <c r="L299" s="16"/>
      <c r="M299" s="16"/>
      <c r="N299" s="16"/>
      <c r="O299" s="16"/>
      <c r="P299" s="16"/>
      <c r="Q299" s="16"/>
      <c r="R299" s="16"/>
      <c r="S299" s="16"/>
      <c r="T299" s="16"/>
      <c r="U299" s="16"/>
      <c r="V299" s="16"/>
      <c r="W299" s="16"/>
      <c r="X299" s="16"/>
      <c r="Y299" s="16"/>
    </row>
    <row r="300" spans="1:25" x14ac:dyDescent="0.2">
      <c r="A300" s="14"/>
      <c r="B300" s="16"/>
      <c r="C300" s="6"/>
      <c r="D300" s="16"/>
      <c r="E300" s="6"/>
      <c r="F300" s="16"/>
      <c r="G300" s="16"/>
      <c r="H300" s="16"/>
      <c r="I300" s="16"/>
      <c r="J300" s="16"/>
      <c r="K300" s="16"/>
      <c r="L300" s="16"/>
      <c r="M300" s="16"/>
      <c r="N300" s="16"/>
      <c r="O300" s="16"/>
      <c r="P300" s="16"/>
      <c r="Q300" s="16"/>
      <c r="R300" s="16"/>
      <c r="S300" s="16"/>
      <c r="T300" s="16"/>
      <c r="U300" s="16"/>
      <c r="V300" s="16"/>
      <c r="W300" s="16"/>
      <c r="X300" s="16"/>
      <c r="Y300" s="16"/>
    </row>
    <row r="301" spans="1:25" x14ac:dyDescent="0.2">
      <c r="A301" s="14"/>
      <c r="B301" s="16"/>
      <c r="C301" s="6"/>
      <c r="D301" s="16"/>
      <c r="E301" s="6"/>
      <c r="F301" s="16"/>
      <c r="G301" s="16"/>
      <c r="H301" s="16"/>
      <c r="I301" s="16"/>
      <c r="J301" s="16"/>
      <c r="K301" s="16"/>
      <c r="L301" s="16"/>
      <c r="M301" s="16"/>
      <c r="N301" s="16"/>
      <c r="O301" s="16"/>
      <c r="P301" s="16"/>
      <c r="Q301" s="16"/>
      <c r="R301" s="16"/>
      <c r="S301" s="16"/>
      <c r="T301" s="16"/>
      <c r="U301" s="16"/>
      <c r="V301" s="16"/>
      <c r="W301" s="16"/>
      <c r="X301" s="16"/>
      <c r="Y301" s="16"/>
    </row>
    <row r="302" spans="1:25" x14ac:dyDescent="0.2">
      <c r="A302" s="14"/>
      <c r="B302" s="16"/>
      <c r="C302" s="6"/>
      <c r="D302" s="16"/>
      <c r="E302" s="6"/>
      <c r="F302" s="16"/>
      <c r="G302" s="16"/>
      <c r="H302" s="16"/>
      <c r="I302" s="16"/>
      <c r="J302" s="16"/>
      <c r="K302" s="16"/>
      <c r="L302" s="16"/>
      <c r="M302" s="16"/>
      <c r="N302" s="16"/>
      <c r="O302" s="16"/>
      <c r="P302" s="16"/>
      <c r="Q302" s="16"/>
      <c r="R302" s="16"/>
      <c r="S302" s="16"/>
      <c r="T302" s="16"/>
      <c r="U302" s="16"/>
      <c r="V302" s="16"/>
      <c r="W302" s="16"/>
      <c r="X302" s="16"/>
      <c r="Y302" s="16"/>
    </row>
    <row r="303" spans="1:25" x14ac:dyDescent="0.2">
      <c r="A303" s="14"/>
      <c r="B303" s="16"/>
      <c r="C303" s="6"/>
      <c r="D303" s="16"/>
      <c r="E303" s="6"/>
      <c r="F303" s="16"/>
      <c r="G303" s="16"/>
      <c r="H303" s="16"/>
      <c r="I303" s="16"/>
      <c r="J303" s="16"/>
      <c r="K303" s="16"/>
      <c r="L303" s="16"/>
      <c r="M303" s="16"/>
      <c r="N303" s="16"/>
      <c r="O303" s="16"/>
      <c r="P303" s="16"/>
      <c r="Q303" s="16"/>
      <c r="R303" s="16"/>
      <c r="S303" s="16"/>
      <c r="T303" s="16"/>
      <c r="U303" s="16"/>
      <c r="V303" s="16"/>
      <c r="W303" s="16"/>
      <c r="X303" s="16"/>
      <c r="Y303" s="16"/>
    </row>
    <row r="304" spans="1:25" x14ac:dyDescent="0.2">
      <c r="A304" s="14"/>
      <c r="B304" s="16"/>
      <c r="C304" s="6"/>
      <c r="D304" s="16"/>
      <c r="E304" s="6"/>
      <c r="F304" s="16"/>
      <c r="G304" s="16"/>
      <c r="H304" s="16"/>
      <c r="I304" s="16"/>
      <c r="J304" s="16"/>
      <c r="K304" s="16"/>
      <c r="L304" s="16"/>
      <c r="M304" s="16"/>
      <c r="N304" s="16"/>
      <c r="O304" s="16"/>
      <c r="P304" s="16"/>
      <c r="Q304" s="16"/>
      <c r="R304" s="16"/>
      <c r="S304" s="16"/>
      <c r="T304" s="16"/>
      <c r="U304" s="16"/>
      <c r="V304" s="16"/>
      <c r="W304" s="16"/>
      <c r="X304" s="16"/>
      <c r="Y304" s="16"/>
    </row>
    <row r="305" spans="1:25" x14ac:dyDescent="0.2">
      <c r="A305" s="14"/>
      <c r="B305" s="16"/>
      <c r="C305" s="6"/>
      <c r="D305" s="16"/>
      <c r="E305" s="6"/>
      <c r="F305" s="16"/>
      <c r="G305" s="16"/>
      <c r="H305" s="16"/>
      <c r="I305" s="16"/>
      <c r="J305" s="16"/>
      <c r="K305" s="16"/>
      <c r="L305" s="16"/>
      <c r="M305" s="16"/>
      <c r="N305" s="16"/>
      <c r="O305" s="16"/>
      <c r="P305" s="16"/>
      <c r="Q305" s="16"/>
      <c r="R305" s="16"/>
      <c r="S305" s="16"/>
      <c r="T305" s="16"/>
      <c r="U305" s="16"/>
      <c r="V305" s="16"/>
      <c r="W305" s="16"/>
      <c r="X305" s="16"/>
      <c r="Y305" s="16"/>
    </row>
    <row r="306" spans="1:25" x14ac:dyDescent="0.2">
      <c r="A306" s="14"/>
      <c r="B306" s="16"/>
      <c r="C306" s="6"/>
      <c r="D306" s="16"/>
      <c r="E306" s="6"/>
      <c r="F306" s="16"/>
      <c r="G306" s="16"/>
      <c r="H306" s="16"/>
      <c r="I306" s="16"/>
      <c r="J306" s="16"/>
      <c r="K306" s="16"/>
      <c r="L306" s="16"/>
      <c r="M306" s="16"/>
      <c r="N306" s="16"/>
      <c r="O306" s="16"/>
      <c r="P306" s="16"/>
      <c r="Q306" s="16"/>
      <c r="R306" s="16"/>
      <c r="S306" s="16"/>
      <c r="T306" s="16"/>
      <c r="U306" s="16"/>
      <c r="V306" s="16"/>
      <c r="W306" s="16"/>
      <c r="X306" s="16"/>
      <c r="Y306" s="16"/>
    </row>
    <row r="307" spans="1:25" x14ac:dyDescent="0.2">
      <c r="A307" s="14"/>
      <c r="B307" s="16"/>
      <c r="C307" s="6"/>
      <c r="D307" s="16"/>
      <c r="E307" s="6"/>
      <c r="F307" s="16"/>
      <c r="G307" s="16"/>
      <c r="H307" s="16"/>
      <c r="I307" s="16"/>
      <c r="J307" s="16"/>
      <c r="K307" s="16"/>
      <c r="L307" s="16"/>
      <c r="M307" s="16"/>
      <c r="N307" s="16"/>
      <c r="O307" s="16"/>
      <c r="P307" s="16"/>
      <c r="Q307" s="16"/>
      <c r="R307" s="16"/>
      <c r="S307" s="16"/>
      <c r="T307" s="16"/>
      <c r="U307" s="16"/>
      <c r="V307" s="16"/>
      <c r="W307" s="16"/>
      <c r="X307" s="16"/>
      <c r="Y307" s="16"/>
    </row>
    <row r="308" spans="1:25" x14ac:dyDescent="0.2">
      <c r="A308" s="14"/>
      <c r="B308" s="16"/>
      <c r="C308" s="6"/>
      <c r="D308" s="16"/>
      <c r="E308" s="6"/>
      <c r="F308" s="16"/>
      <c r="G308" s="16"/>
      <c r="H308" s="16"/>
      <c r="I308" s="16"/>
      <c r="J308" s="16"/>
      <c r="K308" s="16"/>
      <c r="L308" s="16"/>
      <c r="M308" s="16"/>
      <c r="N308" s="16"/>
      <c r="O308" s="16"/>
      <c r="P308" s="16"/>
      <c r="Q308" s="16"/>
      <c r="R308" s="16"/>
      <c r="S308" s="16"/>
      <c r="T308" s="16"/>
      <c r="U308" s="16"/>
      <c r="V308" s="16"/>
      <c r="W308" s="16"/>
      <c r="X308" s="16"/>
      <c r="Y308" s="16"/>
    </row>
    <row r="309" spans="1:25" x14ac:dyDescent="0.2">
      <c r="A309" s="14"/>
      <c r="B309" s="16"/>
      <c r="C309" s="6"/>
      <c r="D309" s="16"/>
      <c r="E309" s="6"/>
      <c r="F309" s="16"/>
      <c r="G309" s="16"/>
      <c r="H309" s="16"/>
      <c r="I309" s="16"/>
      <c r="J309" s="16"/>
      <c r="K309" s="16"/>
      <c r="L309" s="16"/>
      <c r="M309" s="16"/>
      <c r="N309" s="16"/>
      <c r="O309" s="16"/>
      <c r="P309" s="16"/>
      <c r="Q309" s="16"/>
      <c r="R309" s="16"/>
      <c r="S309" s="16"/>
      <c r="T309" s="16"/>
      <c r="U309" s="16"/>
      <c r="V309" s="16"/>
      <c r="W309" s="16"/>
      <c r="X309" s="16"/>
      <c r="Y309" s="16"/>
    </row>
    <row r="310" spans="1:25" x14ac:dyDescent="0.2">
      <c r="A310" s="14"/>
      <c r="B310" s="16"/>
      <c r="C310" s="6"/>
      <c r="D310" s="16"/>
      <c r="E310" s="6"/>
      <c r="F310" s="16"/>
      <c r="G310" s="16"/>
      <c r="H310" s="16"/>
      <c r="I310" s="16"/>
      <c r="J310" s="16"/>
      <c r="K310" s="16"/>
      <c r="L310" s="16"/>
      <c r="M310" s="16"/>
      <c r="N310" s="16"/>
      <c r="O310" s="16"/>
      <c r="P310" s="16"/>
      <c r="Q310" s="16"/>
      <c r="R310" s="16"/>
      <c r="S310" s="16"/>
      <c r="T310" s="16"/>
      <c r="U310" s="16"/>
      <c r="V310" s="16"/>
      <c r="W310" s="16"/>
      <c r="X310" s="16"/>
      <c r="Y310" s="16"/>
    </row>
    <row r="311" spans="1:25" x14ac:dyDescent="0.2">
      <c r="A311" s="14"/>
      <c r="B311" s="16"/>
      <c r="C311" s="6"/>
      <c r="D311" s="16"/>
      <c r="E311" s="6"/>
      <c r="F311" s="16"/>
      <c r="G311" s="16"/>
      <c r="H311" s="16"/>
      <c r="I311" s="16"/>
      <c r="J311" s="16"/>
      <c r="K311" s="16"/>
      <c r="L311" s="16"/>
      <c r="M311" s="16"/>
      <c r="N311" s="16"/>
      <c r="O311" s="16"/>
      <c r="P311" s="16"/>
      <c r="Q311" s="16"/>
      <c r="R311" s="16"/>
      <c r="S311" s="16"/>
      <c r="T311" s="16"/>
      <c r="U311" s="16"/>
      <c r="V311" s="16"/>
      <c r="W311" s="16"/>
      <c r="X311" s="16"/>
      <c r="Y311" s="16"/>
    </row>
    <row r="312" spans="1:25" x14ac:dyDescent="0.2">
      <c r="A312" s="14"/>
      <c r="B312" s="16"/>
      <c r="C312" s="6"/>
      <c r="D312" s="16"/>
      <c r="E312" s="6"/>
      <c r="F312" s="16"/>
      <c r="G312" s="16"/>
      <c r="H312" s="16"/>
      <c r="I312" s="16"/>
      <c r="J312" s="16"/>
      <c r="K312" s="16"/>
      <c r="L312" s="16"/>
      <c r="M312" s="16"/>
      <c r="N312" s="16"/>
      <c r="O312" s="16"/>
      <c r="P312" s="16"/>
      <c r="Q312" s="16"/>
      <c r="R312" s="16"/>
      <c r="S312" s="16"/>
      <c r="T312" s="16"/>
      <c r="U312" s="16"/>
      <c r="V312" s="16"/>
      <c r="W312" s="16"/>
      <c r="X312" s="16"/>
      <c r="Y312" s="16"/>
    </row>
    <row r="313" spans="1:25" x14ac:dyDescent="0.2">
      <c r="A313" s="14"/>
      <c r="B313" s="16"/>
      <c r="C313" s="6"/>
      <c r="D313" s="16"/>
      <c r="E313" s="6"/>
      <c r="F313" s="16"/>
      <c r="G313" s="16"/>
      <c r="H313" s="16"/>
      <c r="I313" s="16"/>
      <c r="J313" s="16"/>
      <c r="K313" s="16"/>
      <c r="L313" s="16"/>
      <c r="M313" s="16"/>
      <c r="N313" s="16"/>
      <c r="O313" s="16"/>
      <c r="P313" s="16"/>
      <c r="Q313" s="16"/>
      <c r="R313" s="16"/>
      <c r="S313" s="16"/>
      <c r="T313" s="16"/>
      <c r="U313" s="16"/>
      <c r="V313" s="16"/>
      <c r="W313" s="16"/>
      <c r="X313" s="16"/>
      <c r="Y313" s="16"/>
    </row>
    <row r="314" spans="1:25" x14ac:dyDescent="0.2">
      <c r="A314" s="14"/>
      <c r="B314" s="16"/>
      <c r="C314" s="6"/>
      <c r="D314" s="16"/>
      <c r="E314" s="6"/>
      <c r="F314" s="16"/>
      <c r="G314" s="16"/>
      <c r="H314" s="16"/>
      <c r="I314" s="16"/>
      <c r="J314" s="16"/>
      <c r="K314" s="16"/>
      <c r="L314" s="16"/>
      <c r="M314" s="16"/>
      <c r="N314" s="16"/>
      <c r="O314" s="16"/>
      <c r="P314" s="16"/>
      <c r="Q314" s="16"/>
      <c r="R314" s="16"/>
      <c r="S314" s="16"/>
      <c r="T314" s="16"/>
      <c r="U314" s="16"/>
      <c r="V314" s="16"/>
      <c r="W314" s="16"/>
      <c r="X314" s="16"/>
      <c r="Y314" s="16"/>
    </row>
    <row r="315" spans="1:25" x14ac:dyDescent="0.2">
      <c r="A315" s="14"/>
      <c r="B315" s="16"/>
      <c r="C315" s="6"/>
      <c r="D315" s="16"/>
      <c r="E315" s="6"/>
      <c r="F315" s="16"/>
      <c r="G315" s="16"/>
      <c r="H315" s="16"/>
      <c r="I315" s="16"/>
      <c r="J315" s="16"/>
      <c r="K315" s="16"/>
      <c r="L315" s="16"/>
      <c r="M315" s="16"/>
      <c r="N315" s="16"/>
      <c r="O315" s="16"/>
      <c r="P315" s="16"/>
      <c r="Q315" s="16"/>
      <c r="R315" s="16"/>
      <c r="S315" s="16"/>
      <c r="T315" s="16"/>
      <c r="U315" s="16"/>
      <c r="V315" s="16"/>
      <c r="W315" s="16"/>
      <c r="X315" s="16"/>
      <c r="Y315" s="16"/>
    </row>
    <row r="316" spans="1:25" x14ac:dyDescent="0.2">
      <c r="A316" s="14"/>
      <c r="B316" s="16"/>
      <c r="C316" s="6"/>
      <c r="D316" s="16"/>
      <c r="E316" s="6"/>
      <c r="F316" s="16"/>
      <c r="G316" s="16"/>
      <c r="H316" s="16"/>
      <c r="I316" s="16"/>
      <c r="J316" s="16"/>
      <c r="K316" s="16"/>
      <c r="L316" s="16"/>
      <c r="M316" s="16"/>
      <c r="N316" s="16"/>
      <c r="O316" s="16"/>
      <c r="P316" s="16"/>
      <c r="Q316" s="16"/>
      <c r="R316" s="16"/>
      <c r="S316" s="16"/>
      <c r="T316" s="16"/>
      <c r="U316" s="16"/>
      <c r="V316" s="16"/>
      <c r="W316" s="16"/>
      <c r="X316" s="16"/>
      <c r="Y316" s="16"/>
    </row>
    <row r="317" spans="1:25" x14ac:dyDescent="0.2">
      <c r="A317" s="14"/>
      <c r="B317" s="16"/>
      <c r="C317" s="6"/>
      <c r="D317" s="16"/>
      <c r="E317" s="6"/>
      <c r="F317" s="16"/>
      <c r="G317" s="16"/>
      <c r="H317" s="16"/>
      <c r="I317" s="16"/>
      <c r="J317" s="16"/>
      <c r="K317" s="16"/>
      <c r="L317" s="16"/>
      <c r="M317" s="16"/>
      <c r="N317" s="16"/>
      <c r="O317" s="16"/>
      <c r="P317" s="16"/>
      <c r="Q317" s="16"/>
      <c r="R317" s="16"/>
      <c r="S317" s="16"/>
      <c r="T317" s="16"/>
      <c r="U317" s="16"/>
      <c r="V317" s="16"/>
      <c r="W317" s="16"/>
      <c r="X317" s="16"/>
      <c r="Y317" s="16"/>
    </row>
    <row r="318" spans="1:25" x14ac:dyDescent="0.2">
      <c r="A318" s="14"/>
      <c r="B318" s="16"/>
      <c r="C318" s="6"/>
      <c r="D318" s="16"/>
      <c r="E318" s="6"/>
      <c r="F318" s="16"/>
      <c r="G318" s="16"/>
      <c r="H318" s="16"/>
      <c r="I318" s="16"/>
      <c r="J318" s="16"/>
      <c r="K318" s="16"/>
      <c r="L318" s="16"/>
      <c r="M318" s="16"/>
      <c r="N318" s="16"/>
      <c r="O318" s="16"/>
      <c r="P318" s="16"/>
      <c r="Q318" s="16"/>
      <c r="R318" s="16"/>
      <c r="S318" s="16"/>
      <c r="T318" s="16"/>
      <c r="U318" s="16"/>
      <c r="V318" s="16"/>
      <c r="W318" s="16"/>
      <c r="X318" s="16"/>
      <c r="Y318" s="16"/>
    </row>
    <row r="319" spans="1:25" x14ac:dyDescent="0.2">
      <c r="A319" s="14"/>
      <c r="B319" s="16"/>
      <c r="C319" s="6"/>
      <c r="D319" s="16"/>
      <c r="E319" s="6"/>
      <c r="F319" s="16"/>
      <c r="G319" s="16"/>
      <c r="H319" s="16"/>
      <c r="I319" s="16"/>
      <c r="J319" s="16"/>
      <c r="K319" s="16"/>
      <c r="L319" s="16"/>
      <c r="M319" s="16"/>
      <c r="N319" s="16"/>
      <c r="O319" s="16"/>
      <c r="P319" s="16"/>
      <c r="Q319" s="16"/>
      <c r="R319" s="16"/>
      <c r="S319" s="16"/>
      <c r="T319" s="16"/>
      <c r="U319" s="16"/>
      <c r="V319" s="16"/>
      <c r="W319" s="16"/>
      <c r="X319" s="16"/>
      <c r="Y319" s="16"/>
    </row>
    <row r="320" spans="1:25" x14ac:dyDescent="0.2">
      <c r="A320" s="14"/>
      <c r="B320" s="16"/>
      <c r="C320" s="6"/>
      <c r="D320" s="16"/>
      <c r="E320" s="6"/>
      <c r="F320" s="16"/>
      <c r="G320" s="16"/>
      <c r="H320" s="16"/>
      <c r="I320" s="16"/>
      <c r="J320" s="16"/>
      <c r="K320" s="16"/>
      <c r="L320" s="16"/>
      <c r="M320" s="16"/>
      <c r="N320" s="16"/>
      <c r="O320" s="16"/>
      <c r="P320" s="16"/>
      <c r="Q320" s="16"/>
      <c r="R320" s="16"/>
      <c r="S320" s="16"/>
      <c r="T320" s="16"/>
      <c r="U320" s="16"/>
      <c r="V320" s="16"/>
      <c r="W320" s="16"/>
      <c r="X320" s="16"/>
      <c r="Y320" s="16"/>
    </row>
    <row r="321" spans="1:25" x14ac:dyDescent="0.2">
      <c r="A321" s="14"/>
      <c r="B321" s="16"/>
      <c r="C321" s="6"/>
      <c r="D321" s="16"/>
      <c r="E321" s="6"/>
      <c r="F321" s="16"/>
      <c r="G321" s="16"/>
      <c r="H321" s="16"/>
      <c r="I321" s="16"/>
      <c r="J321" s="16"/>
      <c r="K321" s="16"/>
      <c r="L321" s="16"/>
      <c r="M321" s="16"/>
      <c r="N321" s="16"/>
      <c r="O321" s="16"/>
      <c r="P321" s="16"/>
      <c r="Q321" s="16"/>
      <c r="R321" s="16"/>
      <c r="S321" s="16"/>
      <c r="T321" s="16"/>
      <c r="U321" s="16"/>
      <c r="V321" s="16"/>
      <c r="W321" s="16"/>
      <c r="X321" s="16"/>
      <c r="Y321" s="16"/>
    </row>
    <row r="322" spans="1:25" x14ac:dyDescent="0.2">
      <c r="A322" s="14"/>
      <c r="B322" s="16"/>
      <c r="C322" s="6"/>
      <c r="D322" s="16"/>
      <c r="E322" s="6"/>
      <c r="F322" s="16"/>
      <c r="G322" s="16"/>
      <c r="H322" s="16"/>
      <c r="I322" s="16"/>
      <c r="J322" s="16"/>
      <c r="K322" s="16"/>
      <c r="L322" s="16"/>
      <c r="M322" s="16"/>
      <c r="N322" s="16"/>
      <c r="O322" s="16"/>
      <c r="P322" s="16"/>
      <c r="Q322" s="16"/>
      <c r="R322" s="16"/>
      <c r="S322" s="16"/>
      <c r="T322" s="16"/>
      <c r="U322" s="16"/>
      <c r="V322" s="16"/>
      <c r="W322" s="16"/>
      <c r="X322" s="16"/>
      <c r="Y322" s="16"/>
    </row>
    <row r="323" spans="1:25" x14ac:dyDescent="0.2">
      <c r="A323" s="14"/>
      <c r="B323" s="16"/>
      <c r="C323" s="6"/>
      <c r="D323" s="16"/>
      <c r="E323" s="6"/>
      <c r="F323" s="16"/>
      <c r="G323" s="16"/>
      <c r="H323" s="16"/>
      <c r="I323" s="16"/>
      <c r="J323" s="16"/>
      <c r="K323" s="16"/>
      <c r="L323" s="16"/>
      <c r="M323" s="16"/>
      <c r="N323" s="16"/>
      <c r="O323" s="16"/>
      <c r="P323" s="16"/>
      <c r="Q323" s="16"/>
      <c r="R323" s="16"/>
      <c r="S323" s="16"/>
      <c r="T323" s="16"/>
      <c r="U323" s="16"/>
      <c r="V323" s="16"/>
      <c r="W323" s="16"/>
      <c r="X323" s="16"/>
      <c r="Y323" s="16"/>
    </row>
    <row r="324" spans="1:25" x14ac:dyDescent="0.2">
      <c r="A324" s="14"/>
      <c r="B324" s="16"/>
      <c r="C324" s="6"/>
      <c r="D324" s="16"/>
      <c r="E324" s="6"/>
      <c r="F324" s="16"/>
      <c r="G324" s="16"/>
      <c r="H324" s="16"/>
      <c r="I324" s="16"/>
      <c r="J324" s="16"/>
      <c r="K324" s="16"/>
      <c r="L324" s="16"/>
      <c r="M324" s="16"/>
      <c r="N324" s="16"/>
      <c r="O324" s="16"/>
      <c r="P324" s="16"/>
      <c r="Q324" s="16"/>
      <c r="R324" s="16"/>
      <c r="S324" s="16"/>
      <c r="T324" s="16"/>
      <c r="U324" s="16"/>
      <c r="V324" s="16"/>
      <c r="W324" s="16"/>
      <c r="X324" s="16"/>
      <c r="Y324" s="16"/>
    </row>
    <row r="325" spans="1:25" x14ac:dyDescent="0.2">
      <c r="A325" s="14"/>
      <c r="B325" s="16"/>
      <c r="C325" s="6"/>
      <c r="D325" s="16"/>
      <c r="E325" s="6"/>
      <c r="F325" s="16"/>
      <c r="G325" s="16"/>
      <c r="H325" s="16"/>
      <c r="I325" s="16"/>
      <c r="J325" s="16"/>
      <c r="K325" s="16"/>
      <c r="L325" s="16"/>
      <c r="M325" s="16"/>
      <c r="N325" s="16"/>
      <c r="O325" s="16"/>
      <c r="P325" s="16"/>
      <c r="Q325" s="16"/>
      <c r="R325" s="16"/>
      <c r="S325" s="16"/>
      <c r="T325" s="16"/>
      <c r="U325" s="16"/>
      <c r="V325" s="16"/>
      <c r="W325" s="16"/>
      <c r="X325" s="16"/>
      <c r="Y325" s="16"/>
    </row>
    <row r="326" spans="1:25" x14ac:dyDescent="0.2">
      <c r="A326" s="14"/>
      <c r="B326" s="16"/>
      <c r="C326" s="6"/>
      <c r="D326" s="16"/>
      <c r="E326" s="6"/>
      <c r="F326" s="16"/>
      <c r="G326" s="16"/>
      <c r="H326" s="16"/>
      <c r="I326" s="16"/>
      <c r="J326" s="16"/>
      <c r="K326" s="16"/>
      <c r="L326" s="16"/>
      <c r="M326" s="16"/>
      <c r="N326" s="16"/>
      <c r="O326" s="16"/>
      <c r="P326" s="16"/>
      <c r="Q326" s="16"/>
      <c r="R326" s="16"/>
      <c r="S326" s="16"/>
      <c r="T326" s="16"/>
      <c r="U326" s="16"/>
      <c r="V326" s="16"/>
      <c r="W326" s="16"/>
      <c r="X326" s="16"/>
      <c r="Y326" s="16"/>
    </row>
    <row r="327" spans="1:25" x14ac:dyDescent="0.2">
      <c r="A327" s="14"/>
      <c r="B327" s="16"/>
      <c r="C327" s="6"/>
      <c r="D327" s="16"/>
      <c r="E327" s="6"/>
      <c r="F327" s="16"/>
      <c r="G327" s="16"/>
      <c r="H327" s="16"/>
      <c r="I327" s="16"/>
      <c r="J327" s="16"/>
      <c r="K327" s="16"/>
      <c r="L327" s="16"/>
      <c r="M327" s="16"/>
      <c r="N327" s="16"/>
      <c r="O327" s="16"/>
      <c r="P327" s="16"/>
      <c r="Q327" s="16"/>
      <c r="R327" s="16"/>
      <c r="S327" s="16"/>
      <c r="T327" s="16"/>
      <c r="U327" s="16"/>
      <c r="V327" s="16"/>
      <c r="W327" s="16"/>
      <c r="X327" s="16"/>
      <c r="Y327" s="16"/>
    </row>
    <row r="328" spans="1:25" x14ac:dyDescent="0.2">
      <c r="A328" s="14"/>
      <c r="B328" s="16"/>
      <c r="C328" s="6"/>
      <c r="D328" s="16"/>
      <c r="E328" s="6"/>
      <c r="F328" s="16"/>
      <c r="G328" s="16"/>
      <c r="H328" s="16"/>
      <c r="I328" s="16"/>
      <c r="J328" s="16"/>
      <c r="K328" s="16"/>
      <c r="L328" s="16"/>
      <c r="M328" s="16"/>
      <c r="N328" s="16"/>
      <c r="O328" s="16"/>
      <c r="P328" s="16"/>
      <c r="Q328" s="16"/>
      <c r="R328" s="16"/>
      <c r="S328" s="16"/>
      <c r="T328" s="16"/>
      <c r="U328" s="16"/>
      <c r="V328" s="16"/>
      <c r="W328" s="16"/>
      <c r="X328" s="16"/>
      <c r="Y328" s="16"/>
    </row>
    <row r="329" spans="1:25" x14ac:dyDescent="0.2">
      <c r="A329" s="14"/>
      <c r="B329" s="16"/>
      <c r="C329" s="6"/>
      <c r="D329" s="16"/>
      <c r="E329" s="6"/>
      <c r="F329" s="16"/>
      <c r="G329" s="16"/>
      <c r="H329" s="16"/>
      <c r="I329" s="16"/>
      <c r="J329" s="16"/>
      <c r="K329" s="16"/>
      <c r="L329" s="16"/>
      <c r="M329" s="16"/>
      <c r="N329" s="16"/>
      <c r="O329" s="16"/>
      <c r="P329" s="16"/>
      <c r="Q329" s="16"/>
      <c r="R329" s="16"/>
      <c r="S329" s="16"/>
      <c r="T329" s="16"/>
      <c r="U329" s="16"/>
      <c r="V329" s="16"/>
      <c r="W329" s="16"/>
      <c r="X329" s="16"/>
      <c r="Y329" s="16"/>
    </row>
    <row r="330" spans="1:25" x14ac:dyDescent="0.2">
      <c r="A330" s="14"/>
      <c r="B330" s="16"/>
      <c r="C330" s="6"/>
      <c r="D330" s="16"/>
      <c r="E330" s="6"/>
      <c r="F330" s="16"/>
      <c r="G330" s="16"/>
      <c r="H330" s="16"/>
      <c r="I330" s="16"/>
      <c r="J330" s="16"/>
      <c r="K330" s="16"/>
      <c r="L330" s="16"/>
      <c r="M330" s="16"/>
      <c r="N330" s="16"/>
      <c r="O330" s="16"/>
      <c r="P330" s="16"/>
      <c r="Q330" s="16"/>
      <c r="R330" s="16"/>
      <c r="S330" s="16"/>
      <c r="T330" s="16"/>
      <c r="U330" s="16"/>
      <c r="V330" s="16"/>
      <c r="W330" s="16"/>
      <c r="X330" s="16"/>
      <c r="Y330" s="16"/>
    </row>
    <row r="331" spans="1:25" x14ac:dyDescent="0.2">
      <c r="A331" s="14"/>
      <c r="B331" s="16"/>
      <c r="C331" s="6"/>
      <c r="D331" s="16"/>
      <c r="E331" s="6"/>
      <c r="F331" s="16"/>
      <c r="G331" s="16"/>
      <c r="H331" s="16"/>
      <c r="I331" s="16"/>
      <c r="J331" s="16"/>
      <c r="K331" s="16"/>
      <c r="L331" s="16"/>
      <c r="M331" s="16"/>
      <c r="N331" s="16"/>
      <c r="O331" s="16"/>
      <c r="P331" s="16"/>
      <c r="Q331" s="16"/>
      <c r="R331" s="16"/>
      <c r="S331" s="16"/>
      <c r="T331" s="16"/>
      <c r="U331" s="16"/>
      <c r="V331" s="16"/>
      <c r="W331" s="16"/>
      <c r="X331" s="16"/>
      <c r="Y331" s="16"/>
    </row>
    <row r="332" spans="1:25" x14ac:dyDescent="0.2">
      <c r="A332" s="14"/>
      <c r="B332" s="16"/>
      <c r="C332" s="6"/>
      <c r="D332" s="16"/>
      <c r="E332" s="6"/>
      <c r="F332" s="16"/>
      <c r="G332" s="16"/>
      <c r="H332" s="16"/>
      <c r="I332" s="16"/>
      <c r="J332" s="16"/>
      <c r="K332" s="16"/>
      <c r="L332" s="16"/>
      <c r="M332" s="16"/>
      <c r="N332" s="16"/>
      <c r="O332" s="16"/>
      <c r="P332" s="16"/>
      <c r="Q332" s="16"/>
      <c r="R332" s="16"/>
      <c r="S332" s="16"/>
      <c r="T332" s="16"/>
      <c r="U332" s="16"/>
      <c r="V332" s="16"/>
      <c r="W332" s="16"/>
      <c r="X332" s="16"/>
      <c r="Y332" s="16"/>
    </row>
    <row r="333" spans="1:25" x14ac:dyDescent="0.2">
      <c r="A333" s="14"/>
      <c r="B333" s="16"/>
      <c r="C333" s="6"/>
      <c r="D333" s="16"/>
      <c r="E333" s="6"/>
      <c r="F333" s="16"/>
      <c r="G333" s="16"/>
      <c r="H333" s="16"/>
      <c r="I333" s="16"/>
      <c r="J333" s="16"/>
      <c r="K333" s="16"/>
      <c r="L333" s="16"/>
      <c r="M333" s="16"/>
      <c r="N333" s="16"/>
      <c r="O333" s="16"/>
      <c r="P333" s="16"/>
      <c r="Q333" s="16"/>
      <c r="R333" s="16"/>
      <c r="S333" s="16"/>
      <c r="T333" s="16"/>
      <c r="U333" s="16"/>
      <c r="V333" s="16"/>
      <c r="W333" s="16"/>
      <c r="X333" s="16"/>
      <c r="Y333" s="16"/>
    </row>
    <row r="334" spans="1:25" x14ac:dyDescent="0.2">
      <c r="A334" s="14"/>
      <c r="B334" s="16"/>
      <c r="C334" s="6"/>
      <c r="D334" s="16"/>
      <c r="E334" s="6"/>
      <c r="F334" s="16"/>
      <c r="G334" s="16"/>
      <c r="H334" s="16"/>
      <c r="I334" s="16"/>
      <c r="J334" s="16"/>
      <c r="K334" s="16"/>
      <c r="L334" s="16"/>
      <c r="M334" s="16"/>
      <c r="N334" s="16"/>
      <c r="O334" s="16"/>
      <c r="P334" s="16"/>
      <c r="Q334" s="16"/>
      <c r="R334" s="16"/>
      <c r="S334" s="16"/>
      <c r="T334" s="16"/>
      <c r="U334" s="16"/>
      <c r="V334" s="16"/>
      <c r="W334" s="16"/>
      <c r="X334" s="16"/>
      <c r="Y334" s="16"/>
    </row>
    <row r="335" spans="1:25" x14ac:dyDescent="0.2">
      <c r="A335" s="14"/>
      <c r="B335" s="16"/>
      <c r="C335" s="6"/>
      <c r="D335" s="16"/>
      <c r="E335" s="6"/>
      <c r="F335" s="16"/>
      <c r="G335" s="16"/>
      <c r="H335" s="16"/>
      <c r="I335" s="16"/>
      <c r="J335" s="16"/>
      <c r="K335" s="16"/>
      <c r="L335" s="16"/>
      <c r="M335" s="16"/>
      <c r="N335" s="16"/>
      <c r="O335" s="16"/>
      <c r="P335" s="16"/>
      <c r="Q335" s="16"/>
      <c r="R335" s="16"/>
      <c r="S335" s="16"/>
      <c r="T335" s="16"/>
      <c r="U335" s="16"/>
      <c r="V335" s="16"/>
      <c r="W335" s="16"/>
      <c r="X335" s="16"/>
      <c r="Y335" s="16"/>
    </row>
    <row r="336" spans="1:25" x14ac:dyDescent="0.2">
      <c r="A336" s="14"/>
      <c r="B336" s="16"/>
      <c r="C336" s="6"/>
      <c r="D336" s="16"/>
      <c r="E336" s="6"/>
      <c r="F336" s="16"/>
      <c r="G336" s="16"/>
      <c r="H336" s="16"/>
      <c r="I336" s="16"/>
      <c r="J336" s="16"/>
      <c r="K336" s="16"/>
      <c r="L336" s="16"/>
      <c r="M336" s="16"/>
      <c r="N336" s="16"/>
      <c r="O336" s="16"/>
      <c r="P336" s="16"/>
      <c r="Q336" s="16"/>
      <c r="R336" s="16"/>
      <c r="S336" s="16"/>
      <c r="T336" s="16"/>
      <c r="U336" s="16"/>
      <c r="V336" s="16"/>
      <c r="W336" s="16"/>
      <c r="X336" s="16"/>
      <c r="Y336" s="16"/>
    </row>
    <row r="337" spans="1:25" x14ac:dyDescent="0.2">
      <c r="A337" s="14"/>
      <c r="B337" s="16"/>
      <c r="C337" s="6"/>
      <c r="D337" s="16"/>
      <c r="E337" s="6"/>
      <c r="F337" s="16"/>
      <c r="G337" s="16"/>
      <c r="H337" s="16"/>
      <c r="I337" s="16"/>
      <c r="J337" s="16"/>
      <c r="K337" s="16"/>
      <c r="L337" s="16"/>
      <c r="M337" s="16"/>
      <c r="N337" s="16"/>
      <c r="O337" s="16"/>
      <c r="P337" s="16"/>
      <c r="Q337" s="16"/>
      <c r="R337" s="16"/>
      <c r="S337" s="16"/>
      <c r="T337" s="16"/>
      <c r="U337" s="16"/>
      <c r="V337" s="16"/>
      <c r="W337" s="16"/>
      <c r="X337" s="16"/>
      <c r="Y337" s="16"/>
    </row>
    <row r="338" spans="1:25" x14ac:dyDescent="0.2">
      <c r="A338" s="14"/>
      <c r="B338" s="16"/>
      <c r="C338" s="6"/>
      <c r="D338" s="16"/>
      <c r="E338" s="6"/>
      <c r="F338" s="16"/>
      <c r="G338" s="16"/>
      <c r="H338" s="16"/>
      <c r="I338" s="16"/>
      <c r="J338" s="16"/>
      <c r="K338" s="16"/>
      <c r="L338" s="16"/>
      <c r="M338" s="16"/>
      <c r="N338" s="16"/>
      <c r="O338" s="16"/>
      <c r="P338" s="16"/>
      <c r="Q338" s="16"/>
      <c r="R338" s="16"/>
      <c r="S338" s="16"/>
      <c r="T338" s="16"/>
      <c r="U338" s="16"/>
      <c r="V338" s="16"/>
      <c r="W338" s="16"/>
      <c r="X338" s="16"/>
      <c r="Y338" s="16"/>
    </row>
    <row r="339" spans="1:25" x14ac:dyDescent="0.2">
      <c r="A339" s="14"/>
      <c r="B339" s="16"/>
      <c r="C339" s="6"/>
      <c r="D339" s="16"/>
      <c r="E339" s="6"/>
      <c r="F339" s="16"/>
      <c r="G339" s="16"/>
      <c r="H339" s="16"/>
      <c r="I339" s="16"/>
      <c r="J339" s="16"/>
      <c r="K339" s="16"/>
      <c r="L339" s="16"/>
      <c r="M339" s="16"/>
      <c r="N339" s="16"/>
      <c r="O339" s="16"/>
      <c r="P339" s="16"/>
      <c r="Q339" s="16"/>
      <c r="R339" s="16"/>
      <c r="S339" s="16"/>
      <c r="T339" s="16"/>
      <c r="U339" s="16"/>
      <c r="V339" s="16"/>
      <c r="W339" s="16"/>
      <c r="X339" s="16"/>
      <c r="Y339" s="16"/>
    </row>
    <row r="340" spans="1:25" x14ac:dyDescent="0.2">
      <c r="A340" s="14"/>
      <c r="B340" s="16"/>
      <c r="C340" s="6"/>
      <c r="D340" s="16"/>
      <c r="E340" s="6"/>
      <c r="F340" s="16"/>
      <c r="G340" s="16"/>
      <c r="H340" s="16"/>
      <c r="I340" s="16"/>
      <c r="J340" s="16"/>
      <c r="K340" s="16"/>
      <c r="L340" s="16"/>
      <c r="M340" s="16"/>
      <c r="N340" s="16"/>
      <c r="O340" s="16"/>
      <c r="P340" s="16"/>
      <c r="Q340" s="16"/>
      <c r="R340" s="16"/>
      <c r="S340" s="16"/>
      <c r="T340" s="16"/>
      <c r="U340" s="16"/>
      <c r="V340" s="16"/>
      <c r="W340" s="16"/>
      <c r="X340" s="16"/>
      <c r="Y340" s="16"/>
    </row>
    <row r="341" spans="1:25" x14ac:dyDescent="0.2">
      <c r="A341" s="14"/>
      <c r="B341" s="16"/>
      <c r="C341" s="6"/>
      <c r="D341" s="16"/>
      <c r="E341" s="6"/>
      <c r="F341" s="16"/>
      <c r="G341" s="16"/>
      <c r="H341" s="16"/>
      <c r="I341" s="16"/>
      <c r="J341" s="16"/>
      <c r="K341" s="16"/>
      <c r="L341" s="16"/>
      <c r="M341" s="16"/>
      <c r="N341" s="16"/>
      <c r="O341" s="16"/>
      <c r="P341" s="16"/>
      <c r="Q341" s="16"/>
      <c r="R341" s="16"/>
      <c r="S341" s="16"/>
      <c r="T341" s="16"/>
      <c r="U341" s="16"/>
      <c r="V341" s="16"/>
      <c r="W341" s="16"/>
      <c r="X341" s="16"/>
      <c r="Y341" s="16"/>
    </row>
    <row r="342" spans="1:25" x14ac:dyDescent="0.2">
      <c r="A342" s="14"/>
      <c r="B342" s="16"/>
      <c r="C342" s="6"/>
      <c r="D342" s="16"/>
      <c r="E342" s="6"/>
      <c r="F342" s="16"/>
      <c r="G342" s="16"/>
      <c r="H342" s="16"/>
      <c r="I342" s="16"/>
      <c r="J342" s="16"/>
      <c r="K342" s="16"/>
      <c r="L342" s="16"/>
      <c r="M342" s="16"/>
      <c r="N342" s="16"/>
      <c r="O342" s="16"/>
      <c r="P342" s="16"/>
      <c r="Q342" s="16"/>
      <c r="R342" s="16"/>
      <c r="S342" s="16"/>
      <c r="T342" s="16"/>
      <c r="U342" s="16"/>
      <c r="V342" s="16"/>
      <c r="W342" s="16"/>
      <c r="X342" s="16"/>
      <c r="Y342" s="16"/>
    </row>
    <row r="343" spans="1:25" x14ac:dyDescent="0.2">
      <c r="A343" s="14"/>
      <c r="B343" s="16"/>
      <c r="C343" s="6"/>
      <c r="D343" s="16"/>
      <c r="E343" s="6"/>
      <c r="F343" s="16"/>
      <c r="G343" s="16"/>
      <c r="H343" s="16"/>
      <c r="I343" s="16"/>
      <c r="J343" s="16"/>
      <c r="K343" s="16"/>
      <c r="L343" s="16"/>
      <c r="M343" s="16"/>
      <c r="N343" s="16"/>
      <c r="O343" s="16"/>
      <c r="P343" s="16"/>
      <c r="Q343" s="16"/>
      <c r="R343" s="16"/>
      <c r="S343" s="16"/>
      <c r="T343" s="16"/>
      <c r="U343" s="16"/>
      <c r="V343" s="16"/>
      <c r="W343" s="16"/>
      <c r="X343" s="16"/>
      <c r="Y343" s="16"/>
    </row>
    <row r="344" spans="1:25" x14ac:dyDescent="0.2">
      <c r="A344" s="14"/>
      <c r="B344" s="16"/>
      <c r="C344" s="6"/>
      <c r="D344" s="16"/>
      <c r="E344" s="6"/>
      <c r="F344" s="16"/>
      <c r="G344" s="16"/>
      <c r="H344" s="16"/>
      <c r="I344" s="16"/>
      <c r="J344" s="16"/>
      <c r="K344" s="16"/>
      <c r="L344" s="16"/>
      <c r="M344" s="16"/>
      <c r="N344" s="16"/>
      <c r="O344" s="16"/>
      <c r="P344" s="16"/>
      <c r="Q344" s="16"/>
      <c r="R344" s="16"/>
      <c r="S344" s="16"/>
      <c r="T344" s="16"/>
      <c r="U344" s="16"/>
      <c r="V344" s="16"/>
      <c r="W344" s="16"/>
      <c r="X344" s="16"/>
      <c r="Y344" s="16"/>
    </row>
    <row r="345" spans="1:25" x14ac:dyDescent="0.2">
      <c r="A345" s="14"/>
      <c r="B345" s="16"/>
      <c r="C345" s="6"/>
      <c r="D345" s="16"/>
      <c r="E345" s="6"/>
      <c r="F345" s="16"/>
      <c r="G345" s="16"/>
      <c r="H345" s="16"/>
      <c r="I345" s="16"/>
      <c r="J345" s="16"/>
      <c r="K345" s="16"/>
      <c r="L345" s="16"/>
      <c r="M345" s="16"/>
      <c r="N345" s="16"/>
      <c r="O345" s="16"/>
      <c r="P345" s="16"/>
      <c r="Q345" s="16"/>
      <c r="R345" s="16"/>
      <c r="S345" s="16"/>
      <c r="T345" s="16"/>
      <c r="U345" s="16"/>
      <c r="V345" s="16"/>
      <c r="W345" s="16"/>
      <c r="X345" s="16"/>
      <c r="Y345" s="16"/>
    </row>
    <row r="346" spans="1:25" x14ac:dyDescent="0.2">
      <c r="A346" s="14"/>
      <c r="B346" s="16"/>
      <c r="C346" s="6"/>
      <c r="D346" s="16"/>
      <c r="E346" s="6"/>
      <c r="F346" s="16"/>
      <c r="G346" s="16"/>
      <c r="H346" s="16"/>
      <c r="I346" s="16"/>
      <c r="J346" s="16"/>
      <c r="K346" s="16"/>
      <c r="L346" s="16"/>
      <c r="M346" s="16"/>
      <c r="N346" s="16"/>
      <c r="O346" s="16"/>
      <c r="P346" s="16"/>
      <c r="Q346" s="16"/>
      <c r="R346" s="16"/>
      <c r="S346" s="16"/>
      <c r="T346" s="16"/>
      <c r="U346" s="16"/>
      <c r="V346" s="16"/>
      <c r="W346" s="16"/>
      <c r="X346" s="16"/>
      <c r="Y346" s="16"/>
    </row>
    <row r="347" spans="1:25" x14ac:dyDescent="0.2">
      <c r="A347" s="14"/>
      <c r="B347" s="16"/>
      <c r="C347" s="6"/>
      <c r="D347" s="16"/>
      <c r="E347" s="6"/>
      <c r="F347" s="16"/>
      <c r="G347" s="16"/>
      <c r="H347" s="16"/>
      <c r="I347" s="16"/>
      <c r="J347" s="16"/>
      <c r="K347" s="16"/>
      <c r="L347" s="16"/>
      <c r="M347" s="16"/>
      <c r="N347" s="16"/>
      <c r="O347" s="16"/>
      <c r="P347" s="16"/>
      <c r="Q347" s="16"/>
      <c r="R347" s="16"/>
      <c r="S347" s="16"/>
      <c r="T347" s="16"/>
      <c r="U347" s="16"/>
      <c r="V347" s="16"/>
      <c r="W347" s="16"/>
      <c r="X347" s="16"/>
      <c r="Y347" s="16"/>
    </row>
    <row r="348" spans="1:25" x14ac:dyDescent="0.2">
      <c r="A348" s="14"/>
      <c r="B348" s="16"/>
      <c r="C348" s="6"/>
      <c r="D348" s="16"/>
      <c r="E348" s="6"/>
      <c r="F348" s="16"/>
      <c r="G348" s="16"/>
      <c r="H348" s="16"/>
      <c r="I348" s="16"/>
      <c r="J348" s="16"/>
      <c r="K348" s="16"/>
      <c r="L348" s="16"/>
      <c r="M348" s="16"/>
      <c r="N348" s="16"/>
      <c r="O348" s="16"/>
      <c r="P348" s="16"/>
      <c r="Q348" s="16"/>
      <c r="R348" s="16"/>
      <c r="S348" s="16"/>
      <c r="T348" s="16"/>
      <c r="U348" s="16"/>
      <c r="V348" s="16"/>
      <c r="W348" s="16"/>
      <c r="X348" s="16"/>
      <c r="Y348" s="16"/>
    </row>
    <row r="349" spans="1:25" x14ac:dyDescent="0.2">
      <c r="A349" s="14"/>
      <c r="B349" s="16"/>
      <c r="C349" s="6"/>
      <c r="D349" s="16"/>
      <c r="E349" s="6"/>
      <c r="F349" s="16"/>
      <c r="G349" s="16"/>
      <c r="H349" s="16"/>
      <c r="I349" s="16"/>
      <c r="J349" s="16"/>
      <c r="K349" s="16"/>
      <c r="L349" s="16"/>
      <c r="M349" s="16"/>
      <c r="N349" s="16"/>
      <c r="O349" s="16"/>
      <c r="P349" s="16"/>
      <c r="Q349" s="16"/>
      <c r="R349" s="16"/>
      <c r="S349" s="16"/>
      <c r="T349" s="16"/>
      <c r="U349" s="16"/>
      <c r="V349" s="16"/>
      <c r="W349" s="16"/>
      <c r="X349" s="16"/>
      <c r="Y349" s="16"/>
    </row>
    <row r="350" spans="1:25" x14ac:dyDescent="0.2">
      <c r="A350" s="14"/>
      <c r="B350" s="16"/>
      <c r="C350" s="6"/>
      <c r="D350" s="16"/>
      <c r="E350" s="6"/>
      <c r="F350" s="16"/>
      <c r="G350" s="16"/>
      <c r="H350" s="16"/>
      <c r="I350" s="16"/>
      <c r="J350" s="16"/>
      <c r="K350" s="16"/>
      <c r="L350" s="16"/>
      <c r="M350" s="16"/>
      <c r="N350" s="16"/>
      <c r="O350" s="16"/>
      <c r="P350" s="16"/>
      <c r="Q350" s="16"/>
      <c r="R350" s="16"/>
      <c r="S350" s="16"/>
      <c r="T350" s="16"/>
      <c r="U350" s="16"/>
      <c r="V350" s="16"/>
      <c r="W350" s="16"/>
      <c r="X350" s="16"/>
      <c r="Y350" s="16"/>
    </row>
    <row r="351" spans="1:25" x14ac:dyDescent="0.2">
      <c r="A351" s="14"/>
      <c r="B351" s="16"/>
      <c r="C351" s="6"/>
      <c r="D351" s="16"/>
      <c r="E351" s="6"/>
      <c r="F351" s="16"/>
      <c r="G351" s="16"/>
      <c r="H351" s="16"/>
      <c r="I351" s="16"/>
      <c r="J351" s="16"/>
      <c r="K351" s="16"/>
      <c r="L351" s="16"/>
      <c r="M351" s="16"/>
      <c r="N351" s="16"/>
      <c r="O351" s="16"/>
      <c r="P351" s="16"/>
      <c r="Q351" s="16"/>
      <c r="R351" s="16"/>
      <c r="S351" s="16"/>
      <c r="T351" s="16"/>
      <c r="U351" s="16"/>
      <c r="V351" s="16"/>
      <c r="W351" s="16"/>
      <c r="X351" s="16"/>
      <c r="Y351" s="16"/>
    </row>
    <row r="352" spans="1:25" x14ac:dyDescent="0.2">
      <c r="A352" s="14"/>
      <c r="B352" s="16"/>
      <c r="C352" s="6"/>
      <c r="D352" s="16"/>
      <c r="E352" s="6"/>
      <c r="F352" s="16"/>
      <c r="G352" s="16"/>
      <c r="H352" s="16"/>
      <c r="I352" s="16"/>
      <c r="J352" s="16"/>
      <c r="K352" s="16"/>
      <c r="L352" s="16"/>
      <c r="M352" s="16"/>
      <c r="N352" s="16"/>
      <c r="O352" s="16"/>
      <c r="P352" s="16"/>
      <c r="Q352" s="16"/>
      <c r="R352" s="16"/>
      <c r="S352" s="16"/>
      <c r="T352" s="16"/>
      <c r="U352" s="16"/>
      <c r="V352" s="16"/>
      <c r="W352" s="16"/>
      <c r="X352" s="16"/>
      <c r="Y352" s="16"/>
    </row>
    <row r="353" spans="1:25" x14ac:dyDescent="0.2">
      <c r="A353" s="14"/>
      <c r="B353" s="16"/>
      <c r="C353" s="6"/>
      <c r="D353" s="16"/>
      <c r="E353" s="6"/>
      <c r="F353" s="16"/>
      <c r="G353" s="16"/>
      <c r="H353" s="16"/>
      <c r="I353" s="16"/>
      <c r="J353" s="16"/>
      <c r="K353" s="16"/>
      <c r="L353" s="16"/>
      <c r="M353" s="16"/>
      <c r="N353" s="16"/>
      <c r="O353" s="16"/>
      <c r="P353" s="16"/>
      <c r="Q353" s="16"/>
      <c r="R353" s="16"/>
      <c r="S353" s="16"/>
      <c r="T353" s="16"/>
      <c r="U353" s="16"/>
      <c r="V353" s="16"/>
      <c r="W353" s="16"/>
      <c r="X353" s="16"/>
      <c r="Y353" s="16"/>
    </row>
    <row r="354" spans="1:25" x14ac:dyDescent="0.2">
      <c r="A354" s="14"/>
      <c r="B354" s="16"/>
      <c r="C354" s="6"/>
      <c r="D354" s="16"/>
      <c r="E354" s="6"/>
      <c r="F354" s="16"/>
      <c r="G354" s="16"/>
      <c r="H354" s="16"/>
      <c r="I354" s="16"/>
      <c r="J354" s="16"/>
      <c r="K354" s="16"/>
      <c r="L354" s="16"/>
      <c r="M354" s="16"/>
      <c r="N354" s="16"/>
      <c r="O354" s="16"/>
      <c r="P354" s="16"/>
      <c r="Q354" s="16"/>
      <c r="R354" s="16"/>
      <c r="S354" s="16"/>
      <c r="T354" s="16"/>
      <c r="U354" s="16"/>
      <c r="V354" s="16"/>
      <c r="W354" s="16"/>
      <c r="X354" s="16"/>
      <c r="Y354" s="16"/>
    </row>
    <row r="355" spans="1:25" x14ac:dyDescent="0.2">
      <c r="A355" s="14"/>
      <c r="B355" s="16"/>
      <c r="C355" s="6"/>
      <c r="D355" s="16"/>
      <c r="E355" s="6"/>
      <c r="F355" s="16"/>
      <c r="G355" s="16"/>
      <c r="H355" s="16"/>
      <c r="I355" s="16"/>
      <c r="J355" s="16"/>
      <c r="K355" s="16"/>
      <c r="L355" s="16"/>
      <c r="M355" s="16"/>
      <c r="N355" s="16"/>
      <c r="O355" s="16"/>
      <c r="P355" s="16"/>
      <c r="Q355" s="16"/>
      <c r="R355" s="16"/>
      <c r="S355" s="16"/>
      <c r="T355" s="16"/>
      <c r="U355" s="16"/>
      <c r="V355" s="16"/>
      <c r="W355" s="16"/>
      <c r="X355" s="16"/>
      <c r="Y355" s="16"/>
    </row>
    <row r="356" spans="1:25" x14ac:dyDescent="0.2">
      <c r="A356" s="14"/>
      <c r="B356" s="16"/>
      <c r="C356" s="6"/>
      <c r="D356" s="16"/>
      <c r="E356" s="6"/>
      <c r="F356" s="16"/>
      <c r="G356" s="16"/>
      <c r="H356" s="16"/>
      <c r="I356" s="16"/>
      <c r="J356" s="16"/>
      <c r="K356" s="16"/>
      <c r="L356" s="16"/>
      <c r="M356" s="16"/>
      <c r="N356" s="16"/>
      <c r="O356" s="16"/>
      <c r="P356" s="16"/>
      <c r="Q356" s="16"/>
      <c r="R356" s="16"/>
      <c r="S356" s="16"/>
      <c r="T356" s="16"/>
      <c r="U356" s="16"/>
      <c r="V356" s="16"/>
      <c r="W356" s="16"/>
      <c r="X356" s="16"/>
      <c r="Y356" s="16"/>
    </row>
    <row r="357" spans="1:25" x14ac:dyDescent="0.2">
      <c r="A357" s="14"/>
      <c r="B357" s="16"/>
      <c r="C357" s="6"/>
      <c r="D357" s="16"/>
      <c r="E357" s="6"/>
      <c r="F357" s="16"/>
      <c r="G357" s="16"/>
      <c r="H357" s="16"/>
      <c r="I357" s="16"/>
      <c r="J357" s="16"/>
      <c r="K357" s="16"/>
      <c r="L357" s="16"/>
      <c r="M357" s="16"/>
      <c r="N357" s="16"/>
      <c r="O357" s="16"/>
      <c r="P357" s="16"/>
      <c r="Q357" s="16"/>
      <c r="R357" s="16"/>
      <c r="S357" s="16"/>
      <c r="T357" s="16"/>
      <c r="U357" s="16"/>
      <c r="V357" s="16"/>
      <c r="W357" s="16"/>
      <c r="X357" s="16"/>
      <c r="Y357" s="16"/>
    </row>
    <row r="358" spans="1:25" x14ac:dyDescent="0.2">
      <c r="A358" s="14"/>
      <c r="B358" s="16"/>
      <c r="C358" s="6"/>
      <c r="D358" s="16"/>
      <c r="E358" s="6"/>
      <c r="F358" s="16"/>
      <c r="G358" s="16"/>
      <c r="H358" s="16"/>
      <c r="I358" s="16"/>
      <c r="J358" s="16"/>
      <c r="K358" s="16"/>
      <c r="L358" s="16"/>
      <c r="M358" s="16"/>
      <c r="N358" s="16"/>
      <c r="O358" s="16"/>
      <c r="P358" s="16"/>
      <c r="Q358" s="16"/>
      <c r="R358" s="16"/>
      <c r="S358" s="16"/>
      <c r="T358" s="16"/>
      <c r="U358" s="16"/>
      <c r="V358" s="16"/>
      <c r="W358" s="16"/>
      <c r="X358" s="16"/>
      <c r="Y358" s="16"/>
    </row>
    <row r="359" spans="1:25" x14ac:dyDescent="0.2">
      <c r="A359" s="14"/>
      <c r="B359" s="16"/>
      <c r="C359" s="6"/>
      <c r="D359" s="16"/>
      <c r="E359" s="6"/>
      <c r="F359" s="16"/>
      <c r="G359" s="16"/>
      <c r="H359" s="16"/>
      <c r="I359" s="16"/>
      <c r="J359" s="16"/>
      <c r="K359" s="16"/>
      <c r="L359" s="16"/>
      <c r="M359" s="16"/>
      <c r="N359" s="16"/>
      <c r="O359" s="16"/>
      <c r="P359" s="16"/>
      <c r="Q359" s="16"/>
      <c r="R359" s="16"/>
      <c r="S359" s="16"/>
      <c r="T359" s="16"/>
      <c r="U359" s="16"/>
      <c r="V359" s="16"/>
      <c r="W359" s="16"/>
      <c r="X359" s="16"/>
      <c r="Y359" s="16"/>
    </row>
    <row r="360" spans="1:25" x14ac:dyDescent="0.2">
      <c r="A360" s="14"/>
      <c r="B360" s="16"/>
      <c r="C360" s="6"/>
      <c r="D360" s="16"/>
      <c r="E360" s="6"/>
      <c r="F360" s="16"/>
      <c r="G360" s="16"/>
      <c r="H360" s="16"/>
      <c r="I360" s="16"/>
      <c r="J360" s="16"/>
      <c r="K360" s="16"/>
      <c r="L360" s="16"/>
      <c r="M360" s="16"/>
      <c r="N360" s="16"/>
      <c r="O360" s="16"/>
      <c r="P360" s="16"/>
      <c r="Q360" s="16"/>
      <c r="R360" s="16"/>
      <c r="S360" s="16"/>
      <c r="T360" s="16"/>
      <c r="U360" s="16"/>
      <c r="V360" s="16"/>
      <c r="W360" s="16"/>
      <c r="X360" s="16"/>
      <c r="Y360" s="16"/>
    </row>
    <row r="361" spans="1:25" x14ac:dyDescent="0.2">
      <c r="A361" s="14"/>
      <c r="B361" s="16"/>
      <c r="C361" s="6"/>
      <c r="D361" s="16"/>
      <c r="E361" s="6"/>
      <c r="F361" s="16"/>
      <c r="G361" s="16"/>
      <c r="H361" s="16"/>
      <c r="I361" s="16"/>
      <c r="J361" s="16"/>
      <c r="K361" s="16"/>
      <c r="L361" s="16"/>
      <c r="M361" s="16"/>
      <c r="N361" s="16"/>
      <c r="O361" s="16"/>
      <c r="P361" s="16"/>
      <c r="Q361" s="16"/>
      <c r="R361" s="16"/>
      <c r="S361" s="16"/>
      <c r="T361" s="16"/>
      <c r="U361" s="16"/>
      <c r="V361" s="16"/>
      <c r="W361" s="16"/>
      <c r="X361" s="16"/>
      <c r="Y361" s="16"/>
    </row>
    <row r="362" spans="1:25" x14ac:dyDescent="0.2">
      <c r="A362" s="14"/>
      <c r="B362" s="16"/>
      <c r="C362" s="6"/>
      <c r="D362" s="16"/>
      <c r="E362" s="6"/>
      <c r="F362" s="16"/>
      <c r="G362" s="16"/>
      <c r="H362" s="16"/>
      <c r="I362" s="16"/>
      <c r="J362" s="16"/>
      <c r="K362" s="16"/>
      <c r="L362" s="16"/>
      <c r="M362" s="16"/>
      <c r="N362" s="16"/>
      <c r="O362" s="16"/>
      <c r="P362" s="16"/>
      <c r="Q362" s="16"/>
      <c r="R362" s="16"/>
      <c r="S362" s="16"/>
      <c r="T362" s="16"/>
      <c r="U362" s="16"/>
      <c r="V362" s="16"/>
      <c r="W362" s="16"/>
      <c r="X362" s="16"/>
      <c r="Y362" s="16"/>
    </row>
    <row r="363" spans="1:25" x14ac:dyDescent="0.2">
      <c r="A363" s="14"/>
      <c r="B363" s="16"/>
      <c r="C363" s="6"/>
      <c r="D363" s="16"/>
      <c r="E363" s="6"/>
      <c r="F363" s="16"/>
      <c r="G363" s="16"/>
      <c r="H363" s="16"/>
      <c r="I363" s="16"/>
      <c r="J363" s="16"/>
      <c r="K363" s="16"/>
      <c r="L363" s="16"/>
      <c r="M363" s="16"/>
      <c r="N363" s="16"/>
      <c r="O363" s="16"/>
      <c r="P363" s="16"/>
      <c r="Q363" s="16"/>
      <c r="R363" s="16"/>
      <c r="S363" s="16"/>
      <c r="T363" s="16"/>
      <c r="U363" s="16"/>
      <c r="V363" s="16"/>
      <c r="W363" s="16"/>
      <c r="X363" s="16"/>
      <c r="Y363" s="16"/>
    </row>
    <row r="364" spans="1:25" x14ac:dyDescent="0.2">
      <c r="A364" s="14"/>
      <c r="B364" s="16"/>
      <c r="C364" s="6"/>
      <c r="D364" s="16"/>
      <c r="E364" s="6"/>
      <c r="F364" s="16"/>
      <c r="G364" s="16"/>
      <c r="H364" s="16"/>
      <c r="I364" s="16"/>
      <c r="J364" s="16"/>
      <c r="K364" s="16"/>
      <c r="L364" s="16"/>
      <c r="M364" s="16"/>
      <c r="N364" s="16"/>
      <c r="O364" s="16"/>
      <c r="P364" s="16"/>
      <c r="Q364" s="16"/>
      <c r="R364" s="16"/>
      <c r="S364" s="16"/>
      <c r="T364" s="16"/>
      <c r="U364" s="16"/>
      <c r="V364" s="16"/>
      <c r="W364" s="16"/>
      <c r="X364" s="16"/>
      <c r="Y364" s="16"/>
    </row>
    <row r="365" spans="1:25" x14ac:dyDescent="0.2">
      <c r="A365" s="14"/>
      <c r="B365" s="16"/>
      <c r="C365" s="6"/>
      <c r="D365" s="16"/>
      <c r="E365" s="6"/>
      <c r="F365" s="16"/>
      <c r="G365" s="16"/>
      <c r="H365" s="16"/>
      <c r="I365" s="16"/>
      <c r="J365" s="16"/>
      <c r="K365" s="16"/>
      <c r="L365" s="16"/>
      <c r="M365" s="16"/>
      <c r="N365" s="16"/>
      <c r="O365" s="16"/>
      <c r="P365" s="16"/>
      <c r="Q365" s="16"/>
      <c r="R365" s="16"/>
      <c r="S365" s="16"/>
      <c r="T365" s="16"/>
      <c r="U365" s="16"/>
      <c r="V365" s="16"/>
      <c r="W365" s="16"/>
      <c r="X365" s="16"/>
      <c r="Y365" s="16"/>
    </row>
    <row r="366" spans="1:25" x14ac:dyDescent="0.2">
      <c r="A366" s="14"/>
      <c r="B366" s="16"/>
      <c r="C366" s="6"/>
      <c r="D366" s="16"/>
      <c r="E366" s="6"/>
      <c r="F366" s="16"/>
      <c r="G366" s="16"/>
      <c r="H366" s="16"/>
      <c r="I366" s="16"/>
      <c r="J366" s="16"/>
      <c r="K366" s="16"/>
      <c r="L366" s="16"/>
      <c r="M366" s="16"/>
      <c r="N366" s="16"/>
      <c r="O366" s="16"/>
      <c r="P366" s="16"/>
      <c r="Q366" s="16"/>
      <c r="R366" s="16"/>
      <c r="S366" s="16"/>
      <c r="T366" s="16"/>
      <c r="U366" s="16"/>
      <c r="V366" s="16"/>
      <c r="W366" s="16"/>
      <c r="X366" s="16"/>
      <c r="Y366" s="16"/>
    </row>
    <row r="367" spans="1:25" x14ac:dyDescent="0.2">
      <c r="A367" s="14"/>
      <c r="B367" s="16"/>
      <c r="C367" s="6"/>
      <c r="D367" s="16"/>
      <c r="E367" s="6"/>
      <c r="F367" s="16"/>
      <c r="G367" s="16"/>
      <c r="H367" s="16"/>
      <c r="I367" s="16"/>
      <c r="J367" s="16"/>
      <c r="K367" s="16"/>
      <c r="L367" s="16"/>
      <c r="M367" s="16"/>
      <c r="N367" s="16"/>
      <c r="O367" s="16"/>
      <c r="P367" s="16"/>
      <c r="Q367" s="16"/>
      <c r="R367" s="16"/>
      <c r="S367" s="16"/>
      <c r="T367" s="16"/>
      <c r="U367" s="16"/>
      <c r="V367" s="16"/>
      <c r="W367" s="16"/>
      <c r="X367" s="16"/>
      <c r="Y367" s="16"/>
    </row>
    <row r="368" spans="1:25" x14ac:dyDescent="0.2">
      <c r="A368" s="14"/>
      <c r="B368" s="16"/>
      <c r="C368" s="6"/>
      <c r="D368" s="16"/>
      <c r="E368" s="6"/>
      <c r="F368" s="16"/>
      <c r="G368" s="16"/>
      <c r="H368" s="16"/>
      <c r="I368" s="16"/>
      <c r="J368" s="16"/>
      <c r="K368" s="16"/>
      <c r="L368" s="16"/>
      <c r="M368" s="16"/>
      <c r="N368" s="16"/>
      <c r="O368" s="16"/>
      <c r="P368" s="16"/>
      <c r="Q368" s="16"/>
      <c r="R368" s="16"/>
      <c r="S368" s="16"/>
      <c r="T368" s="16"/>
      <c r="U368" s="16"/>
      <c r="V368" s="16"/>
      <c r="W368" s="16"/>
      <c r="X368" s="16"/>
      <c r="Y368" s="16"/>
    </row>
    <row r="369" spans="1:25" x14ac:dyDescent="0.2">
      <c r="A369" s="14"/>
      <c r="B369" s="16"/>
      <c r="C369" s="6"/>
      <c r="D369" s="16"/>
      <c r="E369" s="6"/>
      <c r="F369" s="16"/>
      <c r="G369" s="16"/>
      <c r="H369" s="16"/>
      <c r="I369" s="16"/>
      <c r="J369" s="16"/>
      <c r="K369" s="16"/>
      <c r="L369" s="16"/>
      <c r="M369" s="16"/>
      <c r="N369" s="16"/>
      <c r="O369" s="16"/>
      <c r="P369" s="16"/>
      <c r="Q369" s="16"/>
      <c r="R369" s="16"/>
      <c r="S369" s="16"/>
      <c r="T369" s="16"/>
      <c r="U369" s="16"/>
      <c r="V369" s="16"/>
      <c r="W369" s="16"/>
      <c r="X369" s="16"/>
      <c r="Y369" s="16"/>
    </row>
    <row r="370" spans="1:25" x14ac:dyDescent="0.2">
      <c r="A370" s="14"/>
      <c r="B370" s="16"/>
      <c r="C370" s="6"/>
      <c r="D370" s="16"/>
      <c r="E370" s="6"/>
      <c r="F370" s="16"/>
      <c r="G370" s="16"/>
      <c r="H370" s="16"/>
      <c r="I370" s="16"/>
      <c r="J370" s="16"/>
      <c r="K370" s="16"/>
      <c r="L370" s="16"/>
      <c r="M370" s="16"/>
      <c r="N370" s="16"/>
      <c r="O370" s="16"/>
      <c r="P370" s="16"/>
      <c r="Q370" s="16"/>
      <c r="R370" s="16"/>
      <c r="S370" s="16"/>
      <c r="T370" s="16"/>
      <c r="U370" s="16"/>
      <c r="V370" s="16"/>
      <c r="W370" s="16"/>
      <c r="X370" s="16"/>
      <c r="Y370" s="16"/>
    </row>
    <row r="371" spans="1:25" x14ac:dyDescent="0.2">
      <c r="A371" s="14"/>
      <c r="B371" s="16"/>
      <c r="C371" s="6"/>
      <c r="D371" s="16"/>
      <c r="E371" s="6"/>
      <c r="F371" s="16"/>
      <c r="G371" s="16"/>
      <c r="H371" s="16"/>
      <c r="I371" s="16"/>
      <c r="J371" s="16"/>
      <c r="K371" s="16"/>
      <c r="L371" s="16"/>
      <c r="M371" s="16"/>
      <c r="N371" s="16"/>
      <c r="O371" s="16"/>
      <c r="P371" s="16"/>
      <c r="Q371" s="16"/>
      <c r="R371" s="16"/>
      <c r="S371" s="16"/>
      <c r="T371" s="16"/>
      <c r="U371" s="16"/>
      <c r="V371" s="16"/>
      <c r="W371" s="16"/>
      <c r="X371" s="16"/>
      <c r="Y371" s="16"/>
    </row>
    <row r="372" spans="1:25" x14ac:dyDescent="0.2">
      <c r="A372" s="14"/>
      <c r="B372" s="16"/>
      <c r="C372" s="6"/>
      <c r="D372" s="16"/>
      <c r="E372" s="6"/>
      <c r="F372" s="16"/>
      <c r="G372" s="16"/>
      <c r="H372" s="16"/>
      <c r="I372" s="16"/>
      <c r="J372" s="16"/>
      <c r="K372" s="16"/>
      <c r="L372" s="16"/>
      <c r="M372" s="16"/>
      <c r="N372" s="16"/>
      <c r="O372" s="16"/>
      <c r="P372" s="16"/>
      <c r="Q372" s="16"/>
      <c r="R372" s="16"/>
      <c r="S372" s="16"/>
      <c r="T372" s="16"/>
      <c r="U372" s="16"/>
      <c r="V372" s="16"/>
      <c r="W372" s="16"/>
      <c r="X372" s="16"/>
      <c r="Y372" s="16"/>
    </row>
    <row r="373" spans="1:25" x14ac:dyDescent="0.2">
      <c r="A373" s="14"/>
      <c r="B373" s="16"/>
      <c r="C373" s="6"/>
      <c r="D373" s="16"/>
      <c r="E373" s="6"/>
      <c r="F373" s="16"/>
      <c r="G373" s="16"/>
      <c r="H373" s="16"/>
      <c r="I373" s="16"/>
      <c r="J373" s="16"/>
      <c r="K373" s="16"/>
      <c r="L373" s="16"/>
      <c r="M373" s="16"/>
      <c r="N373" s="16"/>
      <c r="O373" s="16"/>
      <c r="P373" s="16"/>
      <c r="Q373" s="16"/>
      <c r="R373" s="16"/>
      <c r="S373" s="16"/>
      <c r="T373" s="16"/>
      <c r="U373" s="16"/>
      <c r="V373" s="16"/>
      <c r="W373" s="16"/>
      <c r="X373" s="16"/>
      <c r="Y373" s="16"/>
    </row>
    <row r="374" spans="1:25" x14ac:dyDescent="0.2">
      <c r="A374" s="14"/>
      <c r="B374" s="16"/>
      <c r="C374" s="6"/>
      <c r="D374" s="16"/>
      <c r="E374" s="6"/>
      <c r="F374" s="16"/>
      <c r="G374" s="16"/>
      <c r="H374" s="16"/>
      <c r="I374" s="16"/>
      <c r="J374" s="16"/>
      <c r="K374" s="16"/>
      <c r="L374" s="16"/>
      <c r="M374" s="16"/>
      <c r="N374" s="16"/>
      <c r="O374" s="16"/>
      <c r="P374" s="16"/>
      <c r="Q374" s="16"/>
      <c r="R374" s="16"/>
      <c r="S374" s="16"/>
      <c r="T374" s="16"/>
      <c r="U374" s="16"/>
      <c r="V374" s="16"/>
      <c r="W374" s="16"/>
      <c r="X374" s="16"/>
      <c r="Y374" s="16"/>
    </row>
    <row r="375" spans="1:25" x14ac:dyDescent="0.2">
      <c r="A375" s="14"/>
      <c r="B375" s="16"/>
      <c r="C375" s="6"/>
      <c r="D375" s="16"/>
      <c r="E375" s="6"/>
      <c r="F375" s="16"/>
      <c r="G375" s="16"/>
      <c r="H375" s="16"/>
      <c r="I375" s="16"/>
      <c r="J375" s="16"/>
      <c r="K375" s="16"/>
      <c r="L375" s="16"/>
      <c r="M375" s="16"/>
      <c r="N375" s="16"/>
      <c r="O375" s="16"/>
      <c r="P375" s="16"/>
      <c r="Q375" s="16"/>
      <c r="R375" s="16"/>
      <c r="S375" s="16"/>
      <c r="T375" s="16"/>
      <c r="U375" s="16"/>
      <c r="V375" s="16"/>
      <c r="W375" s="16"/>
      <c r="X375" s="16"/>
      <c r="Y375" s="16"/>
    </row>
    <row r="376" spans="1:25" x14ac:dyDescent="0.2">
      <c r="A376" s="14"/>
      <c r="B376" s="16"/>
      <c r="C376" s="6"/>
      <c r="D376" s="16"/>
      <c r="E376" s="6"/>
      <c r="F376" s="16"/>
      <c r="G376" s="16"/>
      <c r="H376" s="16"/>
      <c r="I376" s="16"/>
      <c r="J376" s="16"/>
      <c r="K376" s="16"/>
      <c r="L376" s="16"/>
      <c r="M376" s="16"/>
      <c r="N376" s="16"/>
      <c r="O376" s="16"/>
      <c r="P376" s="16"/>
      <c r="Q376" s="16"/>
      <c r="R376" s="16"/>
      <c r="S376" s="16"/>
      <c r="T376" s="16"/>
      <c r="U376" s="16"/>
      <c r="V376" s="16"/>
      <c r="W376" s="16"/>
      <c r="X376" s="16"/>
      <c r="Y376" s="16"/>
    </row>
    <row r="377" spans="1:25" x14ac:dyDescent="0.2">
      <c r="A377" s="14"/>
      <c r="B377" s="16"/>
      <c r="C377" s="6"/>
      <c r="D377" s="16"/>
      <c r="E377" s="6"/>
      <c r="F377" s="16"/>
      <c r="G377" s="16"/>
      <c r="H377" s="16"/>
      <c r="I377" s="16"/>
      <c r="J377" s="16"/>
      <c r="K377" s="16"/>
      <c r="L377" s="16"/>
      <c r="M377" s="16"/>
      <c r="N377" s="16"/>
      <c r="O377" s="16"/>
      <c r="P377" s="16"/>
      <c r="Q377" s="16"/>
      <c r="R377" s="16"/>
      <c r="S377" s="16"/>
      <c r="T377" s="16"/>
      <c r="U377" s="16"/>
      <c r="V377" s="16"/>
      <c r="W377" s="16"/>
      <c r="X377" s="16"/>
      <c r="Y377" s="16"/>
    </row>
    <row r="378" spans="1:25" x14ac:dyDescent="0.2">
      <c r="A378" s="14"/>
      <c r="B378" s="16"/>
      <c r="C378" s="6"/>
      <c r="D378" s="16"/>
      <c r="E378" s="6"/>
      <c r="F378" s="16"/>
      <c r="G378" s="16"/>
      <c r="H378" s="16"/>
      <c r="I378" s="16"/>
      <c r="J378" s="16"/>
      <c r="K378" s="16"/>
      <c r="L378" s="16"/>
      <c r="M378" s="16"/>
      <c r="N378" s="16"/>
      <c r="O378" s="16"/>
      <c r="P378" s="16"/>
      <c r="Q378" s="16"/>
      <c r="R378" s="16"/>
      <c r="S378" s="16"/>
      <c r="T378" s="16"/>
      <c r="U378" s="16"/>
      <c r="V378" s="16"/>
      <c r="W378" s="16"/>
      <c r="X378" s="16"/>
      <c r="Y378" s="16"/>
    </row>
    <row r="379" spans="1:25" x14ac:dyDescent="0.2">
      <c r="A379" s="14"/>
      <c r="B379" s="16"/>
      <c r="C379" s="6"/>
      <c r="D379" s="16"/>
      <c r="E379" s="6"/>
      <c r="F379" s="16"/>
      <c r="G379" s="16"/>
      <c r="H379" s="16"/>
      <c r="I379" s="16"/>
      <c r="J379" s="16"/>
      <c r="K379" s="16"/>
      <c r="L379" s="16"/>
      <c r="M379" s="16"/>
      <c r="N379" s="16"/>
      <c r="O379" s="16"/>
      <c r="P379" s="16"/>
      <c r="Q379" s="16"/>
      <c r="R379" s="16"/>
      <c r="S379" s="16"/>
      <c r="T379" s="16"/>
      <c r="U379" s="16"/>
      <c r="V379" s="16"/>
      <c r="W379" s="16"/>
      <c r="X379" s="16"/>
      <c r="Y379" s="16"/>
    </row>
    <row r="380" spans="1:25" x14ac:dyDescent="0.2">
      <c r="A380" s="14"/>
      <c r="B380" s="16"/>
      <c r="C380" s="6"/>
      <c r="D380" s="16"/>
      <c r="E380" s="6"/>
      <c r="F380" s="16"/>
      <c r="G380" s="16"/>
      <c r="H380" s="16"/>
      <c r="I380" s="16"/>
      <c r="J380" s="16"/>
      <c r="K380" s="16"/>
      <c r="L380" s="16"/>
      <c r="M380" s="16"/>
      <c r="N380" s="16"/>
      <c r="O380" s="16"/>
      <c r="P380" s="16"/>
      <c r="Q380" s="16"/>
      <c r="R380" s="16"/>
      <c r="S380" s="16"/>
      <c r="T380" s="16"/>
      <c r="U380" s="16"/>
      <c r="V380" s="16"/>
      <c r="W380" s="16"/>
      <c r="X380" s="16"/>
      <c r="Y380" s="16"/>
    </row>
    <row r="381" spans="1:25" x14ac:dyDescent="0.2">
      <c r="A381" s="14"/>
      <c r="B381" s="16"/>
      <c r="C381" s="6"/>
      <c r="D381" s="16"/>
      <c r="E381" s="6"/>
      <c r="F381" s="16"/>
      <c r="G381" s="16"/>
      <c r="H381" s="16"/>
      <c r="I381" s="16"/>
      <c r="J381" s="16"/>
      <c r="K381" s="16"/>
      <c r="L381" s="16"/>
      <c r="M381" s="16"/>
      <c r="N381" s="16"/>
      <c r="O381" s="16"/>
      <c r="P381" s="16"/>
      <c r="Q381" s="16"/>
      <c r="R381" s="16"/>
      <c r="S381" s="16"/>
      <c r="T381" s="16"/>
      <c r="U381" s="16"/>
      <c r="V381" s="16"/>
      <c r="W381" s="16"/>
      <c r="X381" s="16"/>
      <c r="Y381" s="16"/>
    </row>
    <row r="382" spans="1:25" x14ac:dyDescent="0.2">
      <c r="A382" s="14"/>
      <c r="B382" s="16"/>
      <c r="C382" s="6"/>
      <c r="D382" s="16"/>
      <c r="E382" s="6"/>
      <c r="F382" s="16"/>
      <c r="G382" s="16"/>
      <c r="H382" s="16"/>
      <c r="I382" s="16"/>
      <c r="J382" s="16"/>
      <c r="K382" s="16"/>
      <c r="L382" s="16"/>
      <c r="M382" s="16"/>
      <c r="N382" s="16"/>
      <c r="O382" s="16"/>
      <c r="P382" s="16"/>
      <c r="Q382" s="16"/>
      <c r="R382" s="16"/>
      <c r="S382" s="16"/>
      <c r="T382" s="16"/>
      <c r="U382" s="16"/>
      <c r="V382" s="16"/>
      <c r="W382" s="16"/>
      <c r="X382" s="16"/>
      <c r="Y382" s="16"/>
    </row>
    <row r="383" spans="1:25" x14ac:dyDescent="0.2">
      <c r="A383" s="14"/>
      <c r="B383" s="16"/>
      <c r="C383" s="6"/>
      <c r="D383" s="16"/>
      <c r="E383" s="6"/>
      <c r="F383" s="16"/>
      <c r="G383" s="16"/>
      <c r="H383" s="16"/>
      <c r="I383" s="16"/>
      <c r="J383" s="16"/>
      <c r="K383" s="16"/>
      <c r="L383" s="16"/>
      <c r="M383" s="16"/>
      <c r="N383" s="16"/>
      <c r="O383" s="16"/>
      <c r="P383" s="16"/>
      <c r="Q383" s="16"/>
      <c r="R383" s="16"/>
      <c r="S383" s="16"/>
      <c r="T383" s="16"/>
      <c r="U383" s="16"/>
      <c r="V383" s="16"/>
      <c r="W383" s="16"/>
      <c r="X383" s="16"/>
      <c r="Y383" s="16"/>
    </row>
    <row r="384" spans="1:25" x14ac:dyDescent="0.2">
      <c r="A384" s="14"/>
      <c r="B384" s="16"/>
      <c r="C384" s="6"/>
      <c r="D384" s="16"/>
      <c r="E384" s="6"/>
      <c r="F384" s="16"/>
      <c r="G384" s="16"/>
      <c r="H384" s="16"/>
      <c r="I384" s="16"/>
      <c r="J384" s="16"/>
      <c r="K384" s="16"/>
      <c r="L384" s="16"/>
      <c r="M384" s="16"/>
      <c r="N384" s="16"/>
      <c r="O384" s="16"/>
      <c r="P384" s="16"/>
      <c r="Q384" s="16"/>
      <c r="R384" s="16"/>
      <c r="S384" s="16"/>
      <c r="T384" s="16"/>
      <c r="U384" s="16"/>
      <c r="V384" s="16"/>
      <c r="W384" s="16"/>
      <c r="X384" s="16"/>
      <c r="Y384" s="16"/>
    </row>
    <row r="385" spans="1:25" x14ac:dyDescent="0.2">
      <c r="A385" s="14"/>
      <c r="B385" s="16"/>
      <c r="C385" s="6"/>
      <c r="D385" s="16"/>
      <c r="E385" s="6"/>
      <c r="F385" s="16"/>
      <c r="G385" s="16"/>
      <c r="H385" s="16"/>
      <c r="I385" s="16"/>
      <c r="J385" s="16"/>
      <c r="K385" s="16"/>
      <c r="L385" s="16"/>
      <c r="M385" s="16"/>
      <c r="N385" s="16"/>
      <c r="O385" s="16"/>
      <c r="P385" s="16"/>
      <c r="Q385" s="16"/>
      <c r="R385" s="16"/>
      <c r="S385" s="16"/>
      <c r="T385" s="16"/>
      <c r="U385" s="16"/>
      <c r="V385" s="16"/>
      <c r="W385" s="16"/>
      <c r="X385" s="16"/>
      <c r="Y385" s="16"/>
    </row>
    <row r="386" spans="1:25" x14ac:dyDescent="0.2">
      <c r="A386" s="14"/>
      <c r="B386" s="16"/>
      <c r="C386" s="6"/>
      <c r="D386" s="16"/>
      <c r="E386" s="6"/>
      <c r="F386" s="16"/>
      <c r="G386" s="16"/>
      <c r="H386" s="16"/>
      <c r="I386" s="16"/>
      <c r="J386" s="16"/>
      <c r="K386" s="16"/>
      <c r="L386" s="16"/>
      <c r="M386" s="16"/>
      <c r="N386" s="16"/>
      <c r="O386" s="16"/>
      <c r="P386" s="16"/>
      <c r="Q386" s="16"/>
      <c r="R386" s="16"/>
      <c r="S386" s="16"/>
      <c r="T386" s="16"/>
      <c r="U386" s="16"/>
      <c r="V386" s="16"/>
      <c r="W386" s="16"/>
      <c r="X386" s="16"/>
      <c r="Y386" s="16"/>
    </row>
    <row r="387" spans="1:25" x14ac:dyDescent="0.2">
      <c r="A387" s="14"/>
      <c r="B387" s="16"/>
      <c r="C387" s="6"/>
      <c r="D387" s="16"/>
      <c r="E387" s="6"/>
      <c r="F387" s="16"/>
      <c r="G387" s="16"/>
      <c r="H387" s="16"/>
      <c r="I387" s="16"/>
      <c r="J387" s="16"/>
      <c r="K387" s="16"/>
      <c r="L387" s="16"/>
      <c r="M387" s="16"/>
      <c r="N387" s="16"/>
      <c r="O387" s="16"/>
      <c r="P387" s="16"/>
      <c r="Q387" s="16"/>
      <c r="R387" s="16"/>
      <c r="S387" s="16"/>
      <c r="T387" s="16"/>
      <c r="U387" s="16"/>
      <c r="V387" s="16"/>
      <c r="W387" s="16"/>
      <c r="X387" s="16"/>
      <c r="Y387" s="16"/>
    </row>
    <row r="388" spans="1:25" x14ac:dyDescent="0.2">
      <c r="A388" s="14"/>
      <c r="B388" s="16"/>
      <c r="C388" s="6"/>
      <c r="D388" s="16"/>
      <c r="E388" s="6"/>
      <c r="F388" s="16"/>
      <c r="G388" s="16"/>
      <c r="H388" s="16"/>
      <c r="I388" s="16"/>
      <c r="J388" s="16"/>
      <c r="K388" s="16"/>
      <c r="L388" s="16"/>
      <c r="M388" s="16"/>
      <c r="N388" s="16"/>
      <c r="O388" s="16"/>
      <c r="P388" s="16"/>
      <c r="Q388" s="16"/>
      <c r="R388" s="16"/>
      <c r="S388" s="16"/>
      <c r="T388" s="16"/>
      <c r="U388" s="16"/>
      <c r="V388" s="16"/>
      <c r="W388" s="16"/>
      <c r="X388" s="16"/>
      <c r="Y388" s="16"/>
    </row>
    <row r="389" spans="1:25" x14ac:dyDescent="0.2">
      <c r="A389" s="14"/>
      <c r="B389" s="16"/>
      <c r="C389" s="6"/>
      <c r="D389" s="16"/>
      <c r="E389" s="6"/>
      <c r="F389" s="16"/>
      <c r="G389" s="16"/>
      <c r="H389" s="16"/>
      <c r="I389" s="16"/>
      <c r="J389" s="16"/>
      <c r="K389" s="16"/>
      <c r="L389" s="16"/>
      <c r="M389" s="16"/>
      <c r="N389" s="16"/>
      <c r="O389" s="16"/>
      <c r="P389" s="16"/>
      <c r="Q389" s="16"/>
      <c r="R389" s="16"/>
      <c r="S389" s="16"/>
      <c r="T389" s="16"/>
      <c r="U389" s="16"/>
      <c r="V389" s="16"/>
      <c r="W389" s="16"/>
      <c r="X389" s="16"/>
      <c r="Y389" s="16"/>
    </row>
    <row r="390" spans="1:25" x14ac:dyDescent="0.2">
      <c r="A390" s="14"/>
      <c r="B390" s="16"/>
      <c r="C390" s="6"/>
      <c r="D390" s="16"/>
      <c r="E390" s="6"/>
      <c r="F390" s="16"/>
      <c r="G390" s="16"/>
      <c r="H390" s="16"/>
      <c r="I390" s="16"/>
      <c r="J390" s="16"/>
      <c r="K390" s="16"/>
      <c r="L390" s="16"/>
      <c r="M390" s="16"/>
      <c r="N390" s="16"/>
      <c r="O390" s="16"/>
      <c r="P390" s="16"/>
      <c r="Q390" s="16"/>
      <c r="R390" s="16"/>
      <c r="S390" s="16"/>
      <c r="T390" s="16"/>
      <c r="U390" s="16"/>
      <c r="V390" s="16"/>
      <c r="W390" s="16"/>
      <c r="X390" s="16"/>
      <c r="Y390" s="16"/>
    </row>
    <row r="391" spans="1:25" x14ac:dyDescent="0.2">
      <c r="A391" s="14"/>
      <c r="B391" s="16"/>
      <c r="C391" s="6"/>
      <c r="D391" s="16"/>
      <c r="E391" s="6"/>
      <c r="F391" s="16"/>
      <c r="G391" s="16"/>
      <c r="H391" s="16"/>
      <c r="I391" s="16"/>
      <c r="J391" s="16"/>
      <c r="K391" s="16"/>
      <c r="L391" s="16"/>
      <c r="M391" s="16"/>
      <c r="N391" s="16"/>
      <c r="O391" s="16"/>
      <c r="P391" s="16"/>
      <c r="Q391" s="16"/>
      <c r="R391" s="16"/>
      <c r="S391" s="16"/>
      <c r="T391" s="16"/>
      <c r="U391" s="16"/>
      <c r="V391" s="16"/>
      <c r="W391" s="16"/>
      <c r="X391" s="16"/>
      <c r="Y391" s="16"/>
    </row>
    <row r="392" spans="1:25" x14ac:dyDescent="0.2">
      <c r="A392" s="14"/>
      <c r="B392" s="16"/>
      <c r="C392" s="6"/>
      <c r="D392" s="16"/>
      <c r="E392" s="6"/>
      <c r="F392" s="16"/>
      <c r="G392" s="16"/>
      <c r="H392" s="16"/>
      <c r="I392" s="16"/>
      <c r="J392" s="16"/>
      <c r="K392" s="16"/>
      <c r="L392" s="16"/>
      <c r="M392" s="16"/>
      <c r="N392" s="16"/>
      <c r="O392" s="16"/>
      <c r="P392" s="16"/>
      <c r="Q392" s="16"/>
      <c r="R392" s="16"/>
      <c r="S392" s="16"/>
      <c r="T392" s="16"/>
      <c r="U392" s="16"/>
      <c r="V392" s="16"/>
      <c r="W392" s="16"/>
      <c r="X392" s="16"/>
      <c r="Y392" s="16"/>
    </row>
    <row r="393" spans="1:25" x14ac:dyDescent="0.2">
      <c r="A393" s="14"/>
      <c r="B393" s="16"/>
      <c r="C393" s="6"/>
      <c r="D393" s="16"/>
      <c r="E393" s="6"/>
      <c r="F393" s="16"/>
      <c r="G393" s="16"/>
      <c r="H393" s="16"/>
      <c r="I393" s="16"/>
      <c r="J393" s="16"/>
      <c r="K393" s="16"/>
      <c r="L393" s="16"/>
      <c r="M393" s="16"/>
      <c r="N393" s="16"/>
      <c r="O393" s="16"/>
      <c r="P393" s="16"/>
      <c r="Q393" s="16"/>
      <c r="R393" s="16"/>
      <c r="S393" s="16"/>
      <c r="T393" s="16"/>
      <c r="U393" s="16"/>
      <c r="V393" s="16"/>
      <c r="W393" s="16"/>
      <c r="X393" s="16"/>
      <c r="Y393" s="16"/>
    </row>
    <row r="394" spans="1:25" x14ac:dyDescent="0.2">
      <c r="A394" s="14"/>
      <c r="B394" s="16"/>
      <c r="C394" s="6"/>
      <c r="D394" s="16"/>
      <c r="E394" s="6"/>
      <c r="F394" s="16"/>
      <c r="G394" s="16"/>
      <c r="H394" s="16"/>
      <c r="I394" s="16"/>
      <c r="J394" s="16"/>
      <c r="K394" s="16"/>
      <c r="L394" s="16"/>
      <c r="M394" s="16"/>
      <c r="N394" s="16"/>
      <c r="O394" s="16"/>
      <c r="P394" s="16"/>
      <c r="Q394" s="16"/>
      <c r="R394" s="16"/>
      <c r="S394" s="16"/>
      <c r="T394" s="16"/>
      <c r="U394" s="16"/>
      <c r="V394" s="16"/>
      <c r="W394" s="16"/>
      <c r="X394" s="16"/>
      <c r="Y394" s="16"/>
    </row>
    <row r="395" spans="1:25" x14ac:dyDescent="0.2">
      <c r="A395" s="14"/>
      <c r="B395" s="16"/>
      <c r="C395" s="6"/>
      <c r="D395" s="16"/>
      <c r="E395" s="6"/>
      <c r="F395" s="16"/>
      <c r="G395" s="16"/>
      <c r="H395" s="16"/>
      <c r="I395" s="16"/>
      <c r="J395" s="16"/>
      <c r="K395" s="16"/>
      <c r="L395" s="16"/>
      <c r="M395" s="16"/>
      <c r="N395" s="16"/>
      <c r="O395" s="16"/>
      <c r="P395" s="16"/>
      <c r="Q395" s="16"/>
      <c r="R395" s="16"/>
      <c r="S395" s="16"/>
      <c r="T395" s="16"/>
      <c r="U395" s="16"/>
      <c r="V395" s="16"/>
      <c r="W395" s="16"/>
      <c r="X395" s="16"/>
      <c r="Y395" s="16"/>
    </row>
    <row r="396" spans="1:25" x14ac:dyDescent="0.2">
      <c r="A396" s="14"/>
      <c r="B396" s="16"/>
      <c r="C396" s="6"/>
      <c r="D396" s="16"/>
      <c r="E396" s="6"/>
      <c r="F396" s="16"/>
      <c r="G396" s="16"/>
      <c r="H396" s="16"/>
      <c r="I396" s="16"/>
      <c r="J396" s="16"/>
      <c r="K396" s="16"/>
      <c r="L396" s="16"/>
      <c r="M396" s="16"/>
      <c r="N396" s="16"/>
      <c r="O396" s="16"/>
      <c r="P396" s="16"/>
      <c r="Q396" s="16"/>
      <c r="R396" s="16"/>
      <c r="S396" s="16"/>
      <c r="T396" s="16"/>
      <c r="U396" s="16"/>
      <c r="V396" s="16"/>
      <c r="W396" s="16"/>
      <c r="X396" s="16"/>
      <c r="Y396" s="16"/>
    </row>
    <row r="397" spans="1:25" x14ac:dyDescent="0.2">
      <c r="A397" s="14"/>
      <c r="B397" s="16"/>
      <c r="C397" s="6"/>
      <c r="D397" s="16"/>
      <c r="E397" s="6"/>
      <c r="F397" s="16"/>
      <c r="G397" s="16"/>
      <c r="H397" s="16"/>
      <c r="I397" s="16"/>
      <c r="J397" s="16"/>
      <c r="K397" s="16"/>
      <c r="L397" s="16"/>
      <c r="M397" s="16"/>
      <c r="N397" s="16"/>
      <c r="O397" s="16"/>
      <c r="P397" s="16"/>
      <c r="Q397" s="16"/>
      <c r="R397" s="16"/>
      <c r="S397" s="16"/>
      <c r="T397" s="16"/>
      <c r="U397" s="16"/>
      <c r="V397" s="16"/>
      <c r="W397" s="16"/>
      <c r="X397" s="16"/>
      <c r="Y397" s="16"/>
    </row>
    <row r="398" spans="1:25" x14ac:dyDescent="0.2">
      <c r="A398" s="14"/>
      <c r="B398" s="16"/>
      <c r="C398" s="6"/>
      <c r="D398" s="16"/>
      <c r="E398" s="6"/>
      <c r="F398" s="16"/>
      <c r="G398" s="16"/>
      <c r="H398" s="16"/>
      <c r="I398" s="16"/>
      <c r="J398" s="16"/>
      <c r="K398" s="16"/>
      <c r="L398" s="16"/>
      <c r="M398" s="16"/>
      <c r="N398" s="16"/>
      <c r="O398" s="16"/>
      <c r="P398" s="16"/>
      <c r="Q398" s="16"/>
      <c r="R398" s="16"/>
      <c r="S398" s="16"/>
      <c r="T398" s="16"/>
      <c r="U398" s="16"/>
      <c r="V398" s="16"/>
      <c r="W398" s="16"/>
      <c r="X398" s="16"/>
      <c r="Y398" s="16"/>
    </row>
    <row r="399" spans="1:25" x14ac:dyDescent="0.2">
      <c r="A399" s="14"/>
      <c r="B399" s="16"/>
      <c r="C399" s="6"/>
      <c r="D399" s="16"/>
      <c r="E399" s="6"/>
      <c r="F399" s="16"/>
      <c r="G399" s="16"/>
      <c r="H399" s="16"/>
      <c r="I399" s="16"/>
      <c r="J399" s="16"/>
      <c r="K399" s="16"/>
      <c r="L399" s="16"/>
      <c r="M399" s="16"/>
      <c r="N399" s="16"/>
      <c r="O399" s="16"/>
      <c r="P399" s="16"/>
      <c r="Q399" s="16"/>
      <c r="R399" s="16"/>
      <c r="S399" s="16"/>
      <c r="T399" s="16"/>
      <c r="U399" s="16"/>
      <c r="V399" s="16"/>
      <c r="W399" s="16"/>
      <c r="X399" s="16"/>
      <c r="Y399" s="16"/>
    </row>
    <row r="400" spans="1:25" x14ac:dyDescent="0.2">
      <c r="A400" s="14"/>
      <c r="B400" s="16"/>
      <c r="C400" s="6"/>
      <c r="D400" s="16"/>
      <c r="E400" s="6"/>
      <c r="F400" s="16"/>
      <c r="G400" s="16"/>
      <c r="H400" s="16"/>
      <c r="I400" s="16"/>
      <c r="J400" s="16"/>
      <c r="K400" s="16"/>
      <c r="L400" s="16"/>
      <c r="M400" s="16"/>
      <c r="N400" s="16"/>
      <c r="O400" s="16"/>
      <c r="P400" s="16"/>
      <c r="Q400" s="16"/>
      <c r="R400" s="16"/>
      <c r="S400" s="16"/>
      <c r="T400" s="16"/>
      <c r="U400" s="16"/>
      <c r="V400" s="16"/>
      <c r="W400" s="16"/>
      <c r="X400" s="16"/>
      <c r="Y400" s="16"/>
    </row>
    <row r="401" spans="1:25" x14ac:dyDescent="0.2">
      <c r="A401" s="14"/>
      <c r="B401" s="16"/>
      <c r="C401" s="6"/>
      <c r="D401" s="16"/>
      <c r="E401" s="6"/>
      <c r="F401" s="16"/>
      <c r="G401" s="16"/>
      <c r="H401" s="16"/>
      <c r="I401" s="16"/>
      <c r="J401" s="16"/>
      <c r="K401" s="16"/>
      <c r="L401" s="16"/>
      <c r="M401" s="16"/>
      <c r="N401" s="16"/>
      <c r="O401" s="16"/>
      <c r="P401" s="16"/>
      <c r="Q401" s="16"/>
      <c r="R401" s="16"/>
      <c r="S401" s="16"/>
      <c r="T401" s="16"/>
      <c r="U401" s="16"/>
      <c r="V401" s="16"/>
      <c r="W401" s="16"/>
      <c r="X401" s="16"/>
      <c r="Y401" s="16"/>
    </row>
    <row r="402" spans="1:25" x14ac:dyDescent="0.2">
      <c r="A402" s="14"/>
      <c r="B402" s="16"/>
      <c r="C402" s="6"/>
      <c r="D402" s="16"/>
      <c r="E402" s="6"/>
      <c r="F402" s="16"/>
      <c r="G402" s="16"/>
      <c r="H402" s="16"/>
      <c r="I402" s="16"/>
      <c r="J402" s="16"/>
      <c r="K402" s="16"/>
      <c r="L402" s="16"/>
      <c r="M402" s="16"/>
      <c r="N402" s="16"/>
      <c r="O402" s="16"/>
      <c r="P402" s="16"/>
      <c r="Q402" s="16"/>
      <c r="R402" s="16"/>
      <c r="S402" s="16"/>
      <c r="T402" s="16"/>
      <c r="U402" s="16"/>
      <c r="V402" s="16"/>
      <c r="W402" s="16"/>
      <c r="X402" s="16"/>
      <c r="Y402" s="16"/>
    </row>
    <row r="403" spans="1:25" x14ac:dyDescent="0.2">
      <c r="A403" s="14"/>
      <c r="B403" s="16"/>
      <c r="C403" s="6"/>
      <c r="D403" s="16"/>
      <c r="E403" s="6"/>
      <c r="F403" s="16"/>
      <c r="G403" s="16"/>
      <c r="H403" s="16"/>
      <c r="I403" s="16"/>
      <c r="J403" s="16"/>
      <c r="K403" s="16"/>
      <c r="L403" s="16"/>
      <c r="M403" s="16"/>
      <c r="N403" s="16"/>
      <c r="O403" s="16"/>
      <c r="P403" s="16"/>
      <c r="Q403" s="16"/>
      <c r="R403" s="16"/>
      <c r="S403" s="16"/>
      <c r="T403" s="16"/>
      <c r="U403" s="16"/>
      <c r="V403" s="16"/>
      <c r="W403" s="16"/>
      <c r="X403" s="16"/>
      <c r="Y403" s="16"/>
    </row>
    <row r="404" spans="1:25" x14ac:dyDescent="0.2">
      <c r="A404" s="14"/>
      <c r="B404" s="16"/>
      <c r="C404" s="6"/>
      <c r="D404" s="16"/>
      <c r="E404" s="6"/>
      <c r="F404" s="16"/>
      <c r="G404" s="16"/>
      <c r="H404" s="16"/>
      <c r="I404" s="16"/>
      <c r="J404" s="16"/>
      <c r="K404" s="16"/>
      <c r="L404" s="16"/>
      <c r="M404" s="16"/>
      <c r="N404" s="16"/>
      <c r="O404" s="16"/>
      <c r="P404" s="16"/>
      <c r="Q404" s="16"/>
      <c r="R404" s="16"/>
      <c r="S404" s="16"/>
      <c r="T404" s="16"/>
      <c r="U404" s="16"/>
      <c r="V404" s="16"/>
      <c r="W404" s="16"/>
      <c r="X404" s="16"/>
      <c r="Y404" s="16"/>
    </row>
    <row r="405" spans="1:25" x14ac:dyDescent="0.2">
      <c r="A405" s="14"/>
      <c r="B405" s="16"/>
      <c r="C405" s="6"/>
      <c r="D405" s="16"/>
      <c r="E405" s="6"/>
      <c r="F405" s="16"/>
      <c r="G405" s="16"/>
      <c r="H405" s="16"/>
      <c r="I405" s="16"/>
      <c r="J405" s="16"/>
      <c r="K405" s="16"/>
      <c r="L405" s="16"/>
      <c r="M405" s="16"/>
      <c r="N405" s="16"/>
      <c r="O405" s="16"/>
      <c r="P405" s="16"/>
      <c r="Q405" s="16"/>
      <c r="R405" s="16"/>
      <c r="S405" s="16"/>
      <c r="T405" s="16"/>
      <c r="U405" s="16"/>
      <c r="V405" s="16"/>
      <c r="W405" s="16"/>
      <c r="X405" s="16"/>
      <c r="Y405" s="16"/>
    </row>
    <row r="406" spans="1:25" x14ac:dyDescent="0.2">
      <c r="A406" s="14"/>
      <c r="B406" s="16"/>
      <c r="C406" s="6"/>
      <c r="D406" s="16"/>
      <c r="E406" s="6"/>
      <c r="F406" s="16"/>
      <c r="G406" s="16"/>
      <c r="H406" s="16"/>
      <c r="I406" s="16"/>
      <c r="J406" s="16"/>
      <c r="K406" s="16"/>
      <c r="L406" s="16"/>
      <c r="M406" s="16"/>
      <c r="N406" s="16"/>
      <c r="O406" s="16"/>
      <c r="P406" s="16"/>
      <c r="Q406" s="16"/>
      <c r="R406" s="16"/>
      <c r="S406" s="16"/>
      <c r="T406" s="16"/>
      <c r="U406" s="16"/>
      <c r="V406" s="16"/>
      <c r="W406" s="16"/>
      <c r="X406" s="16"/>
      <c r="Y406" s="16"/>
    </row>
    <row r="407" spans="1:25" x14ac:dyDescent="0.2">
      <c r="A407" s="14"/>
      <c r="B407" s="16"/>
      <c r="C407" s="6"/>
      <c r="D407" s="16"/>
      <c r="E407" s="6"/>
      <c r="F407" s="16"/>
      <c r="G407" s="16"/>
      <c r="H407" s="16"/>
      <c r="I407" s="16"/>
      <c r="J407" s="16"/>
      <c r="K407" s="16"/>
      <c r="L407" s="16"/>
      <c r="M407" s="16"/>
      <c r="N407" s="16"/>
      <c r="O407" s="16"/>
      <c r="P407" s="16"/>
      <c r="Q407" s="16"/>
      <c r="R407" s="16"/>
      <c r="S407" s="16"/>
      <c r="T407" s="16"/>
      <c r="U407" s="16"/>
      <c r="V407" s="16"/>
      <c r="W407" s="16"/>
      <c r="X407" s="16"/>
      <c r="Y407" s="16"/>
    </row>
    <row r="408" spans="1:25" x14ac:dyDescent="0.2">
      <c r="A408" s="14"/>
      <c r="B408" s="16"/>
      <c r="C408" s="6"/>
      <c r="D408" s="16"/>
      <c r="E408" s="6"/>
      <c r="F408" s="16"/>
      <c r="G408" s="16"/>
      <c r="H408" s="16"/>
      <c r="I408" s="16"/>
      <c r="J408" s="16"/>
      <c r="K408" s="16"/>
      <c r="L408" s="16"/>
      <c r="M408" s="16"/>
      <c r="N408" s="16"/>
      <c r="O408" s="16"/>
      <c r="P408" s="16"/>
      <c r="Q408" s="16"/>
      <c r="R408" s="16"/>
      <c r="S408" s="16"/>
      <c r="T408" s="16"/>
      <c r="U408" s="16"/>
      <c r="V408" s="16"/>
      <c r="W408" s="16"/>
      <c r="X408" s="16"/>
      <c r="Y408" s="16"/>
    </row>
    <row r="409" spans="1:25" x14ac:dyDescent="0.2">
      <c r="A409" s="14"/>
      <c r="B409" s="16"/>
      <c r="C409" s="6"/>
      <c r="D409" s="16"/>
      <c r="E409" s="6"/>
      <c r="F409" s="16"/>
      <c r="G409" s="16"/>
      <c r="H409" s="16"/>
      <c r="I409" s="16"/>
      <c r="J409" s="16"/>
      <c r="K409" s="16"/>
      <c r="L409" s="16"/>
      <c r="M409" s="16"/>
      <c r="N409" s="16"/>
      <c r="O409" s="16"/>
      <c r="P409" s="16"/>
      <c r="Q409" s="16"/>
      <c r="R409" s="16"/>
      <c r="S409" s="16"/>
      <c r="T409" s="16"/>
      <c r="U409" s="16"/>
      <c r="V409" s="16"/>
      <c r="W409" s="16"/>
      <c r="X409" s="16"/>
      <c r="Y409" s="16"/>
    </row>
    <row r="410" spans="1:25" x14ac:dyDescent="0.2">
      <c r="A410" s="14"/>
      <c r="B410" s="16"/>
      <c r="C410" s="6"/>
      <c r="D410" s="16"/>
      <c r="E410" s="6"/>
      <c r="F410" s="16"/>
      <c r="G410" s="16"/>
      <c r="H410" s="16"/>
      <c r="I410" s="16"/>
      <c r="J410" s="16"/>
      <c r="K410" s="16"/>
      <c r="L410" s="16"/>
      <c r="M410" s="16"/>
      <c r="N410" s="16"/>
      <c r="O410" s="16"/>
      <c r="P410" s="16"/>
      <c r="Q410" s="16"/>
      <c r="R410" s="16"/>
      <c r="S410" s="16"/>
      <c r="T410" s="16"/>
      <c r="U410" s="16"/>
      <c r="V410" s="16"/>
      <c r="W410" s="16"/>
      <c r="X410" s="16"/>
      <c r="Y410" s="16"/>
    </row>
    <row r="411" spans="1:25" x14ac:dyDescent="0.2">
      <c r="A411" s="14"/>
      <c r="B411" s="16"/>
      <c r="C411" s="6"/>
      <c r="D411" s="16"/>
      <c r="E411" s="6"/>
      <c r="F411" s="16"/>
      <c r="G411" s="16"/>
      <c r="H411" s="16"/>
      <c r="I411" s="16"/>
      <c r="J411" s="16"/>
      <c r="K411" s="16"/>
      <c r="L411" s="16"/>
      <c r="M411" s="16"/>
      <c r="N411" s="16"/>
      <c r="O411" s="16"/>
      <c r="P411" s="16"/>
      <c r="Q411" s="16"/>
      <c r="R411" s="16"/>
      <c r="S411" s="16"/>
      <c r="T411" s="16"/>
      <c r="U411" s="16"/>
      <c r="V411" s="16"/>
      <c r="W411" s="16"/>
      <c r="X411" s="16"/>
      <c r="Y411" s="16"/>
    </row>
    <row r="412" spans="1:25" x14ac:dyDescent="0.2">
      <c r="A412" s="14"/>
      <c r="B412" s="16"/>
      <c r="C412" s="6"/>
      <c r="D412" s="16"/>
      <c r="E412" s="6"/>
      <c r="F412" s="16"/>
      <c r="G412" s="16"/>
      <c r="H412" s="16"/>
      <c r="I412" s="16"/>
      <c r="J412" s="16"/>
      <c r="K412" s="16"/>
      <c r="L412" s="16"/>
      <c r="M412" s="16"/>
      <c r="N412" s="16"/>
      <c r="O412" s="16"/>
      <c r="P412" s="16"/>
      <c r="Q412" s="16"/>
      <c r="R412" s="16"/>
      <c r="S412" s="16"/>
      <c r="T412" s="16"/>
      <c r="U412" s="16"/>
      <c r="V412" s="16"/>
      <c r="W412" s="16"/>
      <c r="X412" s="16"/>
      <c r="Y412" s="16"/>
    </row>
    <row r="413" spans="1:25" x14ac:dyDescent="0.2">
      <c r="A413" s="14"/>
      <c r="B413" s="16"/>
      <c r="C413" s="6"/>
      <c r="D413" s="16"/>
      <c r="E413" s="6"/>
      <c r="F413" s="16"/>
      <c r="G413" s="16"/>
      <c r="H413" s="16"/>
      <c r="I413" s="16"/>
      <c r="J413" s="16"/>
      <c r="K413" s="16"/>
      <c r="L413" s="16"/>
      <c r="M413" s="16"/>
      <c r="N413" s="16"/>
      <c r="O413" s="16"/>
      <c r="P413" s="16"/>
      <c r="Q413" s="16"/>
      <c r="R413" s="16"/>
      <c r="S413" s="16"/>
      <c r="T413" s="16"/>
      <c r="U413" s="16"/>
      <c r="V413" s="16"/>
      <c r="W413" s="16"/>
      <c r="X413" s="16"/>
      <c r="Y413" s="16"/>
    </row>
    <row r="414" spans="1:25" x14ac:dyDescent="0.2">
      <c r="A414" s="14"/>
      <c r="B414" s="16"/>
      <c r="C414" s="6"/>
      <c r="D414" s="16"/>
      <c r="E414" s="6"/>
      <c r="F414" s="16"/>
      <c r="G414" s="16"/>
      <c r="H414" s="16"/>
      <c r="I414" s="16"/>
      <c r="J414" s="16"/>
      <c r="K414" s="16"/>
      <c r="L414" s="16"/>
      <c r="M414" s="16"/>
      <c r="N414" s="16"/>
      <c r="O414" s="16"/>
      <c r="P414" s="16"/>
      <c r="Q414" s="16"/>
      <c r="R414" s="16"/>
      <c r="S414" s="16"/>
      <c r="T414" s="16"/>
      <c r="U414" s="16"/>
      <c r="V414" s="16"/>
      <c r="W414" s="16"/>
      <c r="X414" s="16"/>
      <c r="Y414" s="16"/>
    </row>
    <row r="415" spans="1:25" x14ac:dyDescent="0.2">
      <c r="A415" s="14"/>
      <c r="B415" s="16"/>
      <c r="C415" s="6"/>
      <c r="D415" s="16"/>
      <c r="E415" s="6"/>
      <c r="F415" s="16"/>
      <c r="G415" s="16"/>
      <c r="H415" s="16"/>
      <c r="I415" s="16"/>
      <c r="J415" s="16"/>
      <c r="K415" s="16"/>
      <c r="L415" s="16"/>
      <c r="M415" s="16"/>
      <c r="N415" s="16"/>
      <c r="O415" s="16"/>
      <c r="P415" s="16"/>
      <c r="Q415" s="16"/>
      <c r="R415" s="16"/>
      <c r="S415" s="16"/>
      <c r="T415" s="16"/>
      <c r="U415" s="16"/>
      <c r="V415" s="16"/>
      <c r="W415" s="16"/>
      <c r="X415" s="16"/>
      <c r="Y415" s="16"/>
    </row>
    <row r="416" spans="1:25" x14ac:dyDescent="0.2">
      <c r="A416" s="14"/>
      <c r="B416" s="16"/>
      <c r="C416" s="6"/>
      <c r="D416" s="16"/>
      <c r="E416" s="6"/>
      <c r="F416" s="16"/>
      <c r="G416" s="16"/>
      <c r="H416" s="16"/>
      <c r="I416" s="16"/>
      <c r="J416" s="16"/>
      <c r="K416" s="16"/>
      <c r="L416" s="16"/>
      <c r="M416" s="16"/>
      <c r="N416" s="16"/>
      <c r="O416" s="16"/>
      <c r="P416" s="16"/>
      <c r="Q416" s="16"/>
      <c r="R416" s="16"/>
      <c r="S416" s="16"/>
      <c r="T416" s="16"/>
      <c r="U416" s="16"/>
      <c r="V416" s="16"/>
      <c r="W416" s="16"/>
      <c r="X416" s="16"/>
      <c r="Y416" s="16"/>
    </row>
    <row r="417" spans="1:25" x14ac:dyDescent="0.2">
      <c r="A417" s="14"/>
      <c r="B417" s="16"/>
      <c r="C417" s="6"/>
      <c r="D417" s="16"/>
      <c r="E417" s="6"/>
      <c r="F417" s="16"/>
      <c r="G417" s="16"/>
      <c r="H417" s="16"/>
      <c r="I417" s="16"/>
      <c r="J417" s="16"/>
      <c r="K417" s="16"/>
      <c r="L417" s="16"/>
      <c r="M417" s="16"/>
      <c r="N417" s="16"/>
      <c r="O417" s="16"/>
      <c r="P417" s="16"/>
      <c r="Q417" s="16"/>
      <c r="R417" s="16"/>
      <c r="S417" s="16"/>
      <c r="T417" s="16"/>
      <c r="U417" s="16"/>
      <c r="V417" s="16"/>
      <c r="W417" s="16"/>
      <c r="X417" s="16"/>
      <c r="Y417" s="16"/>
    </row>
    <row r="418" spans="1:25" x14ac:dyDescent="0.2">
      <c r="A418" s="14"/>
      <c r="B418" s="16"/>
      <c r="C418" s="6"/>
      <c r="D418" s="16"/>
      <c r="E418" s="6"/>
      <c r="F418" s="16"/>
      <c r="G418" s="16"/>
      <c r="H418" s="16"/>
      <c r="I418" s="16"/>
      <c r="J418" s="16"/>
      <c r="K418" s="16"/>
      <c r="L418" s="16"/>
      <c r="M418" s="16"/>
      <c r="N418" s="16"/>
      <c r="O418" s="16"/>
      <c r="P418" s="16"/>
      <c r="Q418" s="16"/>
      <c r="R418" s="16"/>
      <c r="S418" s="16"/>
      <c r="T418" s="16"/>
      <c r="U418" s="16"/>
      <c r="V418" s="16"/>
      <c r="W418" s="16"/>
      <c r="X418" s="16"/>
      <c r="Y418" s="16"/>
    </row>
    <row r="419" spans="1:25" x14ac:dyDescent="0.2">
      <c r="A419" s="14"/>
      <c r="B419" s="16"/>
      <c r="C419" s="6"/>
      <c r="D419" s="16"/>
      <c r="E419" s="6"/>
      <c r="F419" s="16"/>
      <c r="G419" s="16"/>
      <c r="H419" s="16"/>
      <c r="I419" s="16"/>
      <c r="J419" s="16"/>
      <c r="K419" s="16"/>
      <c r="L419" s="16"/>
      <c r="M419" s="16"/>
      <c r="N419" s="16"/>
      <c r="O419" s="16"/>
      <c r="P419" s="16"/>
      <c r="Q419" s="16"/>
      <c r="R419" s="16"/>
      <c r="S419" s="16"/>
      <c r="T419" s="16"/>
      <c r="U419" s="16"/>
      <c r="V419" s="16"/>
      <c r="W419" s="16"/>
      <c r="X419" s="16"/>
      <c r="Y419" s="16"/>
    </row>
    <row r="420" spans="1:25" x14ac:dyDescent="0.2">
      <c r="A420" s="14"/>
      <c r="B420" s="16"/>
      <c r="C420" s="6"/>
      <c r="D420" s="16"/>
      <c r="E420" s="6"/>
      <c r="F420" s="16"/>
      <c r="G420" s="16"/>
      <c r="H420" s="16"/>
      <c r="I420" s="16"/>
      <c r="J420" s="16"/>
      <c r="K420" s="16"/>
      <c r="L420" s="16"/>
      <c r="M420" s="16"/>
      <c r="N420" s="16"/>
      <c r="O420" s="16"/>
      <c r="P420" s="16"/>
      <c r="Q420" s="16"/>
      <c r="R420" s="16"/>
      <c r="S420" s="16"/>
      <c r="T420" s="16"/>
      <c r="U420" s="16"/>
      <c r="V420" s="16"/>
      <c r="W420" s="16"/>
      <c r="X420" s="16"/>
      <c r="Y420" s="16"/>
    </row>
    <row r="421" spans="1:25" x14ac:dyDescent="0.2">
      <c r="A421" s="14"/>
      <c r="B421" s="16"/>
      <c r="C421" s="6"/>
      <c r="D421" s="16"/>
      <c r="E421" s="6"/>
      <c r="F421" s="16"/>
      <c r="G421" s="16"/>
      <c r="H421" s="16"/>
      <c r="I421" s="16"/>
      <c r="J421" s="16"/>
      <c r="K421" s="16"/>
      <c r="L421" s="16"/>
      <c r="M421" s="16"/>
      <c r="N421" s="16"/>
      <c r="O421" s="16"/>
      <c r="P421" s="16"/>
      <c r="Q421" s="16"/>
      <c r="R421" s="16"/>
      <c r="S421" s="16"/>
      <c r="T421" s="16"/>
      <c r="U421" s="16"/>
      <c r="V421" s="16"/>
      <c r="W421" s="16"/>
      <c r="X421" s="16"/>
      <c r="Y421" s="16"/>
    </row>
    <row r="422" spans="1:25" x14ac:dyDescent="0.2">
      <c r="A422" s="14"/>
      <c r="B422" s="16"/>
      <c r="C422" s="6"/>
      <c r="D422" s="16"/>
      <c r="E422" s="6"/>
      <c r="F422" s="16"/>
      <c r="G422" s="16"/>
      <c r="H422" s="16"/>
      <c r="I422" s="16"/>
      <c r="J422" s="16"/>
      <c r="K422" s="16"/>
      <c r="L422" s="16"/>
      <c r="M422" s="16"/>
      <c r="N422" s="16"/>
      <c r="O422" s="16"/>
      <c r="P422" s="16"/>
      <c r="Q422" s="16"/>
      <c r="R422" s="16"/>
      <c r="S422" s="16"/>
      <c r="T422" s="16"/>
      <c r="U422" s="16"/>
      <c r="V422" s="16"/>
      <c r="W422" s="16"/>
      <c r="X422" s="16"/>
      <c r="Y422" s="16"/>
    </row>
    <row r="423" spans="1:25" x14ac:dyDescent="0.2">
      <c r="A423" s="14"/>
      <c r="B423" s="16"/>
      <c r="C423" s="6"/>
      <c r="D423" s="16"/>
      <c r="E423" s="6"/>
      <c r="F423" s="16"/>
      <c r="G423" s="16"/>
      <c r="H423" s="16"/>
      <c r="I423" s="16"/>
      <c r="J423" s="16"/>
      <c r="K423" s="16"/>
      <c r="L423" s="16"/>
      <c r="M423" s="16"/>
      <c r="N423" s="16"/>
      <c r="O423" s="16"/>
      <c r="P423" s="16"/>
      <c r="Q423" s="16"/>
      <c r="R423" s="16"/>
      <c r="S423" s="16"/>
      <c r="T423" s="16"/>
      <c r="U423" s="16"/>
      <c r="V423" s="16"/>
      <c r="W423" s="16"/>
      <c r="X423" s="16"/>
      <c r="Y423" s="16"/>
    </row>
    <row r="424" spans="1:25" x14ac:dyDescent="0.2">
      <c r="A424" s="14"/>
      <c r="B424" s="16"/>
      <c r="C424" s="6"/>
      <c r="D424" s="16"/>
      <c r="E424" s="6"/>
      <c r="F424" s="16"/>
      <c r="G424" s="16"/>
      <c r="H424" s="16"/>
      <c r="I424" s="16"/>
      <c r="J424" s="16"/>
      <c r="K424" s="16"/>
      <c r="L424" s="16"/>
      <c r="M424" s="16"/>
      <c r="N424" s="16"/>
      <c r="O424" s="16"/>
      <c r="P424" s="16"/>
      <c r="Q424" s="16"/>
      <c r="R424" s="16"/>
      <c r="S424" s="16"/>
      <c r="T424" s="16"/>
      <c r="U424" s="16"/>
      <c r="V424" s="16"/>
      <c r="W424" s="16"/>
      <c r="X424" s="16"/>
      <c r="Y424" s="16"/>
    </row>
    <row r="425" spans="1:25" x14ac:dyDescent="0.2">
      <c r="A425" s="14"/>
      <c r="B425" s="16"/>
      <c r="C425" s="6"/>
      <c r="D425" s="16"/>
      <c r="E425" s="6"/>
      <c r="F425" s="16"/>
      <c r="G425" s="16"/>
      <c r="H425" s="16"/>
      <c r="I425" s="16"/>
      <c r="J425" s="16"/>
      <c r="K425" s="16"/>
      <c r="L425" s="16"/>
      <c r="M425" s="16"/>
      <c r="N425" s="16"/>
      <c r="O425" s="16"/>
      <c r="P425" s="16"/>
      <c r="Q425" s="16"/>
      <c r="R425" s="16"/>
      <c r="S425" s="16"/>
      <c r="T425" s="16"/>
      <c r="U425" s="16"/>
      <c r="V425" s="16"/>
      <c r="W425" s="16"/>
      <c r="X425" s="16"/>
      <c r="Y425" s="16"/>
    </row>
    <row r="426" spans="1:25" x14ac:dyDescent="0.2">
      <c r="A426" s="14"/>
      <c r="B426" s="16"/>
      <c r="C426" s="6"/>
      <c r="D426" s="16"/>
      <c r="E426" s="6"/>
      <c r="F426" s="16"/>
      <c r="G426" s="16"/>
      <c r="H426" s="16"/>
      <c r="I426" s="16"/>
      <c r="J426" s="16"/>
      <c r="K426" s="16"/>
      <c r="L426" s="16"/>
      <c r="M426" s="16"/>
      <c r="N426" s="16"/>
      <c r="O426" s="16"/>
      <c r="P426" s="16"/>
      <c r="Q426" s="16"/>
      <c r="R426" s="16"/>
      <c r="S426" s="16"/>
      <c r="T426" s="16"/>
      <c r="U426" s="16"/>
      <c r="V426" s="16"/>
      <c r="W426" s="16"/>
      <c r="X426" s="16"/>
      <c r="Y426" s="16"/>
    </row>
    <row r="427" spans="1:25" x14ac:dyDescent="0.2">
      <c r="A427" s="14"/>
      <c r="B427" s="16"/>
      <c r="C427" s="6"/>
      <c r="D427" s="16"/>
      <c r="E427" s="6"/>
      <c r="F427" s="16"/>
      <c r="G427" s="16"/>
      <c r="H427" s="16"/>
      <c r="I427" s="16"/>
      <c r="J427" s="16"/>
      <c r="K427" s="16"/>
      <c r="L427" s="16"/>
      <c r="M427" s="16"/>
      <c r="N427" s="16"/>
      <c r="O427" s="16"/>
      <c r="P427" s="16"/>
      <c r="Q427" s="16"/>
      <c r="R427" s="16"/>
      <c r="S427" s="16"/>
      <c r="T427" s="16"/>
      <c r="U427" s="16"/>
      <c r="V427" s="16"/>
      <c r="W427" s="16"/>
      <c r="X427" s="16"/>
      <c r="Y427" s="16"/>
    </row>
    <row r="428" spans="1:25" x14ac:dyDescent="0.2">
      <c r="A428" s="14"/>
      <c r="B428" s="16"/>
      <c r="C428" s="6"/>
      <c r="D428" s="16"/>
      <c r="E428" s="6"/>
      <c r="F428" s="16"/>
      <c r="G428" s="16"/>
      <c r="H428" s="16"/>
      <c r="I428" s="16"/>
      <c r="J428" s="16"/>
      <c r="K428" s="16"/>
      <c r="L428" s="16"/>
      <c r="M428" s="16"/>
      <c r="N428" s="16"/>
      <c r="O428" s="16"/>
      <c r="P428" s="16"/>
      <c r="Q428" s="16"/>
      <c r="R428" s="16"/>
      <c r="S428" s="16"/>
      <c r="T428" s="16"/>
      <c r="U428" s="16"/>
      <c r="V428" s="16"/>
      <c r="W428" s="16"/>
      <c r="X428" s="16"/>
      <c r="Y428" s="16"/>
    </row>
    <row r="429" spans="1:25" x14ac:dyDescent="0.2">
      <c r="A429" s="14"/>
      <c r="B429" s="16"/>
      <c r="C429" s="6"/>
      <c r="D429" s="16"/>
      <c r="E429" s="6"/>
      <c r="F429" s="16"/>
      <c r="G429" s="16"/>
      <c r="H429" s="16"/>
      <c r="I429" s="16"/>
      <c r="J429" s="16"/>
      <c r="K429" s="16"/>
      <c r="L429" s="16"/>
      <c r="M429" s="16"/>
      <c r="N429" s="16"/>
      <c r="O429" s="16"/>
      <c r="P429" s="16"/>
      <c r="Q429" s="16"/>
      <c r="R429" s="16"/>
      <c r="S429" s="16"/>
      <c r="T429" s="16"/>
      <c r="U429" s="16"/>
      <c r="V429" s="16"/>
      <c r="W429" s="16"/>
      <c r="X429" s="16"/>
      <c r="Y429" s="16"/>
    </row>
    <row r="430" spans="1:25" x14ac:dyDescent="0.2">
      <c r="A430" s="14"/>
      <c r="B430" s="16"/>
      <c r="C430" s="6"/>
      <c r="D430" s="16"/>
      <c r="E430" s="6"/>
      <c r="F430" s="16"/>
      <c r="G430" s="16"/>
      <c r="H430" s="16"/>
      <c r="I430" s="16"/>
      <c r="J430" s="16"/>
      <c r="K430" s="16"/>
      <c r="L430" s="16"/>
      <c r="M430" s="16"/>
      <c r="N430" s="16"/>
      <c r="O430" s="16"/>
      <c r="P430" s="16"/>
      <c r="Q430" s="16"/>
      <c r="R430" s="16"/>
      <c r="S430" s="16"/>
      <c r="T430" s="16"/>
      <c r="U430" s="16"/>
      <c r="V430" s="16"/>
      <c r="W430" s="16"/>
      <c r="X430" s="16"/>
      <c r="Y430" s="16"/>
    </row>
    <row r="431" spans="1:25" x14ac:dyDescent="0.2">
      <c r="A431" s="14"/>
      <c r="B431" s="16"/>
      <c r="C431" s="6"/>
      <c r="D431" s="16"/>
      <c r="E431" s="6"/>
      <c r="F431" s="16"/>
      <c r="G431" s="16"/>
      <c r="H431" s="16"/>
      <c r="I431" s="16"/>
      <c r="J431" s="16"/>
      <c r="K431" s="16"/>
      <c r="L431" s="16"/>
      <c r="M431" s="16"/>
      <c r="N431" s="16"/>
      <c r="O431" s="16"/>
      <c r="P431" s="16"/>
      <c r="Q431" s="16"/>
      <c r="R431" s="16"/>
      <c r="S431" s="16"/>
      <c r="T431" s="16"/>
      <c r="U431" s="16"/>
      <c r="V431" s="16"/>
      <c r="W431" s="16"/>
      <c r="X431" s="16"/>
      <c r="Y431" s="16"/>
    </row>
    <row r="432" spans="1:25" x14ac:dyDescent="0.2">
      <c r="A432" s="14"/>
      <c r="B432" s="16"/>
      <c r="C432" s="6"/>
      <c r="D432" s="16"/>
      <c r="E432" s="6"/>
      <c r="F432" s="16"/>
      <c r="G432" s="16"/>
      <c r="H432" s="16"/>
      <c r="I432" s="16"/>
      <c r="J432" s="16"/>
      <c r="K432" s="16"/>
      <c r="L432" s="16"/>
      <c r="M432" s="16"/>
      <c r="N432" s="16"/>
      <c r="O432" s="16"/>
      <c r="P432" s="16"/>
      <c r="Q432" s="16"/>
      <c r="R432" s="16"/>
      <c r="S432" s="16"/>
      <c r="T432" s="16"/>
      <c r="U432" s="16"/>
      <c r="V432" s="16"/>
      <c r="W432" s="16"/>
      <c r="X432" s="16"/>
      <c r="Y432" s="16"/>
    </row>
    <row r="433" spans="1:25" x14ac:dyDescent="0.2">
      <c r="A433" s="14"/>
      <c r="B433" s="16"/>
      <c r="C433" s="6"/>
      <c r="D433" s="16"/>
      <c r="E433" s="6"/>
      <c r="F433" s="16"/>
      <c r="G433" s="16"/>
      <c r="H433" s="16"/>
      <c r="I433" s="16"/>
      <c r="J433" s="16"/>
      <c r="K433" s="16"/>
      <c r="L433" s="16"/>
      <c r="M433" s="16"/>
      <c r="N433" s="16"/>
      <c r="O433" s="16"/>
      <c r="P433" s="16"/>
      <c r="Q433" s="16"/>
      <c r="R433" s="16"/>
      <c r="S433" s="16"/>
      <c r="T433" s="16"/>
      <c r="U433" s="16"/>
      <c r="V433" s="16"/>
      <c r="W433" s="16"/>
      <c r="X433" s="16"/>
      <c r="Y433" s="16"/>
    </row>
    <row r="434" spans="1:25" x14ac:dyDescent="0.2">
      <c r="A434" s="14"/>
      <c r="B434" s="16"/>
      <c r="C434" s="6"/>
      <c r="D434" s="16"/>
      <c r="E434" s="6"/>
      <c r="F434" s="16"/>
      <c r="G434" s="16"/>
      <c r="H434" s="16"/>
      <c r="I434" s="16"/>
      <c r="J434" s="16"/>
      <c r="K434" s="16"/>
      <c r="L434" s="16"/>
      <c r="M434" s="16"/>
      <c r="N434" s="16"/>
      <c r="O434" s="16"/>
      <c r="P434" s="16"/>
      <c r="Q434" s="16"/>
      <c r="R434" s="16"/>
      <c r="S434" s="16"/>
      <c r="T434" s="16"/>
      <c r="U434" s="16"/>
      <c r="V434" s="16"/>
      <c r="W434" s="16"/>
      <c r="X434" s="16"/>
      <c r="Y434" s="16"/>
    </row>
    <row r="435" spans="1:25" x14ac:dyDescent="0.2">
      <c r="A435" s="14"/>
      <c r="B435" s="16"/>
      <c r="C435" s="6"/>
      <c r="D435" s="16"/>
      <c r="E435" s="6"/>
      <c r="F435" s="16"/>
      <c r="G435" s="16"/>
      <c r="H435" s="16"/>
      <c r="I435" s="16"/>
      <c r="J435" s="16"/>
      <c r="K435" s="16"/>
      <c r="L435" s="16"/>
      <c r="M435" s="16"/>
      <c r="N435" s="16"/>
      <c r="O435" s="16"/>
      <c r="P435" s="16"/>
      <c r="Q435" s="16"/>
      <c r="R435" s="16"/>
      <c r="S435" s="16"/>
      <c r="T435" s="16"/>
      <c r="U435" s="16"/>
      <c r="V435" s="16"/>
      <c r="W435" s="16"/>
      <c r="X435" s="16"/>
      <c r="Y435" s="16"/>
    </row>
    <row r="436" spans="1:25" x14ac:dyDescent="0.2">
      <c r="A436" s="14"/>
      <c r="B436" s="16"/>
      <c r="C436" s="6"/>
      <c r="D436" s="16"/>
      <c r="E436" s="6"/>
      <c r="F436" s="16"/>
      <c r="G436" s="16"/>
      <c r="H436" s="16"/>
      <c r="I436" s="16"/>
      <c r="J436" s="16"/>
      <c r="K436" s="16"/>
      <c r="L436" s="16"/>
      <c r="M436" s="16"/>
      <c r="N436" s="16"/>
      <c r="O436" s="16"/>
      <c r="P436" s="16"/>
      <c r="Q436" s="16"/>
      <c r="R436" s="16"/>
      <c r="S436" s="16"/>
      <c r="T436" s="16"/>
      <c r="U436" s="16"/>
      <c r="V436" s="16"/>
      <c r="W436" s="16"/>
      <c r="X436" s="16"/>
      <c r="Y436" s="16"/>
    </row>
    <row r="437" spans="1:25" x14ac:dyDescent="0.2">
      <c r="A437" s="14"/>
      <c r="B437" s="16"/>
      <c r="C437" s="6"/>
      <c r="D437" s="16"/>
      <c r="E437" s="6"/>
      <c r="F437" s="16"/>
      <c r="G437" s="16"/>
      <c r="H437" s="16"/>
      <c r="I437" s="16"/>
      <c r="J437" s="16"/>
      <c r="K437" s="16"/>
      <c r="L437" s="16"/>
      <c r="M437" s="16"/>
      <c r="N437" s="16"/>
      <c r="O437" s="16"/>
      <c r="P437" s="16"/>
      <c r="Q437" s="16"/>
      <c r="R437" s="16"/>
      <c r="S437" s="16"/>
      <c r="T437" s="16"/>
      <c r="U437" s="16"/>
      <c r="V437" s="16"/>
      <c r="W437" s="16"/>
      <c r="X437" s="16"/>
      <c r="Y437" s="16"/>
    </row>
    <row r="438" spans="1:25" x14ac:dyDescent="0.2">
      <c r="A438" s="14"/>
      <c r="B438" s="16"/>
      <c r="C438" s="6"/>
      <c r="D438" s="16"/>
      <c r="E438" s="6"/>
      <c r="F438" s="16"/>
      <c r="G438" s="16"/>
      <c r="H438" s="16"/>
      <c r="I438" s="16"/>
      <c r="J438" s="16"/>
      <c r="K438" s="16"/>
      <c r="L438" s="16"/>
      <c r="M438" s="16"/>
      <c r="N438" s="16"/>
      <c r="O438" s="16"/>
      <c r="P438" s="16"/>
      <c r="Q438" s="16"/>
      <c r="R438" s="16"/>
      <c r="S438" s="16"/>
      <c r="T438" s="16"/>
      <c r="U438" s="16"/>
      <c r="V438" s="16"/>
      <c r="W438" s="16"/>
      <c r="X438" s="16"/>
      <c r="Y438" s="16"/>
    </row>
    <row r="439" spans="1:25" x14ac:dyDescent="0.2">
      <c r="A439" s="14"/>
      <c r="B439" s="16"/>
      <c r="C439" s="6"/>
      <c r="D439" s="16"/>
      <c r="E439" s="6"/>
      <c r="F439" s="16"/>
      <c r="G439" s="16"/>
      <c r="H439" s="16"/>
      <c r="I439" s="16"/>
      <c r="J439" s="16"/>
      <c r="K439" s="16"/>
      <c r="L439" s="16"/>
      <c r="M439" s="16"/>
      <c r="N439" s="16"/>
      <c r="O439" s="16"/>
      <c r="P439" s="16"/>
      <c r="Q439" s="16"/>
      <c r="R439" s="16"/>
      <c r="S439" s="16"/>
      <c r="T439" s="16"/>
      <c r="U439" s="16"/>
      <c r="V439" s="16"/>
      <c r="W439" s="16"/>
      <c r="X439" s="16"/>
      <c r="Y439" s="16"/>
    </row>
    <row r="440" spans="1:25" x14ac:dyDescent="0.2">
      <c r="A440" s="14"/>
      <c r="B440" s="16"/>
      <c r="C440" s="6"/>
      <c r="D440" s="16"/>
      <c r="E440" s="6"/>
      <c r="F440" s="16"/>
      <c r="G440" s="16"/>
      <c r="H440" s="16"/>
      <c r="I440" s="16"/>
      <c r="J440" s="16"/>
      <c r="K440" s="16"/>
      <c r="L440" s="16"/>
      <c r="M440" s="16"/>
      <c r="N440" s="16"/>
      <c r="O440" s="16"/>
      <c r="P440" s="16"/>
      <c r="Q440" s="16"/>
      <c r="R440" s="16"/>
      <c r="S440" s="16"/>
      <c r="T440" s="16"/>
      <c r="U440" s="16"/>
      <c r="V440" s="16"/>
      <c r="W440" s="16"/>
      <c r="X440" s="16"/>
      <c r="Y440" s="16"/>
    </row>
    <row r="441" spans="1:25" x14ac:dyDescent="0.2">
      <c r="A441" s="14"/>
      <c r="B441" s="16"/>
      <c r="C441" s="6"/>
      <c r="D441" s="16"/>
      <c r="E441" s="6"/>
      <c r="F441" s="16"/>
      <c r="G441" s="16"/>
      <c r="H441" s="16"/>
      <c r="I441" s="16"/>
      <c r="J441" s="16"/>
      <c r="K441" s="16"/>
      <c r="L441" s="16"/>
      <c r="M441" s="16"/>
      <c r="N441" s="16"/>
      <c r="O441" s="16"/>
      <c r="P441" s="16"/>
      <c r="Q441" s="16"/>
      <c r="R441" s="16"/>
      <c r="S441" s="16"/>
      <c r="T441" s="16"/>
      <c r="U441" s="16"/>
      <c r="V441" s="16"/>
      <c r="W441" s="16"/>
      <c r="X441" s="16"/>
      <c r="Y441" s="16"/>
    </row>
    <row r="442" spans="1:25" x14ac:dyDescent="0.2">
      <c r="A442" s="14"/>
      <c r="B442" s="16"/>
      <c r="C442" s="6"/>
      <c r="D442" s="16"/>
      <c r="E442" s="6"/>
      <c r="F442" s="16"/>
      <c r="G442" s="16"/>
      <c r="H442" s="16"/>
      <c r="I442" s="16"/>
      <c r="J442" s="16"/>
      <c r="K442" s="16"/>
      <c r="L442" s="16"/>
      <c r="M442" s="16"/>
      <c r="N442" s="16"/>
      <c r="O442" s="16"/>
      <c r="P442" s="16"/>
      <c r="Q442" s="16"/>
      <c r="R442" s="16"/>
      <c r="S442" s="16"/>
      <c r="T442" s="16"/>
      <c r="U442" s="16"/>
      <c r="V442" s="16"/>
      <c r="W442" s="16"/>
      <c r="X442" s="16"/>
      <c r="Y442" s="16"/>
    </row>
    <row r="443" spans="1:25" x14ac:dyDescent="0.2">
      <c r="A443" s="14"/>
      <c r="B443" s="16"/>
      <c r="C443" s="6"/>
      <c r="D443" s="16"/>
      <c r="E443" s="6"/>
      <c r="F443" s="16"/>
      <c r="G443" s="16"/>
      <c r="H443" s="16"/>
      <c r="I443" s="16"/>
      <c r="J443" s="16"/>
      <c r="K443" s="16"/>
      <c r="L443" s="16"/>
      <c r="M443" s="16"/>
      <c r="N443" s="16"/>
      <c r="O443" s="16"/>
      <c r="P443" s="16"/>
      <c r="Q443" s="16"/>
      <c r="R443" s="16"/>
      <c r="S443" s="16"/>
      <c r="T443" s="16"/>
      <c r="U443" s="16"/>
      <c r="V443" s="16"/>
      <c r="W443" s="16"/>
      <c r="X443" s="16"/>
      <c r="Y443" s="16"/>
    </row>
    <row r="444" spans="1:25" x14ac:dyDescent="0.2">
      <c r="A444" s="14"/>
      <c r="B444" s="16"/>
      <c r="C444" s="6"/>
      <c r="D444" s="16"/>
      <c r="E444" s="6"/>
      <c r="F444" s="16"/>
      <c r="G444" s="16"/>
      <c r="H444" s="16"/>
      <c r="I444" s="16"/>
      <c r="J444" s="16"/>
      <c r="K444" s="16"/>
      <c r="L444" s="16"/>
      <c r="M444" s="16"/>
      <c r="N444" s="16"/>
      <c r="O444" s="16"/>
      <c r="P444" s="16"/>
      <c r="Q444" s="16"/>
      <c r="R444" s="16"/>
      <c r="S444" s="16"/>
      <c r="T444" s="16"/>
      <c r="U444" s="16"/>
      <c r="V444" s="16"/>
      <c r="W444" s="16"/>
      <c r="X444" s="16"/>
      <c r="Y444" s="16"/>
    </row>
    <row r="445" spans="1:25" x14ac:dyDescent="0.2">
      <c r="A445" s="14"/>
      <c r="B445" s="16"/>
      <c r="C445" s="6"/>
      <c r="D445" s="16"/>
      <c r="E445" s="6"/>
      <c r="F445" s="16"/>
      <c r="G445" s="16"/>
      <c r="H445" s="16"/>
      <c r="I445" s="16"/>
      <c r="J445" s="16"/>
      <c r="K445" s="16"/>
      <c r="L445" s="16"/>
      <c r="M445" s="16"/>
      <c r="N445" s="16"/>
      <c r="O445" s="16"/>
      <c r="P445" s="16"/>
      <c r="Q445" s="16"/>
      <c r="R445" s="16"/>
      <c r="S445" s="16"/>
      <c r="T445" s="16"/>
      <c r="U445" s="16"/>
      <c r="V445" s="16"/>
      <c r="W445" s="16"/>
      <c r="X445" s="16"/>
      <c r="Y445" s="16"/>
    </row>
    <row r="446" spans="1:25" x14ac:dyDescent="0.2">
      <c r="A446" s="14"/>
      <c r="B446" s="16"/>
      <c r="C446" s="6"/>
      <c r="D446" s="16"/>
      <c r="E446" s="6"/>
      <c r="F446" s="16"/>
      <c r="G446" s="16"/>
      <c r="H446" s="16"/>
      <c r="I446" s="16"/>
      <c r="J446" s="16"/>
      <c r="K446" s="16"/>
      <c r="L446" s="16"/>
      <c r="M446" s="16"/>
      <c r="N446" s="16"/>
      <c r="O446" s="16"/>
      <c r="P446" s="16"/>
      <c r="Q446" s="16"/>
      <c r="R446" s="16"/>
      <c r="S446" s="16"/>
      <c r="T446" s="16"/>
      <c r="U446" s="16"/>
      <c r="V446" s="16"/>
      <c r="W446" s="16"/>
      <c r="X446" s="16"/>
      <c r="Y446" s="16"/>
    </row>
    <row r="447" spans="1:25" x14ac:dyDescent="0.2">
      <c r="A447" s="14"/>
      <c r="B447" s="16"/>
      <c r="C447" s="6"/>
      <c r="D447" s="16"/>
      <c r="E447" s="6"/>
      <c r="F447" s="16"/>
      <c r="G447" s="16"/>
      <c r="H447" s="16"/>
      <c r="I447" s="16"/>
      <c r="J447" s="16"/>
      <c r="K447" s="16"/>
      <c r="L447" s="16"/>
      <c r="M447" s="16"/>
      <c r="N447" s="16"/>
      <c r="O447" s="16"/>
      <c r="P447" s="16"/>
      <c r="Q447" s="16"/>
      <c r="R447" s="16"/>
      <c r="S447" s="16"/>
      <c r="T447" s="16"/>
      <c r="U447" s="16"/>
      <c r="V447" s="16"/>
      <c r="W447" s="16"/>
      <c r="X447" s="16"/>
      <c r="Y447" s="16"/>
    </row>
    <row r="448" spans="1:25" x14ac:dyDescent="0.2">
      <c r="A448" s="14"/>
      <c r="B448" s="16"/>
      <c r="C448" s="6"/>
      <c r="D448" s="16"/>
      <c r="E448" s="6"/>
      <c r="F448" s="16"/>
      <c r="G448" s="16"/>
      <c r="H448" s="16"/>
      <c r="I448" s="16"/>
      <c r="J448" s="16"/>
      <c r="K448" s="16"/>
      <c r="L448" s="16"/>
      <c r="M448" s="16"/>
      <c r="N448" s="16"/>
      <c r="O448" s="16"/>
      <c r="P448" s="16"/>
      <c r="Q448" s="16"/>
      <c r="R448" s="16"/>
      <c r="S448" s="16"/>
      <c r="T448" s="16"/>
      <c r="U448" s="16"/>
      <c r="V448" s="16"/>
      <c r="W448" s="16"/>
      <c r="X448" s="16"/>
      <c r="Y448" s="16"/>
    </row>
    <row r="449" spans="1:25" x14ac:dyDescent="0.2">
      <c r="A449" s="14"/>
      <c r="B449" s="16"/>
      <c r="C449" s="6"/>
      <c r="D449" s="16"/>
      <c r="E449" s="6"/>
      <c r="F449" s="16"/>
      <c r="G449" s="16"/>
      <c r="H449" s="16"/>
      <c r="I449" s="16"/>
      <c r="J449" s="16"/>
      <c r="K449" s="16"/>
      <c r="L449" s="16"/>
      <c r="M449" s="16"/>
      <c r="N449" s="16"/>
      <c r="O449" s="16"/>
      <c r="P449" s="16"/>
      <c r="Q449" s="16"/>
      <c r="R449" s="16"/>
      <c r="S449" s="16"/>
      <c r="T449" s="16"/>
      <c r="U449" s="16"/>
      <c r="V449" s="16"/>
      <c r="W449" s="16"/>
      <c r="X449" s="16"/>
      <c r="Y449" s="16"/>
    </row>
    <row r="450" spans="1:25" x14ac:dyDescent="0.2">
      <c r="A450" s="14"/>
      <c r="B450" s="16"/>
      <c r="C450" s="6"/>
      <c r="D450" s="16"/>
      <c r="E450" s="6"/>
      <c r="F450" s="16"/>
      <c r="G450" s="16"/>
      <c r="H450" s="16"/>
      <c r="I450" s="16"/>
      <c r="J450" s="16"/>
      <c r="K450" s="16"/>
      <c r="L450" s="16"/>
      <c r="M450" s="16"/>
      <c r="N450" s="16"/>
      <c r="O450" s="16"/>
      <c r="P450" s="16"/>
      <c r="Q450" s="16"/>
      <c r="R450" s="16"/>
      <c r="S450" s="16"/>
      <c r="T450" s="16"/>
      <c r="U450" s="16"/>
      <c r="V450" s="16"/>
      <c r="W450" s="16"/>
      <c r="X450" s="16"/>
      <c r="Y450" s="16"/>
    </row>
    <row r="451" spans="1:25" x14ac:dyDescent="0.2">
      <c r="A451" s="14"/>
      <c r="B451" s="16"/>
      <c r="C451" s="6"/>
      <c r="D451" s="16"/>
      <c r="E451" s="6"/>
      <c r="F451" s="16"/>
      <c r="G451" s="16"/>
      <c r="H451" s="16"/>
      <c r="I451" s="16"/>
      <c r="J451" s="16"/>
      <c r="K451" s="16"/>
      <c r="L451" s="16"/>
      <c r="M451" s="16"/>
      <c r="N451" s="16"/>
      <c r="O451" s="16"/>
      <c r="P451" s="16"/>
      <c r="Q451" s="16"/>
      <c r="R451" s="16"/>
      <c r="S451" s="16"/>
      <c r="T451" s="16"/>
      <c r="U451" s="16"/>
      <c r="V451" s="16"/>
      <c r="W451" s="16"/>
      <c r="X451" s="16"/>
      <c r="Y451" s="16"/>
    </row>
    <row r="452" spans="1:25" x14ac:dyDescent="0.2">
      <c r="A452" s="14"/>
      <c r="B452" s="16"/>
      <c r="C452" s="6"/>
      <c r="D452" s="16"/>
      <c r="E452" s="6"/>
      <c r="F452" s="16"/>
      <c r="G452" s="16"/>
      <c r="H452" s="16"/>
      <c r="I452" s="16"/>
      <c r="J452" s="16"/>
      <c r="K452" s="16"/>
      <c r="L452" s="16"/>
      <c r="M452" s="16"/>
      <c r="N452" s="16"/>
      <c r="O452" s="16"/>
      <c r="P452" s="16"/>
      <c r="Q452" s="16"/>
      <c r="R452" s="16"/>
      <c r="S452" s="16"/>
      <c r="T452" s="16"/>
      <c r="U452" s="16"/>
      <c r="V452" s="16"/>
      <c r="W452" s="16"/>
      <c r="X452" s="16"/>
      <c r="Y452" s="16"/>
    </row>
    <row r="453" spans="1:25" x14ac:dyDescent="0.2">
      <c r="A453" s="14"/>
      <c r="B453" s="16"/>
      <c r="C453" s="6"/>
      <c r="D453" s="16"/>
      <c r="E453" s="6"/>
      <c r="F453" s="16"/>
      <c r="G453" s="16"/>
      <c r="H453" s="16"/>
      <c r="I453" s="16"/>
      <c r="J453" s="16"/>
      <c r="K453" s="16"/>
      <c r="L453" s="16"/>
      <c r="M453" s="16"/>
      <c r="N453" s="16"/>
      <c r="O453" s="16"/>
      <c r="P453" s="16"/>
      <c r="Q453" s="16"/>
      <c r="R453" s="16"/>
      <c r="S453" s="16"/>
      <c r="T453" s="16"/>
      <c r="U453" s="16"/>
      <c r="V453" s="16"/>
      <c r="W453" s="16"/>
      <c r="X453" s="16"/>
      <c r="Y453" s="16"/>
    </row>
    <row r="454" spans="1:25" x14ac:dyDescent="0.2">
      <c r="A454" s="14"/>
      <c r="B454" s="16"/>
      <c r="C454" s="6"/>
      <c r="D454" s="16"/>
      <c r="E454" s="6"/>
      <c r="F454" s="16"/>
      <c r="G454" s="16"/>
      <c r="H454" s="16"/>
      <c r="I454" s="16"/>
      <c r="J454" s="16"/>
      <c r="K454" s="16"/>
      <c r="L454" s="16"/>
      <c r="M454" s="16"/>
      <c r="N454" s="16"/>
      <c r="O454" s="16"/>
      <c r="P454" s="16"/>
      <c r="Q454" s="16"/>
      <c r="R454" s="16"/>
      <c r="S454" s="16"/>
      <c r="T454" s="16"/>
      <c r="U454" s="16"/>
      <c r="V454" s="16"/>
      <c r="W454" s="16"/>
      <c r="X454" s="16"/>
      <c r="Y454" s="16"/>
    </row>
    <row r="455" spans="1:25" x14ac:dyDescent="0.2">
      <c r="A455" s="14"/>
      <c r="B455" s="16"/>
      <c r="C455" s="6"/>
      <c r="D455" s="16"/>
      <c r="E455" s="6"/>
      <c r="F455" s="16"/>
      <c r="G455" s="16"/>
      <c r="H455" s="16"/>
      <c r="I455" s="16"/>
      <c r="J455" s="16"/>
      <c r="K455" s="16"/>
      <c r="L455" s="16"/>
      <c r="M455" s="16"/>
      <c r="N455" s="16"/>
      <c r="O455" s="16"/>
      <c r="P455" s="16"/>
      <c r="Q455" s="16"/>
      <c r="R455" s="16"/>
      <c r="S455" s="16"/>
      <c r="T455" s="16"/>
      <c r="U455" s="16"/>
      <c r="V455" s="16"/>
      <c r="W455" s="16"/>
      <c r="X455" s="16"/>
      <c r="Y455" s="16"/>
    </row>
    <row r="456" spans="1:25" x14ac:dyDescent="0.2">
      <c r="A456" s="14"/>
      <c r="B456" s="16"/>
      <c r="C456" s="6"/>
      <c r="D456" s="16"/>
      <c r="E456" s="6"/>
      <c r="F456" s="16"/>
      <c r="G456" s="16"/>
      <c r="H456" s="16"/>
      <c r="I456" s="16"/>
      <c r="J456" s="16"/>
      <c r="K456" s="16"/>
      <c r="L456" s="16"/>
      <c r="M456" s="16"/>
      <c r="N456" s="16"/>
      <c r="O456" s="16"/>
      <c r="P456" s="16"/>
      <c r="Q456" s="16"/>
      <c r="R456" s="16"/>
      <c r="S456" s="16"/>
      <c r="T456" s="16"/>
      <c r="U456" s="16"/>
      <c r="V456" s="16"/>
      <c r="W456" s="16"/>
      <c r="X456" s="16"/>
      <c r="Y456" s="16"/>
    </row>
    <row r="457" spans="1:25" x14ac:dyDescent="0.2">
      <c r="A457" s="14"/>
      <c r="B457" s="16"/>
      <c r="C457" s="6"/>
      <c r="D457" s="16"/>
      <c r="E457" s="6"/>
      <c r="F457" s="16"/>
      <c r="G457" s="16"/>
      <c r="H457" s="16"/>
      <c r="I457" s="16"/>
      <c r="J457" s="16"/>
      <c r="K457" s="16"/>
      <c r="L457" s="16"/>
      <c r="M457" s="16"/>
      <c r="N457" s="16"/>
      <c r="O457" s="16"/>
      <c r="P457" s="16"/>
      <c r="Q457" s="16"/>
      <c r="R457" s="16"/>
      <c r="S457" s="16"/>
      <c r="T457" s="16"/>
      <c r="U457" s="16"/>
      <c r="V457" s="16"/>
      <c r="W457" s="16"/>
      <c r="X457" s="16"/>
      <c r="Y457" s="16"/>
    </row>
    <row r="458" spans="1:25" x14ac:dyDescent="0.2">
      <c r="A458" s="14"/>
      <c r="B458" s="16"/>
      <c r="C458" s="6"/>
      <c r="D458" s="16"/>
      <c r="E458" s="6"/>
      <c r="F458" s="16"/>
      <c r="G458" s="16"/>
      <c r="H458" s="16"/>
      <c r="I458" s="16"/>
      <c r="J458" s="16"/>
      <c r="K458" s="16"/>
      <c r="L458" s="16"/>
      <c r="M458" s="16"/>
      <c r="N458" s="16"/>
      <c r="O458" s="16"/>
      <c r="P458" s="16"/>
      <c r="Q458" s="16"/>
      <c r="R458" s="16"/>
      <c r="S458" s="16"/>
      <c r="T458" s="16"/>
      <c r="U458" s="16"/>
      <c r="V458" s="16"/>
      <c r="W458" s="16"/>
      <c r="X458" s="16"/>
      <c r="Y458" s="16"/>
    </row>
    <row r="459" spans="1:25" x14ac:dyDescent="0.2">
      <c r="A459" s="14"/>
      <c r="B459" s="16"/>
      <c r="C459" s="6"/>
      <c r="D459" s="16"/>
      <c r="E459" s="6"/>
      <c r="F459" s="16"/>
      <c r="G459" s="16"/>
      <c r="H459" s="16"/>
      <c r="I459" s="16"/>
      <c r="J459" s="16"/>
      <c r="K459" s="16"/>
      <c r="L459" s="16"/>
      <c r="M459" s="16"/>
      <c r="N459" s="16"/>
      <c r="O459" s="16"/>
      <c r="P459" s="16"/>
      <c r="Q459" s="16"/>
      <c r="R459" s="16"/>
      <c r="S459" s="16"/>
      <c r="T459" s="16"/>
      <c r="U459" s="16"/>
      <c r="V459" s="16"/>
      <c r="W459" s="16"/>
      <c r="X459" s="16"/>
      <c r="Y459" s="16"/>
    </row>
    <row r="460" spans="1:25" x14ac:dyDescent="0.2">
      <c r="A460" s="14"/>
      <c r="B460" s="16"/>
      <c r="C460" s="6"/>
      <c r="D460" s="16"/>
      <c r="E460" s="6"/>
      <c r="F460" s="16"/>
      <c r="G460" s="16"/>
      <c r="H460" s="16"/>
      <c r="I460" s="16"/>
      <c r="J460" s="16"/>
      <c r="K460" s="16"/>
      <c r="L460" s="16"/>
      <c r="M460" s="16"/>
      <c r="N460" s="16"/>
      <c r="O460" s="16"/>
      <c r="P460" s="16"/>
      <c r="Q460" s="16"/>
      <c r="R460" s="16"/>
      <c r="S460" s="16"/>
      <c r="T460" s="16"/>
      <c r="U460" s="16"/>
      <c r="V460" s="16"/>
      <c r="W460" s="16"/>
      <c r="X460" s="16"/>
      <c r="Y460" s="16"/>
    </row>
    <row r="461" spans="1:25" x14ac:dyDescent="0.2">
      <c r="A461" s="14"/>
      <c r="B461" s="16"/>
      <c r="C461" s="6"/>
      <c r="D461" s="16"/>
      <c r="E461" s="6"/>
      <c r="F461" s="16"/>
      <c r="G461" s="16"/>
      <c r="H461" s="16"/>
      <c r="I461" s="16"/>
      <c r="J461" s="16"/>
      <c r="K461" s="16"/>
      <c r="L461" s="16"/>
      <c r="M461" s="16"/>
      <c r="N461" s="16"/>
      <c r="O461" s="16"/>
      <c r="P461" s="16"/>
      <c r="Q461" s="16"/>
      <c r="R461" s="16"/>
      <c r="S461" s="16"/>
      <c r="T461" s="16"/>
      <c r="U461" s="16"/>
      <c r="V461" s="16"/>
      <c r="W461" s="16"/>
      <c r="X461" s="16"/>
      <c r="Y461" s="16"/>
    </row>
    <row r="462" spans="1:25" x14ac:dyDescent="0.2">
      <c r="A462" s="14"/>
      <c r="B462" s="16"/>
      <c r="C462" s="6"/>
      <c r="D462" s="16"/>
      <c r="E462" s="6"/>
      <c r="F462" s="16"/>
      <c r="G462" s="16"/>
      <c r="H462" s="16"/>
      <c r="I462" s="16"/>
      <c r="J462" s="16"/>
      <c r="K462" s="16"/>
      <c r="L462" s="16"/>
      <c r="M462" s="16"/>
      <c r="N462" s="16"/>
      <c r="O462" s="16"/>
      <c r="P462" s="16"/>
      <c r="Q462" s="16"/>
      <c r="R462" s="16"/>
      <c r="S462" s="16"/>
      <c r="T462" s="16"/>
      <c r="U462" s="16"/>
      <c r="V462" s="16"/>
      <c r="W462" s="16"/>
      <c r="X462" s="16"/>
      <c r="Y462" s="16"/>
    </row>
    <row r="463" spans="1:25" x14ac:dyDescent="0.2">
      <c r="A463" s="14"/>
      <c r="B463" s="16"/>
      <c r="C463" s="6"/>
      <c r="D463" s="16"/>
      <c r="E463" s="6"/>
      <c r="F463" s="16"/>
      <c r="G463" s="16"/>
      <c r="H463" s="16"/>
      <c r="I463" s="16"/>
      <c r="J463" s="16"/>
      <c r="K463" s="16"/>
      <c r="L463" s="16"/>
      <c r="M463" s="16"/>
      <c r="N463" s="16"/>
      <c r="O463" s="16"/>
      <c r="P463" s="16"/>
      <c r="Q463" s="16"/>
      <c r="R463" s="16"/>
      <c r="S463" s="16"/>
      <c r="T463" s="16"/>
      <c r="U463" s="16"/>
      <c r="V463" s="16"/>
      <c r="W463" s="16"/>
      <c r="X463" s="16"/>
      <c r="Y463" s="16"/>
    </row>
    <row r="464" spans="1:25" x14ac:dyDescent="0.2">
      <c r="A464" s="14"/>
      <c r="B464" s="16"/>
      <c r="C464" s="6"/>
      <c r="D464" s="16"/>
      <c r="E464" s="6"/>
      <c r="F464" s="16"/>
      <c r="G464" s="16"/>
      <c r="H464" s="16"/>
      <c r="I464" s="16"/>
      <c r="J464" s="16"/>
      <c r="K464" s="16"/>
      <c r="L464" s="16"/>
      <c r="M464" s="16"/>
      <c r="N464" s="16"/>
      <c r="O464" s="16"/>
      <c r="P464" s="16"/>
      <c r="Q464" s="16"/>
      <c r="R464" s="16"/>
      <c r="S464" s="16"/>
      <c r="T464" s="16"/>
      <c r="U464" s="16"/>
      <c r="V464" s="16"/>
      <c r="W464" s="16"/>
      <c r="X464" s="16"/>
      <c r="Y464" s="16"/>
    </row>
    <row r="465" spans="1:25" x14ac:dyDescent="0.2">
      <c r="A465" s="14"/>
      <c r="B465" s="16"/>
      <c r="C465" s="6"/>
      <c r="D465" s="16"/>
      <c r="E465" s="6"/>
      <c r="F465" s="16"/>
      <c r="G465" s="16"/>
      <c r="H465" s="16"/>
      <c r="I465" s="16"/>
      <c r="J465" s="16"/>
      <c r="K465" s="16"/>
      <c r="L465" s="16"/>
      <c r="M465" s="16"/>
      <c r="N465" s="16"/>
      <c r="O465" s="16"/>
      <c r="P465" s="16"/>
      <c r="Q465" s="16"/>
      <c r="R465" s="16"/>
      <c r="S465" s="16"/>
      <c r="T465" s="16"/>
      <c r="U465" s="16"/>
      <c r="V465" s="16"/>
      <c r="W465" s="16"/>
      <c r="X465" s="16"/>
      <c r="Y465" s="16"/>
    </row>
    <row r="466" spans="1:25" x14ac:dyDescent="0.2">
      <c r="A466" s="14"/>
      <c r="B466" s="16"/>
      <c r="C466" s="6"/>
      <c r="D466" s="16"/>
      <c r="E466" s="6"/>
      <c r="F466" s="16"/>
      <c r="G466" s="16"/>
      <c r="H466" s="16"/>
      <c r="I466" s="16"/>
      <c r="J466" s="16"/>
      <c r="K466" s="16"/>
      <c r="L466" s="16"/>
      <c r="M466" s="16"/>
      <c r="N466" s="16"/>
      <c r="O466" s="16"/>
      <c r="P466" s="16"/>
      <c r="Q466" s="16"/>
      <c r="R466" s="16"/>
      <c r="S466" s="16"/>
      <c r="T466" s="16"/>
      <c r="U466" s="16"/>
      <c r="V466" s="16"/>
      <c r="W466" s="16"/>
      <c r="X466" s="16"/>
      <c r="Y466" s="16"/>
    </row>
    <row r="467" spans="1:25" x14ac:dyDescent="0.2">
      <c r="A467" s="14"/>
      <c r="B467" s="16"/>
      <c r="C467" s="6"/>
      <c r="D467" s="16"/>
      <c r="E467" s="6"/>
      <c r="F467" s="16"/>
      <c r="G467" s="16"/>
      <c r="H467" s="16"/>
      <c r="I467" s="16"/>
      <c r="J467" s="16"/>
      <c r="K467" s="16"/>
      <c r="L467" s="16"/>
      <c r="M467" s="16"/>
      <c r="N467" s="16"/>
      <c r="O467" s="16"/>
      <c r="P467" s="16"/>
      <c r="Q467" s="16"/>
      <c r="R467" s="16"/>
      <c r="S467" s="16"/>
      <c r="T467" s="16"/>
      <c r="U467" s="16"/>
      <c r="V467" s="16"/>
      <c r="W467" s="16"/>
      <c r="X467" s="16"/>
      <c r="Y467" s="16"/>
    </row>
    <row r="468" spans="1:25" x14ac:dyDescent="0.2">
      <c r="A468" s="14"/>
      <c r="B468" s="16"/>
      <c r="C468" s="6"/>
      <c r="D468" s="16"/>
      <c r="E468" s="6"/>
      <c r="F468" s="16"/>
      <c r="G468" s="16"/>
      <c r="H468" s="16"/>
      <c r="I468" s="16"/>
      <c r="J468" s="16"/>
      <c r="K468" s="16"/>
      <c r="L468" s="16"/>
      <c r="M468" s="16"/>
      <c r="N468" s="16"/>
      <c r="O468" s="16"/>
      <c r="P468" s="16"/>
      <c r="Q468" s="16"/>
      <c r="R468" s="16"/>
      <c r="S468" s="16"/>
      <c r="T468" s="16"/>
      <c r="U468" s="16"/>
      <c r="V468" s="16"/>
      <c r="W468" s="16"/>
      <c r="X468" s="16"/>
      <c r="Y468" s="16"/>
    </row>
    <row r="469" spans="1:25" x14ac:dyDescent="0.2">
      <c r="A469" s="14"/>
      <c r="B469" s="16"/>
      <c r="C469" s="6"/>
      <c r="D469" s="16"/>
      <c r="E469" s="6"/>
      <c r="F469" s="16"/>
      <c r="G469" s="16"/>
      <c r="H469" s="16"/>
      <c r="I469" s="16"/>
      <c r="J469" s="16"/>
      <c r="K469" s="16"/>
      <c r="L469" s="16"/>
      <c r="M469" s="16"/>
      <c r="N469" s="16"/>
      <c r="O469" s="16"/>
      <c r="P469" s="16"/>
      <c r="Q469" s="16"/>
      <c r="R469" s="16"/>
      <c r="S469" s="16"/>
      <c r="T469" s="16"/>
      <c r="U469" s="16"/>
      <c r="V469" s="16"/>
      <c r="W469" s="16"/>
      <c r="X469" s="16"/>
      <c r="Y469" s="16"/>
    </row>
    <row r="470" spans="1:25" x14ac:dyDescent="0.2">
      <c r="A470" s="14"/>
      <c r="B470" s="16"/>
      <c r="C470" s="6"/>
      <c r="D470" s="16"/>
      <c r="E470" s="6"/>
      <c r="F470" s="16"/>
      <c r="G470" s="16"/>
      <c r="H470" s="16"/>
      <c r="I470" s="16"/>
      <c r="J470" s="16"/>
      <c r="K470" s="16"/>
      <c r="L470" s="16"/>
      <c r="M470" s="16"/>
      <c r="N470" s="16"/>
      <c r="O470" s="16"/>
      <c r="P470" s="16"/>
      <c r="Q470" s="16"/>
      <c r="R470" s="16"/>
      <c r="S470" s="16"/>
      <c r="T470" s="16"/>
      <c r="U470" s="16"/>
      <c r="V470" s="16"/>
      <c r="W470" s="16"/>
      <c r="X470" s="16"/>
      <c r="Y470" s="16"/>
    </row>
    <row r="471" spans="1:25" x14ac:dyDescent="0.2">
      <c r="A471" s="14"/>
      <c r="B471" s="16"/>
      <c r="C471" s="6"/>
      <c r="D471" s="16"/>
      <c r="E471" s="6"/>
      <c r="F471" s="16"/>
      <c r="G471" s="16"/>
      <c r="H471" s="16"/>
      <c r="I471" s="16"/>
      <c r="J471" s="16"/>
      <c r="K471" s="16"/>
      <c r="L471" s="16"/>
      <c r="M471" s="16"/>
      <c r="N471" s="16"/>
      <c r="O471" s="16"/>
      <c r="P471" s="16"/>
      <c r="Q471" s="16"/>
      <c r="R471" s="16"/>
      <c r="S471" s="16"/>
      <c r="T471" s="16"/>
      <c r="U471" s="16"/>
      <c r="V471" s="16"/>
      <c r="W471" s="16"/>
      <c r="X471" s="16"/>
      <c r="Y471" s="16"/>
    </row>
    <row r="472" spans="1:25" x14ac:dyDescent="0.2">
      <c r="A472" s="14"/>
      <c r="B472" s="16"/>
      <c r="C472" s="6"/>
      <c r="D472" s="16"/>
      <c r="E472" s="6"/>
      <c r="F472" s="16"/>
      <c r="G472" s="16"/>
      <c r="H472" s="16"/>
      <c r="I472" s="16"/>
      <c r="J472" s="16"/>
      <c r="K472" s="16"/>
      <c r="L472" s="16"/>
      <c r="M472" s="16"/>
      <c r="N472" s="16"/>
      <c r="O472" s="16"/>
      <c r="P472" s="16"/>
      <c r="Q472" s="16"/>
      <c r="R472" s="16"/>
      <c r="S472" s="16"/>
      <c r="T472" s="16"/>
      <c r="U472" s="16"/>
      <c r="V472" s="16"/>
      <c r="W472" s="16"/>
      <c r="X472" s="16"/>
      <c r="Y472" s="16"/>
    </row>
    <row r="473" spans="1:25" x14ac:dyDescent="0.2">
      <c r="A473" s="14"/>
      <c r="B473" s="16"/>
      <c r="C473" s="6"/>
      <c r="D473" s="16"/>
      <c r="E473" s="6"/>
      <c r="F473" s="16"/>
      <c r="G473" s="16"/>
      <c r="H473" s="16"/>
      <c r="I473" s="16"/>
      <c r="J473" s="16"/>
      <c r="K473" s="16"/>
      <c r="L473" s="16"/>
      <c r="M473" s="16"/>
      <c r="N473" s="16"/>
      <c r="O473" s="16"/>
      <c r="P473" s="16"/>
      <c r="Q473" s="16"/>
      <c r="R473" s="16"/>
      <c r="S473" s="16"/>
      <c r="T473" s="16"/>
      <c r="U473" s="16"/>
      <c r="V473" s="16"/>
      <c r="W473" s="16"/>
      <c r="X473" s="16"/>
      <c r="Y473" s="16"/>
    </row>
    <row r="474" spans="1:25" x14ac:dyDescent="0.2">
      <c r="A474" s="14"/>
      <c r="B474" s="16"/>
      <c r="C474" s="6"/>
      <c r="D474" s="16"/>
      <c r="E474" s="6"/>
      <c r="F474" s="16"/>
      <c r="G474" s="16"/>
      <c r="H474" s="16"/>
      <c r="I474" s="16"/>
      <c r="J474" s="16"/>
      <c r="K474" s="16"/>
      <c r="L474" s="16"/>
      <c r="M474" s="16"/>
      <c r="N474" s="16"/>
      <c r="O474" s="16"/>
      <c r="P474" s="16"/>
      <c r="Q474" s="16"/>
      <c r="R474" s="16"/>
      <c r="S474" s="16"/>
      <c r="T474" s="16"/>
      <c r="U474" s="16"/>
      <c r="V474" s="16"/>
      <c r="W474" s="16"/>
      <c r="X474" s="16"/>
      <c r="Y474" s="16"/>
    </row>
    <row r="475" spans="1:25" x14ac:dyDescent="0.2">
      <c r="A475" s="14"/>
      <c r="B475" s="16"/>
      <c r="C475" s="6"/>
      <c r="D475" s="16"/>
      <c r="E475" s="6"/>
      <c r="F475" s="16"/>
      <c r="G475" s="16"/>
      <c r="H475" s="16"/>
      <c r="I475" s="16"/>
      <c r="J475" s="16"/>
      <c r="K475" s="16"/>
      <c r="L475" s="16"/>
      <c r="M475" s="16"/>
      <c r="N475" s="16"/>
      <c r="O475" s="16"/>
      <c r="P475" s="16"/>
      <c r="Q475" s="16"/>
      <c r="R475" s="16"/>
      <c r="S475" s="16"/>
      <c r="T475" s="16"/>
      <c r="U475" s="16"/>
      <c r="V475" s="16"/>
      <c r="W475" s="16"/>
      <c r="X475" s="16"/>
      <c r="Y475" s="16"/>
    </row>
    <row r="476" spans="1:25" x14ac:dyDescent="0.2">
      <c r="A476" s="14"/>
      <c r="B476" s="16"/>
      <c r="C476" s="6"/>
      <c r="D476" s="16"/>
      <c r="E476" s="6"/>
      <c r="F476" s="16"/>
      <c r="G476" s="16"/>
      <c r="H476" s="16"/>
      <c r="I476" s="16"/>
      <c r="J476" s="16"/>
      <c r="K476" s="16"/>
      <c r="L476" s="16"/>
      <c r="M476" s="16"/>
      <c r="N476" s="16"/>
      <c r="O476" s="16"/>
      <c r="P476" s="16"/>
      <c r="Q476" s="16"/>
      <c r="R476" s="16"/>
      <c r="S476" s="16"/>
      <c r="T476" s="16"/>
      <c r="U476" s="16"/>
      <c r="V476" s="16"/>
      <c r="W476" s="16"/>
      <c r="X476" s="16"/>
      <c r="Y476" s="16"/>
    </row>
    <row r="477" spans="1:25" x14ac:dyDescent="0.2">
      <c r="A477" s="14"/>
      <c r="B477" s="16"/>
      <c r="C477" s="6"/>
      <c r="D477" s="16"/>
      <c r="E477" s="6"/>
      <c r="F477" s="16"/>
      <c r="G477" s="16"/>
      <c r="H477" s="16"/>
      <c r="I477" s="16"/>
      <c r="J477" s="16"/>
      <c r="K477" s="16"/>
      <c r="L477" s="16"/>
      <c r="M477" s="16"/>
      <c r="N477" s="16"/>
      <c r="O477" s="16"/>
      <c r="P477" s="16"/>
      <c r="Q477" s="16"/>
      <c r="R477" s="16"/>
      <c r="S477" s="16"/>
      <c r="T477" s="16"/>
      <c r="U477" s="16"/>
      <c r="V477" s="16"/>
      <c r="W477" s="16"/>
      <c r="X477" s="16"/>
      <c r="Y477" s="16"/>
    </row>
    <row r="478" spans="1:25" x14ac:dyDescent="0.2">
      <c r="A478" s="14"/>
      <c r="B478" s="16"/>
      <c r="C478" s="6"/>
      <c r="D478" s="16"/>
      <c r="E478" s="6"/>
      <c r="F478" s="16"/>
      <c r="G478" s="16"/>
      <c r="H478" s="16"/>
      <c r="I478" s="16"/>
      <c r="J478" s="16"/>
      <c r="K478" s="16"/>
      <c r="L478" s="16"/>
      <c r="M478" s="16"/>
      <c r="N478" s="16"/>
      <c r="O478" s="16"/>
      <c r="P478" s="16"/>
      <c r="Q478" s="16"/>
      <c r="R478" s="16"/>
      <c r="S478" s="16"/>
      <c r="T478" s="16"/>
      <c r="U478" s="16"/>
      <c r="V478" s="16"/>
      <c r="W478" s="16"/>
      <c r="X478" s="16"/>
      <c r="Y478" s="16"/>
    </row>
    <row r="479" spans="1:25" x14ac:dyDescent="0.2">
      <c r="A479" s="14"/>
      <c r="B479" s="16"/>
      <c r="C479" s="6"/>
      <c r="D479" s="16"/>
      <c r="E479" s="6"/>
      <c r="F479" s="16"/>
      <c r="G479" s="16"/>
      <c r="H479" s="16"/>
      <c r="I479" s="16"/>
      <c r="J479" s="16"/>
      <c r="K479" s="16"/>
      <c r="L479" s="16"/>
      <c r="M479" s="16"/>
      <c r="N479" s="16"/>
      <c r="O479" s="16"/>
      <c r="P479" s="16"/>
      <c r="Q479" s="16"/>
      <c r="R479" s="16"/>
      <c r="S479" s="16"/>
      <c r="T479" s="16"/>
      <c r="U479" s="16"/>
      <c r="V479" s="16"/>
      <c r="W479" s="16"/>
      <c r="X479" s="16"/>
      <c r="Y479" s="16"/>
    </row>
    <row r="480" spans="1:25" x14ac:dyDescent="0.2">
      <c r="A480" s="14"/>
      <c r="B480" s="16"/>
      <c r="C480" s="6"/>
      <c r="D480" s="16"/>
      <c r="E480" s="6"/>
      <c r="F480" s="16"/>
      <c r="G480" s="16"/>
      <c r="H480" s="16"/>
      <c r="I480" s="16"/>
      <c r="J480" s="16"/>
      <c r="K480" s="16"/>
      <c r="L480" s="16"/>
      <c r="M480" s="16"/>
      <c r="N480" s="16"/>
      <c r="O480" s="16"/>
      <c r="P480" s="16"/>
      <c r="Q480" s="16"/>
      <c r="R480" s="16"/>
      <c r="S480" s="16"/>
      <c r="T480" s="16"/>
      <c r="U480" s="16"/>
      <c r="V480" s="16"/>
      <c r="W480" s="16"/>
      <c r="X480" s="16"/>
      <c r="Y480" s="16"/>
    </row>
    <row r="481" spans="1:25" x14ac:dyDescent="0.2">
      <c r="A481" s="14"/>
      <c r="B481" s="16"/>
      <c r="C481" s="6"/>
      <c r="D481" s="16"/>
      <c r="E481" s="6"/>
      <c r="F481" s="16"/>
      <c r="G481" s="16"/>
      <c r="H481" s="16"/>
      <c r="I481" s="16"/>
      <c r="J481" s="16"/>
      <c r="K481" s="16"/>
      <c r="L481" s="16"/>
      <c r="M481" s="16"/>
      <c r="N481" s="16"/>
      <c r="O481" s="16"/>
      <c r="P481" s="16"/>
      <c r="Q481" s="16"/>
      <c r="R481" s="16"/>
      <c r="S481" s="16"/>
      <c r="T481" s="16"/>
      <c r="U481" s="16"/>
      <c r="V481" s="16"/>
      <c r="W481" s="16"/>
      <c r="X481" s="16"/>
      <c r="Y481" s="16"/>
    </row>
    <row r="482" spans="1:25" x14ac:dyDescent="0.2">
      <c r="A482" s="14"/>
      <c r="B482" s="16"/>
      <c r="C482" s="6"/>
      <c r="D482" s="16"/>
      <c r="E482" s="6"/>
      <c r="F482" s="16"/>
      <c r="G482" s="16"/>
      <c r="H482" s="16"/>
      <c r="I482" s="16"/>
      <c r="J482" s="16"/>
      <c r="K482" s="16"/>
      <c r="L482" s="16"/>
      <c r="M482" s="16"/>
      <c r="N482" s="16"/>
      <c r="O482" s="16"/>
      <c r="P482" s="16"/>
      <c r="Q482" s="16"/>
      <c r="R482" s="16"/>
      <c r="S482" s="16"/>
      <c r="T482" s="16"/>
      <c r="U482" s="16"/>
      <c r="V482" s="16"/>
      <c r="W482" s="16"/>
      <c r="X482" s="16"/>
      <c r="Y482" s="16"/>
    </row>
    <row r="483" spans="1:25" x14ac:dyDescent="0.2">
      <c r="A483" s="14"/>
      <c r="B483" s="16"/>
      <c r="C483" s="6"/>
      <c r="D483" s="16"/>
      <c r="E483" s="6"/>
      <c r="F483" s="16"/>
      <c r="G483" s="16"/>
      <c r="H483" s="16"/>
      <c r="I483" s="16"/>
      <c r="J483" s="16"/>
      <c r="K483" s="16"/>
      <c r="L483" s="16"/>
      <c r="M483" s="16"/>
      <c r="N483" s="16"/>
      <c r="O483" s="16"/>
      <c r="P483" s="16"/>
      <c r="Q483" s="16"/>
      <c r="R483" s="16"/>
      <c r="S483" s="16"/>
      <c r="T483" s="16"/>
      <c r="U483" s="16"/>
      <c r="V483" s="16"/>
      <c r="W483" s="16"/>
      <c r="X483" s="16"/>
      <c r="Y483" s="16"/>
    </row>
    <row r="484" spans="1:25" x14ac:dyDescent="0.2">
      <c r="A484" s="14"/>
      <c r="B484" s="16"/>
      <c r="C484" s="6"/>
      <c r="D484" s="16"/>
      <c r="E484" s="6"/>
      <c r="F484" s="16"/>
      <c r="G484" s="16"/>
      <c r="H484" s="16"/>
      <c r="I484" s="16"/>
      <c r="J484" s="16"/>
      <c r="K484" s="16"/>
      <c r="L484" s="16"/>
      <c r="M484" s="16"/>
      <c r="N484" s="16"/>
      <c r="O484" s="16"/>
      <c r="P484" s="16"/>
      <c r="Q484" s="16"/>
      <c r="R484" s="16"/>
      <c r="S484" s="16"/>
      <c r="T484" s="16"/>
      <c r="U484" s="16"/>
      <c r="V484" s="16"/>
      <c r="W484" s="16"/>
      <c r="X484" s="16"/>
      <c r="Y484" s="16"/>
    </row>
    <row r="485" spans="1:25" x14ac:dyDescent="0.2">
      <c r="A485" s="14"/>
      <c r="B485" s="16"/>
      <c r="C485" s="6"/>
      <c r="D485" s="16"/>
      <c r="E485" s="6"/>
      <c r="F485" s="16"/>
      <c r="G485" s="16"/>
      <c r="H485" s="16"/>
      <c r="I485" s="16"/>
      <c r="J485" s="16"/>
      <c r="K485" s="16"/>
      <c r="L485" s="16"/>
      <c r="M485" s="16"/>
      <c r="N485" s="16"/>
      <c r="O485" s="16"/>
      <c r="P485" s="16"/>
      <c r="Q485" s="16"/>
      <c r="R485" s="16"/>
      <c r="S485" s="16"/>
      <c r="T485" s="16"/>
      <c r="U485" s="16"/>
      <c r="V485" s="16"/>
      <c r="W485" s="16"/>
      <c r="X485" s="16"/>
      <c r="Y485" s="16"/>
    </row>
    <row r="486" spans="1:25" x14ac:dyDescent="0.2">
      <c r="A486" s="14"/>
      <c r="B486" s="16"/>
      <c r="C486" s="6"/>
      <c r="D486" s="16"/>
      <c r="E486" s="6"/>
      <c r="F486" s="16"/>
      <c r="G486" s="16"/>
      <c r="H486" s="16"/>
      <c r="I486" s="16"/>
      <c r="J486" s="16"/>
      <c r="K486" s="16"/>
      <c r="L486" s="16"/>
      <c r="M486" s="16"/>
      <c r="N486" s="16"/>
      <c r="O486" s="16"/>
      <c r="P486" s="16"/>
      <c r="Q486" s="16"/>
      <c r="R486" s="16"/>
      <c r="S486" s="16"/>
      <c r="T486" s="16"/>
      <c r="U486" s="16"/>
      <c r="V486" s="16"/>
      <c r="W486" s="16"/>
      <c r="X486" s="16"/>
      <c r="Y486" s="16"/>
    </row>
    <row r="487" spans="1:25" x14ac:dyDescent="0.2">
      <c r="A487" s="14"/>
      <c r="B487" s="16"/>
      <c r="C487" s="6"/>
      <c r="D487" s="16"/>
      <c r="E487" s="6"/>
      <c r="F487" s="16"/>
      <c r="G487" s="16"/>
      <c r="H487" s="16"/>
      <c r="I487" s="16"/>
      <c r="J487" s="16"/>
      <c r="K487" s="16"/>
      <c r="L487" s="16"/>
      <c r="M487" s="16"/>
      <c r="N487" s="16"/>
      <c r="O487" s="16"/>
      <c r="P487" s="16"/>
      <c r="Q487" s="16"/>
      <c r="R487" s="16"/>
      <c r="S487" s="16"/>
      <c r="T487" s="16"/>
      <c r="U487" s="16"/>
      <c r="V487" s="16"/>
      <c r="W487" s="16"/>
      <c r="X487" s="16"/>
      <c r="Y487" s="16"/>
    </row>
    <row r="488" spans="1:25" x14ac:dyDescent="0.2">
      <c r="A488" s="14"/>
      <c r="B488" s="16"/>
      <c r="C488" s="6"/>
      <c r="D488" s="16"/>
      <c r="E488" s="6"/>
      <c r="F488" s="16"/>
      <c r="G488" s="16"/>
      <c r="H488" s="16"/>
      <c r="I488" s="16"/>
      <c r="J488" s="16"/>
      <c r="K488" s="16"/>
      <c r="L488" s="16"/>
      <c r="M488" s="16"/>
      <c r="N488" s="16"/>
      <c r="O488" s="16"/>
      <c r="P488" s="16"/>
      <c r="Q488" s="16"/>
      <c r="R488" s="16"/>
      <c r="S488" s="16"/>
      <c r="T488" s="16"/>
      <c r="U488" s="16"/>
      <c r="V488" s="16"/>
      <c r="W488" s="16"/>
      <c r="X488" s="16"/>
      <c r="Y488" s="16"/>
    </row>
    <row r="489" spans="1:25" x14ac:dyDescent="0.2">
      <c r="A489" s="14"/>
      <c r="B489" s="16"/>
      <c r="C489" s="6"/>
      <c r="D489" s="16"/>
      <c r="E489" s="6"/>
      <c r="F489" s="16"/>
      <c r="G489" s="16"/>
      <c r="H489" s="16"/>
      <c r="I489" s="16"/>
      <c r="J489" s="16"/>
      <c r="K489" s="16"/>
      <c r="L489" s="16"/>
      <c r="M489" s="16"/>
      <c r="N489" s="16"/>
      <c r="O489" s="16"/>
      <c r="P489" s="16"/>
      <c r="Q489" s="16"/>
      <c r="R489" s="16"/>
      <c r="S489" s="16"/>
      <c r="T489" s="16"/>
      <c r="U489" s="16"/>
      <c r="V489" s="16"/>
      <c r="W489" s="16"/>
      <c r="X489" s="16"/>
      <c r="Y489" s="16"/>
    </row>
    <row r="490" spans="1:25" x14ac:dyDescent="0.2">
      <c r="A490" s="14"/>
      <c r="B490" s="16"/>
      <c r="C490" s="6"/>
      <c r="D490" s="16"/>
      <c r="E490" s="6"/>
      <c r="F490" s="16"/>
      <c r="G490" s="16"/>
      <c r="H490" s="16"/>
      <c r="I490" s="16"/>
      <c r="J490" s="16"/>
      <c r="K490" s="16"/>
      <c r="L490" s="16"/>
      <c r="M490" s="16"/>
      <c r="N490" s="16"/>
      <c r="O490" s="16"/>
      <c r="P490" s="16"/>
      <c r="Q490" s="16"/>
      <c r="R490" s="16"/>
      <c r="S490" s="16"/>
      <c r="T490" s="16"/>
      <c r="U490" s="16"/>
      <c r="V490" s="16"/>
      <c r="W490" s="16"/>
      <c r="X490" s="16"/>
      <c r="Y490" s="16"/>
    </row>
    <row r="491" spans="1:25" x14ac:dyDescent="0.2">
      <c r="A491" s="14"/>
      <c r="B491" s="16"/>
      <c r="C491" s="6"/>
      <c r="D491" s="16"/>
      <c r="E491" s="6"/>
      <c r="F491" s="16"/>
      <c r="G491" s="16"/>
      <c r="H491" s="16"/>
      <c r="I491" s="16"/>
      <c r="J491" s="16"/>
      <c r="K491" s="16"/>
      <c r="L491" s="16"/>
      <c r="M491" s="16"/>
      <c r="N491" s="16"/>
      <c r="O491" s="16"/>
      <c r="P491" s="16"/>
      <c r="Q491" s="16"/>
      <c r="R491" s="16"/>
      <c r="S491" s="16"/>
      <c r="T491" s="16"/>
      <c r="U491" s="16"/>
      <c r="V491" s="16"/>
      <c r="W491" s="16"/>
      <c r="X491" s="16"/>
      <c r="Y491" s="16"/>
    </row>
    <row r="492" spans="1:25" x14ac:dyDescent="0.2">
      <c r="A492" s="14"/>
      <c r="B492" s="16"/>
      <c r="C492" s="6"/>
      <c r="D492" s="16"/>
      <c r="E492" s="6"/>
      <c r="F492" s="16"/>
      <c r="G492" s="16"/>
      <c r="H492" s="16"/>
      <c r="I492" s="16"/>
      <c r="J492" s="16"/>
      <c r="K492" s="16"/>
      <c r="L492" s="16"/>
      <c r="M492" s="16"/>
      <c r="N492" s="16"/>
      <c r="O492" s="16"/>
      <c r="P492" s="16"/>
      <c r="Q492" s="16"/>
      <c r="R492" s="16"/>
      <c r="S492" s="16"/>
      <c r="T492" s="16"/>
      <c r="U492" s="16"/>
      <c r="V492" s="16"/>
      <c r="W492" s="16"/>
      <c r="X492" s="16"/>
      <c r="Y492" s="16"/>
    </row>
    <row r="493" spans="1:25" x14ac:dyDescent="0.2">
      <c r="A493" s="14"/>
      <c r="B493" s="16"/>
      <c r="C493" s="6"/>
      <c r="D493" s="16"/>
      <c r="E493" s="6"/>
      <c r="F493" s="16"/>
      <c r="G493" s="16"/>
      <c r="H493" s="16"/>
      <c r="I493" s="16"/>
      <c r="J493" s="16"/>
      <c r="K493" s="16"/>
      <c r="L493" s="16"/>
      <c r="M493" s="16"/>
      <c r="N493" s="16"/>
      <c r="O493" s="16"/>
      <c r="P493" s="16"/>
      <c r="Q493" s="16"/>
      <c r="R493" s="16"/>
      <c r="S493" s="16"/>
      <c r="T493" s="16"/>
      <c r="U493" s="16"/>
      <c r="V493" s="16"/>
      <c r="W493" s="16"/>
      <c r="X493" s="16"/>
      <c r="Y493" s="16"/>
    </row>
    <row r="494" spans="1:25" x14ac:dyDescent="0.2">
      <c r="A494" s="14"/>
      <c r="B494" s="16"/>
      <c r="C494" s="6"/>
      <c r="D494" s="16"/>
      <c r="E494" s="6"/>
      <c r="F494" s="16"/>
      <c r="G494" s="16"/>
      <c r="H494" s="16"/>
      <c r="I494" s="16"/>
      <c r="J494" s="16"/>
      <c r="K494" s="16"/>
      <c r="L494" s="16"/>
      <c r="M494" s="16"/>
      <c r="N494" s="16"/>
      <c r="O494" s="16"/>
      <c r="P494" s="16"/>
      <c r="Q494" s="16"/>
      <c r="R494" s="16"/>
      <c r="S494" s="16"/>
      <c r="T494" s="16"/>
      <c r="U494" s="16"/>
      <c r="V494" s="16"/>
      <c r="W494" s="16"/>
      <c r="X494" s="16"/>
      <c r="Y494" s="16"/>
    </row>
    <row r="495" spans="1:25" x14ac:dyDescent="0.2">
      <c r="A495" s="14"/>
      <c r="B495" s="16"/>
      <c r="C495" s="6"/>
      <c r="D495" s="16"/>
      <c r="E495" s="6"/>
      <c r="F495" s="16"/>
      <c r="G495" s="16"/>
      <c r="H495" s="16"/>
      <c r="I495" s="16"/>
      <c r="J495" s="16"/>
      <c r="K495" s="16"/>
      <c r="L495" s="16"/>
      <c r="M495" s="16"/>
      <c r="N495" s="16"/>
      <c r="O495" s="16"/>
      <c r="P495" s="16"/>
      <c r="Q495" s="16"/>
      <c r="R495" s="16"/>
      <c r="S495" s="16"/>
      <c r="T495" s="16"/>
      <c r="U495" s="16"/>
      <c r="V495" s="16"/>
      <c r="W495" s="16"/>
      <c r="X495" s="16"/>
      <c r="Y495" s="16"/>
    </row>
    <row r="496" spans="1:25" x14ac:dyDescent="0.2">
      <c r="A496" s="14"/>
      <c r="B496" s="16"/>
      <c r="C496" s="6"/>
      <c r="D496" s="16"/>
      <c r="E496" s="6"/>
      <c r="F496" s="16"/>
      <c r="G496" s="16"/>
      <c r="H496" s="16"/>
      <c r="I496" s="16"/>
      <c r="J496" s="16"/>
      <c r="K496" s="16"/>
      <c r="L496" s="16"/>
      <c r="M496" s="16"/>
      <c r="N496" s="16"/>
      <c r="O496" s="16"/>
      <c r="P496" s="16"/>
      <c r="Q496" s="16"/>
      <c r="R496" s="16"/>
      <c r="S496" s="16"/>
      <c r="T496" s="16"/>
      <c r="U496" s="16"/>
      <c r="V496" s="16"/>
      <c r="W496" s="16"/>
      <c r="X496" s="16"/>
      <c r="Y496" s="16"/>
    </row>
    <row r="497" spans="1:25" x14ac:dyDescent="0.2">
      <c r="A497" s="14"/>
      <c r="B497" s="16"/>
      <c r="C497" s="6"/>
      <c r="D497" s="16"/>
      <c r="E497" s="6"/>
      <c r="F497" s="16"/>
      <c r="G497" s="16"/>
      <c r="H497" s="16"/>
      <c r="I497" s="16"/>
      <c r="J497" s="16"/>
      <c r="K497" s="16"/>
      <c r="L497" s="16"/>
      <c r="M497" s="16"/>
      <c r="N497" s="16"/>
      <c r="O497" s="16"/>
      <c r="P497" s="16"/>
      <c r="Q497" s="16"/>
      <c r="R497" s="16"/>
      <c r="S497" s="16"/>
      <c r="T497" s="16"/>
      <c r="U497" s="16"/>
      <c r="V497" s="16"/>
      <c r="W497" s="16"/>
      <c r="X497" s="16"/>
      <c r="Y497" s="16"/>
    </row>
    <row r="498" spans="1:25" x14ac:dyDescent="0.2">
      <c r="A498" s="14"/>
      <c r="B498" s="16"/>
      <c r="C498" s="6"/>
      <c r="D498" s="16"/>
      <c r="E498" s="6"/>
      <c r="F498" s="16"/>
      <c r="G498" s="16"/>
      <c r="H498" s="16"/>
      <c r="I498" s="16"/>
      <c r="J498" s="16"/>
      <c r="K498" s="16"/>
      <c r="L498" s="16"/>
      <c r="M498" s="16"/>
      <c r="N498" s="16"/>
      <c r="O498" s="16"/>
      <c r="P498" s="16"/>
      <c r="Q498" s="16"/>
      <c r="R498" s="16"/>
      <c r="S498" s="16"/>
      <c r="T498" s="16"/>
      <c r="U498" s="16"/>
      <c r="V498" s="16"/>
      <c r="W498" s="16"/>
      <c r="X498" s="16"/>
      <c r="Y498" s="16"/>
    </row>
    <row r="499" spans="1:25" x14ac:dyDescent="0.2">
      <c r="A499" s="14"/>
      <c r="B499" s="16"/>
      <c r="C499" s="6"/>
      <c r="D499" s="16"/>
      <c r="E499" s="6"/>
      <c r="F499" s="16"/>
      <c r="G499" s="16"/>
      <c r="H499" s="16"/>
      <c r="I499" s="16"/>
      <c r="J499" s="16"/>
      <c r="K499" s="16"/>
      <c r="L499" s="16"/>
      <c r="M499" s="16"/>
      <c r="N499" s="16"/>
      <c r="O499" s="16"/>
      <c r="P499" s="16"/>
      <c r="Q499" s="16"/>
      <c r="R499" s="16"/>
      <c r="S499" s="16"/>
      <c r="T499" s="16"/>
      <c r="U499" s="16"/>
      <c r="V499" s="16"/>
      <c r="W499" s="16"/>
      <c r="X499" s="16"/>
      <c r="Y499" s="16"/>
    </row>
    <row r="500" spans="1:25" x14ac:dyDescent="0.2">
      <c r="A500" s="14"/>
      <c r="B500" s="16"/>
      <c r="C500" s="6"/>
      <c r="D500" s="16"/>
      <c r="E500" s="6"/>
      <c r="F500" s="16"/>
      <c r="G500" s="16"/>
      <c r="H500" s="16"/>
      <c r="I500" s="16"/>
      <c r="J500" s="16"/>
      <c r="K500" s="16"/>
      <c r="L500" s="16"/>
      <c r="M500" s="16"/>
      <c r="N500" s="16"/>
      <c r="O500" s="16"/>
      <c r="P500" s="16"/>
      <c r="Q500" s="16"/>
      <c r="R500" s="16"/>
      <c r="S500" s="16"/>
      <c r="T500" s="16"/>
      <c r="U500" s="16"/>
      <c r="V500" s="16"/>
      <c r="W500" s="16"/>
      <c r="X500" s="16"/>
      <c r="Y500" s="16"/>
    </row>
    <row r="501" spans="1:25" x14ac:dyDescent="0.2">
      <c r="A501" s="14"/>
      <c r="B501" s="16"/>
      <c r="C501" s="6"/>
      <c r="D501" s="16"/>
      <c r="E501" s="6"/>
      <c r="F501" s="16"/>
      <c r="G501" s="16"/>
      <c r="H501" s="16"/>
      <c r="I501" s="16"/>
      <c r="J501" s="16"/>
      <c r="K501" s="16"/>
      <c r="L501" s="16"/>
      <c r="M501" s="16"/>
      <c r="N501" s="16"/>
      <c r="O501" s="16"/>
      <c r="P501" s="16"/>
      <c r="Q501" s="16"/>
      <c r="R501" s="16"/>
      <c r="S501" s="16"/>
      <c r="T501" s="16"/>
      <c r="U501" s="16"/>
      <c r="V501" s="16"/>
      <c r="W501" s="16"/>
      <c r="X501" s="16"/>
      <c r="Y501" s="16"/>
    </row>
    <row r="502" spans="1:25" x14ac:dyDescent="0.2">
      <c r="A502" s="14"/>
      <c r="B502" s="16"/>
      <c r="C502" s="6"/>
      <c r="D502" s="16"/>
      <c r="E502" s="6"/>
      <c r="F502" s="16"/>
      <c r="G502" s="16"/>
      <c r="H502" s="16"/>
      <c r="I502" s="16"/>
      <c r="J502" s="16"/>
      <c r="K502" s="16"/>
      <c r="L502" s="16"/>
      <c r="M502" s="16"/>
      <c r="N502" s="16"/>
      <c r="O502" s="16"/>
      <c r="P502" s="16"/>
      <c r="Q502" s="16"/>
      <c r="R502" s="16"/>
      <c r="S502" s="16"/>
      <c r="T502" s="16"/>
      <c r="U502" s="16"/>
      <c r="V502" s="16"/>
      <c r="W502" s="16"/>
      <c r="X502" s="16"/>
      <c r="Y502" s="16"/>
    </row>
    <row r="503" spans="1:25" x14ac:dyDescent="0.2">
      <c r="A503" s="14"/>
      <c r="B503" s="16"/>
      <c r="C503" s="6"/>
      <c r="D503" s="16"/>
      <c r="E503" s="6"/>
      <c r="F503" s="16"/>
      <c r="G503" s="16"/>
      <c r="H503" s="16"/>
      <c r="I503" s="16"/>
      <c r="J503" s="16"/>
      <c r="K503" s="16"/>
      <c r="L503" s="16"/>
      <c r="M503" s="16"/>
      <c r="N503" s="16"/>
      <c r="O503" s="16"/>
      <c r="P503" s="16"/>
      <c r="Q503" s="16"/>
      <c r="R503" s="16"/>
      <c r="S503" s="16"/>
      <c r="T503" s="16"/>
      <c r="U503" s="16"/>
      <c r="V503" s="16"/>
      <c r="W503" s="16"/>
      <c r="X503" s="16"/>
      <c r="Y503" s="16"/>
    </row>
    <row r="504" spans="1:25" x14ac:dyDescent="0.2">
      <c r="A504" s="14"/>
      <c r="B504" s="16"/>
      <c r="C504" s="6"/>
      <c r="D504" s="16"/>
      <c r="E504" s="6"/>
      <c r="F504" s="16"/>
      <c r="G504" s="16"/>
      <c r="H504" s="16"/>
      <c r="I504" s="16"/>
      <c r="J504" s="16"/>
      <c r="K504" s="16"/>
      <c r="L504" s="16"/>
      <c r="M504" s="16"/>
      <c r="N504" s="16"/>
      <c r="O504" s="16"/>
      <c r="P504" s="16"/>
      <c r="Q504" s="16"/>
      <c r="R504" s="16"/>
      <c r="S504" s="16"/>
      <c r="T504" s="16"/>
      <c r="U504" s="16"/>
      <c r="V504" s="16"/>
      <c r="W504" s="16"/>
      <c r="X504" s="16"/>
      <c r="Y504" s="16"/>
    </row>
    <row r="505" spans="1:25" x14ac:dyDescent="0.2">
      <c r="A505" s="14"/>
      <c r="B505" s="16"/>
      <c r="C505" s="6"/>
      <c r="D505" s="16"/>
      <c r="E505" s="6"/>
      <c r="F505" s="16"/>
      <c r="G505" s="16"/>
      <c r="H505" s="16"/>
      <c r="I505" s="16"/>
      <c r="J505" s="16"/>
      <c r="K505" s="16"/>
      <c r="L505" s="16"/>
      <c r="M505" s="16"/>
      <c r="N505" s="16"/>
      <c r="O505" s="16"/>
      <c r="P505" s="16"/>
      <c r="Q505" s="16"/>
      <c r="R505" s="16"/>
      <c r="S505" s="16"/>
      <c r="T505" s="16"/>
      <c r="U505" s="16"/>
      <c r="V505" s="16"/>
      <c r="W505" s="16"/>
      <c r="X505" s="16"/>
      <c r="Y505" s="16"/>
    </row>
    <row r="506" spans="1:25" x14ac:dyDescent="0.2">
      <c r="A506" s="14"/>
      <c r="B506" s="16"/>
      <c r="C506" s="6"/>
      <c r="D506" s="16"/>
      <c r="E506" s="6"/>
      <c r="F506" s="16"/>
      <c r="G506" s="16"/>
      <c r="H506" s="16"/>
      <c r="I506" s="16"/>
      <c r="J506" s="16"/>
      <c r="K506" s="16"/>
      <c r="L506" s="16"/>
      <c r="M506" s="16"/>
      <c r="N506" s="16"/>
      <c r="O506" s="16"/>
      <c r="P506" s="16"/>
      <c r="Q506" s="16"/>
      <c r="R506" s="16"/>
      <c r="S506" s="16"/>
      <c r="T506" s="16"/>
      <c r="U506" s="16"/>
      <c r="V506" s="16"/>
      <c r="W506" s="16"/>
      <c r="X506" s="16"/>
      <c r="Y506" s="16"/>
    </row>
    <row r="507" spans="1:25" x14ac:dyDescent="0.2">
      <c r="A507" s="14"/>
      <c r="B507" s="16"/>
      <c r="C507" s="6"/>
      <c r="D507" s="16"/>
      <c r="E507" s="6"/>
      <c r="F507" s="16"/>
      <c r="G507" s="16"/>
      <c r="H507" s="16"/>
      <c r="I507" s="16"/>
      <c r="J507" s="16"/>
      <c r="K507" s="16"/>
      <c r="L507" s="16"/>
      <c r="M507" s="16"/>
      <c r="N507" s="16"/>
      <c r="O507" s="16"/>
      <c r="P507" s="16"/>
      <c r="Q507" s="16"/>
      <c r="R507" s="16"/>
      <c r="S507" s="16"/>
      <c r="T507" s="16"/>
      <c r="U507" s="16"/>
      <c r="V507" s="16"/>
      <c r="W507" s="16"/>
      <c r="X507" s="16"/>
      <c r="Y507" s="16"/>
    </row>
    <row r="508" spans="1:25" x14ac:dyDescent="0.2">
      <c r="A508" s="14"/>
      <c r="B508" s="16"/>
      <c r="C508" s="6"/>
      <c r="D508" s="16"/>
      <c r="E508" s="6"/>
      <c r="F508" s="16"/>
      <c r="G508" s="16"/>
      <c r="H508" s="16"/>
      <c r="I508" s="16"/>
      <c r="J508" s="16"/>
      <c r="K508" s="16"/>
      <c r="L508" s="16"/>
      <c r="M508" s="16"/>
      <c r="N508" s="16"/>
      <c r="O508" s="16"/>
      <c r="P508" s="16"/>
      <c r="Q508" s="16"/>
      <c r="R508" s="16"/>
      <c r="S508" s="16"/>
      <c r="T508" s="16"/>
      <c r="U508" s="16"/>
      <c r="V508" s="16"/>
      <c r="W508" s="16"/>
      <c r="X508" s="16"/>
      <c r="Y508" s="16"/>
    </row>
    <row r="509" spans="1:25" x14ac:dyDescent="0.2">
      <c r="A509" s="14"/>
      <c r="B509" s="16"/>
      <c r="C509" s="6"/>
      <c r="D509" s="16"/>
      <c r="E509" s="6"/>
      <c r="F509" s="16"/>
      <c r="G509" s="16"/>
      <c r="H509" s="16"/>
      <c r="I509" s="16"/>
      <c r="J509" s="16"/>
      <c r="K509" s="16"/>
      <c r="L509" s="16"/>
      <c r="M509" s="16"/>
      <c r="N509" s="16"/>
      <c r="O509" s="16"/>
      <c r="P509" s="16"/>
      <c r="Q509" s="16"/>
      <c r="R509" s="16"/>
      <c r="S509" s="16"/>
      <c r="T509" s="16"/>
      <c r="U509" s="16"/>
      <c r="V509" s="16"/>
      <c r="W509" s="16"/>
      <c r="X509" s="16"/>
      <c r="Y509" s="16"/>
    </row>
    <row r="510" spans="1:25" x14ac:dyDescent="0.2">
      <c r="A510" s="14"/>
      <c r="B510" s="16"/>
      <c r="C510" s="6"/>
      <c r="D510" s="16"/>
      <c r="E510" s="6"/>
      <c r="F510" s="16"/>
      <c r="G510" s="16"/>
      <c r="H510" s="16"/>
      <c r="I510" s="16"/>
      <c r="J510" s="16"/>
      <c r="K510" s="16"/>
      <c r="L510" s="16"/>
      <c r="M510" s="16"/>
      <c r="N510" s="16"/>
      <c r="O510" s="16"/>
      <c r="P510" s="16"/>
      <c r="Q510" s="16"/>
      <c r="R510" s="16"/>
      <c r="S510" s="16"/>
      <c r="T510" s="16"/>
      <c r="U510" s="16"/>
      <c r="V510" s="16"/>
      <c r="W510" s="16"/>
      <c r="X510" s="16"/>
      <c r="Y510" s="16"/>
    </row>
    <row r="511" spans="1:25" x14ac:dyDescent="0.2">
      <c r="A511" s="14"/>
      <c r="B511" s="16"/>
      <c r="C511" s="6"/>
      <c r="D511" s="16"/>
      <c r="E511" s="6"/>
      <c r="F511" s="16"/>
      <c r="G511" s="16"/>
      <c r="H511" s="16"/>
      <c r="I511" s="16"/>
      <c r="J511" s="16"/>
      <c r="K511" s="16"/>
      <c r="L511" s="16"/>
      <c r="M511" s="16"/>
      <c r="N511" s="16"/>
      <c r="O511" s="16"/>
      <c r="P511" s="16"/>
      <c r="Q511" s="16"/>
      <c r="R511" s="16"/>
      <c r="S511" s="16"/>
      <c r="T511" s="16"/>
      <c r="U511" s="16"/>
      <c r="V511" s="16"/>
      <c r="W511" s="16"/>
      <c r="X511" s="16"/>
      <c r="Y511" s="16"/>
    </row>
    <row r="512" spans="1:25" x14ac:dyDescent="0.2">
      <c r="A512" s="14"/>
      <c r="B512" s="16"/>
      <c r="C512" s="6"/>
      <c r="D512" s="16"/>
      <c r="E512" s="6"/>
      <c r="F512" s="16"/>
      <c r="G512" s="16"/>
      <c r="H512" s="16"/>
      <c r="I512" s="16"/>
      <c r="J512" s="16"/>
      <c r="K512" s="16"/>
      <c r="L512" s="16"/>
      <c r="M512" s="16"/>
      <c r="N512" s="16"/>
      <c r="O512" s="16"/>
      <c r="P512" s="16"/>
      <c r="Q512" s="16"/>
      <c r="R512" s="16"/>
      <c r="S512" s="16"/>
      <c r="T512" s="16"/>
      <c r="U512" s="16"/>
      <c r="V512" s="16"/>
      <c r="W512" s="16"/>
      <c r="X512" s="16"/>
      <c r="Y512" s="16"/>
    </row>
    <row r="513" spans="1:25" x14ac:dyDescent="0.2">
      <c r="A513" s="14"/>
      <c r="B513" s="16"/>
      <c r="C513" s="6"/>
      <c r="D513" s="16"/>
      <c r="E513" s="6"/>
      <c r="F513" s="16"/>
      <c r="G513" s="16"/>
      <c r="H513" s="16"/>
      <c r="I513" s="16"/>
      <c r="J513" s="16"/>
      <c r="K513" s="16"/>
      <c r="L513" s="16"/>
      <c r="M513" s="16"/>
      <c r="N513" s="16"/>
      <c r="O513" s="16"/>
      <c r="P513" s="16"/>
      <c r="Q513" s="16"/>
      <c r="R513" s="16"/>
      <c r="S513" s="16"/>
      <c r="T513" s="16"/>
      <c r="U513" s="16"/>
      <c r="V513" s="16"/>
      <c r="W513" s="16"/>
      <c r="X513" s="16"/>
      <c r="Y513" s="16"/>
    </row>
    <row r="514" spans="1:25" x14ac:dyDescent="0.2">
      <c r="A514" s="14"/>
      <c r="B514" s="16"/>
      <c r="C514" s="6"/>
      <c r="D514" s="16"/>
      <c r="E514" s="6"/>
      <c r="F514" s="16"/>
      <c r="G514" s="16"/>
      <c r="H514" s="16"/>
      <c r="I514" s="16"/>
      <c r="J514" s="16"/>
      <c r="K514" s="16"/>
      <c r="L514" s="16"/>
      <c r="M514" s="16"/>
      <c r="N514" s="16"/>
      <c r="O514" s="16"/>
      <c r="P514" s="16"/>
      <c r="Q514" s="16"/>
      <c r="R514" s="16"/>
      <c r="S514" s="16"/>
      <c r="T514" s="16"/>
      <c r="U514" s="16"/>
      <c r="V514" s="16"/>
      <c r="W514" s="16"/>
      <c r="X514" s="16"/>
      <c r="Y514" s="16"/>
    </row>
    <row r="515" spans="1:25" x14ac:dyDescent="0.2">
      <c r="A515" s="14"/>
      <c r="B515" s="16"/>
      <c r="C515" s="6"/>
      <c r="D515" s="16"/>
      <c r="E515" s="6"/>
      <c r="F515" s="16"/>
      <c r="G515" s="16"/>
      <c r="H515" s="16"/>
      <c r="I515" s="16"/>
      <c r="J515" s="16"/>
      <c r="K515" s="16"/>
      <c r="L515" s="16"/>
      <c r="M515" s="16"/>
      <c r="N515" s="16"/>
      <c r="O515" s="16"/>
      <c r="P515" s="16"/>
      <c r="Q515" s="16"/>
      <c r="R515" s="16"/>
      <c r="S515" s="16"/>
      <c r="T515" s="16"/>
      <c r="U515" s="16"/>
      <c r="V515" s="16"/>
      <c r="W515" s="16"/>
      <c r="X515" s="16"/>
      <c r="Y515" s="16"/>
    </row>
    <row r="516" spans="1:25" x14ac:dyDescent="0.2">
      <c r="A516" s="14"/>
      <c r="B516" s="16"/>
      <c r="C516" s="6"/>
      <c r="D516" s="16"/>
      <c r="E516" s="6"/>
      <c r="F516" s="16"/>
      <c r="G516" s="16"/>
      <c r="H516" s="16"/>
      <c r="I516" s="16"/>
      <c r="J516" s="16"/>
      <c r="K516" s="16"/>
      <c r="L516" s="16"/>
      <c r="M516" s="16"/>
      <c r="N516" s="16"/>
      <c r="O516" s="16"/>
      <c r="P516" s="16"/>
      <c r="Q516" s="16"/>
      <c r="R516" s="16"/>
      <c r="S516" s="16"/>
      <c r="T516" s="16"/>
      <c r="U516" s="16"/>
      <c r="V516" s="16"/>
      <c r="W516" s="16"/>
      <c r="X516" s="16"/>
      <c r="Y516" s="16"/>
    </row>
    <row r="517" spans="1:25" x14ac:dyDescent="0.2">
      <c r="A517" s="14"/>
      <c r="B517" s="16"/>
      <c r="C517" s="6"/>
      <c r="D517" s="16"/>
      <c r="E517" s="6"/>
      <c r="F517" s="16"/>
      <c r="G517" s="16"/>
      <c r="H517" s="16"/>
      <c r="I517" s="16"/>
      <c r="J517" s="16"/>
      <c r="K517" s="16"/>
      <c r="L517" s="16"/>
      <c r="M517" s="16"/>
      <c r="N517" s="16"/>
      <c r="O517" s="16"/>
      <c r="P517" s="16"/>
      <c r="Q517" s="16"/>
      <c r="R517" s="16"/>
      <c r="S517" s="16"/>
      <c r="T517" s="16"/>
      <c r="U517" s="16"/>
      <c r="V517" s="16"/>
      <c r="W517" s="16"/>
      <c r="X517" s="16"/>
      <c r="Y517" s="16"/>
    </row>
    <row r="518" spans="1:25" x14ac:dyDescent="0.2">
      <c r="A518" s="14"/>
      <c r="B518" s="16"/>
      <c r="C518" s="6"/>
      <c r="D518" s="16"/>
      <c r="E518" s="6"/>
      <c r="F518" s="16"/>
      <c r="G518" s="16"/>
      <c r="H518" s="16"/>
      <c r="I518" s="16"/>
      <c r="J518" s="16"/>
      <c r="K518" s="16"/>
      <c r="L518" s="16"/>
      <c r="M518" s="16"/>
      <c r="N518" s="16"/>
      <c r="O518" s="16"/>
      <c r="P518" s="16"/>
      <c r="Q518" s="16"/>
      <c r="R518" s="16"/>
      <c r="S518" s="16"/>
      <c r="T518" s="16"/>
      <c r="U518" s="16"/>
      <c r="V518" s="16"/>
      <c r="W518" s="16"/>
      <c r="X518" s="16"/>
      <c r="Y518" s="16"/>
    </row>
    <row r="519" spans="1:25" x14ac:dyDescent="0.2">
      <c r="A519" s="14"/>
      <c r="B519" s="16"/>
      <c r="C519" s="6"/>
      <c r="D519" s="16"/>
      <c r="E519" s="6"/>
      <c r="F519" s="16"/>
      <c r="G519" s="16"/>
      <c r="H519" s="16"/>
      <c r="I519" s="16"/>
      <c r="J519" s="16"/>
      <c r="K519" s="16"/>
      <c r="L519" s="16"/>
      <c r="M519" s="16"/>
      <c r="N519" s="16"/>
      <c r="O519" s="16"/>
      <c r="P519" s="16"/>
      <c r="Q519" s="16"/>
      <c r="R519" s="16"/>
      <c r="S519" s="16"/>
      <c r="T519" s="16"/>
      <c r="U519" s="16"/>
      <c r="V519" s="16"/>
      <c r="W519" s="16"/>
      <c r="X519" s="16"/>
      <c r="Y519" s="16"/>
    </row>
    <row r="520" spans="1:25" x14ac:dyDescent="0.2">
      <c r="A520" s="14"/>
      <c r="B520" s="16"/>
      <c r="C520" s="6"/>
      <c r="D520" s="16"/>
      <c r="E520" s="6"/>
      <c r="F520" s="16"/>
      <c r="G520" s="16"/>
      <c r="H520" s="16"/>
      <c r="I520" s="16"/>
      <c r="J520" s="16"/>
      <c r="K520" s="16"/>
      <c r="L520" s="16"/>
      <c r="M520" s="16"/>
      <c r="N520" s="16"/>
      <c r="O520" s="16"/>
      <c r="P520" s="16"/>
      <c r="Q520" s="16"/>
      <c r="R520" s="16"/>
      <c r="S520" s="16"/>
      <c r="T520" s="16"/>
      <c r="U520" s="16"/>
      <c r="V520" s="16"/>
      <c r="W520" s="16"/>
      <c r="X520" s="16"/>
      <c r="Y520" s="16"/>
    </row>
    <row r="521" spans="1:25" x14ac:dyDescent="0.2">
      <c r="A521" s="14"/>
      <c r="B521" s="16"/>
      <c r="C521" s="6"/>
      <c r="D521" s="16"/>
      <c r="E521" s="6"/>
      <c r="F521" s="16"/>
      <c r="G521" s="16"/>
      <c r="H521" s="16"/>
      <c r="I521" s="16"/>
      <c r="J521" s="16"/>
      <c r="K521" s="16"/>
      <c r="L521" s="16"/>
      <c r="M521" s="16"/>
      <c r="N521" s="16"/>
      <c r="O521" s="16"/>
      <c r="P521" s="16"/>
      <c r="Q521" s="16"/>
      <c r="R521" s="16"/>
      <c r="S521" s="16"/>
      <c r="T521" s="16"/>
      <c r="U521" s="16"/>
      <c r="V521" s="16"/>
      <c r="W521" s="16"/>
      <c r="X521" s="16"/>
      <c r="Y521" s="16"/>
    </row>
    <row r="522" spans="1:25" x14ac:dyDescent="0.2">
      <c r="A522" s="14"/>
      <c r="B522" s="16"/>
      <c r="C522" s="6"/>
      <c r="D522" s="16"/>
      <c r="E522" s="6"/>
      <c r="F522" s="16"/>
      <c r="G522" s="16"/>
      <c r="H522" s="16"/>
      <c r="I522" s="16"/>
      <c r="J522" s="16"/>
      <c r="K522" s="16"/>
      <c r="L522" s="16"/>
      <c r="M522" s="16"/>
      <c r="N522" s="16"/>
      <c r="O522" s="16"/>
      <c r="P522" s="16"/>
      <c r="Q522" s="16"/>
      <c r="R522" s="16"/>
      <c r="S522" s="16"/>
      <c r="T522" s="16"/>
      <c r="U522" s="16"/>
      <c r="V522" s="16"/>
      <c r="W522" s="16"/>
      <c r="X522" s="16"/>
      <c r="Y522" s="16"/>
    </row>
    <row r="523" spans="1:25" x14ac:dyDescent="0.2">
      <c r="A523" s="14"/>
      <c r="B523" s="16"/>
      <c r="C523" s="6"/>
      <c r="D523" s="16"/>
      <c r="E523" s="6"/>
      <c r="F523" s="16"/>
      <c r="G523" s="16"/>
      <c r="H523" s="16"/>
      <c r="I523" s="16"/>
      <c r="J523" s="16"/>
      <c r="K523" s="16"/>
      <c r="L523" s="16"/>
      <c r="M523" s="16"/>
      <c r="N523" s="16"/>
      <c r="O523" s="16"/>
      <c r="P523" s="16"/>
      <c r="Q523" s="16"/>
      <c r="R523" s="16"/>
      <c r="S523" s="16"/>
      <c r="T523" s="16"/>
      <c r="U523" s="16"/>
      <c r="V523" s="16"/>
      <c r="W523" s="16"/>
      <c r="X523" s="16"/>
      <c r="Y523" s="16"/>
    </row>
    <row r="524" spans="1:25" x14ac:dyDescent="0.2">
      <c r="A524" s="14"/>
      <c r="B524" s="16"/>
      <c r="C524" s="6"/>
      <c r="D524" s="16"/>
      <c r="E524" s="6"/>
      <c r="F524" s="16"/>
      <c r="G524" s="16"/>
      <c r="H524" s="16"/>
      <c r="I524" s="16"/>
      <c r="J524" s="16"/>
      <c r="K524" s="16"/>
      <c r="L524" s="16"/>
      <c r="M524" s="16"/>
      <c r="N524" s="16"/>
      <c r="O524" s="16"/>
      <c r="P524" s="16"/>
      <c r="Q524" s="16"/>
      <c r="R524" s="16"/>
      <c r="S524" s="16"/>
      <c r="T524" s="16"/>
      <c r="U524" s="16"/>
      <c r="V524" s="16"/>
      <c r="W524" s="16"/>
      <c r="X524" s="16"/>
      <c r="Y524" s="16"/>
    </row>
    <row r="525" spans="1:25" x14ac:dyDescent="0.2">
      <c r="A525" s="14"/>
      <c r="B525" s="16"/>
      <c r="C525" s="6"/>
      <c r="D525" s="16"/>
      <c r="E525" s="6"/>
      <c r="F525" s="16"/>
      <c r="G525" s="16"/>
      <c r="H525" s="16"/>
      <c r="I525" s="16"/>
      <c r="J525" s="16"/>
      <c r="K525" s="16"/>
      <c r="L525" s="16"/>
      <c r="M525" s="16"/>
      <c r="N525" s="16"/>
      <c r="O525" s="16"/>
      <c r="P525" s="16"/>
      <c r="Q525" s="16"/>
      <c r="R525" s="16"/>
      <c r="S525" s="16"/>
      <c r="T525" s="16"/>
      <c r="U525" s="16"/>
      <c r="V525" s="16"/>
      <c r="W525" s="16"/>
      <c r="X525" s="16"/>
      <c r="Y525" s="16"/>
    </row>
    <row r="526" spans="1:25" x14ac:dyDescent="0.2">
      <c r="A526" s="14"/>
      <c r="B526" s="16"/>
      <c r="C526" s="6"/>
      <c r="D526" s="16"/>
      <c r="E526" s="6"/>
      <c r="F526" s="16"/>
      <c r="G526" s="16"/>
      <c r="H526" s="16"/>
      <c r="I526" s="16"/>
      <c r="J526" s="16"/>
      <c r="K526" s="16"/>
      <c r="L526" s="16"/>
      <c r="M526" s="16"/>
      <c r="N526" s="16"/>
      <c r="O526" s="16"/>
      <c r="P526" s="16"/>
      <c r="Q526" s="16"/>
      <c r="R526" s="16"/>
      <c r="S526" s="16"/>
      <c r="T526" s="16"/>
      <c r="U526" s="16"/>
      <c r="V526" s="16"/>
      <c r="W526" s="16"/>
      <c r="X526" s="16"/>
      <c r="Y526" s="16"/>
    </row>
    <row r="527" spans="1:25" x14ac:dyDescent="0.2">
      <c r="A527" s="14"/>
      <c r="B527" s="16"/>
      <c r="C527" s="6"/>
      <c r="D527" s="16"/>
      <c r="E527" s="6"/>
      <c r="F527" s="16"/>
      <c r="G527" s="16"/>
      <c r="H527" s="16"/>
      <c r="I527" s="16"/>
      <c r="J527" s="16"/>
      <c r="K527" s="16"/>
      <c r="L527" s="16"/>
      <c r="M527" s="16"/>
      <c r="N527" s="16"/>
      <c r="O527" s="16"/>
      <c r="P527" s="16"/>
      <c r="Q527" s="16"/>
      <c r="R527" s="16"/>
      <c r="S527" s="16"/>
      <c r="T527" s="16"/>
      <c r="U527" s="16"/>
      <c r="V527" s="16"/>
      <c r="W527" s="16"/>
      <c r="X527" s="16"/>
      <c r="Y527" s="16"/>
    </row>
    <row r="528" spans="1:25" x14ac:dyDescent="0.2">
      <c r="A528" s="14"/>
      <c r="B528" s="16"/>
      <c r="C528" s="6"/>
      <c r="D528" s="16"/>
      <c r="E528" s="6"/>
      <c r="F528" s="16"/>
      <c r="G528" s="16"/>
      <c r="H528" s="16"/>
      <c r="I528" s="16"/>
      <c r="J528" s="16"/>
      <c r="K528" s="16"/>
      <c r="L528" s="16"/>
      <c r="M528" s="16"/>
      <c r="N528" s="16"/>
      <c r="O528" s="16"/>
      <c r="P528" s="16"/>
      <c r="Q528" s="16"/>
      <c r="R528" s="16"/>
      <c r="S528" s="16"/>
      <c r="T528" s="16"/>
      <c r="U528" s="16"/>
      <c r="V528" s="16"/>
      <c r="W528" s="16"/>
      <c r="X528" s="16"/>
      <c r="Y528" s="16"/>
    </row>
    <row r="529" spans="1:25" x14ac:dyDescent="0.2">
      <c r="A529" s="14"/>
      <c r="B529" s="16"/>
      <c r="C529" s="6"/>
      <c r="D529" s="16"/>
      <c r="E529" s="6"/>
      <c r="F529" s="16"/>
      <c r="G529" s="16"/>
      <c r="H529" s="16"/>
      <c r="I529" s="16"/>
      <c r="J529" s="16"/>
      <c r="K529" s="16"/>
      <c r="L529" s="16"/>
      <c r="M529" s="16"/>
      <c r="N529" s="16"/>
      <c r="O529" s="16"/>
      <c r="P529" s="16"/>
      <c r="Q529" s="16"/>
      <c r="R529" s="16"/>
      <c r="S529" s="16"/>
      <c r="T529" s="16"/>
      <c r="U529" s="16"/>
      <c r="V529" s="16"/>
      <c r="W529" s="16"/>
      <c r="X529" s="16"/>
      <c r="Y529" s="16"/>
    </row>
    <row r="530" spans="1:25" x14ac:dyDescent="0.2">
      <c r="A530" s="14"/>
      <c r="B530" s="16"/>
      <c r="C530" s="6"/>
      <c r="D530" s="16"/>
      <c r="E530" s="6"/>
      <c r="F530" s="16"/>
      <c r="G530" s="16"/>
      <c r="H530" s="16"/>
      <c r="I530" s="16"/>
      <c r="J530" s="16"/>
      <c r="K530" s="16"/>
      <c r="L530" s="16"/>
      <c r="M530" s="16"/>
      <c r="N530" s="16"/>
      <c r="O530" s="16"/>
      <c r="P530" s="16"/>
      <c r="Q530" s="16"/>
      <c r="R530" s="16"/>
      <c r="S530" s="16"/>
      <c r="T530" s="16"/>
      <c r="U530" s="16"/>
      <c r="V530" s="16"/>
      <c r="W530" s="16"/>
      <c r="X530" s="16"/>
      <c r="Y530" s="16"/>
    </row>
    <row r="531" spans="1:25" x14ac:dyDescent="0.2">
      <c r="A531" s="14"/>
      <c r="B531" s="16"/>
      <c r="C531" s="6"/>
      <c r="D531" s="16"/>
      <c r="E531" s="6"/>
      <c r="F531" s="16"/>
      <c r="G531" s="16"/>
      <c r="H531" s="16"/>
      <c r="I531" s="16"/>
      <c r="J531" s="16"/>
      <c r="K531" s="16"/>
      <c r="L531" s="16"/>
      <c r="M531" s="16"/>
      <c r="N531" s="16"/>
      <c r="O531" s="16"/>
      <c r="P531" s="16"/>
      <c r="Q531" s="16"/>
      <c r="R531" s="16"/>
      <c r="S531" s="16"/>
      <c r="T531" s="16"/>
      <c r="U531" s="16"/>
      <c r="V531" s="16"/>
      <c r="W531" s="16"/>
      <c r="X531" s="16"/>
      <c r="Y531" s="16"/>
    </row>
    <row r="532" spans="1:25" x14ac:dyDescent="0.2">
      <c r="A532" s="14"/>
      <c r="B532" s="16"/>
      <c r="C532" s="6"/>
      <c r="D532" s="16"/>
      <c r="E532" s="6"/>
      <c r="F532" s="16"/>
      <c r="G532" s="16"/>
      <c r="H532" s="16"/>
      <c r="I532" s="16"/>
      <c r="J532" s="16"/>
      <c r="K532" s="16"/>
      <c r="L532" s="16"/>
      <c r="M532" s="16"/>
      <c r="N532" s="16"/>
      <c r="O532" s="16"/>
      <c r="P532" s="16"/>
      <c r="Q532" s="16"/>
      <c r="R532" s="16"/>
      <c r="S532" s="16"/>
      <c r="T532" s="16"/>
      <c r="U532" s="16"/>
      <c r="V532" s="16"/>
      <c r="W532" s="16"/>
      <c r="X532" s="16"/>
      <c r="Y532" s="16"/>
    </row>
    <row r="533" spans="1:25" x14ac:dyDescent="0.2">
      <c r="A533" s="14"/>
      <c r="B533" s="16"/>
      <c r="C533" s="6"/>
      <c r="D533" s="16"/>
      <c r="E533" s="6"/>
      <c r="F533" s="16"/>
      <c r="G533" s="16"/>
      <c r="H533" s="16"/>
      <c r="I533" s="16"/>
      <c r="J533" s="16"/>
      <c r="K533" s="16"/>
      <c r="L533" s="16"/>
      <c r="M533" s="16"/>
      <c r="N533" s="16"/>
      <c r="O533" s="16"/>
      <c r="P533" s="16"/>
      <c r="Q533" s="16"/>
      <c r="R533" s="16"/>
      <c r="S533" s="16"/>
      <c r="T533" s="16"/>
      <c r="U533" s="16"/>
      <c r="V533" s="16"/>
      <c r="W533" s="16"/>
      <c r="X533" s="16"/>
      <c r="Y533" s="16"/>
    </row>
    <row r="534" spans="1:25" x14ac:dyDescent="0.2">
      <c r="A534" s="14"/>
      <c r="B534" s="16"/>
      <c r="C534" s="6"/>
      <c r="D534" s="16"/>
      <c r="E534" s="6"/>
      <c r="F534" s="16"/>
      <c r="G534" s="16"/>
      <c r="H534" s="16"/>
      <c r="I534" s="16"/>
      <c r="J534" s="16"/>
      <c r="K534" s="16"/>
      <c r="L534" s="16"/>
      <c r="M534" s="16"/>
      <c r="N534" s="16"/>
      <c r="O534" s="16"/>
      <c r="P534" s="16"/>
      <c r="Q534" s="16"/>
      <c r="R534" s="16"/>
      <c r="S534" s="16"/>
      <c r="T534" s="16"/>
      <c r="U534" s="16"/>
      <c r="V534" s="16"/>
      <c r="W534" s="16"/>
      <c r="X534" s="16"/>
      <c r="Y534" s="16"/>
    </row>
    <row r="535" spans="1:25" x14ac:dyDescent="0.2">
      <c r="A535" s="14"/>
      <c r="B535" s="16"/>
      <c r="C535" s="6"/>
      <c r="D535" s="16"/>
      <c r="E535" s="6"/>
      <c r="F535" s="16"/>
      <c r="G535" s="16"/>
      <c r="H535" s="16"/>
      <c r="I535" s="16"/>
      <c r="J535" s="16"/>
      <c r="K535" s="16"/>
      <c r="L535" s="16"/>
      <c r="M535" s="16"/>
      <c r="N535" s="16"/>
      <c r="O535" s="16"/>
      <c r="P535" s="16"/>
      <c r="Q535" s="16"/>
      <c r="R535" s="16"/>
      <c r="S535" s="16"/>
      <c r="T535" s="16"/>
      <c r="U535" s="16"/>
      <c r="V535" s="16"/>
      <c r="W535" s="16"/>
      <c r="X535" s="16"/>
      <c r="Y535" s="16"/>
    </row>
    <row r="536" spans="1:25" x14ac:dyDescent="0.2">
      <c r="A536" s="14"/>
      <c r="B536" s="16"/>
      <c r="C536" s="6"/>
      <c r="D536" s="16"/>
      <c r="E536" s="6"/>
      <c r="F536" s="16"/>
      <c r="G536" s="16"/>
      <c r="H536" s="16"/>
      <c r="I536" s="16"/>
      <c r="J536" s="16"/>
      <c r="K536" s="16"/>
      <c r="L536" s="16"/>
      <c r="M536" s="16"/>
      <c r="N536" s="16"/>
      <c r="O536" s="16"/>
      <c r="P536" s="16"/>
      <c r="Q536" s="16"/>
      <c r="R536" s="16"/>
      <c r="S536" s="16"/>
      <c r="T536" s="16"/>
      <c r="U536" s="16"/>
      <c r="V536" s="16"/>
      <c r="W536" s="16"/>
      <c r="X536" s="16"/>
      <c r="Y536" s="16"/>
    </row>
    <row r="537" spans="1:25" x14ac:dyDescent="0.2">
      <c r="A537" s="14"/>
      <c r="B537" s="16"/>
      <c r="C537" s="6"/>
      <c r="D537" s="16"/>
      <c r="E537" s="6"/>
      <c r="F537" s="16"/>
      <c r="G537" s="16"/>
      <c r="H537" s="16"/>
      <c r="I537" s="16"/>
      <c r="J537" s="16"/>
      <c r="K537" s="16"/>
      <c r="L537" s="16"/>
      <c r="M537" s="16"/>
      <c r="N537" s="16"/>
      <c r="O537" s="16"/>
      <c r="P537" s="16"/>
      <c r="Q537" s="16"/>
      <c r="R537" s="16"/>
      <c r="S537" s="16"/>
      <c r="T537" s="16"/>
      <c r="U537" s="16"/>
      <c r="V537" s="16"/>
      <c r="W537" s="16"/>
      <c r="X537" s="16"/>
      <c r="Y537" s="16"/>
    </row>
    <row r="538" spans="1:25" x14ac:dyDescent="0.2">
      <c r="A538" s="14"/>
      <c r="B538" s="16"/>
      <c r="C538" s="6"/>
      <c r="D538" s="16"/>
      <c r="E538" s="6"/>
      <c r="F538" s="16"/>
      <c r="G538" s="16"/>
      <c r="H538" s="16"/>
      <c r="I538" s="16"/>
      <c r="J538" s="16"/>
      <c r="K538" s="16"/>
      <c r="L538" s="16"/>
      <c r="M538" s="16"/>
      <c r="N538" s="16"/>
      <c r="O538" s="16"/>
      <c r="P538" s="16"/>
      <c r="Q538" s="16"/>
      <c r="R538" s="16"/>
      <c r="S538" s="16"/>
      <c r="T538" s="16"/>
      <c r="U538" s="16"/>
      <c r="V538" s="16"/>
      <c r="W538" s="16"/>
      <c r="X538" s="16"/>
      <c r="Y538" s="16"/>
    </row>
    <row r="539" spans="1:25" x14ac:dyDescent="0.2">
      <c r="A539" s="14"/>
      <c r="B539" s="16"/>
      <c r="C539" s="6"/>
      <c r="D539" s="16"/>
      <c r="E539" s="6"/>
      <c r="F539" s="16"/>
      <c r="G539" s="16"/>
      <c r="H539" s="16"/>
      <c r="I539" s="16"/>
      <c r="J539" s="16"/>
      <c r="K539" s="16"/>
      <c r="L539" s="16"/>
      <c r="M539" s="16"/>
      <c r="N539" s="16"/>
      <c r="O539" s="16"/>
      <c r="P539" s="16"/>
      <c r="Q539" s="16"/>
      <c r="R539" s="16"/>
      <c r="S539" s="16"/>
      <c r="T539" s="16"/>
      <c r="U539" s="16"/>
      <c r="V539" s="16"/>
      <c r="W539" s="16"/>
      <c r="X539" s="16"/>
      <c r="Y539" s="16"/>
    </row>
    <row r="540" spans="1:25" x14ac:dyDescent="0.2">
      <c r="A540" s="14"/>
      <c r="B540" s="16"/>
      <c r="C540" s="6"/>
      <c r="D540" s="16"/>
      <c r="E540" s="6"/>
      <c r="F540" s="16"/>
      <c r="G540" s="16"/>
      <c r="H540" s="16"/>
      <c r="I540" s="16"/>
      <c r="J540" s="16"/>
      <c r="K540" s="16"/>
      <c r="L540" s="16"/>
      <c r="M540" s="16"/>
      <c r="N540" s="16"/>
      <c r="O540" s="16"/>
      <c r="P540" s="16"/>
      <c r="Q540" s="16"/>
      <c r="R540" s="16"/>
      <c r="S540" s="16"/>
      <c r="T540" s="16"/>
      <c r="U540" s="16"/>
      <c r="V540" s="16"/>
      <c r="W540" s="16"/>
      <c r="X540" s="16"/>
      <c r="Y540" s="16"/>
    </row>
    <row r="541" spans="1:25" x14ac:dyDescent="0.2">
      <c r="A541" s="14"/>
      <c r="B541" s="16"/>
      <c r="C541" s="6"/>
      <c r="D541" s="16"/>
      <c r="E541" s="6"/>
      <c r="F541" s="16"/>
      <c r="G541" s="16"/>
      <c r="H541" s="16"/>
      <c r="I541" s="16"/>
      <c r="J541" s="16"/>
      <c r="K541" s="16"/>
      <c r="L541" s="16"/>
      <c r="M541" s="16"/>
      <c r="N541" s="16"/>
      <c r="O541" s="16"/>
      <c r="P541" s="16"/>
      <c r="Q541" s="16"/>
      <c r="R541" s="16"/>
      <c r="S541" s="16"/>
      <c r="T541" s="16"/>
      <c r="U541" s="16"/>
      <c r="V541" s="16"/>
      <c r="W541" s="16"/>
      <c r="X541" s="16"/>
      <c r="Y541" s="16"/>
    </row>
    <row r="542" spans="1:25" x14ac:dyDescent="0.2">
      <c r="A542" s="14"/>
      <c r="B542" s="16"/>
      <c r="C542" s="6"/>
      <c r="D542" s="16"/>
      <c r="E542" s="6"/>
      <c r="F542" s="16"/>
      <c r="G542" s="16"/>
      <c r="H542" s="16"/>
      <c r="I542" s="16"/>
      <c r="J542" s="16"/>
      <c r="K542" s="16"/>
      <c r="L542" s="16"/>
      <c r="M542" s="16"/>
      <c r="N542" s="16"/>
      <c r="O542" s="16"/>
      <c r="P542" s="16"/>
      <c r="Q542" s="16"/>
      <c r="R542" s="16"/>
      <c r="S542" s="16"/>
      <c r="T542" s="16"/>
      <c r="U542" s="16"/>
      <c r="V542" s="16"/>
      <c r="W542" s="16"/>
      <c r="X542" s="16"/>
      <c r="Y542" s="16"/>
    </row>
    <row r="543" spans="1:25" x14ac:dyDescent="0.2">
      <c r="A543" s="14"/>
      <c r="B543" s="16"/>
      <c r="C543" s="6"/>
      <c r="D543" s="16"/>
      <c r="E543" s="6"/>
      <c r="F543" s="16"/>
      <c r="G543" s="16"/>
      <c r="H543" s="16"/>
      <c r="I543" s="16"/>
      <c r="J543" s="16"/>
      <c r="K543" s="16"/>
      <c r="L543" s="16"/>
      <c r="M543" s="16"/>
      <c r="N543" s="16"/>
      <c r="O543" s="16"/>
      <c r="P543" s="16"/>
      <c r="Q543" s="16"/>
      <c r="R543" s="16"/>
      <c r="S543" s="16"/>
      <c r="T543" s="16"/>
      <c r="U543" s="16"/>
      <c r="V543" s="16"/>
      <c r="W543" s="16"/>
      <c r="X543" s="16"/>
      <c r="Y543" s="16"/>
    </row>
    <row r="544" spans="1:25" x14ac:dyDescent="0.2">
      <c r="A544" s="14"/>
      <c r="B544" s="16"/>
      <c r="C544" s="6"/>
      <c r="D544" s="16"/>
      <c r="E544" s="6"/>
      <c r="F544" s="16"/>
      <c r="G544" s="16"/>
      <c r="H544" s="16"/>
      <c r="I544" s="16"/>
      <c r="J544" s="16"/>
      <c r="K544" s="16"/>
      <c r="L544" s="16"/>
      <c r="M544" s="16"/>
      <c r="N544" s="16"/>
      <c r="O544" s="16"/>
      <c r="P544" s="16"/>
      <c r="Q544" s="16"/>
      <c r="R544" s="16"/>
      <c r="S544" s="16"/>
      <c r="T544" s="16"/>
      <c r="U544" s="16"/>
      <c r="V544" s="16"/>
      <c r="W544" s="16"/>
      <c r="X544" s="16"/>
      <c r="Y544" s="16"/>
    </row>
    <row r="545" spans="1:25" x14ac:dyDescent="0.2">
      <c r="A545" s="14"/>
      <c r="B545" s="16"/>
      <c r="C545" s="6"/>
      <c r="D545" s="16"/>
      <c r="E545" s="6"/>
      <c r="F545" s="16"/>
      <c r="G545" s="16"/>
      <c r="H545" s="16"/>
      <c r="I545" s="16"/>
      <c r="J545" s="16"/>
      <c r="K545" s="16"/>
      <c r="L545" s="16"/>
      <c r="M545" s="16"/>
      <c r="N545" s="16"/>
      <c r="O545" s="16"/>
      <c r="P545" s="16"/>
      <c r="Q545" s="16"/>
      <c r="R545" s="16"/>
      <c r="S545" s="16"/>
      <c r="T545" s="16"/>
      <c r="U545" s="16"/>
      <c r="V545" s="16"/>
      <c r="W545" s="16"/>
      <c r="X545" s="16"/>
      <c r="Y545" s="16"/>
    </row>
    <row r="546" spans="1:25" x14ac:dyDescent="0.2">
      <c r="A546" s="14"/>
      <c r="B546" s="16"/>
      <c r="C546" s="6"/>
      <c r="D546" s="16"/>
      <c r="E546" s="6"/>
      <c r="F546" s="16"/>
      <c r="G546" s="16"/>
      <c r="H546" s="16"/>
      <c r="I546" s="16"/>
      <c r="J546" s="16"/>
      <c r="K546" s="16"/>
      <c r="L546" s="16"/>
      <c r="M546" s="16"/>
      <c r="N546" s="16"/>
      <c r="O546" s="16"/>
      <c r="P546" s="16"/>
      <c r="Q546" s="16"/>
      <c r="R546" s="16"/>
      <c r="S546" s="16"/>
      <c r="T546" s="16"/>
      <c r="U546" s="16"/>
      <c r="V546" s="16"/>
      <c r="W546" s="16"/>
      <c r="X546" s="16"/>
      <c r="Y546" s="16"/>
    </row>
    <row r="547" spans="1:25" x14ac:dyDescent="0.2">
      <c r="A547" s="14"/>
      <c r="B547" s="16"/>
      <c r="C547" s="6"/>
      <c r="D547" s="16"/>
      <c r="E547" s="6"/>
      <c r="F547" s="16"/>
      <c r="G547" s="16"/>
      <c r="H547" s="16"/>
      <c r="I547" s="16"/>
      <c r="J547" s="16"/>
      <c r="K547" s="16"/>
      <c r="L547" s="16"/>
      <c r="M547" s="16"/>
      <c r="N547" s="16"/>
      <c r="O547" s="16"/>
      <c r="P547" s="16"/>
      <c r="Q547" s="16"/>
      <c r="R547" s="16"/>
      <c r="S547" s="16"/>
      <c r="T547" s="16"/>
      <c r="U547" s="16"/>
      <c r="V547" s="16"/>
      <c r="W547" s="16"/>
      <c r="X547" s="16"/>
      <c r="Y547" s="16"/>
    </row>
    <row r="548" spans="1:25" x14ac:dyDescent="0.2">
      <c r="A548" s="14"/>
      <c r="B548" s="16"/>
      <c r="C548" s="6"/>
      <c r="D548" s="16"/>
      <c r="E548" s="6"/>
      <c r="F548" s="16"/>
      <c r="G548" s="16"/>
      <c r="H548" s="16"/>
      <c r="I548" s="16"/>
      <c r="J548" s="16"/>
      <c r="K548" s="16"/>
      <c r="L548" s="16"/>
      <c r="M548" s="16"/>
      <c r="N548" s="16"/>
      <c r="O548" s="16"/>
      <c r="P548" s="16"/>
      <c r="Q548" s="16"/>
      <c r="R548" s="16"/>
      <c r="S548" s="16"/>
      <c r="T548" s="16"/>
      <c r="U548" s="16"/>
      <c r="V548" s="16"/>
      <c r="W548" s="16"/>
      <c r="X548" s="16"/>
      <c r="Y548" s="16"/>
    </row>
    <row r="549" spans="1:25" x14ac:dyDescent="0.2">
      <c r="A549" s="14"/>
      <c r="B549" s="16"/>
      <c r="C549" s="6"/>
      <c r="D549" s="16"/>
      <c r="E549" s="6"/>
      <c r="F549" s="16"/>
      <c r="G549" s="16"/>
      <c r="H549" s="16"/>
      <c r="I549" s="16"/>
      <c r="J549" s="16"/>
      <c r="K549" s="16"/>
      <c r="L549" s="16"/>
      <c r="M549" s="16"/>
      <c r="N549" s="16"/>
      <c r="O549" s="16"/>
      <c r="P549" s="16"/>
      <c r="Q549" s="16"/>
      <c r="R549" s="16"/>
      <c r="S549" s="16"/>
      <c r="T549" s="16"/>
      <c r="U549" s="16"/>
      <c r="V549" s="16"/>
      <c r="W549" s="16"/>
      <c r="X549" s="16"/>
      <c r="Y549" s="16"/>
    </row>
    <row r="550" spans="1:25" x14ac:dyDescent="0.2">
      <c r="A550" s="14"/>
      <c r="B550" s="16"/>
      <c r="C550" s="6"/>
      <c r="D550" s="16"/>
      <c r="E550" s="6"/>
      <c r="F550" s="16"/>
      <c r="G550" s="16"/>
      <c r="H550" s="16"/>
      <c r="I550" s="16"/>
      <c r="J550" s="16"/>
      <c r="K550" s="16"/>
      <c r="L550" s="16"/>
      <c r="M550" s="16"/>
      <c r="N550" s="16"/>
      <c r="O550" s="16"/>
      <c r="P550" s="16"/>
      <c r="Q550" s="16"/>
      <c r="R550" s="16"/>
      <c r="S550" s="16"/>
      <c r="T550" s="16"/>
      <c r="U550" s="16"/>
      <c r="V550" s="16"/>
      <c r="W550" s="16"/>
      <c r="X550" s="16"/>
      <c r="Y550" s="16"/>
    </row>
    <row r="551" spans="1:25" x14ac:dyDescent="0.2">
      <c r="A551" s="14"/>
      <c r="B551" s="16"/>
      <c r="C551" s="6"/>
      <c r="D551" s="16"/>
      <c r="E551" s="6"/>
      <c r="F551" s="16"/>
      <c r="G551" s="16"/>
      <c r="H551" s="16"/>
      <c r="I551" s="16"/>
      <c r="J551" s="16"/>
      <c r="K551" s="16"/>
      <c r="L551" s="16"/>
      <c r="M551" s="16"/>
      <c r="N551" s="16"/>
      <c r="O551" s="16"/>
      <c r="P551" s="16"/>
      <c r="Q551" s="16"/>
      <c r="R551" s="16"/>
      <c r="S551" s="16"/>
      <c r="T551" s="16"/>
      <c r="U551" s="16"/>
      <c r="V551" s="16"/>
      <c r="W551" s="16"/>
      <c r="X551" s="16"/>
      <c r="Y551" s="16"/>
    </row>
    <row r="552" spans="1:25" x14ac:dyDescent="0.2">
      <c r="A552" s="14"/>
      <c r="B552" s="16"/>
      <c r="C552" s="6"/>
      <c r="D552" s="16"/>
      <c r="E552" s="6"/>
      <c r="F552" s="16"/>
      <c r="G552" s="16"/>
      <c r="H552" s="16"/>
      <c r="I552" s="16"/>
      <c r="J552" s="16"/>
      <c r="K552" s="16"/>
      <c r="L552" s="16"/>
      <c r="M552" s="16"/>
      <c r="N552" s="16"/>
      <c r="O552" s="16"/>
      <c r="P552" s="16"/>
      <c r="Q552" s="16"/>
      <c r="R552" s="16"/>
      <c r="S552" s="16"/>
      <c r="T552" s="16"/>
      <c r="U552" s="16"/>
      <c r="V552" s="16"/>
      <c r="W552" s="16"/>
      <c r="X552" s="16"/>
      <c r="Y552" s="16"/>
    </row>
    <row r="553" spans="1:25" x14ac:dyDescent="0.2">
      <c r="A553" s="14"/>
      <c r="B553" s="16"/>
      <c r="C553" s="6"/>
      <c r="D553" s="16"/>
      <c r="E553" s="6"/>
      <c r="F553" s="16"/>
      <c r="G553" s="16"/>
      <c r="H553" s="16"/>
      <c r="I553" s="16"/>
      <c r="J553" s="16"/>
      <c r="K553" s="16"/>
      <c r="L553" s="16"/>
      <c r="M553" s="16"/>
      <c r="N553" s="16"/>
      <c r="O553" s="16"/>
      <c r="P553" s="16"/>
      <c r="Q553" s="16"/>
      <c r="R553" s="16"/>
      <c r="S553" s="16"/>
      <c r="T553" s="16"/>
      <c r="U553" s="16"/>
      <c r="V553" s="16"/>
      <c r="W553" s="16"/>
      <c r="X553" s="16"/>
      <c r="Y553" s="16"/>
    </row>
    <row r="554" spans="1:25" x14ac:dyDescent="0.2">
      <c r="A554" s="14"/>
      <c r="B554" s="16"/>
      <c r="C554" s="6"/>
      <c r="D554" s="16"/>
      <c r="E554" s="6"/>
      <c r="F554" s="16"/>
      <c r="G554" s="16"/>
      <c r="H554" s="16"/>
      <c r="I554" s="16"/>
      <c r="J554" s="16"/>
      <c r="K554" s="16"/>
      <c r="L554" s="16"/>
      <c r="M554" s="16"/>
      <c r="N554" s="16"/>
      <c r="O554" s="16"/>
      <c r="P554" s="16"/>
      <c r="Q554" s="16"/>
      <c r="R554" s="16"/>
      <c r="S554" s="16"/>
      <c r="T554" s="16"/>
      <c r="U554" s="16"/>
      <c r="V554" s="16"/>
      <c r="W554" s="16"/>
      <c r="X554" s="16"/>
      <c r="Y554" s="16"/>
    </row>
    <row r="555" spans="1:25" x14ac:dyDescent="0.2">
      <c r="A555" s="14"/>
      <c r="B555" s="16"/>
      <c r="C555" s="6"/>
      <c r="D555" s="16"/>
      <c r="E555" s="6"/>
      <c r="F555" s="16"/>
      <c r="G555" s="16"/>
      <c r="H555" s="16"/>
      <c r="I555" s="16"/>
      <c r="J555" s="16"/>
      <c r="K555" s="16"/>
      <c r="L555" s="16"/>
      <c r="M555" s="16"/>
      <c r="N555" s="16"/>
      <c r="O555" s="16"/>
      <c r="P555" s="16"/>
      <c r="Q555" s="16"/>
      <c r="R555" s="16"/>
      <c r="S555" s="16"/>
      <c r="T555" s="16"/>
      <c r="U555" s="16"/>
      <c r="V555" s="16"/>
      <c r="W555" s="16"/>
      <c r="X555" s="16"/>
      <c r="Y555" s="16"/>
    </row>
    <row r="556" spans="1:25" x14ac:dyDescent="0.2">
      <c r="A556" s="14"/>
      <c r="B556" s="16"/>
      <c r="C556" s="6"/>
      <c r="D556" s="16"/>
      <c r="E556" s="6"/>
      <c r="F556" s="16"/>
      <c r="G556" s="16"/>
      <c r="H556" s="16"/>
      <c r="I556" s="16"/>
      <c r="J556" s="16"/>
      <c r="K556" s="16"/>
      <c r="L556" s="16"/>
      <c r="M556" s="16"/>
      <c r="N556" s="16"/>
      <c r="O556" s="16"/>
      <c r="P556" s="16"/>
      <c r="Q556" s="16"/>
      <c r="R556" s="16"/>
      <c r="S556" s="16"/>
      <c r="T556" s="16"/>
      <c r="U556" s="16"/>
      <c r="V556" s="16"/>
      <c r="W556" s="16"/>
      <c r="X556" s="16"/>
      <c r="Y556" s="16"/>
    </row>
    <row r="557" spans="1:25" x14ac:dyDescent="0.2">
      <c r="A557" s="14"/>
      <c r="B557" s="16"/>
      <c r="C557" s="6"/>
      <c r="D557" s="16"/>
      <c r="E557" s="6"/>
      <c r="F557" s="16"/>
      <c r="G557" s="16"/>
      <c r="H557" s="16"/>
      <c r="I557" s="16"/>
      <c r="J557" s="16"/>
      <c r="K557" s="16"/>
      <c r="L557" s="16"/>
      <c r="M557" s="16"/>
      <c r="N557" s="16"/>
      <c r="O557" s="16"/>
      <c r="P557" s="16"/>
      <c r="Q557" s="16"/>
      <c r="R557" s="16"/>
      <c r="S557" s="16"/>
      <c r="T557" s="16"/>
      <c r="U557" s="16"/>
      <c r="V557" s="16"/>
      <c r="W557" s="16"/>
      <c r="X557" s="16"/>
      <c r="Y557" s="16"/>
    </row>
    <row r="558" spans="1:25" x14ac:dyDescent="0.2">
      <c r="A558" s="14"/>
      <c r="B558" s="16"/>
      <c r="C558" s="6"/>
      <c r="D558" s="16"/>
      <c r="E558" s="6"/>
      <c r="F558" s="16"/>
      <c r="G558" s="16"/>
      <c r="H558" s="16"/>
      <c r="I558" s="16"/>
      <c r="J558" s="16"/>
      <c r="K558" s="16"/>
      <c r="L558" s="16"/>
      <c r="M558" s="16"/>
      <c r="N558" s="16"/>
      <c r="O558" s="16"/>
      <c r="P558" s="16"/>
      <c r="Q558" s="16"/>
      <c r="R558" s="16"/>
      <c r="S558" s="16"/>
      <c r="T558" s="16"/>
      <c r="U558" s="16"/>
      <c r="V558" s="16"/>
      <c r="W558" s="16"/>
      <c r="X558" s="16"/>
      <c r="Y558" s="16"/>
    </row>
    <row r="559" spans="1:25" x14ac:dyDescent="0.2">
      <c r="A559" s="14"/>
      <c r="B559" s="16"/>
      <c r="C559" s="6"/>
      <c r="D559" s="16"/>
      <c r="E559" s="6"/>
      <c r="F559" s="16"/>
      <c r="G559" s="16"/>
      <c r="H559" s="16"/>
      <c r="I559" s="16"/>
      <c r="J559" s="16"/>
      <c r="K559" s="16"/>
      <c r="L559" s="16"/>
      <c r="M559" s="16"/>
      <c r="N559" s="16"/>
      <c r="O559" s="16"/>
      <c r="P559" s="16"/>
      <c r="Q559" s="16"/>
      <c r="R559" s="16"/>
      <c r="S559" s="16"/>
      <c r="T559" s="16"/>
      <c r="U559" s="16"/>
      <c r="V559" s="16"/>
      <c r="W559" s="16"/>
      <c r="X559" s="16"/>
      <c r="Y559" s="16"/>
    </row>
    <row r="560" spans="1:25" x14ac:dyDescent="0.2">
      <c r="A560" s="14"/>
      <c r="B560" s="16"/>
      <c r="C560" s="6"/>
      <c r="D560" s="16"/>
      <c r="E560" s="6"/>
      <c r="F560" s="16"/>
      <c r="G560" s="16"/>
      <c r="H560" s="16"/>
      <c r="I560" s="16"/>
      <c r="J560" s="16"/>
      <c r="K560" s="16"/>
      <c r="L560" s="16"/>
      <c r="M560" s="16"/>
      <c r="N560" s="16"/>
      <c r="O560" s="16"/>
      <c r="P560" s="16"/>
      <c r="Q560" s="16"/>
      <c r="R560" s="16"/>
      <c r="S560" s="16"/>
      <c r="T560" s="16"/>
      <c r="U560" s="16"/>
      <c r="V560" s="16"/>
      <c r="W560" s="16"/>
      <c r="X560" s="16"/>
      <c r="Y560" s="16"/>
    </row>
    <row r="561" spans="1:25" x14ac:dyDescent="0.2">
      <c r="A561" s="14"/>
      <c r="B561" s="16"/>
      <c r="C561" s="6"/>
      <c r="D561" s="16"/>
      <c r="E561" s="6"/>
      <c r="F561" s="16"/>
      <c r="G561" s="16"/>
      <c r="H561" s="16"/>
      <c r="I561" s="16"/>
      <c r="J561" s="16"/>
      <c r="K561" s="16"/>
      <c r="L561" s="16"/>
      <c r="M561" s="16"/>
      <c r="N561" s="16"/>
      <c r="O561" s="16"/>
      <c r="P561" s="16"/>
      <c r="Q561" s="16"/>
      <c r="R561" s="16"/>
      <c r="S561" s="16"/>
      <c r="T561" s="16"/>
      <c r="U561" s="16"/>
      <c r="V561" s="16"/>
      <c r="W561" s="16"/>
      <c r="X561" s="16"/>
      <c r="Y561" s="16"/>
    </row>
    <row r="562" spans="1:25" x14ac:dyDescent="0.2">
      <c r="A562" s="14"/>
      <c r="B562" s="16"/>
      <c r="C562" s="6"/>
      <c r="D562" s="16"/>
      <c r="E562" s="6"/>
      <c r="F562" s="16"/>
      <c r="G562" s="16"/>
      <c r="H562" s="16"/>
      <c r="I562" s="16"/>
      <c r="J562" s="16"/>
      <c r="K562" s="16"/>
      <c r="L562" s="16"/>
      <c r="M562" s="16"/>
      <c r="N562" s="16"/>
      <c r="O562" s="16"/>
      <c r="P562" s="16"/>
      <c r="Q562" s="16"/>
      <c r="R562" s="16"/>
      <c r="S562" s="16"/>
      <c r="T562" s="16"/>
      <c r="U562" s="16"/>
      <c r="V562" s="16"/>
      <c r="W562" s="16"/>
      <c r="X562" s="16"/>
      <c r="Y562" s="16"/>
    </row>
    <row r="563" spans="1:25" x14ac:dyDescent="0.2">
      <c r="A563" s="14"/>
      <c r="B563" s="16"/>
      <c r="C563" s="6"/>
      <c r="D563" s="16"/>
      <c r="E563" s="6"/>
      <c r="F563" s="16"/>
      <c r="G563" s="16"/>
      <c r="H563" s="16"/>
      <c r="I563" s="16"/>
      <c r="J563" s="16"/>
      <c r="K563" s="16"/>
      <c r="L563" s="16"/>
      <c r="M563" s="16"/>
      <c r="N563" s="16"/>
      <c r="O563" s="16"/>
      <c r="P563" s="16"/>
      <c r="Q563" s="16"/>
      <c r="R563" s="16"/>
      <c r="S563" s="16"/>
      <c r="T563" s="16"/>
      <c r="U563" s="16"/>
      <c r="V563" s="16"/>
      <c r="W563" s="16"/>
      <c r="X563" s="16"/>
      <c r="Y563" s="16"/>
    </row>
    <row r="564" spans="1:25" x14ac:dyDescent="0.2">
      <c r="A564" s="14"/>
      <c r="B564" s="16"/>
      <c r="C564" s="6"/>
      <c r="D564" s="16"/>
      <c r="E564" s="6"/>
      <c r="F564" s="16"/>
      <c r="G564" s="16"/>
      <c r="H564" s="16"/>
      <c r="I564" s="16"/>
      <c r="J564" s="16"/>
      <c r="K564" s="16"/>
      <c r="L564" s="16"/>
      <c r="M564" s="16"/>
      <c r="N564" s="16"/>
      <c r="O564" s="16"/>
      <c r="P564" s="16"/>
      <c r="Q564" s="16"/>
      <c r="R564" s="16"/>
      <c r="S564" s="16"/>
      <c r="T564" s="16"/>
      <c r="U564" s="16"/>
      <c r="V564" s="16"/>
      <c r="W564" s="16"/>
      <c r="X564" s="16"/>
      <c r="Y564" s="16"/>
    </row>
    <row r="565" spans="1:25" x14ac:dyDescent="0.2">
      <c r="A565" s="14"/>
      <c r="B565" s="16"/>
      <c r="C565" s="6"/>
      <c r="D565" s="16"/>
      <c r="E565" s="6"/>
      <c r="F565" s="16"/>
      <c r="G565" s="16"/>
      <c r="H565" s="16"/>
      <c r="I565" s="16"/>
      <c r="J565" s="16"/>
      <c r="K565" s="16"/>
      <c r="L565" s="16"/>
      <c r="M565" s="16"/>
      <c r="N565" s="16"/>
      <c r="O565" s="16"/>
      <c r="P565" s="16"/>
      <c r="Q565" s="16"/>
      <c r="R565" s="16"/>
      <c r="S565" s="16"/>
      <c r="T565" s="16"/>
      <c r="U565" s="16"/>
      <c r="V565" s="16"/>
      <c r="W565" s="16"/>
      <c r="X565" s="16"/>
      <c r="Y565" s="16"/>
    </row>
    <row r="566" spans="1:25" x14ac:dyDescent="0.2">
      <c r="A566" s="14"/>
      <c r="B566" s="16"/>
      <c r="C566" s="6"/>
      <c r="D566" s="16"/>
      <c r="E566" s="6"/>
      <c r="F566" s="16"/>
      <c r="G566" s="16"/>
      <c r="H566" s="16"/>
      <c r="I566" s="16"/>
      <c r="J566" s="16"/>
      <c r="K566" s="16"/>
      <c r="L566" s="16"/>
      <c r="M566" s="16"/>
      <c r="N566" s="16"/>
      <c r="O566" s="16"/>
      <c r="P566" s="16"/>
      <c r="Q566" s="16"/>
      <c r="R566" s="16"/>
      <c r="S566" s="16"/>
      <c r="T566" s="16"/>
      <c r="U566" s="16"/>
      <c r="V566" s="16"/>
      <c r="W566" s="16"/>
      <c r="X566" s="16"/>
      <c r="Y566" s="16"/>
    </row>
    <row r="567" spans="1:25" x14ac:dyDescent="0.2">
      <c r="A567" s="14"/>
      <c r="B567" s="16"/>
      <c r="C567" s="6"/>
      <c r="D567" s="16"/>
      <c r="E567" s="6"/>
      <c r="F567" s="16"/>
      <c r="G567" s="16"/>
      <c r="H567" s="16"/>
      <c r="I567" s="16"/>
      <c r="J567" s="16"/>
      <c r="K567" s="16"/>
      <c r="L567" s="16"/>
      <c r="M567" s="16"/>
      <c r="N567" s="16"/>
      <c r="O567" s="16"/>
      <c r="P567" s="16"/>
      <c r="Q567" s="16"/>
      <c r="R567" s="16"/>
      <c r="S567" s="16"/>
      <c r="T567" s="16"/>
      <c r="U567" s="16"/>
      <c r="V567" s="16"/>
      <c r="W567" s="16"/>
      <c r="X567" s="16"/>
      <c r="Y567" s="16"/>
    </row>
    <row r="568" spans="1:25" x14ac:dyDescent="0.2">
      <c r="A568" s="14"/>
      <c r="B568" s="16"/>
      <c r="C568" s="6"/>
      <c r="D568" s="16"/>
      <c r="E568" s="6"/>
      <c r="F568" s="16"/>
      <c r="G568" s="16"/>
      <c r="H568" s="16"/>
      <c r="I568" s="16"/>
      <c r="J568" s="16"/>
      <c r="K568" s="16"/>
      <c r="L568" s="16"/>
      <c r="M568" s="16"/>
      <c r="N568" s="16"/>
      <c r="O568" s="16"/>
      <c r="P568" s="16"/>
      <c r="Q568" s="16"/>
      <c r="R568" s="16"/>
      <c r="S568" s="16"/>
      <c r="T568" s="16"/>
      <c r="U568" s="16"/>
      <c r="V568" s="16"/>
      <c r="W568" s="16"/>
      <c r="X568" s="16"/>
      <c r="Y568" s="16"/>
    </row>
    <row r="569" spans="1:25" x14ac:dyDescent="0.2">
      <c r="A569" s="14"/>
      <c r="B569" s="16"/>
      <c r="C569" s="6"/>
      <c r="D569" s="16"/>
      <c r="E569" s="6"/>
      <c r="F569" s="16"/>
      <c r="G569" s="16"/>
      <c r="H569" s="16"/>
      <c r="I569" s="16"/>
      <c r="J569" s="16"/>
      <c r="K569" s="16"/>
      <c r="L569" s="16"/>
      <c r="M569" s="16"/>
      <c r="N569" s="16"/>
      <c r="O569" s="16"/>
      <c r="P569" s="16"/>
      <c r="Q569" s="16"/>
      <c r="R569" s="16"/>
      <c r="S569" s="16"/>
      <c r="T569" s="16"/>
      <c r="U569" s="16"/>
      <c r="V569" s="16"/>
      <c r="W569" s="16"/>
      <c r="X569" s="16"/>
      <c r="Y569" s="16"/>
    </row>
    <row r="570" spans="1:25" x14ac:dyDescent="0.2">
      <c r="A570" s="14"/>
      <c r="B570" s="16"/>
      <c r="C570" s="6"/>
      <c r="D570" s="16"/>
      <c r="E570" s="6"/>
      <c r="F570" s="16"/>
      <c r="G570" s="16"/>
      <c r="H570" s="16"/>
      <c r="I570" s="16"/>
      <c r="J570" s="16"/>
      <c r="K570" s="16"/>
      <c r="L570" s="16"/>
      <c r="M570" s="16"/>
      <c r="N570" s="16"/>
      <c r="O570" s="16"/>
      <c r="P570" s="16"/>
      <c r="Q570" s="16"/>
      <c r="R570" s="16"/>
      <c r="S570" s="16"/>
      <c r="T570" s="16"/>
      <c r="U570" s="16"/>
      <c r="V570" s="16"/>
      <c r="W570" s="16"/>
      <c r="X570" s="16"/>
      <c r="Y570" s="16"/>
    </row>
    <row r="571" spans="1:25" x14ac:dyDescent="0.2">
      <c r="A571" s="14"/>
      <c r="B571" s="16"/>
      <c r="C571" s="6"/>
      <c r="D571" s="16"/>
      <c r="E571" s="6"/>
      <c r="F571" s="16"/>
      <c r="G571" s="16"/>
      <c r="H571" s="16"/>
      <c r="I571" s="16"/>
      <c r="J571" s="16"/>
      <c r="K571" s="16"/>
      <c r="L571" s="16"/>
      <c r="M571" s="16"/>
      <c r="N571" s="16"/>
      <c r="O571" s="16"/>
      <c r="P571" s="16"/>
      <c r="Q571" s="16"/>
      <c r="R571" s="16"/>
      <c r="S571" s="16"/>
      <c r="T571" s="16"/>
      <c r="U571" s="16"/>
      <c r="V571" s="16"/>
      <c r="W571" s="16"/>
      <c r="X571" s="16"/>
      <c r="Y571" s="16"/>
    </row>
    <row r="572" spans="1:25" x14ac:dyDescent="0.2">
      <c r="A572" s="14"/>
      <c r="B572" s="16"/>
      <c r="C572" s="6"/>
      <c r="D572" s="16"/>
      <c r="E572" s="6"/>
      <c r="F572" s="16"/>
      <c r="G572" s="16"/>
      <c r="H572" s="16"/>
      <c r="I572" s="16"/>
      <c r="J572" s="16"/>
      <c r="K572" s="16"/>
      <c r="L572" s="16"/>
      <c r="M572" s="16"/>
      <c r="N572" s="16"/>
      <c r="O572" s="16"/>
      <c r="P572" s="16"/>
      <c r="Q572" s="16"/>
      <c r="R572" s="16"/>
      <c r="S572" s="16"/>
      <c r="T572" s="16"/>
      <c r="U572" s="16"/>
      <c r="V572" s="16"/>
      <c r="W572" s="16"/>
      <c r="X572" s="16"/>
      <c r="Y572" s="16"/>
    </row>
    <row r="573" spans="1:25" x14ac:dyDescent="0.2">
      <c r="A573" s="14"/>
      <c r="B573" s="16"/>
      <c r="C573" s="6"/>
      <c r="D573" s="16"/>
      <c r="E573" s="6"/>
      <c r="F573" s="16"/>
      <c r="G573" s="16"/>
      <c r="H573" s="16"/>
      <c r="I573" s="16"/>
      <c r="J573" s="16"/>
      <c r="K573" s="16"/>
      <c r="L573" s="16"/>
      <c r="M573" s="16"/>
      <c r="N573" s="16"/>
      <c r="O573" s="16"/>
      <c r="P573" s="16"/>
      <c r="Q573" s="16"/>
      <c r="R573" s="16"/>
      <c r="S573" s="16"/>
      <c r="T573" s="16"/>
      <c r="U573" s="16"/>
      <c r="V573" s="16"/>
      <c r="W573" s="16"/>
      <c r="X573" s="16"/>
      <c r="Y573" s="16"/>
    </row>
    <row r="574" spans="1:25" x14ac:dyDescent="0.2">
      <c r="A574" s="14"/>
      <c r="B574" s="16"/>
      <c r="C574" s="6"/>
      <c r="D574" s="16"/>
      <c r="E574" s="6"/>
      <c r="F574" s="16"/>
      <c r="G574" s="16"/>
      <c r="H574" s="16"/>
      <c r="I574" s="16"/>
      <c r="J574" s="16"/>
      <c r="K574" s="16"/>
      <c r="L574" s="16"/>
      <c r="M574" s="16"/>
      <c r="N574" s="16"/>
      <c r="O574" s="16"/>
      <c r="P574" s="16"/>
      <c r="Q574" s="16"/>
      <c r="R574" s="16"/>
      <c r="S574" s="16"/>
      <c r="T574" s="16"/>
      <c r="U574" s="16"/>
      <c r="V574" s="16"/>
      <c r="W574" s="16"/>
      <c r="X574" s="16"/>
      <c r="Y574" s="16"/>
    </row>
    <row r="575" spans="1:25" x14ac:dyDescent="0.2">
      <c r="A575" s="14"/>
      <c r="B575" s="16"/>
      <c r="C575" s="6"/>
      <c r="D575" s="16"/>
      <c r="E575" s="6"/>
      <c r="F575" s="16"/>
      <c r="G575" s="16"/>
      <c r="H575" s="16"/>
      <c r="I575" s="16"/>
      <c r="J575" s="16"/>
      <c r="K575" s="16"/>
      <c r="L575" s="16"/>
      <c r="M575" s="16"/>
      <c r="N575" s="16"/>
      <c r="O575" s="16"/>
      <c r="P575" s="16"/>
      <c r="Q575" s="16"/>
      <c r="R575" s="16"/>
      <c r="S575" s="16"/>
      <c r="T575" s="16"/>
      <c r="U575" s="16"/>
      <c r="V575" s="16"/>
      <c r="W575" s="16"/>
      <c r="X575" s="16"/>
      <c r="Y575" s="16"/>
    </row>
    <row r="576" spans="1:25" x14ac:dyDescent="0.2">
      <c r="A576" s="14"/>
      <c r="B576" s="16"/>
      <c r="C576" s="6"/>
      <c r="D576" s="16"/>
      <c r="E576" s="6"/>
      <c r="F576" s="16"/>
      <c r="G576" s="16"/>
      <c r="H576" s="16"/>
      <c r="I576" s="16"/>
      <c r="J576" s="16"/>
      <c r="K576" s="16"/>
      <c r="L576" s="16"/>
      <c r="M576" s="16"/>
      <c r="N576" s="16"/>
      <c r="O576" s="16"/>
      <c r="P576" s="16"/>
      <c r="Q576" s="16"/>
      <c r="R576" s="16"/>
      <c r="S576" s="16"/>
      <c r="T576" s="16"/>
      <c r="U576" s="16"/>
      <c r="V576" s="16"/>
      <c r="W576" s="16"/>
      <c r="X576" s="16"/>
      <c r="Y576" s="16"/>
    </row>
    <row r="577" spans="1:25" x14ac:dyDescent="0.2">
      <c r="A577" s="14"/>
      <c r="B577" s="16"/>
      <c r="C577" s="6"/>
      <c r="D577" s="16"/>
      <c r="E577" s="6"/>
      <c r="F577" s="16"/>
      <c r="G577" s="16"/>
      <c r="H577" s="16"/>
      <c r="I577" s="16"/>
      <c r="J577" s="16"/>
      <c r="K577" s="16"/>
      <c r="L577" s="16"/>
      <c r="M577" s="16"/>
      <c r="N577" s="16"/>
      <c r="O577" s="16"/>
      <c r="P577" s="16"/>
      <c r="Q577" s="16"/>
      <c r="R577" s="16"/>
      <c r="S577" s="16"/>
      <c r="T577" s="16"/>
      <c r="U577" s="16"/>
      <c r="V577" s="16"/>
      <c r="W577" s="16"/>
      <c r="X577" s="16"/>
      <c r="Y577" s="16"/>
    </row>
    <row r="578" spans="1:25" x14ac:dyDescent="0.2">
      <c r="A578" s="14"/>
      <c r="B578" s="16"/>
      <c r="C578" s="6"/>
      <c r="D578" s="16"/>
      <c r="E578" s="6"/>
      <c r="F578" s="16"/>
      <c r="G578" s="16"/>
      <c r="H578" s="16"/>
      <c r="I578" s="16"/>
      <c r="J578" s="16"/>
      <c r="K578" s="16"/>
      <c r="L578" s="16"/>
      <c r="M578" s="16"/>
      <c r="N578" s="16"/>
      <c r="O578" s="16"/>
      <c r="P578" s="16"/>
      <c r="Q578" s="16"/>
      <c r="R578" s="16"/>
      <c r="S578" s="16"/>
      <c r="T578" s="16"/>
      <c r="U578" s="16"/>
      <c r="V578" s="16"/>
      <c r="W578" s="16"/>
      <c r="X578" s="16"/>
      <c r="Y578" s="16"/>
    </row>
    <row r="579" spans="1:25" x14ac:dyDescent="0.2">
      <c r="A579" s="14"/>
      <c r="B579" s="16"/>
      <c r="C579" s="6"/>
      <c r="D579" s="16"/>
      <c r="E579" s="6"/>
      <c r="F579" s="16"/>
      <c r="G579" s="16"/>
      <c r="H579" s="16"/>
      <c r="I579" s="16"/>
      <c r="J579" s="16"/>
      <c r="K579" s="16"/>
      <c r="L579" s="16"/>
      <c r="M579" s="16"/>
      <c r="N579" s="16"/>
      <c r="O579" s="16"/>
      <c r="P579" s="16"/>
      <c r="Q579" s="16"/>
      <c r="R579" s="16"/>
      <c r="S579" s="16"/>
      <c r="T579" s="16"/>
      <c r="U579" s="16"/>
      <c r="V579" s="16"/>
      <c r="W579" s="16"/>
      <c r="X579" s="16"/>
      <c r="Y579" s="16"/>
    </row>
    <row r="580" spans="1:25" x14ac:dyDescent="0.2">
      <c r="A580" s="14"/>
      <c r="B580" s="16"/>
      <c r="C580" s="6"/>
      <c r="D580" s="16"/>
      <c r="E580" s="6"/>
      <c r="F580" s="16"/>
      <c r="G580" s="16"/>
      <c r="H580" s="16"/>
      <c r="I580" s="16"/>
      <c r="J580" s="16"/>
      <c r="K580" s="16"/>
      <c r="L580" s="16"/>
      <c r="M580" s="16"/>
      <c r="N580" s="16"/>
      <c r="O580" s="16"/>
      <c r="P580" s="16"/>
      <c r="Q580" s="16"/>
      <c r="R580" s="16"/>
      <c r="S580" s="16"/>
      <c r="T580" s="16"/>
      <c r="U580" s="16"/>
      <c r="V580" s="16"/>
      <c r="W580" s="16"/>
      <c r="X580" s="16"/>
      <c r="Y580" s="16"/>
    </row>
    <row r="581" spans="1:25" x14ac:dyDescent="0.2">
      <c r="A581" s="14"/>
      <c r="B581" s="16"/>
      <c r="C581" s="6"/>
      <c r="D581" s="16"/>
      <c r="E581" s="6"/>
      <c r="F581" s="16"/>
      <c r="G581" s="16"/>
      <c r="H581" s="16"/>
      <c r="I581" s="16"/>
      <c r="J581" s="16"/>
      <c r="K581" s="16"/>
      <c r="L581" s="16"/>
      <c r="M581" s="16"/>
      <c r="N581" s="16"/>
      <c r="O581" s="16"/>
      <c r="P581" s="16"/>
      <c r="Q581" s="16"/>
      <c r="R581" s="16"/>
      <c r="S581" s="16"/>
      <c r="T581" s="16"/>
      <c r="U581" s="16"/>
      <c r="V581" s="16"/>
      <c r="W581" s="16"/>
      <c r="X581" s="16"/>
      <c r="Y581" s="16"/>
    </row>
    <row r="582" spans="1:25" x14ac:dyDescent="0.2">
      <c r="A582" s="14"/>
      <c r="B582" s="16"/>
      <c r="C582" s="6"/>
      <c r="D582" s="16"/>
      <c r="E582" s="6"/>
      <c r="F582" s="16"/>
      <c r="G582" s="16"/>
      <c r="H582" s="16"/>
      <c r="I582" s="16"/>
      <c r="J582" s="16"/>
      <c r="K582" s="16"/>
      <c r="L582" s="16"/>
      <c r="M582" s="16"/>
      <c r="N582" s="16"/>
      <c r="O582" s="16"/>
      <c r="P582" s="16"/>
      <c r="Q582" s="16"/>
      <c r="R582" s="16"/>
      <c r="S582" s="16"/>
      <c r="T582" s="16"/>
      <c r="U582" s="16"/>
      <c r="V582" s="16"/>
      <c r="W582" s="16"/>
      <c r="X582" s="16"/>
      <c r="Y582" s="16"/>
    </row>
    <row r="583" spans="1:25" x14ac:dyDescent="0.2">
      <c r="A583" s="14"/>
      <c r="B583" s="16"/>
      <c r="C583" s="6"/>
      <c r="D583" s="16"/>
      <c r="E583" s="6"/>
      <c r="F583" s="16"/>
      <c r="G583" s="16"/>
      <c r="H583" s="16"/>
      <c r="I583" s="16"/>
      <c r="J583" s="16"/>
      <c r="K583" s="16"/>
      <c r="L583" s="16"/>
      <c r="M583" s="16"/>
      <c r="N583" s="16"/>
      <c r="O583" s="16"/>
      <c r="P583" s="16"/>
      <c r="Q583" s="16"/>
      <c r="R583" s="16"/>
      <c r="S583" s="16"/>
      <c r="T583" s="16"/>
      <c r="U583" s="16"/>
      <c r="V583" s="16"/>
      <c r="W583" s="16"/>
      <c r="X583" s="16"/>
      <c r="Y583" s="16"/>
    </row>
    <row r="584" spans="1:25" x14ac:dyDescent="0.2">
      <c r="A584" s="14"/>
      <c r="B584" s="16"/>
      <c r="C584" s="6"/>
      <c r="D584" s="16"/>
      <c r="E584" s="6"/>
      <c r="F584" s="16"/>
      <c r="G584" s="16"/>
      <c r="H584" s="16"/>
      <c r="I584" s="16"/>
      <c r="J584" s="16"/>
      <c r="K584" s="16"/>
      <c r="L584" s="16"/>
      <c r="M584" s="16"/>
      <c r="N584" s="16"/>
      <c r="O584" s="16"/>
      <c r="P584" s="16"/>
      <c r="Q584" s="16"/>
      <c r="R584" s="16"/>
      <c r="S584" s="16"/>
      <c r="T584" s="16"/>
      <c r="U584" s="16"/>
      <c r="V584" s="16"/>
      <c r="W584" s="16"/>
      <c r="X584" s="16"/>
      <c r="Y584" s="16"/>
    </row>
    <row r="585" spans="1:25" x14ac:dyDescent="0.2">
      <c r="A585" s="14"/>
      <c r="B585" s="16"/>
      <c r="C585" s="6"/>
      <c r="D585" s="16"/>
      <c r="E585" s="6"/>
      <c r="F585" s="16"/>
      <c r="G585" s="16"/>
      <c r="H585" s="16"/>
      <c r="I585" s="16"/>
      <c r="J585" s="16"/>
      <c r="K585" s="16"/>
      <c r="L585" s="16"/>
      <c r="M585" s="16"/>
      <c r="N585" s="16"/>
      <c r="O585" s="16"/>
      <c r="P585" s="16"/>
      <c r="Q585" s="16"/>
      <c r="R585" s="16"/>
      <c r="S585" s="16"/>
      <c r="T585" s="16"/>
      <c r="U585" s="16"/>
      <c r="V585" s="16"/>
      <c r="W585" s="16"/>
      <c r="X585" s="16"/>
      <c r="Y585" s="16"/>
    </row>
    <row r="586" spans="1:25" x14ac:dyDescent="0.2">
      <c r="A586" s="14"/>
      <c r="B586" s="16"/>
      <c r="C586" s="6"/>
      <c r="D586" s="16"/>
      <c r="E586" s="6"/>
      <c r="F586" s="16"/>
      <c r="G586" s="16"/>
      <c r="H586" s="16"/>
      <c r="I586" s="16"/>
      <c r="J586" s="16"/>
      <c r="K586" s="16"/>
      <c r="L586" s="16"/>
      <c r="M586" s="16"/>
      <c r="N586" s="16"/>
      <c r="O586" s="16"/>
      <c r="P586" s="16"/>
      <c r="Q586" s="16"/>
      <c r="R586" s="16"/>
      <c r="S586" s="16"/>
      <c r="T586" s="16"/>
      <c r="U586" s="16"/>
      <c r="V586" s="16"/>
      <c r="W586" s="16"/>
      <c r="X586" s="16"/>
      <c r="Y586" s="16"/>
    </row>
    <row r="587" spans="1:25" x14ac:dyDescent="0.2">
      <c r="A587" s="14"/>
      <c r="B587" s="16"/>
      <c r="C587" s="6"/>
      <c r="D587" s="16"/>
      <c r="E587" s="6"/>
      <c r="F587" s="16"/>
      <c r="G587" s="16"/>
      <c r="H587" s="16"/>
      <c r="I587" s="16"/>
      <c r="J587" s="16"/>
      <c r="K587" s="16"/>
      <c r="L587" s="16"/>
      <c r="M587" s="16"/>
      <c r="N587" s="16"/>
      <c r="O587" s="16"/>
      <c r="P587" s="16"/>
      <c r="Q587" s="16"/>
      <c r="R587" s="16"/>
      <c r="S587" s="16"/>
      <c r="T587" s="16"/>
      <c r="U587" s="16"/>
      <c r="V587" s="16"/>
      <c r="W587" s="16"/>
      <c r="X587" s="16"/>
      <c r="Y587" s="16"/>
    </row>
    <row r="588" spans="1:25" x14ac:dyDescent="0.2">
      <c r="A588" s="14"/>
      <c r="B588" s="16"/>
      <c r="C588" s="6"/>
      <c r="D588" s="16"/>
      <c r="E588" s="6"/>
      <c r="F588" s="16"/>
      <c r="G588" s="16"/>
      <c r="H588" s="16"/>
      <c r="I588" s="16"/>
      <c r="J588" s="16"/>
      <c r="K588" s="16"/>
      <c r="L588" s="16"/>
      <c r="M588" s="16"/>
      <c r="N588" s="16"/>
      <c r="O588" s="16"/>
      <c r="P588" s="16"/>
      <c r="Q588" s="16"/>
      <c r="R588" s="16"/>
      <c r="S588" s="16"/>
      <c r="T588" s="16"/>
      <c r="U588" s="16"/>
      <c r="V588" s="16"/>
      <c r="W588" s="16"/>
      <c r="X588" s="16"/>
      <c r="Y588" s="16"/>
    </row>
    <row r="589" spans="1:25" x14ac:dyDescent="0.2">
      <c r="A589" s="14"/>
      <c r="B589" s="16"/>
      <c r="C589" s="6"/>
      <c r="D589" s="16"/>
      <c r="E589" s="6"/>
      <c r="F589" s="16"/>
      <c r="G589" s="16"/>
      <c r="H589" s="16"/>
      <c r="I589" s="16"/>
      <c r="J589" s="16"/>
      <c r="K589" s="16"/>
      <c r="L589" s="16"/>
      <c r="M589" s="16"/>
      <c r="N589" s="16"/>
      <c r="O589" s="16"/>
      <c r="P589" s="16"/>
      <c r="Q589" s="16"/>
      <c r="R589" s="16"/>
      <c r="S589" s="16"/>
      <c r="T589" s="16"/>
      <c r="U589" s="16"/>
      <c r="V589" s="16"/>
      <c r="W589" s="16"/>
      <c r="X589" s="16"/>
      <c r="Y589" s="16"/>
    </row>
    <row r="590" spans="1:25" x14ac:dyDescent="0.2">
      <c r="A590" s="14"/>
      <c r="B590" s="16"/>
      <c r="C590" s="6"/>
      <c r="D590" s="16"/>
      <c r="E590" s="6"/>
      <c r="F590" s="16"/>
      <c r="G590" s="16"/>
      <c r="H590" s="16"/>
      <c r="I590" s="16"/>
      <c r="J590" s="16"/>
      <c r="K590" s="16"/>
      <c r="L590" s="16"/>
      <c r="M590" s="16"/>
      <c r="N590" s="16"/>
      <c r="O590" s="16"/>
      <c r="P590" s="16"/>
      <c r="Q590" s="16"/>
      <c r="R590" s="16"/>
      <c r="S590" s="16"/>
      <c r="T590" s="16"/>
      <c r="U590" s="16"/>
      <c r="V590" s="16"/>
      <c r="W590" s="16"/>
      <c r="X590" s="16"/>
      <c r="Y590" s="16"/>
    </row>
    <row r="591" spans="1:25" x14ac:dyDescent="0.2">
      <c r="A591" s="14"/>
      <c r="B591" s="16"/>
      <c r="C591" s="6"/>
      <c r="D591" s="16"/>
      <c r="E591" s="6"/>
      <c r="F591" s="16"/>
      <c r="G591" s="16"/>
      <c r="H591" s="16"/>
      <c r="I591" s="16"/>
      <c r="J591" s="16"/>
      <c r="K591" s="16"/>
      <c r="L591" s="16"/>
      <c r="M591" s="16"/>
      <c r="N591" s="16"/>
      <c r="O591" s="16"/>
      <c r="P591" s="16"/>
      <c r="Q591" s="16"/>
      <c r="R591" s="16"/>
      <c r="S591" s="16"/>
      <c r="T591" s="16"/>
      <c r="U591" s="16"/>
      <c r="V591" s="16"/>
      <c r="W591" s="16"/>
      <c r="X591" s="16"/>
      <c r="Y591" s="16"/>
    </row>
    <row r="592" spans="1:25" x14ac:dyDescent="0.2">
      <c r="A592" s="14"/>
      <c r="B592" s="16"/>
      <c r="C592" s="6"/>
      <c r="D592" s="16"/>
      <c r="E592" s="6"/>
      <c r="F592" s="16"/>
      <c r="G592" s="16"/>
      <c r="H592" s="16"/>
      <c r="I592" s="16"/>
      <c r="J592" s="16"/>
      <c r="K592" s="16"/>
      <c r="L592" s="16"/>
      <c r="M592" s="16"/>
      <c r="N592" s="16"/>
      <c r="O592" s="16"/>
      <c r="P592" s="16"/>
      <c r="Q592" s="16"/>
      <c r="R592" s="16"/>
      <c r="S592" s="16"/>
      <c r="T592" s="16"/>
      <c r="U592" s="16"/>
      <c r="V592" s="16"/>
      <c r="W592" s="16"/>
      <c r="X592" s="16"/>
      <c r="Y592" s="16"/>
    </row>
    <row r="593" spans="1:25" x14ac:dyDescent="0.2">
      <c r="A593" s="14"/>
      <c r="B593" s="16"/>
      <c r="C593" s="6"/>
      <c r="D593" s="16"/>
      <c r="E593" s="6"/>
      <c r="F593" s="16"/>
      <c r="G593" s="16"/>
      <c r="H593" s="16"/>
      <c r="I593" s="16"/>
      <c r="J593" s="16"/>
      <c r="K593" s="16"/>
      <c r="L593" s="16"/>
      <c r="M593" s="16"/>
      <c r="N593" s="16"/>
      <c r="O593" s="16"/>
      <c r="P593" s="16"/>
      <c r="Q593" s="16"/>
      <c r="R593" s="16"/>
      <c r="S593" s="16"/>
      <c r="T593" s="16"/>
      <c r="U593" s="16"/>
      <c r="V593" s="16"/>
      <c r="W593" s="16"/>
      <c r="X593" s="16"/>
      <c r="Y593" s="16"/>
    </row>
    <row r="594" spans="1:25" x14ac:dyDescent="0.2">
      <c r="A594" s="14"/>
      <c r="B594" s="16"/>
      <c r="C594" s="6"/>
      <c r="D594" s="16"/>
      <c r="E594" s="6"/>
      <c r="F594" s="16"/>
      <c r="G594" s="16"/>
      <c r="H594" s="16"/>
      <c r="I594" s="16"/>
      <c r="J594" s="16"/>
      <c r="K594" s="16"/>
      <c r="L594" s="16"/>
      <c r="M594" s="16"/>
      <c r="N594" s="16"/>
      <c r="O594" s="16"/>
      <c r="P594" s="16"/>
      <c r="Q594" s="16"/>
      <c r="R594" s="16"/>
      <c r="S594" s="16"/>
      <c r="T594" s="16"/>
      <c r="U594" s="16"/>
      <c r="V594" s="16"/>
      <c r="W594" s="16"/>
      <c r="X594" s="16"/>
      <c r="Y594" s="16"/>
    </row>
    <row r="595" spans="1:25" x14ac:dyDescent="0.2">
      <c r="A595" s="14"/>
      <c r="B595" s="16"/>
      <c r="C595" s="6"/>
      <c r="D595" s="16"/>
      <c r="E595" s="6"/>
      <c r="F595" s="16"/>
      <c r="G595" s="16"/>
      <c r="H595" s="16"/>
      <c r="I595" s="16"/>
      <c r="J595" s="16"/>
      <c r="K595" s="16"/>
      <c r="L595" s="16"/>
      <c r="M595" s="16"/>
      <c r="N595" s="16"/>
      <c r="O595" s="16"/>
      <c r="P595" s="16"/>
      <c r="Q595" s="16"/>
      <c r="R595" s="16"/>
      <c r="S595" s="16"/>
      <c r="T595" s="16"/>
      <c r="U595" s="16"/>
      <c r="V595" s="16"/>
      <c r="W595" s="16"/>
      <c r="X595" s="16"/>
      <c r="Y595" s="16"/>
    </row>
    <row r="596" spans="1:25" x14ac:dyDescent="0.2">
      <c r="A596" s="14"/>
      <c r="B596" s="16"/>
      <c r="C596" s="6"/>
      <c r="D596" s="16"/>
      <c r="E596" s="6"/>
      <c r="F596" s="16"/>
      <c r="G596" s="16"/>
      <c r="H596" s="16"/>
      <c r="I596" s="16"/>
      <c r="J596" s="16"/>
      <c r="K596" s="16"/>
      <c r="L596" s="16"/>
      <c r="M596" s="16"/>
      <c r="N596" s="16"/>
      <c r="O596" s="16"/>
      <c r="P596" s="16"/>
      <c r="Q596" s="16"/>
      <c r="R596" s="16"/>
      <c r="S596" s="16"/>
      <c r="T596" s="16"/>
      <c r="U596" s="16"/>
      <c r="V596" s="16"/>
      <c r="W596" s="16"/>
      <c r="X596" s="16"/>
      <c r="Y596" s="16"/>
    </row>
    <row r="597" spans="1:25" x14ac:dyDescent="0.2">
      <c r="A597" s="14"/>
      <c r="B597" s="16"/>
      <c r="C597" s="6"/>
      <c r="D597" s="16"/>
      <c r="E597" s="6"/>
      <c r="F597" s="16"/>
      <c r="G597" s="16"/>
      <c r="H597" s="16"/>
      <c r="I597" s="16"/>
      <c r="J597" s="16"/>
      <c r="K597" s="16"/>
      <c r="L597" s="16"/>
      <c r="M597" s="16"/>
      <c r="N597" s="16"/>
      <c r="O597" s="16"/>
      <c r="P597" s="16"/>
      <c r="Q597" s="16"/>
      <c r="R597" s="16"/>
      <c r="S597" s="16"/>
      <c r="T597" s="16"/>
      <c r="U597" s="16"/>
      <c r="V597" s="16"/>
      <c r="W597" s="16"/>
      <c r="X597" s="16"/>
      <c r="Y597" s="16"/>
    </row>
    <row r="598" spans="1:25" x14ac:dyDescent="0.2">
      <c r="A598" s="14"/>
      <c r="B598" s="16"/>
      <c r="C598" s="6"/>
      <c r="D598" s="16"/>
      <c r="E598" s="6"/>
      <c r="F598" s="16"/>
      <c r="G598" s="16"/>
      <c r="H598" s="16"/>
      <c r="I598" s="16"/>
      <c r="J598" s="16"/>
      <c r="K598" s="16"/>
      <c r="L598" s="16"/>
      <c r="M598" s="16"/>
      <c r="N598" s="16"/>
      <c r="O598" s="16"/>
      <c r="P598" s="16"/>
      <c r="Q598" s="16"/>
      <c r="R598" s="16"/>
      <c r="S598" s="16"/>
      <c r="T598" s="16"/>
      <c r="U598" s="16"/>
      <c r="V598" s="16"/>
      <c r="W598" s="16"/>
      <c r="X598" s="16"/>
      <c r="Y598" s="16"/>
    </row>
    <row r="599" spans="1:25" x14ac:dyDescent="0.2">
      <c r="A599" s="14"/>
      <c r="B599" s="16"/>
      <c r="C599" s="6"/>
      <c r="D599" s="16"/>
      <c r="E599" s="6"/>
      <c r="F599" s="16"/>
      <c r="G599" s="16"/>
      <c r="H599" s="16"/>
      <c r="I599" s="16"/>
      <c r="J599" s="16"/>
      <c r="K599" s="16"/>
      <c r="L599" s="16"/>
      <c r="M599" s="16"/>
      <c r="N599" s="16"/>
      <c r="O599" s="16"/>
      <c r="P599" s="16"/>
      <c r="Q599" s="16"/>
      <c r="R599" s="16"/>
      <c r="S599" s="16"/>
      <c r="T599" s="16"/>
      <c r="U599" s="16"/>
      <c r="V599" s="16"/>
      <c r="W599" s="16"/>
      <c r="X599" s="16"/>
      <c r="Y599" s="16"/>
    </row>
    <row r="600" spans="1:25" x14ac:dyDescent="0.2">
      <c r="A600" s="14"/>
      <c r="B600" s="16"/>
      <c r="C600" s="6"/>
      <c r="D600" s="16"/>
      <c r="E600" s="6"/>
      <c r="F600" s="16"/>
      <c r="G600" s="16"/>
      <c r="H600" s="16"/>
      <c r="I600" s="16"/>
      <c r="J600" s="16"/>
      <c r="K600" s="16"/>
      <c r="L600" s="16"/>
      <c r="M600" s="16"/>
      <c r="N600" s="16"/>
      <c r="O600" s="16"/>
      <c r="P600" s="16"/>
      <c r="Q600" s="16"/>
      <c r="R600" s="16"/>
      <c r="S600" s="16"/>
      <c r="T600" s="16"/>
      <c r="U600" s="16"/>
      <c r="V600" s="16"/>
      <c r="W600" s="16"/>
      <c r="X600" s="16"/>
      <c r="Y600" s="16"/>
    </row>
    <row r="601" spans="1:25" x14ac:dyDescent="0.2">
      <c r="A601" s="14"/>
      <c r="B601" s="16"/>
      <c r="C601" s="6"/>
      <c r="D601" s="16"/>
      <c r="E601" s="6"/>
      <c r="F601" s="16"/>
      <c r="G601" s="16"/>
      <c r="H601" s="16"/>
      <c r="I601" s="16"/>
      <c r="J601" s="16"/>
      <c r="K601" s="16"/>
      <c r="L601" s="16"/>
      <c r="M601" s="16"/>
      <c r="N601" s="16"/>
      <c r="O601" s="16"/>
      <c r="P601" s="16"/>
      <c r="Q601" s="16"/>
      <c r="R601" s="16"/>
      <c r="S601" s="16"/>
      <c r="T601" s="16"/>
      <c r="U601" s="16"/>
      <c r="V601" s="16"/>
      <c r="W601" s="16"/>
      <c r="X601" s="16"/>
      <c r="Y601" s="16"/>
    </row>
    <row r="602" spans="1:25" x14ac:dyDescent="0.2">
      <c r="A602" s="14"/>
      <c r="B602" s="16"/>
      <c r="C602" s="6"/>
      <c r="D602" s="16"/>
      <c r="E602" s="6"/>
      <c r="F602" s="16"/>
      <c r="G602" s="16"/>
      <c r="H602" s="16"/>
      <c r="I602" s="16"/>
      <c r="J602" s="16"/>
      <c r="K602" s="16"/>
      <c r="L602" s="16"/>
      <c r="M602" s="16"/>
      <c r="N602" s="16"/>
      <c r="O602" s="16"/>
      <c r="P602" s="16"/>
      <c r="Q602" s="16"/>
      <c r="R602" s="16"/>
      <c r="S602" s="16"/>
      <c r="T602" s="16"/>
      <c r="U602" s="16"/>
      <c r="V602" s="16"/>
      <c r="W602" s="16"/>
      <c r="X602" s="16"/>
      <c r="Y602" s="16"/>
    </row>
    <row r="603" spans="1:25" x14ac:dyDescent="0.2">
      <c r="A603" s="14"/>
      <c r="B603" s="16"/>
      <c r="C603" s="6"/>
      <c r="D603" s="16"/>
      <c r="E603" s="6"/>
      <c r="F603" s="16"/>
      <c r="G603" s="16"/>
      <c r="H603" s="16"/>
      <c r="I603" s="16"/>
      <c r="J603" s="16"/>
      <c r="K603" s="16"/>
      <c r="L603" s="16"/>
      <c r="M603" s="16"/>
      <c r="N603" s="16"/>
      <c r="O603" s="16"/>
      <c r="P603" s="16"/>
      <c r="Q603" s="16"/>
      <c r="R603" s="16"/>
      <c r="S603" s="16"/>
      <c r="T603" s="16"/>
      <c r="U603" s="16"/>
      <c r="V603" s="16"/>
      <c r="W603" s="16"/>
      <c r="X603" s="16"/>
      <c r="Y603" s="16"/>
    </row>
    <row r="604" spans="1:25" x14ac:dyDescent="0.2">
      <c r="A604" s="14"/>
      <c r="B604" s="16"/>
      <c r="C604" s="6"/>
      <c r="D604" s="16"/>
      <c r="E604" s="6"/>
      <c r="F604" s="16"/>
      <c r="G604" s="16"/>
      <c r="H604" s="16"/>
      <c r="I604" s="16"/>
      <c r="J604" s="16"/>
      <c r="K604" s="16"/>
      <c r="L604" s="16"/>
      <c r="M604" s="16"/>
      <c r="N604" s="16"/>
      <c r="O604" s="16"/>
      <c r="P604" s="16"/>
      <c r="Q604" s="16"/>
      <c r="R604" s="16"/>
      <c r="S604" s="16"/>
      <c r="T604" s="16"/>
      <c r="U604" s="16"/>
      <c r="V604" s="16"/>
      <c r="W604" s="16"/>
      <c r="X604" s="16"/>
      <c r="Y604" s="16"/>
    </row>
    <row r="605" spans="1:25" x14ac:dyDescent="0.2">
      <c r="A605" s="14"/>
      <c r="B605" s="16"/>
      <c r="C605" s="6"/>
      <c r="D605" s="16"/>
      <c r="E605" s="6"/>
      <c r="F605" s="16"/>
      <c r="G605" s="16"/>
      <c r="H605" s="16"/>
      <c r="I605" s="16"/>
      <c r="J605" s="16"/>
      <c r="K605" s="16"/>
      <c r="L605" s="16"/>
      <c r="M605" s="16"/>
      <c r="N605" s="16"/>
      <c r="O605" s="16"/>
      <c r="P605" s="16"/>
      <c r="Q605" s="16"/>
      <c r="R605" s="16"/>
      <c r="S605" s="16"/>
      <c r="T605" s="16"/>
      <c r="U605" s="16"/>
      <c r="V605" s="16"/>
      <c r="W605" s="16"/>
      <c r="X605" s="16"/>
      <c r="Y605" s="16"/>
    </row>
    <row r="606" spans="1:25" x14ac:dyDescent="0.2">
      <c r="A606" s="14"/>
      <c r="B606" s="16"/>
      <c r="C606" s="6"/>
      <c r="D606" s="16"/>
      <c r="E606" s="6"/>
      <c r="F606" s="16"/>
      <c r="G606" s="16"/>
      <c r="H606" s="16"/>
      <c r="I606" s="16"/>
      <c r="J606" s="16"/>
      <c r="K606" s="16"/>
      <c r="L606" s="16"/>
      <c r="M606" s="16"/>
      <c r="N606" s="16"/>
      <c r="O606" s="16"/>
      <c r="P606" s="16"/>
      <c r="Q606" s="16"/>
      <c r="R606" s="16"/>
      <c r="S606" s="16"/>
      <c r="T606" s="16"/>
      <c r="U606" s="16"/>
      <c r="V606" s="16"/>
      <c r="W606" s="16"/>
      <c r="X606" s="16"/>
      <c r="Y606" s="16"/>
    </row>
    <row r="607" spans="1:25" x14ac:dyDescent="0.2">
      <c r="A607" s="14"/>
      <c r="B607" s="16"/>
      <c r="C607" s="6"/>
      <c r="D607" s="16"/>
      <c r="E607" s="6"/>
      <c r="F607" s="16"/>
      <c r="G607" s="16"/>
      <c r="H607" s="16"/>
      <c r="I607" s="16"/>
      <c r="J607" s="16"/>
      <c r="K607" s="16"/>
      <c r="L607" s="16"/>
      <c r="M607" s="16"/>
      <c r="N607" s="16"/>
      <c r="O607" s="16"/>
      <c r="P607" s="16"/>
      <c r="Q607" s="16"/>
      <c r="R607" s="16"/>
      <c r="S607" s="16"/>
      <c r="T607" s="16"/>
      <c r="U607" s="16"/>
      <c r="V607" s="16"/>
      <c r="W607" s="16"/>
      <c r="X607" s="16"/>
      <c r="Y607" s="16"/>
    </row>
    <row r="608" spans="1:25" x14ac:dyDescent="0.2">
      <c r="A608" s="14"/>
      <c r="B608" s="16"/>
      <c r="C608" s="6"/>
      <c r="D608" s="16"/>
      <c r="E608" s="6"/>
      <c r="F608" s="16"/>
      <c r="G608" s="16"/>
      <c r="H608" s="16"/>
      <c r="I608" s="16"/>
      <c r="J608" s="16"/>
      <c r="K608" s="16"/>
      <c r="L608" s="16"/>
      <c r="M608" s="16"/>
      <c r="N608" s="16"/>
      <c r="O608" s="16"/>
      <c r="P608" s="16"/>
      <c r="Q608" s="16"/>
      <c r="R608" s="16"/>
      <c r="S608" s="16"/>
      <c r="T608" s="16"/>
      <c r="U608" s="16"/>
      <c r="V608" s="16"/>
      <c r="W608" s="16"/>
      <c r="X608" s="16"/>
      <c r="Y608" s="16"/>
    </row>
    <row r="609" spans="1:25" x14ac:dyDescent="0.2">
      <c r="A609" s="14"/>
      <c r="B609" s="16"/>
      <c r="C609" s="6"/>
      <c r="D609" s="16"/>
      <c r="E609" s="6"/>
      <c r="F609" s="16"/>
      <c r="G609" s="16"/>
      <c r="H609" s="16"/>
      <c r="I609" s="16"/>
      <c r="J609" s="16"/>
      <c r="K609" s="16"/>
      <c r="L609" s="16"/>
      <c r="M609" s="16"/>
      <c r="N609" s="16"/>
      <c r="O609" s="16"/>
      <c r="P609" s="16"/>
      <c r="Q609" s="16"/>
      <c r="R609" s="16"/>
      <c r="S609" s="16"/>
      <c r="T609" s="16"/>
      <c r="U609" s="16"/>
      <c r="V609" s="16"/>
      <c r="W609" s="16"/>
      <c r="X609" s="16"/>
      <c r="Y609" s="16"/>
    </row>
    <row r="610" spans="1:25" x14ac:dyDescent="0.2">
      <c r="A610" s="14"/>
      <c r="B610" s="16"/>
      <c r="C610" s="6"/>
      <c r="D610" s="16"/>
      <c r="E610" s="6"/>
      <c r="F610" s="16"/>
      <c r="G610" s="16"/>
      <c r="H610" s="16"/>
      <c r="I610" s="16"/>
      <c r="J610" s="16"/>
      <c r="K610" s="16"/>
      <c r="L610" s="16"/>
      <c r="M610" s="16"/>
      <c r="N610" s="16"/>
      <c r="O610" s="16"/>
      <c r="P610" s="16"/>
      <c r="Q610" s="16"/>
      <c r="R610" s="16"/>
      <c r="S610" s="16"/>
      <c r="T610" s="16"/>
      <c r="U610" s="16"/>
      <c r="V610" s="16"/>
      <c r="W610" s="16"/>
      <c r="X610" s="16"/>
      <c r="Y610" s="16"/>
    </row>
    <row r="611" spans="1:25" x14ac:dyDescent="0.2">
      <c r="A611" s="14"/>
      <c r="B611" s="16"/>
      <c r="C611" s="6"/>
      <c r="D611" s="16"/>
      <c r="E611" s="6"/>
      <c r="F611" s="16"/>
      <c r="G611" s="16"/>
      <c r="H611" s="16"/>
      <c r="I611" s="16"/>
      <c r="J611" s="16"/>
      <c r="K611" s="16"/>
      <c r="L611" s="16"/>
      <c r="M611" s="16"/>
      <c r="N611" s="16"/>
      <c r="O611" s="16"/>
      <c r="P611" s="16"/>
      <c r="Q611" s="16"/>
      <c r="R611" s="16"/>
      <c r="S611" s="16"/>
      <c r="T611" s="16"/>
      <c r="U611" s="16"/>
      <c r="V611" s="16"/>
      <c r="W611" s="16"/>
      <c r="X611" s="16"/>
      <c r="Y611" s="16"/>
    </row>
    <row r="612" spans="1:25" x14ac:dyDescent="0.2">
      <c r="A612" s="14"/>
      <c r="B612" s="16"/>
      <c r="C612" s="6"/>
      <c r="D612" s="16"/>
      <c r="E612" s="6"/>
      <c r="F612" s="16"/>
      <c r="G612" s="16"/>
      <c r="H612" s="16"/>
      <c r="I612" s="16"/>
      <c r="J612" s="16"/>
      <c r="K612" s="16"/>
      <c r="L612" s="16"/>
      <c r="M612" s="16"/>
      <c r="N612" s="16"/>
      <c r="O612" s="16"/>
      <c r="P612" s="16"/>
      <c r="Q612" s="16"/>
      <c r="R612" s="16"/>
      <c r="S612" s="16"/>
      <c r="T612" s="16"/>
      <c r="U612" s="16"/>
      <c r="V612" s="16"/>
      <c r="W612" s="16"/>
      <c r="X612" s="16"/>
      <c r="Y612" s="16"/>
    </row>
    <row r="613" spans="1:25" x14ac:dyDescent="0.2">
      <c r="A613" s="14"/>
      <c r="B613" s="16"/>
      <c r="C613" s="6"/>
      <c r="D613" s="16"/>
      <c r="E613" s="6"/>
      <c r="F613" s="16"/>
      <c r="G613" s="16"/>
      <c r="H613" s="16"/>
      <c r="I613" s="16"/>
      <c r="J613" s="16"/>
      <c r="K613" s="16"/>
      <c r="L613" s="16"/>
      <c r="M613" s="16"/>
      <c r="N613" s="16"/>
      <c r="O613" s="16"/>
      <c r="P613" s="16"/>
      <c r="Q613" s="16"/>
      <c r="R613" s="16"/>
      <c r="S613" s="16"/>
      <c r="T613" s="16"/>
      <c r="U613" s="16"/>
      <c r="V613" s="16"/>
      <c r="W613" s="16"/>
      <c r="X613" s="16"/>
      <c r="Y613" s="16"/>
    </row>
    <row r="614" spans="1:25" x14ac:dyDescent="0.2">
      <c r="A614" s="14"/>
      <c r="B614" s="16"/>
      <c r="C614" s="6"/>
      <c r="D614" s="16"/>
      <c r="E614" s="6"/>
      <c r="F614" s="16"/>
      <c r="G614" s="16"/>
      <c r="H614" s="16"/>
      <c r="I614" s="16"/>
      <c r="J614" s="16"/>
      <c r="K614" s="16"/>
      <c r="L614" s="16"/>
      <c r="M614" s="16"/>
      <c r="N614" s="16"/>
      <c r="O614" s="16"/>
      <c r="P614" s="16"/>
      <c r="Q614" s="16"/>
      <c r="R614" s="16"/>
      <c r="S614" s="16"/>
      <c r="T614" s="16"/>
      <c r="U614" s="16"/>
      <c r="V614" s="16"/>
      <c r="W614" s="16"/>
      <c r="X614" s="16"/>
      <c r="Y614" s="16"/>
    </row>
    <row r="615" spans="1:25" x14ac:dyDescent="0.2">
      <c r="A615" s="14"/>
      <c r="B615" s="16"/>
      <c r="C615" s="6"/>
      <c r="D615" s="16"/>
      <c r="E615" s="6"/>
      <c r="F615" s="16"/>
      <c r="G615" s="16"/>
      <c r="H615" s="16"/>
      <c r="I615" s="16"/>
      <c r="J615" s="16"/>
      <c r="K615" s="16"/>
      <c r="L615" s="16"/>
      <c r="M615" s="16"/>
      <c r="N615" s="16"/>
      <c r="O615" s="16"/>
      <c r="P615" s="16"/>
      <c r="Q615" s="16"/>
      <c r="R615" s="16"/>
      <c r="S615" s="16"/>
      <c r="T615" s="16"/>
      <c r="U615" s="16"/>
      <c r="V615" s="16"/>
      <c r="W615" s="16"/>
      <c r="X615" s="16"/>
      <c r="Y615" s="16"/>
    </row>
    <row r="616" spans="1:25" x14ac:dyDescent="0.2">
      <c r="A616" s="14"/>
      <c r="B616" s="16"/>
      <c r="C616" s="6"/>
      <c r="D616" s="16"/>
      <c r="E616" s="6"/>
      <c r="F616" s="16"/>
      <c r="G616" s="16"/>
      <c r="H616" s="16"/>
      <c r="I616" s="16"/>
      <c r="J616" s="16"/>
      <c r="K616" s="16"/>
      <c r="L616" s="16"/>
      <c r="M616" s="16"/>
      <c r="N616" s="16"/>
      <c r="O616" s="16"/>
      <c r="P616" s="16"/>
      <c r="Q616" s="16"/>
      <c r="R616" s="16"/>
      <c r="S616" s="16"/>
      <c r="T616" s="16"/>
      <c r="U616" s="16"/>
      <c r="V616" s="16"/>
      <c r="W616" s="16"/>
      <c r="X616" s="16"/>
      <c r="Y616" s="16"/>
    </row>
    <row r="617" spans="1:25" x14ac:dyDescent="0.2">
      <c r="A617" s="14"/>
      <c r="B617" s="16"/>
      <c r="C617" s="6"/>
      <c r="D617" s="16"/>
      <c r="E617" s="6"/>
      <c r="F617" s="16"/>
      <c r="G617" s="16"/>
      <c r="H617" s="16"/>
      <c r="I617" s="16"/>
      <c r="J617" s="16"/>
      <c r="K617" s="16"/>
      <c r="L617" s="16"/>
      <c r="M617" s="16"/>
      <c r="N617" s="16"/>
      <c r="O617" s="16"/>
      <c r="P617" s="16"/>
      <c r="Q617" s="16"/>
      <c r="R617" s="16"/>
      <c r="S617" s="16"/>
      <c r="T617" s="16"/>
      <c r="U617" s="16"/>
      <c r="V617" s="16"/>
      <c r="W617" s="16"/>
      <c r="X617" s="16"/>
      <c r="Y617" s="16"/>
    </row>
    <row r="618" spans="1:25" x14ac:dyDescent="0.2">
      <c r="A618" s="14"/>
      <c r="B618" s="16"/>
      <c r="C618" s="6"/>
      <c r="D618" s="16"/>
      <c r="E618" s="6"/>
      <c r="F618" s="16"/>
      <c r="G618" s="16"/>
      <c r="H618" s="16"/>
      <c r="I618" s="16"/>
      <c r="J618" s="16"/>
      <c r="K618" s="16"/>
      <c r="L618" s="16"/>
      <c r="M618" s="16"/>
      <c r="N618" s="16"/>
      <c r="O618" s="16"/>
      <c r="P618" s="16"/>
      <c r="Q618" s="16"/>
      <c r="R618" s="16"/>
      <c r="S618" s="16"/>
      <c r="T618" s="16"/>
      <c r="U618" s="16"/>
      <c r="V618" s="16"/>
      <c r="W618" s="16"/>
      <c r="X618" s="16"/>
      <c r="Y618" s="16"/>
    </row>
    <row r="619" spans="1:25" x14ac:dyDescent="0.2">
      <c r="A619" s="14"/>
      <c r="B619" s="16"/>
      <c r="C619" s="6"/>
      <c r="D619" s="16"/>
      <c r="E619" s="6"/>
      <c r="F619" s="16"/>
      <c r="G619" s="16"/>
      <c r="H619" s="16"/>
      <c r="I619" s="16"/>
      <c r="J619" s="16"/>
      <c r="K619" s="16"/>
      <c r="L619" s="16"/>
      <c r="M619" s="16"/>
      <c r="N619" s="16"/>
      <c r="O619" s="16"/>
      <c r="P619" s="16"/>
      <c r="Q619" s="16"/>
      <c r="R619" s="16"/>
      <c r="S619" s="16"/>
      <c r="T619" s="16"/>
      <c r="U619" s="16"/>
      <c r="V619" s="16"/>
      <c r="W619" s="16"/>
      <c r="X619" s="16"/>
      <c r="Y619" s="16"/>
    </row>
    <row r="620" spans="1:25" x14ac:dyDescent="0.2">
      <c r="A620" s="14"/>
      <c r="B620" s="16"/>
      <c r="C620" s="6"/>
      <c r="D620" s="16"/>
      <c r="E620" s="6"/>
      <c r="F620" s="16"/>
      <c r="G620" s="16"/>
      <c r="H620" s="16"/>
      <c r="I620" s="16"/>
      <c r="J620" s="16"/>
      <c r="K620" s="16"/>
      <c r="L620" s="16"/>
      <c r="M620" s="16"/>
      <c r="N620" s="16"/>
      <c r="O620" s="16"/>
      <c r="P620" s="16"/>
      <c r="Q620" s="16"/>
      <c r="R620" s="16"/>
      <c r="S620" s="16"/>
      <c r="T620" s="16"/>
      <c r="U620" s="16"/>
      <c r="V620" s="16"/>
      <c r="W620" s="16"/>
      <c r="X620" s="16"/>
      <c r="Y620" s="16"/>
    </row>
    <row r="621" spans="1:25" x14ac:dyDescent="0.2">
      <c r="A621" s="14"/>
      <c r="B621" s="16"/>
      <c r="C621" s="6"/>
      <c r="D621" s="16"/>
      <c r="E621" s="6"/>
      <c r="F621" s="16"/>
      <c r="G621" s="16"/>
      <c r="H621" s="16"/>
      <c r="I621" s="16"/>
      <c r="J621" s="16"/>
      <c r="K621" s="16"/>
      <c r="L621" s="16"/>
      <c r="M621" s="16"/>
      <c r="N621" s="16"/>
      <c r="O621" s="16"/>
      <c r="P621" s="16"/>
      <c r="Q621" s="16"/>
      <c r="R621" s="16"/>
      <c r="S621" s="16"/>
      <c r="T621" s="16"/>
      <c r="U621" s="16"/>
      <c r="V621" s="16"/>
      <c r="W621" s="16"/>
      <c r="X621" s="16"/>
      <c r="Y621" s="16"/>
    </row>
    <row r="622" spans="1:25" x14ac:dyDescent="0.2">
      <c r="A622" s="14"/>
      <c r="B622" s="16"/>
      <c r="C622" s="6"/>
      <c r="D622" s="16"/>
      <c r="E622" s="6"/>
      <c r="F622" s="16"/>
      <c r="G622" s="16"/>
      <c r="H622" s="16"/>
      <c r="I622" s="16"/>
      <c r="J622" s="16"/>
      <c r="K622" s="16"/>
      <c r="L622" s="16"/>
      <c r="M622" s="16"/>
      <c r="N622" s="16"/>
      <c r="O622" s="16"/>
      <c r="P622" s="16"/>
      <c r="Q622" s="16"/>
      <c r="R622" s="16"/>
      <c r="S622" s="16"/>
      <c r="T622" s="16"/>
      <c r="U622" s="16"/>
      <c r="V622" s="16"/>
      <c r="W622" s="16"/>
      <c r="X622" s="16"/>
      <c r="Y622" s="16"/>
    </row>
    <row r="623" spans="1:25" x14ac:dyDescent="0.2">
      <c r="A623" s="14"/>
      <c r="B623" s="16"/>
      <c r="C623" s="6"/>
      <c r="D623" s="16"/>
      <c r="E623" s="6"/>
      <c r="F623" s="16"/>
      <c r="G623" s="16"/>
      <c r="H623" s="16"/>
      <c r="I623" s="16"/>
      <c r="J623" s="16"/>
      <c r="K623" s="16"/>
      <c r="L623" s="16"/>
      <c r="M623" s="16"/>
      <c r="N623" s="16"/>
      <c r="O623" s="16"/>
      <c r="P623" s="16"/>
      <c r="Q623" s="16"/>
      <c r="R623" s="16"/>
      <c r="S623" s="16"/>
      <c r="T623" s="16"/>
      <c r="U623" s="16"/>
      <c r="V623" s="16"/>
      <c r="W623" s="16"/>
      <c r="X623" s="16"/>
      <c r="Y623" s="16"/>
    </row>
    <row r="624" spans="1:25" x14ac:dyDescent="0.2">
      <c r="A624" s="14"/>
      <c r="B624" s="16"/>
      <c r="C624" s="6"/>
      <c r="D624" s="16"/>
      <c r="E624" s="6"/>
      <c r="F624" s="16"/>
      <c r="G624" s="16"/>
      <c r="H624" s="16"/>
      <c r="I624" s="16"/>
      <c r="J624" s="16"/>
      <c r="K624" s="16"/>
      <c r="L624" s="16"/>
      <c r="M624" s="16"/>
      <c r="N624" s="16"/>
      <c r="O624" s="16"/>
      <c r="P624" s="16"/>
      <c r="Q624" s="16"/>
      <c r="R624" s="16"/>
      <c r="S624" s="16"/>
      <c r="T624" s="16"/>
      <c r="U624" s="16"/>
      <c r="V624" s="16"/>
      <c r="W624" s="16"/>
      <c r="X624" s="16"/>
      <c r="Y624" s="16"/>
    </row>
    <row r="625" spans="1:25" x14ac:dyDescent="0.2">
      <c r="A625" s="14"/>
      <c r="B625" s="16"/>
      <c r="C625" s="6"/>
      <c r="D625" s="16"/>
      <c r="E625" s="6"/>
      <c r="F625" s="16"/>
      <c r="G625" s="16"/>
      <c r="H625" s="16"/>
      <c r="I625" s="16"/>
      <c r="J625" s="16"/>
      <c r="K625" s="16"/>
      <c r="L625" s="16"/>
      <c r="M625" s="16"/>
      <c r="N625" s="16"/>
      <c r="O625" s="16"/>
      <c r="P625" s="16"/>
      <c r="Q625" s="16"/>
      <c r="R625" s="16"/>
      <c r="S625" s="16"/>
      <c r="T625" s="16"/>
      <c r="U625" s="16"/>
      <c r="V625" s="16"/>
      <c r="W625" s="16"/>
      <c r="X625" s="16"/>
      <c r="Y625" s="16"/>
    </row>
    <row r="626" spans="1:25" x14ac:dyDescent="0.2">
      <c r="A626" s="14"/>
      <c r="B626" s="16"/>
      <c r="C626" s="6"/>
      <c r="D626" s="16"/>
      <c r="E626" s="6"/>
      <c r="F626" s="16"/>
      <c r="G626" s="16"/>
      <c r="H626" s="16"/>
      <c r="I626" s="16"/>
      <c r="J626" s="16"/>
      <c r="K626" s="16"/>
      <c r="L626" s="16"/>
      <c r="M626" s="16"/>
      <c r="N626" s="16"/>
      <c r="O626" s="16"/>
      <c r="P626" s="16"/>
      <c r="Q626" s="16"/>
      <c r="R626" s="16"/>
      <c r="S626" s="16"/>
      <c r="T626" s="16"/>
      <c r="U626" s="16"/>
      <c r="V626" s="16"/>
      <c r="W626" s="16"/>
      <c r="X626" s="16"/>
      <c r="Y626" s="16"/>
    </row>
    <row r="627" spans="1:25" x14ac:dyDescent="0.2">
      <c r="A627" s="14"/>
      <c r="B627" s="16"/>
      <c r="C627" s="6"/>
      <c r="D627" s="16"/>
      <c r="E627" s="6"/>
      <c r="F627" s="16"/>
      <c r="G627" s="16"/>
      <c r="H627" s="16"/>
      <c r="I627" s="16"/>
      <c r="J627" s="16"/>
      <c r="K627" s="16"/>
      <c r="L627" s="16"/>
      <c r="M627" s="16"/>
      <c r="N627" s="16"/>
      <c r="O627" s="16"/>
      <c r="P627" s="16"/>
      <c r="Q627" s="16"/>
      <c r="R627" s="16"/>
      <c r="S627" s="16"/>
      <c r="T627" s="16"/>
      <c r="U627" s="16"/>
      <c r="V627" s="16"/>
      <c r="W627" s="16"/>
      <c r="X627" s="16"/>
      <c r="Y627" s="16"/>
    </row>
    <row r="628" spans="1:25" x14ac:dyDescent="0.2">
      <c r="A628" s="14"/>
      <c r="B628" s="16"/>
      <c r="C628" s="6"/>
      <c r="D628" s="16"/>
      <c r="E628" s="6"/>
      <c r="F628" s="16"/>
      <c r="G628" s="16"/>
      <c r="H628" s="16"/>
      <c r="I628" s="16"/>
      <c r="J628" s="16"/>
      <c r="K628" s="16"/>
      <c r="L628" s="16"/>
      <c r="M628" s="16"/>
      <c r="N628" s="16"/>
      <c r="O628" s="16"/>
      <c r="P628" s="16"/>
      <c r="Q628" s="16"/>
      <c r="R628" s="16"/>
      <c r="S628" s="16"/>
      <c r="T628" s="16"/>
      <c r="U628" s="16"/>
      <c r="V628" s="16"/>
      <c r="W628" s="16"/>
      <c r="X628" s="16"/>
      <c r="Y628" s="16"/>
    </row>
    <row r="629" spans="1:25" x14ac:dyDescent="0.2">
      <c r="A629" s="14"/>
      <c r="B629" s="16"/>
      <c r="C629" s="6"/>
      <c r="D629" s="16"/>
      <c r="E629" s="6"/>
      <c r="F629" s="16"/>
      <c r="G629" s="16"/>
      <c r="H629" s="16"/>
      <c r="I629" s="16"/>
      <c r="J629" s="16"/>
      <c r="K629" s="16"/>
      <c r="L629" s="16"/>
      <c r="M629" s="16"/>
      <c r="N629" s="16"/>
      <c r="O629" s="16"/>
      <c r="P629" s="16"/>
      <c r="Q629" s="16"/>
      <c r="R629" s="16"/>
      <c r="S629" s="16"/>
      <c r="T629" s="16"/>
      <c r="U629" s="16"/>
      <c r="V629" s="16"/>
      <c r="W629" s="16"/>
      <c r="X629" s="16"/>
      <c r="Y629" s="16"/>
    </row>
    <row r="630" spans="1:25" x14ac:dyDescent="0.2">
      <c r="A630" s="14"/>
      <c r="B630" s="16"/>
      <c r="C630" s="6"/>
      <c r="D630" s="16"/>
      <c r="E630" s="6"/>
      <c r="F630" s="16"/>
      <c r="G630" s="16"/>
      <c r="H630" s="16"/>
      <c r="I630" s="16"/>
      <c r="J630" s="16"/>
      <c r="K630" s="16"/>
      <c r="L630" s="16"/>
      <c r="M630" s="16"/>
      <c r="N630" s="16"/>
      <c r="O630" s="16"/>
      <c r="P630" s="16"/>
      <c r="Q630" s="16"/>
      <c r="R630" s="16"/>
      <c r="S630" s="16"/>
      <c r="T630" s="16"/>
      <c r="U630" s="16"/>
      <c r="V630" s="16"/>
      <c r="W630" s="16"/>
      <c r="X630" s="16"/>
      <c r="Y630" s="16"/>
    </row>
    <row r="631" spans="1:25" x14ac:dyDescent="0.2">
      <c r="A631" s="14"/>
      <c r="B631" s="16"/>
      <c r="C631" s="6"/>
      <c r="D631" s="16"/>
      <c r="E631" s="6"/>
      <c r="F631" s="16"/>
      <c r="G631" s="16"/>
      <c r="H631" s="16"/>
      <c r="I631" s="16"/>
      <c r="J631" s="16"/>
      <c r="K631" s="16"/>
      <c r="L631" s="16"/>
      <c r="M631" s="16"/>
      <c r="N631" s="16"/>
      <c r="O631" s="16"/>
      <c r="P631" s="16"/>
      <c r="Q631" s="16"/>
      <c r="R631" s="16"/>
      <c r="S631" s="16"/>
      <c r="T631" s="16"/>
      <c r="U631" s="16"/>
      <c r="V631" s="16"/>
      <c r="W631" s="16"/>
      <c r="X631" s="16"/>
      <c r="Y631" s="16"/>
    </row>
    <row r="632" spans="1:25" x14ac:dyDescent="0.2">
      <c r="A632" s="14"/>
      <c r="B632" s="16"/>
      <c r="C632" s="6"/>
      <c r="D632" s="16"/>
      <c r="E632" s="6"/>
      <c r="F632" s="16"/>
      <c r="G632" s="16"/>
      <c r="H632" s="16"/>
      <c r="I632" s="16"/>
      <c r="J632" s="16"/>
      <c r="K632" s="16"/>
      <c r="L632" s="16"/>
      <c r="M632" s="16"/>
      <c r="N632" s="16"/>
      <c r="O632" s="16"/>
      <c r="P632" s="16"/>
      <c r="Q632" s="16"/>
      <c r="R632" s="16"/>
      <c r="S632" s="16"/>
      <c r="T632" s="16"/>
      <c r="U632" s="16"/>
      <c r="V632" s="16"/>
      <c r="W632" s="16"/>
      <c r="X632" s="16"/>
      <c r="Y632" s="16"/>
    </row>
    <row r="633" spans="1:25" x14ac:dyDescent="0.2">
      <c r="A633" s="14"/>
      <c r="B633" s="16"/>
      <c r="C633" s="6"/>
      <c r="D633" s="16"/>
      <c r="E633" s="6"/>
      <c r="F633" s="16"/>
      <c r="G633" s="16"/>
      <c r="H633" s="16"/>
      <c r="I633" s="16"/>
      <c r="J633" s="16"/>
      <c r="K633" s="16"/>
      <c r="L633" s="16"/>
      <c r="M633" s="16"/>
      <c r="N633" s="16"/>
      <c r="O633" s="16"/>
      <c r="P633" s="16"/>
      <c r="Q633" s="16"/>
      <c r="R633" s="16"/>
      <c r="S633" s="16"/>
      <c r="T633" s="16"/>
      <c r="U633" s="16"/>
      <c r="V633" s="16"/>
      <c r="W633" s="16"/>
      <c r="X633" s="16"/>
      <c r="Y633" s="16"/>
    </row>
    <row r="634" spans="1:25" x14ac:dyDescent="0.2">
      <c r="A634" s="14"/>
      <c r="B634" s="16"/>
      <c r="C634" s="6"/>
      <c r="D634" s="16"/>
      <c r="E634" s="6"/>
      <c r="F634" s="16"/>
      <c r="G634" s="16"/>
      <c r="H634" s="16"/>
      <c r="I634" s="16"/>
      <c r="J634" s="16"/>
      <c r="K634" s="16"/>
      <c r="L634" s="16"/>
      <c r="M634" s="16"/>
      <c r="N634" s="16"/>
      <c r="O634" s="16"/>
      <c r="P634" s="16"/>
      <c r="Q634" s="16"/>
      <c r="R634" s="16"/>
      <c r="S634" s="16"/>
      <c r="T634" s="16"/>
      <c r="U634" s="16"/>
      <c r="V634" s="16"/>
      <c r="W634" s="16"/>
      <c r="X634" s="16"/>
      <c r="Y634" s="16"/>
    </row>
    <row r="635" spans="1:25" x14ac:dyDescent="0.2">
      <c r="A635" s="14"/>
      <c r="B635" s="16"/>
      <c r="C635" s="6"/>
      <c r="D635" s="16"/>
      <c r="E635" s="6"/>
      <c r="F635" s="16"/>
      <c r="G635" s="16"/>
      <c r="H635" s="16"/>
      <c r="I635" s="16"/>
      <c r="J635" s="16"/>
      <c r="K635" s="16"/>
      <c r="L635" s="16"/>
      <c r="M635" s="16"/>
      <c r="N635" s="16"/>
      <c r="O635" s="16"/>
      <c r="P635" s="16"/>
      <c r="Q635" s="16"/>
      <c r="R635" s="16"/>
      <c r="S635" s="16"/>
      <c r="T635" s="16"/>
      <c r="U635" s="16"/>
      <c r="V635" s="16"/>
      <c r="W635" s="16"/>
      <c r="X635" s="16"/>
      <c r="Y635" s="16"/>
    </row>
    <row r="636" spans="1:25" x14ac:dyDescent="0.2">
      <c r="A636" s="14"/>
      <c r="B636" s="16"/>
      <c r="C636" s="6"/>
      <c r="D636" s="16"/>
      <c r="E636" s="6"/>
      <c r="F636" s="16"/>
      <c r="G636" s="16"/>
      <c r="H636" s="16"/>
      <c r="I636" s="16"/>
      <c r="J636" s="16"/>
      <c r="K636" s="16"/>
      <c r="L636" s="16"/>
      <c r="M636" s="16"/>
      <c r="N636" s="16"/>
      <c r="O636" s="16"/>
      <c r="P636" s="16"/>
      <c r="Q636" s="16"/>
      <c r="R636" s="16"/>
      <c r="S636" s="16"/>
      <c r="T636" s="16"/>
      <c r="U636" s="16"/>
      <c r="V636" s="16"/>
      <c r="W636" s="16"/>
      <c r="X636" s="16"/>
      <c r="Y636" s="16"/>
    </row>
    <row r="637" spans="1:25" x14ac:dyDescent="0.2">
      <c r="A637" s="14"/>
      <c r="B637" s="16"/>
      <c r="C637" s="6"/>
      <c r="D637" s="16"/>
      <c r="E637" s="6"/>
      <c r="F637" s="16"/>
      <c r="G637" s="16"/>
      <c r="H637" s="16"/>
      <c r="I637" s="16"/>
      <c r="J637" s="16"/>
      <c r="K637" s="16"/>
      <c r="L637" s="16"/>
      <c r="M637" s="16"/>
      <c r="N637" s="16"/>
      <c r="O637" s="16"/>
      <c r="P637" s="16"/>
      <c r="Q637" s="16"/>
      <c r="R637" s="16"/>
      <c r="S637" s="16"/>
      <c r="T637" s="16"/>
      <c r="U637" s="16"/>
      <c r="V637" s="16"/>
      <c r="W637" s="16"/>
      <c r="X637" s="16"/>
      <c r="Y637" s="16"/>
    </row>
    <row r="638" spans="1:25" x14ac:dyDescent="0.2">
      <c r="A638" s="14"/>
      <c r="B638" s="16"/>
      <c r="C638" s="6"/>
      <c r="D638" s="16"/>
      <c r="E638" s="6"/>
      <c r="F638" s="16"/>
      <c r="G638" s="16"/>
      <c r="H638" s="16"/>
      <c r="I638" s="16"/>
      <c r="J638" s="16"/>
      <c r="K638" s="16"/>
      <c r="L638" s="16"/>
      <c r="M638" s="16"/>
      <c r="N638" s="16"/>
      <c r="O638" s="16"/>
      <c r="P638" s="16"/>
      <c r="Q638" s="16"/>
      <c r="R638" s="16"/>
      <c r="S638" s="16"/>
      <c r="T638" s="16"/>
      <c r="U638" s="16"/>
      <c r="V638" s="16"/>
      <c r="W638" s="16"/>
      <c r="X638" s="16"/>
      <c r="Y638" s="16"/>
    </row>
    <row r="639" spans="1:25" x14ac:dyDescent="0.2">
      <c r="A639" s="14"/>
      <c r="B639" s="16"/>
      <c r="C639" s="6"/>
      <c r="D639" s="16"/>
      <c r="E639" s="6"/>
      <c r="F639" s="16"/>
      <c r="G639" s="16"/>
      <c r="H639" s="16"/>
      <c r="I639" s="16"/>
      <c r="J639" s="16"/>
      <c r="K639" s="16"/>
      <c r="L639" s="16"/>
      <c r="M639" s="16"/>
      <c r="N639" s="16"/>
      <c r="O639" s="16"/>
      <c r="P639" s="16"/>
      <c r="Q639" s="16"/>
      <c r="R639" s="16"/>
      <c r="S639" s="16"/>
      <c r="T639" s="16"/>
      <c r="U639" s="16"/>
      <c r="V639" s="16"/>
      <c r="W639" s="16"/>
      <c r="X639" s="16"/>
      <c r="Y639" s="16"/>
    </row>
    <row r="640" spans="1:25" x14ac:dyDescent="0.2">
      <c r="A640" s="14"/>
      <c r="B640" s="16"/>
      <c r="C640" s="6"/>
      <c r="D640" s="16"/>
      <c r="E640" s="6"/>
      <c r="F640" s="16"/>
      <c r="G640" s="16"/>
      <c r="H640" s="16"/>
      <c r="I640" s="16"/>
      <c r="J640" s="16"/>
      <c r="K640" s="16"/>
      <c r="L640" s="16"/>
      <c r="M640" s="16"/>
      <c r="N640" s="16"/>
      <c r="O640" s="16"/>
      <c r="P640" s="16"/>
      <c r="Q640" s="16"/>
      <c r="R640" s="16"/>
      <c r="S640" s="16"/>
      <c r="T640" s="16"/>
      <c r="U640" s="16"/>
      <c r="V640" s="16"/>
      <c r="W640" s="16"/>
      <c r="X640" s="16"/>
      <c r="Y640" s="16"/>
    </row>
    <row r="641" spans="1:25" x14ac:dyDescent="0.2">
      <c r="A641" s="14"/>
      <c r="B641" s="16"/>
      <c r="C641" s="6"/>
      <c r="D641" s="16"/>
      <c r="E641" s="6"/>
      <c r="F641" s="16"/>
      <c r="G641" s="16"/>
      <c r="H641" s="16"/>
      <c r="I641" s="16"/>
      <c r="J641" s="16"/>
      <c r="K641" s="16"/>
      <c r="L641" s="16"/>
      <c r="M641" s="16"/>
      <c r="N641" s="16"/>
      <c r="O641" s="16"/>
      <c r="P641" s="16"/>
      <c r="Q641" s="16"/>
      <c r="R641" s="16"/>
      <c r="S641" s="16"/>
      <c r="T641" s="16"/>
      <c r="U641" s="16"/>
      <c r="V641" s="16"/>
      <c r="W641" s="16"/>
      <c r="X641" s="16"/>
      <c r="Y641" s="16"/>
    </row>
    <row r="642" spans="1:25" x14ac:dyDescent="0.2">
      <c r="A642" s="14"/>
      <c r="B642" s="16"/>
      <c r="C642" s="6"/>
      <c r="D642" s="16"/>
      <c r="E642" s="6"/>
      <c r="F642" s="16"/>
      <c r="G642" s="16"/>
      <c r="H642" s="16"/>
      <c r="I642" s="16"/>
      <c r="J642" s="16"/>
      <c r="K642" s="16"/>
      <c r="L642" s="16"/>
      <c r="M642" s="16"/>
      <c r="N642" s="16"/>
      <c r="O642" s="16"/>
      <c r="P642" s="16"/>
      <c r="Q642" s="16"/>
      <c r="R642" s="16"/>
      <c r="S642" s="16"/>
      <c r="T642" s="16"/>
      <c r="U642" s="16"/>
      <c r="V642" s="16"/>
      <c r="W642" s="16"/>
      <c r="X642" s="16"/>
      <c r="Y642" s="16"/>
    </row>
    <row r="643" spans="1:25" x14ac:dyDescent="0.2">
      <c r="A643" s="14"/>
      <c r="B643" s="16"/>
      <c r="C643" s="6"/>
      <c r="D643" s="16"/>
      <c r="E643" s="6"/>
      <c r="F643" s="16"/>
      <c r="G643" s="16"/>
      <c r="H643" s="16"/>
      <c r="I643" s="16"/>
      <c r="J643" s="16"/>
      <c r="K643" s="16"/>
      <c r="L643" s="16"/>
      <c r="M643" s="16"/>
      <c r="N643" s="16"/>
      <c r="O643" s="16"/>
      <c r="P643" s="16"/>
      <c r="Q643" s="16"/>
      <c r="R643" s="16"/>
      <c r="S643" s="16"/>
      <c r="T643" s="16"/>
      <c r="U643" s="16"/>
      <c r="V643" s="16"/>
      <c r="W643" s="16"/>
      <c r="X643" s="16"/>
      <c r="Y643" s="16"/>
    </row>
    <row r="644" spans="1:25" x14ac:dyDescent="0.2">
      <c r="A644" s="14"/>
      <c r="B644" s="16"/>
      <c r="C644" s="6"/>
      <c r="D644" s="16"/>
      <c r="E644" s="6"/>
      <c r="F644" s="16"/>
      <c r="G644" s="16"/>
      <c r="H644" s="16"/>
      <c r="I644" s="16"/>
      <c r="J644" s="16"/>
      <c r="K644" s="16"/>
      <c r="L644" s="16"/>
      <c r="M644" s="16"/>
      <c r="N644" s="16"/>
      <c r="O644" s="16"/>
      <c r="P644" s="16"/>
      <c r="Q644" s="16"/>
      <c r="R644" s="16"/>
      <c r="S644" s="16"/>
      <c r="T644" s="16"/>
      <c r="U644" s="16"/>
      <c r="V644" s="16"/>
      <c r="W644" s="16"/>
      <c r="X644" s="16"/>
      <c r="Y644" s="16"/>
    </row>
    <row r="645" spans="1:25" x14ac:dyDescent="0.2">
      <c r="A645" s="14"/>
      <c r="B645" s="16"/>
      <c r="C645" s="6"/>
      <c r="D645" s="16"/>
      <c r="E645" s="6"/>
      <c r="F645" s="16"/>
      <c r="G645" s="16"/>
      <c r="H645" s="16"/>
      <c r="I645" s="16"/>
      <c r="J645" s="16"/>
      <c r="K645" s="16"/>
      <c r="L645" s="16"/>
      <c r="M645" s="16"/>
      <c r="N645" s="16"/>
      <c r="O645" s="16"/>
      <c r="P645" s="16"/>
      <c r="Q645" s="16"/>
      <c r="R645" s="16"/>
      <c r="S645" s="16"/>
      <c r="T645" s="16"/>
      <c r="U645" s="16"/>
      <c r="V645" s="16"/>
      <c r="W645" s="16"/>
      <c r="X645" s="16"/>
      <c r="Y645" s="16"/>
    </row>
    <row r="646" spans="1:25" x14ac:dyDescent="0.2">
      <c r="A646" s="14"/>
      <c r="B646" s="16"/>
      <c r="C646" s="6"/>
      <c r="D646" s="16"/>
      <c r="E646" s="6"/>
      <c r="F646" s="16"/>
      <c r="G646" s="16"/>
      <c r="H646" s="16"/>
      <c r="I646" s="16"/>
      <c r="J646" s="16"/>
      <c r="K646" s="16"/>
      <c r="L646" s="16"/>
      <c r="M646" s="16"/>
      <c r="N646" s="16"/>
      <c r="O646" s="16"/>
      <c r="P646" s="16"/>
      <c r="Q646" s="16"/>
      <c r="R646" s="16"/>
      <c r="S646" s="16"/>
      <c r="T646" s="16"/>
      <c r="U646" s="16"/>
      <c r="V646" s="16"/>
      <c r="W646" s="16"/>
      <c r="X646" s="16"/>
      <c r="Y646" s="16"/>
    </row>
    <row r="647" spans="1:25" x14ac:dyDescent="0.2">
      <c r="A647" s="14"/>
      <c r="B647" s="16"/>
      <c r="C647" s="6"/>
      <c r="D647" s="16"/>
      <c r="E647" s="6"/>
      <c r="F647" s="16"/>
      <c r="G647" s="16"/>
      <c r="H647" s="16"/>
      <c r="I647" s="16"/>
      <c r="J647" s="16"/>
      <c r="K647" s="16"/>
      <c r="L647" s="16"/>
      <c r="M647" s="16"/>
      <c r="N647" s="16"/>
      <c r="O647" s="16"/>
      <c r="P647" s="16"/>
      <c r="Q647" s="16"/>
      <c r="R647" s="16"/>
      <c r="S647" s="16"/>
      <c r="T647" s="16"/>
      <c r="U647" s="16"/>
      <c r="V647" s="16"/>
      <c r="W647" s="16"/>
      <c r="X647" s="16"/>
      <c r="Y647" s="16"/>
    </row>
    <row r="648" spans="1:25" x14ac:dyDescent="0.2">
      <c r="A648" s="14"/>
      <c r="B648" s="16"/>
      <c r="C648" s="6"/>
      <c r="D648" s="16"/>
      <c r="E648" s="6"/>
      <c r="F648" s="16"/>
      <c r="G648" s="16"/>
      <c r="H648" s="16"/>
      <c r="I648" s="16"/>
      <c r="J648" s="16"/>
      <c r="K648" s="16"/>
      <c r="L648" s="16"/>
      <c r="M648" s="16"/>
      <c r="N648" s="16"/>
      <c r="O648" s="16"/>
      <c r="P648" s="16"/>
      <c r="Q648" s="16"/>
      <c r="R648" s="16"/>
      <c r="S648" s="16"/>
      <c r="T648" s="16"/>
      <c r="U648" s="16"/>
      <c r="V648" s="16"/>
      <c r="W648" s="16"/>
      <c r="X648" s="16"/>
      <c r="Y648" s="16"/>
    </row>
    <row r="649" spans="1:25" x14ac:dyDescent="0.2">
      <c r="A649" s="14"/>
      <c r="B649" s="16"/>
      <c r="C649" s="6"/>
      <c r="D649" s="16"/>
      <c r="E649" s="6"/>
      <c r="F649" s="16"/>
      <c r="G649" s="16"/>
      <c r="H649" s="16"/>
      <c r="I649" s="16"/>
      <c r="J649" s="16"/>
      <c r="K649" s="16"/>
      <c r="L649" s="16"/>
      <c r="M649" s="16"/>
      <c r="N649" s="16"/>
      <c r="O649" s="16"/>
      <c r="P649" s="16"/>
      <c r="Q649" s="16"/>
      <c r="R649" s="16"/>
      <c r="S649" s="16"/>
      <c r="T649" s="16"/>
      <c r="U649" s="16"/>
      <c r="V649" s="16"/>
      <c r="W649" s="16"/>
      <c r="X649" s="16"/>
      <c r="Y649" s="16"/>
    </row>
    <row r="650" spans="1:25" x14ac:dyDescent="0.2">
      <c r="A650" s="14"/>
      <c r="B650" s="16"/>
      <c r="C650" s="6"/>
      <c r="D650" s="16"/>
      <c r="E650" s="6"/>
      <c r="F650" s="16"/>
      <c r="G650" s="16"/>
      <c r="H650" s="16"/>
      <c r="I650" s="16"/>
      <c r="J650" s="16"/>
      <c r="K650" s="16"/>
      <c r="L650" s="16"/>
      <c r="M650" s="16"/>
      <c r="N650" s="16"/>
      <c r="O650" s="16"/>
      <c r="P650" s="16"/>
      <c r="Q650" s="16"/>
      <c r="R650" s="16"/>
      <c r="S650" s="16"/>
      <c r="T650" s="16"/>
      <c r="U650" s="16"/>
      <c r="V650" s="16"/>
      <c r="W650" s="16"/>
      <c r="X650" s="16"/>
      <c r="Y650" s="16"/>
    </row>
    <row r="651" spans="1:25" x14ac:dyDescent="0.2">
      <c r="A651" s="14"/>
      <c r="B651" s="16"/>
      <c r="C651" s="6"/>
      <c r="D651" s="16"/>
      <c r="E651" s="6"/>
      <c r="F651" s="16"/>
      <c r="G651" s="16"/>
      <c r="H651" s="16"/>
      <c r="I651" s="16"/>
      <c r="J651" s="16"/>
      <c r="K651" s="16"/>
      <c r="L651" s="16"/>
      <c r="M651" s="16"/>
      <c r="N651" s="16"/>
      <c r="O651" s="16"/>
      <c r="P651" s="16"/>
      <c r="Q651" s="16"/>
      <c r="R651" s="16"/>
      <c r="S651" s="16"/>
      <c r="T651" s="16"/>
      <c r="U651" s="16"/>
      <c r="V651" s="16"/>
      <c r="W651" s="16"/>
      <c r="X651" s="16"/>
      <c r="Y651" s="16"/>
    </row>
    <row r="652" spans="1:25" x14ac:dyDescent="0.2">
      <c r="A652" s="14"/>
      <c r="B652" s="16"/>
      <c r="C652" s="6"/>
      <c r="D652" s="16"/>
      <c r="E652" s="6"/>
      <c r="F652" s="16"/>
      <c r="G652" s="16"/>
      <c r="H652" s="16"/>
      <c r="I652" s="16"/>
      <c r="J652" s="16"/>
      <c r="K652" s="16"/>
      <c r="L652" s="16"/>
      <c r="M652" s="16"/>
      <c r="N652" s="16"/>
      <c r="O652" s="16"/>
      <c r="P652" s="16"/>
      <c r="Q652" s="16"/>
      <c r="R652" s="16"/>
      <c r="S652" s="16"/>
      <c r="T652" s="16"/>
      <c r="U652" s="16"/>
      <c r="V652" s="16"/>
      <c r="W652" s="16"/>
      <c r="X652" s="16"/>
      <c r="Y652" s="16"/>
    </row>
    <row r="653" spans="1:25" x14ac:dyDescent="0.2">
      <c r="A653" s="14"/>
      <c r="B653" s="16"/>
      <c r="C653" s="6"/>
      <c r="D653" s="16"/>
      <c r="E653" s="6"/>
      <c r="F653" s="16"/>
      <c r="G653" s="16"/>
      <c r="H653" s="16"/>
      <c r="I653" s="16"/>
      <c r="J653" s="16"/>
      <c r="K653" s="16"/>
      <c r="L653" s="16"/>
      <c r="M653" s="16"/>
      <c r="N653" s="16"/>
      <c r="O653" s="16"/>
      <c r="P653" s="16"/>
      <c r="Q653" s="16"/>
      <c r="R653" s="16"/>
      <c r="S653" s="16"/>
      <c r="T653" s="16"/>
      <c r="U653" s="16"/>
      <c r="V653" s="16"/>
      <c r="W653" s="16"/>
      <c r="X653" s="16"/>
      <c r="Y653" s="16"/>
    </row>
    <row r="654" spans="1:25" x14ac:dyDescent="0.2">
      <c r="A654" s="14"/>
      <c r="B654" s="16"/>
      <c r="C654" s="6"/>
      <c r="D654" s="16"/>
      <c r="E654" s="6"/>
      <c r="F654" s="16"/>
      <c r="G654" s="16"/>
      <c r="H654" s="16"/>
      <c r="I654" s="16"/>
      <c r="J654" s="16"/>
      <c r="K654" s="16"/>
      <c r="L654" s="16"/>
      <c r="M654" s="16"/>
      <c r="N654" s="16"/>
      <c r="O654" s="16"/>
      <c r="P654" s="16"/>
      <c r="Q654" s="16"/>
      <c r="R654" s="16"/>
      <c r="S654" s="16"/>
      <c r="T654" s="16"/>
      <c r="U654" s="16"/>
      <c r="V654" s="16"/>
      <c r="W654" s="16"/>
      <c r="X654" s="16"/>
      <c r="Y654" s="16"/>
    </row>
    <row r="655" spans="1:25" x14ac:dyDescent="0.2">
      <c r="A655" s="14"/>
      <c r="B655" s="16"/>
      <c r="C655" s="6"/>
      <c r="D655" s="16"/>
      <c r="E655" s="6"/>
      <c r="F655" s="16"/>
      <c r="G655" s="16"/>
      <c r="H655" s="16"/>
      <c r="I655" s="16"/>
      <c r="J655" s="16"/>
      <c r="K655" s="16"/>
      <c r="L655" s="16"/>
      <c r="M655" s="16"/>
      <c r="N655" s="16"/>
      <c r="O655" s="16"/>
      <c r="P655" s="16"/>
      <c r="Q655" s="16"/>
      <c r="R655" s="16"/>
      <c r="S655" s="16"/>
      <c r="T655" s="16"/>
      <c r="U655" s="16"/>
      <c r="V655" s="16"/>
      <c r="W655" s="16"/>
      <c r="X655" s="16"/>
      <c r="Y655" s="16"/>
    </row>
    <row r="656" spans="1:25" x14ac:dyDescent="0.2">
      <c r="A656" s="14"/>
      <c r="B656" s="16"/>
      <c r="C656" s="6"/>
      <c r="D656" s="16"/>
      <c r="E656" s="6"/>
      <c r="F656" s="16"/>
      <c r="G656" s="16"/>
      <c r="H656" s="16"/>
      <c r="I656" s="16"/>
      <c r="J656" s="16"/>
      <c r="K656" s="16"/>
      <c r="L656" s="16"/>
      <c r="M656" s="16"/>
      <c r="N656" s="16"/>
      <c r="O656" s="16"/>
      <c r="P656" s="16"/>
      <c r="Q656" s="16"/>
      <c r="R656" s="16"/>
      <c r="S656" s="16"/>
      <c r="T656" s="16"/>
      <c r="U656" s="16"/>
      <c r="V656" s="16"/>
      <c r="W656" s="16"/>
      <c r="X656" s="16"/>
      <c r="Y656" s="16"/>
    </row>
    <row r="657" spans="1:25" x14ac:dyDescent="0.2">
      <c r="A657" s="14"/>
      <c r="B657" s="16"/>
      <c r="C657" s="6"/>
      <c r="D657" s="16"/>
      <c r="E657" s="6"/>
      <c r="F657" s="16"/>
      <c r="G657" s="16"/>
      <c r="H657" s="16"/>
      <c r="I657" s="16"/>
      <c r="J657" s="16"/>
      <c r="K657" s="16"/>
      <c r="L657" s="16"/>
      <c r="M657" s="16"/>
      <c r="N657" s="16"/>
      <c r="O657" s="16"/>
      <c r="P657" s="16"/>
      <c r="Q657" s="16"/>
      <c r="R657" s="16"/>
      <c r="S657" s="16"/>
      <c r="T657" s="16"/>
      <c r="U657" s="16"/>
      <c r="V657" s="16"/>
      <c r="W657" s="16"/>
      <c r="X657" s="16"/>
      <c r="Y657" s="16"/>
    </row>
    <row r="658" spans="1:25" x14ac:dyDescent="0.2">
      <c r="A658" s="14"/>
      <c r="B658" s="16"/>
      <c r="C658" s="6"/>
      <c r="D658" s="16"/>
      <c r="E658" s="6"/>
      <c r="F658" s="16"/>
      <c r="G658" s="16"/>
      <c r="H658" s="16"/>
      <c r="I658" s="16"/>
      <c r="J658" s="16"/>
      <c r="K658" s="16"/>
      <c r="L658" s="16"/>
      <c r="M658" s="16"/>
      <c r="N658" s="16"/>
      <c r="O658" s="16"/>
      <c r="P658" s="16"/>
      <c r="Q658" s="16"/>
      <c r="R658" s="16"/>
      <c r="S658" s="16"/>
      <c r="T658" s="16"/>
      <c r="U658" s="16"/>
      <c r="V658" s="16"/>
      <c r="W658" s="16"/>
      <c r="X658" s="16"/>
      <c r="Y658" s="16"/>
    </row>
    <row r="659" spans="1:25" x14ac:dyDescent="0.2">
      <c r="A659" s="14"/>
      <c r="B659" s="16"/>
      <c r="C659" s="6"/>
      <c r="D659" s="16"/>
      <c r="E659" s="6"/>
      <c r="F659" s="16"/>
      <c r="G659" s="16"/>
      <c r="H659" s="16"/>
      <c r="I659" s="16"/>
      <c r="J659" s="16"/>
      <c r="K659" s="16"/>
      <c r="L659" s="16"/>
      <c r="M659" s="16"/>
      <c r="N659" s="16"/>
      <c r="O659" s="16"/>
      <c r="P659" s="16"/>
      <c r="Q659" s="16"/>
      <c r="R659" s="16"/>
      <c r="S659" s="16"/>
      <c r="T659" s="16"/>
      <c r="U659" s="16"/>
      <c r="V659" s="16"/>
      <c r="W659" s="16"/>
      <c r="X659" s="16"/>
      <c r="Y659" s="16"/>
    </row>
    <row r="660" spans="1:25" x14ac:dyDescent="0.2">
      <c r="A660" s="14"/>
      <c r="B660" s="16"/>
      <c r="C660" s="6"/>
      <c r="D660" s="16"/>
      <c r="E660" s="6"/>
      <c r="F660" s="16"/>
      <c r="G660" s="16"/>
      <c r="H660" s="16"/>
      <c r="I660" s="16"/>
      <c r="J660" s="16"/>
      <c r="K660" s="16"/>
      <c r="L660" s="16"/>
      <c r="M660" s="16"/>
      <c r="N660" s="16"/>
      <c r="O660" s="16"/>
      <c r="P660" s="16"/>
      <c r="Q660" s="16"/>
      <c r="R660" s="16"/>
      <c r="S660" s="16"/>
      <c r="T660" s="16"/>
      <c r="U660" s="16"/>
      <c r="V660" s="16"/>
      <c r="W660" s="16"/>
      <c r="X660" s="16"/>
      <c r="Y660" s="16"/>
    </row>
    <row r="661" spans="1:25" x14ac:dyDescent="0.2">
      <c r="A661" s="14"/>
      <c r="B661" s="16"/>
      <c r="C661" s="6"/>
      <c r="D661" s="16"/>
      <c r="E661" s="6"/>
      <c r="F661" s="16"/>
      <c r="G661" s="16"/>
      <c r="H661" s="16"/>
      <c r="I661" s="16"/>
      <c r="J661" s="16"/>
      <c r="K661" s="16"/>
      <c r="L661" s="16"/>
      <c r="M661" s="16"/>
      <c r="N661" s="16"/>
      <c r="O661" s="16"/>
      <c r="P661" s="16"/>
      <c r="Q661" s="16"/>
      <c r="R661" s="16"/>
      <c r="S661" s="16"/>
      <c r="T661" s="16"/>
      <c r="U661" s="16"/>
      <c r="V661" s="16"/>
      <c r="W661" s="16"/>
      <c r="X661" s="16"/>
      <c r="Y661" s="16"/>
    </row>
    <row r="662" spans="1:25" x14ac:dyDescent="0.2">
      <c r="A662" s="14"/>
      <c r="B662" s="16"/>
      <c r="C662" s="6"/>
      <c r="D662" s="16"/>
      <c r="E662" s="6"/>
      <c r="F662" s="16"/>
      <c r="G662" s="16"/>
      <c r="H662" s="16"/>
      <c r="I662" s="16"/>
      <c r="J662" s="16"/>
      <c r="K662" s="16"/>
      <c r="L662" s="16"/>
      <c r="M662" s="16"/>
      <c r="N662" s="16"/>
      <c r="O662" s="16"/>
      <c r="P662" s="16"/>
      <c r="Q662" s="16"/>
      <c r="R662" s="16"/>
      <c r="S662" s="16"/>
      <c r="T662" s="16"/>
      <c r="U662" s="16"/>
      <c r="V662" s="16"/>
      <c r="W662" s="16"/>
      <c r="X662" s="16"/>
      <c r="Y662" s="16"/>
    </row>
    <row r="663" spans="1:25" x14ac:dyDescent="0.2">
      <c r="A663" s="14"/>
      <c r="B663" s="16"/>
      <c r="C663" s="6"/>
      <c r="D663" s="16"/>
      <c r="E663" s="6"/>
      <c r="F663" s="16"/>
      <c r="G663" s="16"/>
      <c r="H663" s="16"/>
      <c r="I663" s="16"/>
      <c r="J663" s="16"/>
      <c r="K663" s="16"/>
      <c r="L663" s="16"/>
      <c r="M663" s="16"/>
      <c r="N663" s="16"/>
      <c r="O663" s="16"/>
      <c r="P663" s="16"/>
      <c r="Q663" s="16"/>
      <c r="R663" s="16"/>
      <c r="S663" s="16"/>
      <c r="T663" s="16"/>
      <c r="U663" s="16"/>
      <c r="V663" s="16"/>
      <c r="W663" s="16"/>
      <c r="X663" s="16"/>
      <c r="Y663" s="16"/>
    </row>
    <row r="664" spans="1:25" x14ac:dyDescent="0.2">
      <c r="A664" s="14"/>
      <c r="B664" s="16"/>
      <c r="C664" s="6"/>
      <c r="D664" s="16"/>
      <c r="E664" s="6"/>
      <c r="F664" s="16"/>
      <c r="G664" s="16"/>
      <c r="H664" s="16"/>
      <c r="I664" s="16"/>
      <c r="J664" s="16"/>
      <c r="K664" s="16"/>
      <c r="L664" s="16"/>
      <c r="M664" s="16"/>
      <c r="N664" s="16"/>
      <c r="O664" s="16"/>
      <c r="P664" s="16"/>
      <c r="Q664" s="16"/>
      <c r="R664" s="16"/>
      <c r="S664" s="16"/>
      <c r="T664" s="16"/>
      <c r="U664" s="16"/>
      <c r="V664" s="16"/>
      <c r="W664" s="16"/>
      <c r="X664" s="16"/>
      <c r="Y664" s="16"/>
    </row>
    <row r="665" spans="1:25" x14ac:dyDescent="0.2">
      <c r="A665" s="14"/>
      <c r="B665" s="16"/>
      <c r="C665" s="6"/>
      <c r="D665" s="16"/>
      <c r="E665" s="6"/>
      <c r="F665" s="16"/>
      <c r="G665" s="16"/>
      <c r="H665" s="16"/>
      <c r="I665" s="16"/>
      <c r="J665" s="16"/>
      <c r="K665" s="16"/>
      <c r="L665" s="16"/>
      <c r="M665" s="16"/>
      <c r="N665" s="16"/>
      <c r="O665" s="16"/>
      <c r="P665" s="16"/>
      <c r="Q665" s="16"/>
      <c r="R665" s="16"/>
      <c r="S665" s="16"/>
      <c r="T665" s="16"/>
      <c r="U665" s="16"/>
      <c r="V665" s="16"/>
      <c r="W665" s="16"/>
      <c r="X665" s="16"/>
      <c r="Y665" s="16"/>
    </row>
    <row r="666" spans="1:25" x14ac:dyDescent="0.2">
      <c r="A666" s="14"/>
      <c r="B666" s="16"/>
      <c r="C666" s="6"/>
      <c r="D666" s="16"/>
      <c r="E666" s="6"/>
      <c r="F666" s="16"/>
      <c r="G666" s="16"/>
      <c r="H666" s="16"/>
      <c r="I666" s="16"/>
      <c r="J666" s="16"/>
      <c r="K666" s="16"/>
      <c r="L666" s="16"/>
      <c r="M666" s="16"/>
      <c r="N666" s="16"/>
      <c r="O666" s="16"/>
      <c r="P666" s="16"/>
      <c r="Q666" s="16"/>
      <c r="R666" s="16"/>
      <c r="S666" s="16"/>
      <c r="T666" s="16"/>
      <c r="U666" s="16"/>
      <c r="V666" s="16"/>
      <c r="W666" s="16"/>
      <c r="X666" s="16"/>
      <c r="Y666" s="16"/>
    </row>
    <row r="667" spans="1:25" x14ac:dyDescent="0.2">
      <c r="A667" s="14"/>
      <c r="B667" s="16"/>
      <c r="C667" s="6"/>
      <c r="D667" s="16"/>
      <c r="E667" s="6"/>
      <c r="F667" s="16"/>
      <c r="G667" s="16"/>
      <c r="H667" s="16"/>
      <c r="I667" s="16"/>
      <c r="J667" s="16"/>
      <c r="K667" s="16"/>
      <c r="L667" s="16"/>
      <c r="M667" s="16"/>
      <c r="N667" s="16"/>
      <c r="O667" s="16"/>
      <c r="P667" s="16"/>
      <c r="Q667" s="16"/>
      <c r="R667" s="16"/>
      <c r="S667" s="16"/>
      <c r="T667" s="16"/>
      <c r="U667" s="16"/>
      <c r="V667" s="16"/>
      <c r="W667" s="16"/>
      <c r="X667" s="16"/>
      <c r="Y667" s="16"/>
    </row>
    <row r="668" spans="1:25" x14ac:dyDescent="0.2">
      <c r="A668" s="14"/>
      <c r="B668" s="16"/>
      <c r="C668" s="6"/>
      <c r="D668" s="16"/>
      <c r="E668" s="6"/>
      <c r="F668" s="16"/>
      <c r="G668" s="16"/>
      <c r="H668" s="16"/>
      <c r="I668" s="16"/>
      <c r="J668" s="16"/>
      <c r="K668" s="16"/>
      <c r="L668" s="16"/>
      <c r="M668" s="16"/>
      <c r="N668" s="16"/>
      <c r="O668" s="16"/>
      <c r="P668" s="16"/>
      <c r="Q668" s="16"/>
      <c r="R668" s="16"/>
      <c r="S668" s="16"/>
      <c r="T668" s="16"/>
      <c r="U668" s="16"/>
      <c r="V668" s="16"/>
      <c r="W668" s="16"/>
      <c r="X668" s="16"/>
      <c r="Y668" s="16"/>
    </row>
    <row r="669" spans="1:25" x14ac:dyDescent="0.2">
      <c r="A669" s="14"/>
      <c r="B669" s="16"/>
      <c r="C669" s="6"/>
      <c r="D669" s="16"/>
      <c r="E669" s="6"/>
      <c r="F669" s="16"/>
      <c r="G669" s="16"/>
      <c r="H669" s="16"/>
      <c r="I669" s="16"/>
      <c r="J669" s="16"/>
      <c r="K669" s="16"/>
      <c r="L669" s="16"/>
      <c r="M669" s="16"/>
      <c r="N669" s="16"/>
      <c r="O669" s="16"/>
      <c r="P669" s="16"/>
      <c r="Q669" s="16"/>
      <c r="R669" s="16"/>
      <c r="S669" s="16"/>
      <c r="T669" s="16"/>
      <c r="U669" s="16"/>
      <c r="V669" s="16"/>
      <c r="W669" s="16"/>
      <c r="X669" s="16"/>
      <c r="Y669" s="16"/>
    </row>
    <row r="670" spans="1:25" x14ac:dyDescent="0.2">
      <c r="A670" s="14"/>
      <c r="B670" s="16"/>
      <c r="C670" s="6"/>
      <c r="D670" s="16"/>
      <c r="E670" s="6"/>
      <c r="F670" s="16"/>
      <c r="G670" s="16"/>
      <c r="H670" s="16"/>
      <c r="I670" s="16"/>
      <c r="J670" s="16"/>
      <c r="K670" s="16"/>
      <c r="L670" s="16"/>
      <c r="M670" s="16"/>
      <c r="N670" s="16"/>
      <c r="O670" s="16"/>
      <c r="P670" s="16"/>
      <c r="Q670" s="16"/>
      <c r="R670" s="16"/>
      <c r="S670" s="16"/>
      <c r="T670" s="16"/>
      <c r="U670" s="16"/>
      <c r="V670" s="16"/>
      <c r="W670" s="16"/>
      <c r="X670" s="16"/>
      <c r="Y670" s="16"/>
    </row>
    <row r="671" spans="1:25" x14ac:dyDescent="0.2">
      <c r="A671" s="14"/>
      <c r="B671" s="16"/>
      <c r="C671" s="6"/>
      <c r="D671" s="16"/>
      <c r="E671" s="6"/>
      <c r="F671" s="16"/>
      <c r="G671" s="16"/>
      <c r="H671" s="16"/>
      <c r="I671" s="16"/>
      <c r="J671" s="16"/>
      <c r="K671" s="16"/>
      <c r="L671" s="16"/>
      <c r="M671" s="16"/>
      <c r="N671" s="16"/>
      <c r="O671" s="16"/>
      <c r="P671" s="16"/>
      <c r="Q671" s="16"/>
      <c r="R671" s="16"/>
      <c r="S671" s="16"/>
      <c r="T671" s="16"/>
      <c r="U671" s="16"/>
      <c r="V671" s="16"/>
      <c r="W671" s="16"/>
      <c r="X671" s="16"/>
      <c r="Y671" s="16"/>
    </row>
    <row r="672" spans="1:25" x14ac:dyDescent="0.2">
      <c r="A672" s="14"/>
      <c r="B672" s="16"/>
      <c r="C672" s="6"/>
      <c r="D672" s="16"/>
      <c r="E672" s="6"/>
      <c r="F672" s="16"/>
      <c r="G672" s="16"/>
      <c r="H672" s="16"/>
      <c r="I672" s="16"/>
      <c r="J672" s="16"/>
      <c r="K672" s="16"/>
      <c r="L672" s="16"/>
      <c r="M672" s="16"/>
      <c r="N672" s="16"/>
      <c r="O672" s="16"/>
      <c r="P672" s="16"/>
      <c r="Q672" s="16"/>
      <c r="R672" s="16"/>
      <c r="S672" s="16"/>
      <c r="T672" s="16"/>
      <c r="U672" s="16"/>
      <c r="V672" s="16"/>
      <c r="W672" s="16"/>
      <c r="X672" s="16"/>
      <c r="Y672" s="16"/>
    </row>
    <row r="673" spans="1:25" x14ac:dyDescent="0.2">
      <c r="A673" s="14"/>
      <c r="B673" s="16"/>
      <c r="C673" s="6"/>
      <c r="D673" s="16"/>
      <c r="E673" s="6"/>
      <c r="F673" s="16"/>
      <c r="G673" s="16"/>
      <c r="H673" s="16"/>
      <c r="I673" s="16"/>
      <c r="J673" s="16"/>
      <c r="K673" s="16"/>
      <c r="L673" s="16"/>
      <c r="M673" s="16"/>
      <c r="N673" s="16"/>
      <c r="O673" s="16"/>
      <c r="P673" s="16"/>
      <c r="Q673" s="16"/>
      <c r="R673" s="16"/>
      <c r="S673" s="16"/>
      <c r="T673" s="16"/>
      <c r="U673" s="16"/>
      <c r="V673" s="16"/>
      <c r="W673" s="16"/>
      <c r="X673" s="16"/>
      <c r="Y673" s="16"/>
    </row>
    <row r="674" spans="1:25" x14ac:dyDescent="0.2">
      <c r="A674" s="14"/>
      <c r="B674" s="16"/>
      <c r="C674" s="6"/>
      <c r="D674" s="16"/>
      <c r="E674" s="6"/>
      <c r="F674" s="16"/>
      <c r="G674" s="16"/>
      <c r="H674" s="16"/>
      <c r="I674" s="16"/>
      <c r="J674" s="16"/>
      <c r="K674" s="16"/>
      <c r="L674" s="16"/>
      <c r="M674" s="16"/>
      <c r="N674" s="16"/>
      <c r="O674" s="16"/>
      <c r="P674" s="16"/>
      <c r="Q674" s="16"/>
      <c r="R674" s="16"/>
      <c r="S674" s="16"/>
      <c r="T674" s="16"/>
      <c r="U674" s="16"/>
      <c r="V674" s="16"/>
      <c r="W674" s="16"/>
      <c r="X674" s="16"/>
      <c r="Y674" s="16"/>
    </row>
    <row r="675" spans="1:25" x14ac:dyDescent="0.2">
      <c r="A675" s="14"/>
      <c r="B675" s="16"/>
      <c r="C675" s="6"/>
      <c r="D675" s="16"/>
      <c r="E675" s="6"/>
      <c r="F675" s="16"/>
      <c r="G675" s="16"/>
      <c r="H675" s="16"/>
      <c r="I675" s="16"/>
      <c r="J675" s="16"/>
      <c r="K675" s="16"/>
      <c r="L675" s="16"/>
      <c r="M675" s="16"/>
      <c r="N675" s="16"/>
      <c r="O675" s="16"/>
      <c r="P675" s="16"/>
      <c r="Q675" s="16"/>
      <c r="R675" s="16"/>
      <c r="S675" s="16"/>
      <c r="T675" s="16"/>
      <c r="U675" s="16"/>
      <c r="V675" s="16"/>
      <c r="W675" s="16"/>
      <c r="X675" s="16"/>
      <c r="Y675" s="16"/>
    </row>
    <row r="676" spans="1:25" x14ac:dyDescent="0.2">
      <c r="A676" s="14"/>
      <c r="B676" s="16"/>
      <c r="C676" s="6"/>
      <c r="D676" s="16"/>
      <c r="E676" s="6"/>
      <c r="F676" s="16"/>
      <c r="G676" s="16"/>
      <c r="H676" s="16"/>
      <c r="I676" s="16"/>
      <c r="J676" s="16"/>
      <c r="K676" s="16"/>
      <c r="L676" s="16"/>
      <c r="M676" s="16"/>
      <c r="N676" s="16"/>
      <c r="O676" s="16"/>
      <c r="P676" s="16"/>
      <c r="Q676" s="16"/>
      <c r="R676" s="16"/>
      <c r="S676" s="16"/>
      <c r="T676" s="16"/>
      <c r="U676" s="16"/>
      <c r="V676" s="16"/>
      <c r="W676" s="16"/>
      <c r="X676" s="16"/>
      <c r="Y676" s="16"/>
    </row>
    <row r="677" spans="1:25" x14ac:dyDescent="0.2">
      <c r="A677" s="14"/>
      <c r="B677" s="16"/>
      <c r="C677" s="6"/>
      <c r="D677" s="16"/>
      <c r="E677" s="6"/>
      <c r="F677" s="16"/>
      <c r="G677" s="16"/>
      <c r="H677" s="16"/>
      <c r="I677" s="16"/>
      <c r="J677" s="16"/>
      <c r="K677" s="16"/>
      <c r="L677" s="16"/>
      <c r="M677" s="16"/>
      <c r="N677" s="16"/>
      <c r="O677" s="16"/>
      <c r="P677" s="16"/>
      <c r="Q677" s="16"/>
      <c r="R677" s="16"/>
      <c r="S677" s="16"/>
      <c r="T677" s="16"/>
      <c r="U677" s="16"/>
      <c r="V677" s="16"/>
      <c r="W677" s="16"/>
      <c r="X677" s="16"/>
      <c r="Y677" s="16"/>
    </row>
    <row r="678" spans="1:25" x14ac:dyDescent="0.2">
      <c r="A678" s="14"/>
      <c r="B678" s="16"/>
      <c r="C678" s="6"/>
      <c r="D678" s="16"/>
      <c r="E678" s="6"/>
      <c r="F678" s="16"/>
      <c r="G678" s="16"/>
      <c r="H678" s="16"/>
      <c r="I678" s="16"/>
      <c r="J678" s="16"/>
      <c r="K678" s="16"/>
      <c r="L678" s="16"/>
      <c r="M678" s="16"/>
      <c r="N678" s="16"/>
      <c r="O678" s="16"/>
      <c r="P678" s="16"/>
      <c r="Q678" s="16"/>
      <c r="R678" s="16"/>
      <c r="S678" s="16"/>
      <c r="T678" s="16"/>
      <c r="U678" s="16"/>
      <c r="V678" s="16"/>
      <c r="W678" s="16"/>
      <c r="X678" s="16"/>
      <c r="Y678" s="16"/>
    </row>
    <row r="679" spans="1:25" x14ac:dyDescent="0.2">
      <c r="A679" s="14"/>
      <c r="B679" s="16"/>
      <c r="C679" s="6"/>
      <c r="D679" s="16"/>
      <c r="E679" s="6"/>
      <c r="F679" s="16"/>
      <c r="G679" s="16"/>
      <c r="H679" s="16"/>
      <c r="I679" s="16"/>
      <c r="J679" s="16"/>
      <c r="K679" s="16"/>
      <c r="L679" s="16"/>
      <c r="M679" s="16"/>
      <c r="N679" s="16"/>
      <c r="O679" s="16"/>
      <c r="P679" s="16"/>
      <c r="Q679" s="16"/>
      <c r="R679" s="16"/>
      <c r="S679" s="16"/>
      <c r="T679" s="16"/>
      <c r="U679" s="16"/>
      <c r="V679" s="16"/>
      <c r="W679" s="16"/>
      <c r="X679" s="16"/>
      <c r="Y679" s="16"/>
    </row>
    <row r="680" spans="1:25" x14ac:dyDescent="0.2">
      <c r="A680" s="14"/>
      <c r="B680" s="16"/>
      <c r="C680" s="6"/>
      <c r="D680" s="16"/>
      <c r="E680" s="6"/>
      <c r="F680" s="16"/>
      <c r="G680" s="16"/>
      <c r="H680" s="16"/>
      <c r="I680" s="16"/>
      <c r="J680" s="16"/>
      <c r="K680" s="16"/>
      <c r="L680" s="16"/>
      <c r="M680" s="16"/>
      <c r="N680" s="16"/>
      <c r="O680" s="16"/>
      <c r="P680" s="16"/>
      <c r="Q680" s="16"/>
      <c r="R680" s="16"/>
      <c r="S680" s="16"/>
      <c r="T680" s="16"/>
      <c r="U680" s="16"/>
      <c r="V680" s="16"/>
      <c r="W680" s="16"/>
      <c r="X680" s="16"/>
      <c r="Y680" s="16"/>
    </row>
    <row r="681" spans="1:25" x14ac:dyDescent="0.2">
      <c r="A681" s="14"/>
      <c r="B681" s="16"/>
      <c r="C681" s="6"/>
      <c r="D681" s="16"/>
      <c r="E681" s="6"/>
      <c r="F681" s="16"/>
      <c r="G681" s="16"/>
      <c r="H681" s="16"/>
      <c r="I681" s="16"/>
      <c r="J681" s="16"/>
      <c r="K681" s="16"/>
      <c r="L681" s="16"/>
      <c r="M681" s="16"/>
      <c r="N681" s="16"/>
      <c r="O681" s="16"/>
      <c r="P681" s="16"/>
      <c r="Q681" s="16"/>
      <c r="R681" s="16"/>
      <c r="S681" s="16"/>
      <c r="T681" s="16"/>
      <c r="U681" s="16"/>
      <c r="V681" s="16"/>
      <c r="W681" s="16"/>
      <c r="X681" s="16"/>
      <c r="Y681" s="16"/>
    </row>
    <row r="682" spans="1:25" x14ac:dyDescent="0.2">
      <c r="A682" s="14"/>
      <c r="B682" s="16"/>
      <c r="C682" s="6"/>
      <c r="D682" s="16"/>
      <c r="E682" s="6"/>
      <c r="F682" s="16"/>
      <c r="G682" s="16"/>
      <c r="H682" s="16"/>
      <c r="I682" s="16"/>
      <c r="J682" s="16"/>
      <c r="K682" s="16"/>
      <c r="L682" s="16"/>
      <c r="M682" s="16"/>
      <c r="N682" s="16"/>
      <c r="O682" s="16"/>
      <c r="P682" s="16"/>
      <c r="Q682" s="16"/>
      <c r="R682" s="16"/>
      <c r="S682" s="16"/>
      <c r="T682" s="16"/>
      <c r="U682" s="16"/>
      <c r="V682" s="16"/>
      <c r="W682" s="16"/>
      <c r="X682" s="16"/>
      <c r="Y682" s="16"/>
    </row>
    <row r="683" spans="1:25" x14ac:dyDescent="0.2">
      <c r="A683" s="14"/>
      <c r="B683" s="16"/>
      <c r="C683" s="6"/>
      <c r="D683" s="16"/>
      <c r="E683" s="6"/>
      <c r="F683" s="16"/>
      <c r="G683" s="16"/>
      <c r="H683" s="16"/>
      <c r="I683" s="16"/>
      <c r="J683" s="16"/>
      <c r="K683" s="16"/>
      <c r="L683" s="16"/>
      <c r="M683" s="16"/>
      <c r="N683" s="16"/>
      <c r="O683" s="16"/>
      <c r="P683" s="16"/>
      <c r="Q683" s="16"/>
      <c r="R683" s="16"/>
      <c r="S683" s="16"/>
      <c r="T683" s="16"/>
      <c r="U683" s="16"/>
      <c r="V683" s="16"/>
      <c r="W683" s="16"/>
      <c r="X683" s="16"/>
      <c r="Y683" s="16"/>
    </row>
    <row r="684" spans="1:25" x14ac:dyDescent="0.2">
      <c r="A684" s="14"/>
      <c r="B684" s="16"/>
      <c r="C684" s="6"/>
      <c r="D684" s="16"/>
      <c r="E684" s="6"/>
      <c r="F684" s="16"/>
      <c r="G684" s="16"/>
      <c r="H684" s="16"/>
      <c r="I684" s="16"/>
      <c r="J684" s="16"/>
      <c r="K684" s="16"/>
      <c r="L684" s="16"/>
      <c r="M684" s="16"/>
      <c r="N684" s="16"/>
      <c r="O684" s="16"/>
      <c r="P684" s="16"/>
      <c r="Q684" s="16"/>
      <c r="R684" s="16"/>
      <c r="S684" s="16"/>
      <c r="T684" s="16"/>
      <c r="U684" s="16"/>
      <c r="V684" s="16"/>
      <c r="W684" s="16"/>
      <c r="X684" s="16"/>
      <c r="Y684" s="16"/>
    </row>
    <row r="685" spans="1:25" x14ac:dyDescent="0.2">
      <c r="A685" s="14"/>
      <c r="B685" s="16"/>
      <c r="C685" s="6"/>
      <c r="D685" s="16"/>
      <c r="E685" s="6"/>
      <c r="F685" s="16"/>
      <c r="G685" s="16"/>
      <c r="H685" s="16"/>
      <c r="I685" s="16"/>
      <c r="J685" s="16"/>
      <c r="K685" s="16"/>
      <c r="L685" s="16"/>
      <c r="M685" s="16"/>
      <c r="N685" s="16"/>
      <c r="O685" s="16"/>
      <c r="P685" s="16"/>
      <c r="Q685" s="16"/>
      <c r="R685" s="16"/>
      <c r="S685" s="16"/>
      <c r="T685" s="16"/>
      <c r="U685" s="16"/>
      <c r="V685" s="16"/>
      <c r="W685" s="16"/>
      <c r="X685" s="16"/>
      <c r="Y685" s="16"/>
    </row>
    <row r="686" spans="1:25" x14ac:dyDescent="0.2">
      <c r="A686" s="14"/>
      <c r="B686" s="16"/>
      <c r="C686" s="6"/>
      <c r="D686" s="16"/>
      <c r="E686" s="6"/>
      <c r="F686" s="16"/>
      <c r="G686" s="16"/>
      <c r="H686" s="16"/>
      <c r="I686" s="16"/>
      <c r="J686" s="16"/>
      <c r="K686" s="16"/>
      <c r="L686" s="16"/>
      <c r="M686" s="16"/>
      <c r="N686" s="16"/>
      <c r="O686" s="16"/>
      <c r="P686" s="16"/>
      <c r="Q686" s="16"/>
      <c r="R686" s="16"/>
      <c r="S686" s="16"/>
      <c r="T686" s="16"/>
      <c r="U686" s="16"/>
      <c r="V686" s="16"/>
      <c r="W686" s="16"/>
      <c r="X686" s="16"/>
      <c r="Y686" s="16"/>
    </row>
    <row r="687" spans="1:25" x14ac:dyDescent="0.2">
      <c r="A687" s="14"/>
      <c r="B687" s="16"/>
      <c r="C687" s="6"/>
      <c r="D687" s="16"/>
      <c r="E687" s="6"/>
      <c r="F687" s="16"/>
      <c r="G687" s="16"/>
      <c r="H687" s="16"/>
      <c r="I687" s="16"/>
      <c r="J687" s="16"/>
      <c r="K687" s="16"/>
      <c r="L687" s="16"/>
      <c r="M687" s="16"/>
      <c r="N687" s="16"/>
      <c r="O687" s="16"/>
      <c r="P687" s="16"/>
      <c r="Q687" s="16"/>
      <c r="R687" s="16"/>
      <c r="S687" s="16"/>
      <c r="T687" s="16"/>
      <c r="U687" s="16"/>
      <c r="V687" s="16"/>
      <c r="W687" s="16"/>
      <c r="X687" s="16"/>
      <c r="Y687" s="16"/>
    </row>
    <row r="688" spans="1:25" x14ac:dyDescent="0.2">
      <c r="A688" s="14"/>
      <c r="B688" s="16"/>
      <c r="C688" s="6"/>
      <c r="D688" s="16"/>
      <c r="E688" s="6"/>
      <c r="F688" s="16"/>
      <c r="G688" s="16"/>
      <c r="H688" s="16"/>
      <c r="I688" s="16"/>
      <c r="J688" s="16"/>
      <c r="K688" s="16"/>
      <c r="L688" s="16"/>
      <c r="M688" s="16"/>
      <c r="N688" s="16"/>
      <c r="O688" s="16"/>
      <c r="P688" s="16"/>
      <c r="Q688" s="16"/>
      <c r="R688" s="16"/>
      <c r="S688" s="16"/>
      <c r="T688" s="16"/>
      <c r="U688" s="16"/>
      <c r="V688" s="16"/>
      <c r="W688" s="16"/>
      <c r="X688" s="16"/>
      <c r="Y688" s="16"/>
    </row>
    <row r="689" spans="1:25" x14ac:dyDescent="0.2">
      <c r="A689" s="14"/>
      <c r="B689" s="16"/>
      <c r="C689" s="6"/>
      <c r="D689" s="16"/>
      <c r="E689" s="6"/>
      <c r="F689" s="16"/>
      <c r="G689" s="16"/>
      <c r="H689" s="16"/>
      <c r="I689" s="16"/>
      <c r="J689" s="16"/>
      <c r="K689" s="16"/>
      <c r="L689" s="16"/>
      <c r="M689" s="16"/>
      <c r="N689" s="16"/>
      <c r="O689" s="16"/>
      <c r="P689" s="16"/>
      <c r="Q689" s="16"/>
      <c r="R689" s="16"/>
      <c r="S689" s="16"/>
      <c r="T689" s="16"/>
      <c r="U689" s="16"/>
      <c r="V689" s="16"/>
      <c r="W689" s="16"/>
      <c r="X689" s="16"/>
      <c r="Y689" s="16"/>
    </row>
    <row r="690" spans="1:25" x14ac:dyDescent="0.2">
      <c r="A690" s="14"/>
      <c r="B690" s="16"/>
      <c r="C690" s="6"/>
      <c r="D690" s="16"/>
      <c r="E690" s="6"/>
      <c r="F690" s="16"/>
      <c r="G690" s="16"/>
      <c r="H690" s="16"/>
      <c r="I690" s="16"/>
      <c r="J690" s="16"/>
      <c r="K690" s="16"/>
      <c r="L690" s="16"/>
      <c r="M690" s="16"/>
      <c r="N690" s="16"/>
      <c r="O690" s="16"/>
      <c r="P690" s="16"/>
      <c r="Q690" s="16"/>
      <c r="R690" s="16"/>
      <c r="S690" s="16"/>
      <c r="T690" s="16"/>
      <c r="U690" s="16"/>
      <c r="V690" s="16"/>
      <c r="W690" s="16"/>
      <c r="X690" s="16"/>
      <c r="Y690" s="16"/>
    </row>
    <row r="691" spans="1:25" x14ac:dyDescent="0.2">
      <c r="A691" s="14"/>
      <c r="B691" s="16"/>
      <c r="C691" s="6"/>
      <c r="D691" s="16"/>
      <c r="E691" s="6"/>
      <c r="F691" s="16"/>
      <c r="G691" s="16"/>
      <c r="H691" s="16"/>
      <c r="I691" s="16"/>
      <c r="J691" s="16"/>
      <c r="K691" s="16"/>
      <c r="L691" s="16"/>
      <c r="M691" s="16"/>
      <c r="N691" s="16"/>
      <c r="O691" s="16"/>
      <c r="P691" s="16"/>
      <c r="Q691" s="16"/>
      <c r="R691" s="16"/>
      <c r="S691" s="16"/>
      <c r="T691" s="16"/>
      <c r="U691" s="16"/>
      <c r="V691" s="16"/>
      <c r="W691" s="16"/>
      <c r="X691" s="16"/>
      <c r="Y691" s="16"/>
    </row>
    <row r="692" spans="1:25" x14ac:dyDescent="0.2">
      <c r="A692" s="14"/>
      <c r="B692" s="16"/>
      <c r="C692" s="6"/>
      <c r="D692" s="16"/>
      <c r="E692" s="6"/>
      <c r="F692" s="16"/>
      <c r="G692" s="16"/>
      <c r="H692" s="16"/>
      <c r="I692" s="16"/>
      <c r="J692" s="16"/>
      <c r="K692" s="16"/>
      <c r="L692" s="16"/>
      <c r="M692" s="16"/>
      <c r="N692" s="16"/>
      <c r="O692" s="16"/>
      <c r="P692" s="16"/>
      <c r="Q692" s="16"/>
      <c r="R692" s="16"/>
      <c r="S692" s="16"/>
      <c r="T692" s="16"/>
      <c r="U692" s="16"/>
      <c r="V692" s="16"/>
      <c r="W692" s="16"/>
      <c r="X692" s="16"/>
      <c r="Y692" s="16"/>
    </row>
    <row r="693" spans="1:25" x14ac:dyDescent="0.2">
      <c r="A693" s="14"/>
      <c r="B693" s="16"/>
      <c r="C693" s="6"/>
      <c r="D693" s="16"/>
      <c r="E693" s="6"/>
      <c r="F693" s="16"/>
      <c r="G693" s="16"/>
      <c r="H693" s="16"/>
      <c r="I693" s="16"/>
      <c r="J693" s="16"/>
      <c r="K693" s="16"/>
      <c r="L693" s="16"/>
      <c r="M693" s="16"/>
      <c r="N693" s="16"/>
      <c r="O693" s="16"/>
      <c r="P693" s="16"/>
      <c r="Q693" s="16"/>
      <c r="R693" s="16"/>
      <c r="S693" s="16"/>
      <c r="T693" s="16"/>
      <c r="U693" s="16"/>
      <c r="V693" s="16"/>
      <c r="W693" s="16"/>
      <c r="X693" s="16"/>
      <c r="Y693" s="16"/>
    </row>
    <row r="694" spans="1:25" x14ac:dyDescent="0.2">
      <c r="A694" s="14"/>
      <c r="B694" s="16"/>
      <c r="C694" s="6"/>
      <c r="D694" s="16"/>
      <c r="E694" s="6"/>
      <c r="F694" s="16"/>
      <c r="G694" s="16"/>
      <c r="H694" s="16"/>
      <c r="I694" s="16"/>
      <c r="J694" s="16"/>
      <c r="K694" s="16"/>
      <c r="L694" s="16"/>
      <c r="M694" s="16"/>
      <c r="N694" s="16"/>
      <c r="O694" s="16"/>
      <c r="P694" s="16"/>
      <c r="Q694" s="16"/>
      <c r="R694" s="16"/>
      <c r="S694" s="16"/>
      <c r="T694" s="16"/>
      <c r="U694" s="16"/>
      <c r="V694" s="16"/>
      <c r="W694" s="16"/>
      <c r="X694" s="16"/>
      <c r="Y694" s="16"/>
    </row>
    <row r="695" spans="1:25" x14ac:dyDescent="0.2">
      <c r="A695" s="14"/>
      <c r="B695" s="16"/>
      <c r="C695" s="6"/>
      <c r="D695" s="16"/>
      <c r="E695" s="6"/>
      <c r="F695" s="16"/>
      <c r="G695" s="16"/>
      <c r="H695" s="16"/>
      <c r="I695" s="16"/>
      <c r="J695" s="16"/>
      <c r="K695" s="16"/>
      <c r="L695" s="16"/>
      <c r="M695" s="16"/>
      <c r="N695" s="16"/>
      <c r="O695" s="16"/>
      <c r="P695" s="16"/>
      <c r="Q695" s="16"/>
      <c r="R695" s="16"/>
      <c r="S695" s="16"/>
      <c r="T695" s="16"/>
      <c r="U695" s="16"/>
      <c r="V695" s="16"/>
      <c r="W695" s="16"/>
      <c r="X695" s="16"/>
      <c r="Y695" s="16"/>
    </row>
    <row r="696" spans="1:25" x14ac:dyDescent="0.2">
      <c r="A696" s="14"/>
      <c r="B696" s="16"/>
      <c r="C696" s="6"/>
      <c r="D696" s="16"/>
      <c r="E696" s="6"/>
      <c r="F696" s="16"/>
      <c r="G696" s="16"/>
      <c r="H696" s="16"/>
      <c r="I696" s="16"/>
      <c r="J696" s="16"/>
      <c r="K696" s="16"/>
      <c r="L696" s="16"/>
      <c r="M696" s="16"/>
      <c r="N696" s="16"/>
      <c r="O696" s="16"/>
      <c r="P696" s="16"/>
      <c r="Q696" s="16"/>
      <c r="R696" s="16"/>
      <c r="S696" s="16"/>
      <c r="T696" s="16"/>
      <c r="U696" s="16"/>
      <c r="V696" s="16"/>
      <c r="W696" s="16"/>
      <c r="X696" s="16"/>
      <c r="Y696" s="16"/>
    </row>
    <row r="697" spans="1:25" x14ac:dyDescent="0.2">
      <c r="A697" s="14"/>
      <c r="B697" s="16"/>
      <c r="C697" s="6"/>
      <c r="D697" s="16"/>
      <c r="E697" s="6"/>
      <c r="F697" s="16"/>
      <c r="G697" s="16"/>
      <c r="H697" s="16"/>
      <c r="I697" s="16"/>
      <c r="J697" s="16"/>
      <c r="K697" s="16"/>
      <c r="L697" s="16"/>
      <c r="M697" s="16"/>
      <c r="N697" s="16"/>
      <c r="O697" s="16"/>
      <c r="P697" s="16"/>
      <c r="Q697" s="16"/>
      <c r="R697" s="16"/>
      <c r="S697" s="16"/>
      <c r="T697" s="16"/>
      <c r="U697" s="16"/>
      <c r="V697" s="16"/>
      <c r="W697" s="16"/>
      <c r="X697" s="16"/>
      <c r="Y697" s="16"/>
    </row>
    <row r="698" spans="1:25" x14ac:dyDescent="0.2">
      <c r="A698" s="14"/>
      <c r="B698" s="16"/>
      <c r="C698" s="6"/>
      <c r="D698" s="16"/>
      <c r="E698" s="6"/>
      <c r="F698" s="16"/>
      <c r="G698" s="16"/>
      <c r="H698" s="16"/>
      <c r="I698" s="16"/>
      <c r="J698" s="16"/>
      <c r="K698" s="16"/>
      <c r="L698" s="16"/>
      <c r="M698" s="16"/>
      <c r="N698" s="16"/>
      <c r="O698" s="16"/>
      <c r="P698" s="16"/>
      <c r="Q698" s="16"/>
      <c r="R698" s="16"/>
      <c r="S698" s="16"/>
      <c r="T698" s="16"/>
      <c r="U698" s="16"/>
      <c r="V698" s="16"/>
      <c r="W698" s="16"/>
      <c r="X698" s="16"/>
      <c r="Y698" s="16"/>
    </row>
    <row r="699" spans="1:25" x14ac:dyDescent="0.2">
      <c r="A699" s="14"/>
      <c r="B699" s="16"/>
      <c r="C699" s="6"/>
      <c r="D699" s="16"/>
      <c r="E699" s="6"/>
      <c r="F699" s="16"/>
      <c r="G699" s="16"/>
      <c r="H699" s="16"/>
      <c r="I699" s="16"/>
      <c r="J699" s="16"/>
      <c r="K699" s="16"/>
      <c r="L699" s="16"/>
      <c r="M699" s="16"/>
      <c r="N699" s="16"/>
      <c r="O699" s="16"/>
      <c r="P699" s="16"/>
      <c r="Q699" s="16"/>
      <c r="R699" s="16"/>
      <c r="S699" s="16"/>
      <c r="T699" s="16"/>
      <c r="U699" s="16"/>
      <c r="V699" s="16"/>
      <c r="W699" s="16"/>
      <c r="X699" s="16"/>
      <c r="Y699" s="16"/>
    </row>
    <row r="700" spans="1:25" x14ac:dyDescent="0.2">
      <c r="A700" s="14"/>
      <c r="B700" s="16"/>
      <c r="C700" s="6"/>
      <c r="D700" s="16"/>
      <c r="E700" s="6"/>
      <c r="F700" s="16"/>
      <c r="G700" s="16"/>
      <c r="H700" s="16"/>
      <c r="I700" s="16"/>
      <c r="J700" s="16"/>
      <c r="K700" s="16"/>
      <c r="L700" s="16"/>
      <c r="M700" s="16"/>
      <c r="N700" s="16"/>
      <c r="O700" s="16"/>
      <c r="P700" s="16"/>
      <c r="Q700" s="16"/>
      <c r="R700" s="16"/>
      <c r="S700" s="16"/>
      <c r="T700" s="16"/>
      <c r="U700" s="16"/>
      <c r="V700" s="16"/>
      <c r="W700" s="16"/>
      <c r="X700" s="16"/>
      <c r="Y700" s="16"/>
    </row>
    <row r="701" spans="1:25" x14ac:dyDescent="0.2">
      <c r="A701" s="14"/>
      <c r="B701" s="16"/>
      <c r="C701" s="6"/>
      <c r="D701" s="16"/>
      <c r="E701" s="6"/>
      <c r="F701" s="16"/>
      <c r="G701" s="16"/>
      <c r="H701" s="16"/>
      <c r="I701" s="16"/>
      <c r="J701" s="16"/>
      <c r="K701" s="16"/>
      <c r="L701" s="16"/>
      <c r="M701" s="16"/>
      <c r="N701" s="16"/>
      <c r="O701" s="16"/>
      <c r="P701" s="16"/>
      <c r="Q701" s="16"/>
      <c r="R701" s="16"/>
      <c r="S701" s="16"/>
      <c r="T701" s="16"/>
      <c r="U701" s="16"/>
      <c r="V701" s="16"/>
      <c r="W701" s="16"/>
      <c r="X701" s="16"/>
      <c r="Y701" s="16"/>
    </row>
    <row r="702" spans="1:25" x14ac:dyDescent="0.2">
      <c r="A702" s="14"/>
      <c r="B702" s="16"/>
      <c r="C702" s="6"/>
      <c r="D702" s="16"/>
      <c r="E702" s="6"/>
      <c r="F702" s="16"/>
      <c r="G702" s="16"/>
      <c r="H702" s="16"/>
      <c r="I702" s="16"/>
      <c r="J702" s="16"/>
      <c r="K702" s="16"/>
      <c r="L702" s="16"/>
      <c r="M702" s="16"/>
      <c r="N702" s="16"/>
      <c r="O702" s="16"/>
      <c r="P702" s="16"/>
      <c r="Q702" s="16"/>
      <c r="R702" s="16"/>
      <c r="S702" s="16"/>
      <c r="T702" s="16"/>
      <c r="U702" s="16"/>
      <c r="V702" s="16"/>
      <c r="W702" s="16"/>
      <c r="X702" s="16"/>
      <c r="Y702" s="16"/>
    </row>
    <row r="703" spans="1:25" x14ac:dyDescent="0.2">
      <c r="A703" s="14"/>
      <c r="B703" s="16"/>
      <c r="C703" s="6"/>
      <c r="D703" s="16"/>
      <c r="E703" s="6"/>
      <c r="F703" s="16"/>
      <c r="G703" s="16"/>
      <c r="H703" s="16"/>
      <c r="I703" s="16"/>
      <c r="J703" s="16"/>
      <c r="K703" s="16"/>
      <c r="L703" s="16"/>
      <c r="M703" s="16"/>
      <c r="N703" s="16"/>
      <c r="O703" s="16"/>
      <c r="P703" s="16"/>
      <c r="Q703" s="16"/>
      <c r="R703" s="16"/>
      <c r="S703" s="16"/>
      <c r="T703" s="16"/>
      <c r="U703" s="16"/>
      <c r="V703" s="16"/>
      <c r="W703" s="16"/>
      <c r="X703" s="16"/>
      <c r="Y703" s="16"/>
    </row>
    <row r="704" spans="1:25" x14ac:dyDescent="0.2">
      <c r="A704" s="14"/>
      <c r="B704" s="16"/>
      <c r="C704" s="6"/>
      <c r="D704" s="16"/>
      <c r="E704" s="6"/>
      <c r="F704" s="16"/>
      <c r="G704" s="16"/>
      <c r="H704" s="16"/>
      <c r="I704" s="16"/>
      <c r="J704" s="16"/>
      <c r="K704" s="16"/>
      <c r="L704" s="16"/>
      <c r="M704" s="16"/>
      <c r="N704" s="16"/>
      <c r="O704" s="16"/>
      <c r="P704" s="16"/>
      <c r="Q704" s="16"/>
      <c r="R704" s="16"/>
      <c r="S704" s="16"/>
      <c r="T704" s="16"/>
      <c r="U704" s="16"/>
      <c r="V704" s="16"/>
      <c r="W704" s="16"/>
      <c r="X704" s="16"/>
      <c r="Y704" s="16"/>
    </row>
    <row r="705" spans="1:25" x14ac:dyDescent="0.2">
      <c r="A705" s="14"/>
      <c r="B705" s="16"/>
      <c r="C705" s="6"/>
      <c r="D705" s="16"/>
      <c r="E705" s="6"/>
      <c r="F705" s="16"/>
      <c r="G705" s="16"/>
      <c r="H705" s="16"/>
      <c r="I705" s="16"/>
      <c r="J705" s="16"/>
      <c r="K705" s="16"/>
      <c r="L705" s="16"/>
      <c r="M705" s="16"/>
      <c r="N705" s="16"/>
      <c r="O705" s="16"/>
      <c r="P705" s="16"/>
      <c r="Q705" s="16"/>
      <c r="R705" s="16"/>
      <c r="S705" s="16"/>
      <c r="T705" s="16"/>
      <c r="U705" s="16"/>
      <c r="V705" s="16"/>
      <c r="W705" s="16"/>
      <c r="X705" s="16"/>
      <c r="Y705" s="16"/>
    </row>
    <row r="706" spans="1:25" x14ac:dyDescent="0.2">
      <c r="A706" s="14"/>
      <c r="B706" s="16"/>
      <c r="C706" s="6"/>
      <c r="D706" s="16"/>
      <c r="E706" s="6"/>
      <c r="F706" s="16"/>
      <c r="G706" s="16"/>
      <c r="H706" s="16"/>
      <c r="I706" s="16"/>
      <c r="J706" s="16"/>
      <c r="K706" s="16"/>
      <c r="L706" s="16"/>
      <c r="M706" s="16"/>
      <c r="N706" s="16"/>
      <c r="O706" s="16"/>
      <c r="P706" s="16"/>
      <c r="Q706" s="16"/>
      <c r="R706" s="16"/>
      <c r="S706" s="16"/>
      <c r="T706" s="16"/>
      <c r="U706" s="16"/>
      <c r="V706" s="16"/>
      <c r="W706" s="16"/>
      <c r="X706" s="16"/>
      <c r="Y706" s="16"/>
    </row>
    <row r="707" spans="1:25" x14ac:dyDescent="0.2">
      <c r="A707" s="14"/>
      <c r="B707" s="16"/>
      <c r="C707" s="6"/>
      <c r="D707" s="16"/>
      <c r="E707" s="6"/>
      <c r="F707" s="16"/>
      <c r="G707" s="16"/>
      <c r="H707" s="16"/>
      <c r="I707" s="16"/>
      <c r="J707" s="16"/>
      <c r="K707" s="16"/>
      <c r="L707" s="16"/>
      <c r="M707" s="16"/>
      <c r="N707" s="16"/>
      <c r="O707" s="16"/>
      <c r="P707" s="16"/>
      <c r="Q707" s="16"/>
      <c r="R707" s="16"/>
      <c r="S707" s="16"/>
      <c r="T707" s="16"/>
      <c r="U707" s="16"/>
      <c r="V707" s="16"/>
      <c r="W707" s="16"/>
      <c r="X707" s="16"/>
      <c r="Y707" s="16"/>
    </row>
    <row r="708" spans="1:25" x14ac:dyDescent="0.2">
      <c r="A708" s="14"/>
      <c r="B708" s="16"/>
      <c r="C708" s="6"/>
      <c r="D708" s="16"/>
      <c r="E708" s="6"/>
      <c r="F708" s="16"/>
      <c r="G708" s="16"/>
      <c r="H708" s="16"/>
      <c r="I708" s="16"/>
      <c r="J708" s="16"/>
      <c r="K708" s="16"/>
      <c r="L708" s="16"/>
      <c r="M708" s="16"/>
      <c r="N708" s="16"/>
      <c r="O708" s="16"/>
      <c r="P708" s="16"/>
      <c r="Q708" s="16"/>
      <c r="R708" s="16"/>
      <c r="S708" s="16"/>
      <c r="T708" s="16"/>
      <c r="U708" s="16"/>
      <c r="V708" s="16"/>
      <c r="W708" s="16"/>
      <c r="X708" s="16"/>
      <c r="Y708" s="16"/>
    </row>
    <row r="709" spans="1:25" x14ac:dyDescent="0.2">
      <c r="A709" s="14"/>
      <c r="B709" s="16"/>
      <c r="C709" s="6"/>
      <c r="D709" s="16"/>
      <c r="E709" s="6"/>
      <c r="F709" s="16"/>
      <c r="G709" s="16"/>
      <c r="H709" s="16"/>
      <c r="I709" s="16"/>
      <c r="J709" s="16"/>
      <c r="K709" s="16"/>
      <c r="L709" s="16"/>
      <c r="M709" s="16"/>
      <c r="N709" s="16"/>
      <c r="O709" s="16"/>
      <c r="P709" s="16"/>
      <c r="Q709" s="16"/>
      <c r="R709" s="16"/>
      <c r="S709" s="16"/>
      <c r="T709" s="16"/>
      <c r="U709" s="16"/>
      <c r="V709" s="16"/>
      <c r="W709" s="16"/>
      <c r="X709" s="16"/>
      <c r="Y709" s="16"/>
    </row>
    <row r="710" spans="1:25" x14ac:dyDescent="0.2">
      <c r="A710" s="14"/>
      <c r="B710" s="16"/>
      <c r="C710" s="6"/>
      <c r="D710" s="16"/>
      <c r="E710" s="6"/>
      <c r="F710" s="16"/>
      <c r="G710" s="16"/>
      <c r="H710" s="16"/>
      <c r="I710" s="16"/>
      <c r="J710" s="16"/>
      <c r="K710" s="16"/>
      <c r="L710" s="16"/>
      <c r="M710" s="16"/>
      <c r="N710" s="16"/>
      <c r="O710" s="16"/>
      <c r="P710" s="16"/>
      <c r="Q710" s="16"/>
      <c r="R710" s="16"/>
      <c r="S710" s="16"/>
      <c r="T710" s="16"/>
      <c r="U710" s="16"/>
      <c r="V710" s="16"/>
      <c r="W710" s="16"/>
      <c r="X710" s="16"/>
      <c r="Y710" s="16"/>
    </row>
    <row r="711" spans="1:25" x14ac:dyDescent="0.2">
      <c r="A711" s="14"/>
      <c r="B711" s="16"/>
      <c r="C711" s="6"/>
      <c r="D711" s="16"/>
      <c r="E711" s="6"/>
      <c r="F711" s="16"/>
      <c r="G711" s="16"/>
      <c r="H711" s="16"/>
      <c r="I711" s="16"/>
      <c r="J711" s="16"/>
      <c r="K711" s="16"/>
      <c r="L711" s="16"/>
      <c r="M711" s="16"/>
      <c r="N711" s="16"/>
      <c r="O711" s="16"/>
      <c r="P711" s="16"/>
      <c r="Q711" s="16"/>
      <c r="R711" s="16"/>
      <c r="S711" s="16"/>
      <c r="T711" s="16"/>
      <c r="U711" s="16"/>
      <c r="V711" s="16"/>
      <c r="W711" s="16"/>
      <c r="X711" s="16"/>
      <c r="Y711" s="16"/>
    </row>
    <row r="712" spans="1:25" x14ac:dyDescent="0.2">
      <c r="A712" s="14"/>
      <c r="B712" s="16"/>
      <c r="C712" s="6"/>
      <c r="D712" s="16"/>
      <c r="E712" s="6"/>
      <c r="F712" s="16"/>
      <c r="G712" s="16"/>
      <c r="H712" s="16"/>
      <c r="I712" s="16"/>
      <c r="J712" s="16"/>
      <c r="K712" s="16"/>
      <c r="L712" s="16"/>
      <c r="M712" s="16"/>
      <c r="N712" s="16"/>
      <c r="O712" s="16"/>
      <c r="P712" s="16"/>
      <c r="Q712" s="16"/>
      <c r="R712" s="16"/>
      <c r="S712" s="16"/>
      <c r="T712" s="16"/>
      <c r="U712" s="16"/>
      <c r="V712" s="16"/>
      <c r="W712" s="16"/>
      <c r="X712" s="16"/>
      <c r="Y712" s="16"/>
    </row>
    <row r="713" spans="1:25" x14ac:dyDescent="0.2">
      <c r="A713" s="14"/>
      <c r="B713" s="16"/>
      <c r="C713" s="6"/>
      <c r="D713" s="16"/>
      <c r="E713" s="6"/>
      <c r="F713" s="16"/>
      <c r="G713" s="16"/>
      <c r="H713" s="16"/>
      <c r="I713" s="16"/>
      <c r="J713" s="16"/>
      <c r="K713" s="16"/>
      <c r="L713" s="16"/>
      <c r="M713" s="16"/>
      <c r="N713" s="16"/>
      <c r="O713" s="16"/>
      <c r="P713" s="16"/>
      <c r="Q713" s="16"/>
      <c r="R713" s="16"/>
      <c r="S713" s="16"/>
      <c r="T713" s="16"/>
      <c r="U713" s="16"/>
      <c r="V713" s="16"/>
      <c r="W713" s="16"/>
      <c r="X713" s="16"/>
      <c r="Y713" s="16"/>
    </row>
    <row r="714" spans="1:25" x14ac:dyDescent="0.2">
      <c r="A714" s="14"/>
      <c r="B714" s="16"/>
      <c r="C714" s="6"/>
      <c r="D714" s="16"/>
      <c r="E714" s="6"/>
      <c r="F714" s="16"/>
      <c r="G714" s="16"/>
      <c r="H714" s="16"/>
      <c r="I714" s="16"/>
      <c r="J714" s="16"/>
      <c r="K714" s="16"/>
      <c r="L714" s="16"/>
      <c r="M714" s="16"/>
      <c r="N714" s="16"/>
      <c r="O714" s="16"/>
      <c r="P714" s="16"/>
      <c r="Q714" s="16"/>
      <c r="R714" s="16"/>
      <c r="S714" s="16"/>
      <c r="T714" s="16"/>
      <c r="U714" s="16"/>
      <c r="V714" s="16"/>
      <c r="W714" s="16"/>
      <c r="X714" s="16"/>
      <c r="Y714" s="16"/>
    </row>
    <row r="715" spans="1:25" x14ac:dyDescent="0.2">
      <c r="A715" s="14"/>
      <c r="B715" s="16"/>
      <c r="C715" s="6"/>
      <c r="D715" s="16"/>
      <c r="E715" s="6"/>
      <c r="F715" s="16"/>
      <c r="G715" s="16"/>
      <c r="H715" s="16"/>
      <c r="I715" s="16"/>
      <c r="J715" s="16"/>
      <c r="K715" s="16"/>
      <c r="L715" s="16"/>
      <c r="M715" s="16"/>
      <c r="N715" s="16"/>
      <c r="O715" s="16"/>
      <c r="P715" s="16"/>
      <c r="Q715" s="16"/>
      <c r="R715" s="16"/>
      <c r="S715" s="16"/>
      <c r="T715" s="16"/>
      <c r="U715" s="16"/>
      <c r="V715" s="16"/>
      <c r="W715" s="16"/>
      <c r="X715" s="16"/>
      <c r="Y715" s="16"/>
    </row>
    <row r="716" spans="1:25" x14ac:dyDescent="0.2">
      <c r="A716" s="14"/>
      <c r="B716" s="16"/>
      <c r="C716" s="6"/>
      <c r="D716" s="16"/>
      <c r="E716" s="6"/>
      <c r="F716" s="16"/>
      <c r="G716" s="16"/>
      <c r="H716" s="16"/>
      <c r="I716" s="16"/>
      <c r="J716" s="16"/>
      <c r="K716" s="16"/>
      <c r="L716" s="16"/>
      <c r="M716" s="16"/>
      <c r="N716" s="16"/>
      <c r="O716" s="16"/>
      <c r="P716" s="16"/>
      <c r="Q716" s="16"/>
      <c r="R716" s="16"/>
      <c r="S716" s="16"/>
      <c r="T716" s="16"/>
      <c r="U716" s="16"/>
      <c r="V716" s="16"/>
      <c r="W716" s="16"/>
      <c r="X716" s="16"/>
      <c r="Y716" s="16"/>
    </row>
    <row r="717" spans="1:25" x14ac:dyDescent="0.2">
      <c r="A717" s="14"/>
      <c r="B717" s="16"/>
      <c r="C717" s="6"/>
      <c r="D717" s="16"/>
      <c r="E717" s="6"/>
      <c r="F717" s="16"/>
      <c r="G717" s="16"/>
      <c r="H717" s="16"/>
      <c r="I717" s="16"/>
      <c r="J717" s="16"/>
      <c r="K717" s="16"/>
      <c r="L717" s="16"/>
      <c r="M717" s="16"/>
      <c r="N717" s="16"/>
      <c r="O717" s="16"/>
      <c r="P717" s="16"/>
      <c r="Q717" s="16"/>
      <c r="R717" s="16"/>
      <c r="S717" s="16"/>
      <c r="T717" s="16"/>
      <c r="U717" s="16"/>
      <c r="V717" s="16"/>
      <c r="W717" s="16"/>
      <c r="X717" s="16"/>
      <c r="Y717" s="16"/>
    </row>
    <row r="718" spans="1:25" x14ac:dyDescent="0.2">
      <c r="A718" s="14"/>
      <c r="B718" s="16"/>
      <c r="C718" s="6"/>
      <c r="D718" s="16"/>
      <c r="E718" s="6"/>
      <c r="F718" s="16"/>
      <c r="G718" s="16"/>
      <c r="H718" s="16"/>
      <c r="I718" s="16"/>
      <c r="J718" s="16"/>
      <c r="K718" s="16"/>
      <c r="L718" s="16"/>
      <c r="M718" s="16"/>
      <c r="N718" s="16"/>
      <c r="O718" s="16"/>
      <c r="P718" s="16"/>
      <c r="Q718" s="16"/>
      <c r="R718" s="16"/>
      <c r="S718" s="16"/>
      <c r="T718" s="16"/>
      <c r="U718" s="16"/>
      <c r="V718" s="16"/>
      <c r="W718" s="16"/>
      <c r="X718" s="16"/>
      <c r="Y718" s="16"/>
    </row>
    <row r="719" spans="1:25" x14ac:dyDescent="0.2">
      <c r="A719" s="14"/>
      <c r="B719" s="16"/>
      <c r="C719" s="6"/>
      <c r="D719" s="16"/>
      <c r="E719" s="6"/>
      <c r="F719" s="16"/>
      <c r="G719" s="16"/>
      <c r="H719" s="16"/>
      <c r="I719" s="16"/>
      <c r="J719" s="16"/>
      <c r="K719" s="16"/>
      <c r="L719" s="16"/>
      <c r="M719" s="16"/>
      <c r="N719" s="16"/>
      <c r="O719" s="16"/>
      <c r="P719" s="16"/>
      <c r="Q719" s="16"/>
      <c r="R719" s="16"/>
      <c r="S719" s="16"/>
      <c r="T719" s="16"/>
      <c r="U719" s="16"/>
      <c r="V719" s="16"/>
      <c r="W719" s="16"/>
      <c r="X719" s="16"/>
      <c r="Y719" s="16"/>
    </row>
    <row r="720" spans="1:25" x14ac:dyDescent="0.2">
      <c r="A720" s="14"/>
      <c r="B720" s="16"/>
      <c r="C720" s="6"/>
      <c r="D720" s="16"/>
      <c r="E720" s="6"/>
      <c r="F720" s="16"/>
      <c r="G720" s="16"/>
      <c r="H720" s="16"/>
      <c r="I720" s="16"/>
      <c r="J720" s="16"/>
      <c r="K720" s="16"/>
      <c r="L720" s="16"/>
      <c r="M720" s="16"/>
      <c r="N720" s="16"/>
      <c r="O720" s="16"/>
      <c r="P720" s="16"/>
      <c r="Q720" s="16"/>
      <c r="R720" s="16"/>
      <c r="S720" s="16"/>
      <c r="T720" s="16"/>
      <c r="U720" s="16"/>
      <c r="V720" s="16"/>
      <c r="W720" s="16"/>
      <c r="X720" s="16"/>
      <c r="Y720" s="16"/>
    </row>
    <row r="721" spans="1:25" x14ac:dyDescent="0.2">
      <c r="A721" s="14"/>
      <c r="B721" s="16"/>
      <c r="C721" s="6"/>
      <c r="D721" s="16"/>
      <c r="E721" s="6"/>
      <c r="F721" s="16"/>
      <c r="G721" s="16"/>
      <c r="H721" s="16"/>
      <c r="I721" s="16"/>
      <c r="J721" s="16"/>
      <c r="K721" s="16"/>
      <c r="L721" s="16"/>
      <c r="M721" s="16"/>
      <c r="N721" s="16"/>
      <c r="O721" s="16"/>
      <c r="P721" s="16"/>
      <c r="Q721" s="16"/>
      <c r="R721" s="16"/>
      <c r="S721" s="16"/>
      <c r="T721" s="16"/>
      <c r="U721" s="16"/>
      <c r="V721" s="16"/>
      <c r="W721" s="16"/>
      <c r="X721" s="16"/>
      <c r="Y721" s="16"/>
    </row>
    <row r="722" spans="1:25" x14ac:dyDescent="0.2">
      <c r="A722" s="14"/>
      <c r="B722" s="16"/>
      <c r="C722" s="6"/>
      <c r="D722" s="16"/>
      <c r="E722" s="6"/>
      <c r="F722" s="16"/>
      <c r="G722" s="16"/>
      <c r="H722" s="16"/>
      <c r="I722" s="16"/>
      <c r="J722" s="16"/>
      <c r="K722" s="16"/>
      <c r="L722" s="16"/>
      <c r="M722" s="16"/>
      <c r="N722" s="16"/>
      <c r="O722" s="16"/>
      <c r="P722" s="16"/>
      <c r="Q722" s="16"/>
      <c r="R722" s="16"/>
      <c r="S722" s="16"/>
      <c r="T722" s="16"/>
      <c r="U722" s="16"/>
      <c r="V722" s="16"/>
      <c r="W722" s="16"/>
      <c r="X722" s="16"/>
      <c r="Y722" s="16"/>
    </row>
    <row r="723" spans="1:25" x14ac:dyDescent="0.2">
      <c r="A723" s="14"/>
      <c r="B723" s="16"/>
      <c r="C723" s="6"/>
      <c r="D723" s="16"/>
      <c r="E723" s="6"/>
      <c r="F723" s="16"/>
      <c r="G723" s="16"/>
      <c r="H723" s="16"/>
      <c r="I723" s="16"/>
      <c r="J723" s="16"/>
      <c r="K723" s="16"/>
      <c r="L723" s="16"/>
      <c r="M723" s="16"/>
      <c r="N723" s="16"/>
      <c r="O723" s="16"/>
      <c r="P723" s="16"/>
      <c r="Q723" s="16"/>
      <c r="R723" s="16"/>
      <c r="S723" s="16"/>
      <c r="T723" s="16"/>
      <c r="U723" s="16"/>
      <c r="V723" s="16"/>
      <c r="W723" s="16"/>
      <c r="X723" s="16"/>
      <c r="Y723" s="16"/>
    </row>
    <row r="724" spans="1:25" x14ac:dyDescent="0.2">
      <c r="A724" s="14"/>
      <c r="B724" s="16"/>
      <c r="C724" s="6"/>
      <c r="D724" s="16"/>
      <c r="E724" s="6"/>
      <c r="F724" s="16"/>
      <c r="G724" s="16"/>
      <c r="H724" s="16"/>
      <c r="I724" s="16"/>
      <c r="J724" s="16"/>
      <c r="K724" s="16"/>
      <c r="L724" s="16"/>
      <c r="M724" s="16"/>
      <c r="N724" s="16"/>
      <c r="O724" s="16"/>
      <c r="P724" s="16"/>
      <c r="Q724" s="16"/>
      <c r="R724" s="16"/>
      <c r="S724" s="16"/>
      <c r="T724" s="16"/>
      <c r="U724" s="16"/>
      <c r="V724" s="16"/>
      <c r="W724" s="16"/>
      <c r="X724" s="16"/>
      <c r="Y724" s="16"/>
    </row>
    <row r="725" spans="1:25" x14ac:dyDescent="0.2">
      <c r="A725" s="14"/>
      <c r="B725" s="16"/>
      <c r="C725" s="6"/>
      <c r="D725" s="16"/>
      <c r="E725" s="6"/>
      <c r="F725" s="16"/>
      <c r="G725" s="16"/>
      <c r="H725" s="16"/>
      <c r="I725" s="16"/>
      <c r="J725" s="16"/>
      <c r="K725" s="16"/>
      <c r="L725" s="16"/>
      <c r="M725" s="16"/>
      <c r="N725" s="16"/>
      <c r="O725" s="16"/>
      <c r="P725" s="16"/>
      <c r="Q725" s="16"/>
      <c r="R725" s="16"/>
      <c r="S725" s="16"/>
      <c r="T725" s="16"/>
      <c r="U725" s="16"/>
      <c r="V725" s="16"/>
      <c r="W725" s="16"/>
      <c r="X725" s="16"/>
      <c r="Y725" s="16"/>
    </row>
    <row r="726" spans="1:25" x14ac:dyDescent="0.2">
      <c r="A726" s="14"/>
      <c r="B726" s="16"/>
      <c r="C726" s="6"/>
      <c r="D726" s="16"/>
      <c r="E726" s="6"/>
      <c r="F726" s="16"/>
      <c r="G726" s="16"/>
      <c r="H726" s="16"/>
      <c r="I726" s="16"/>
      <c r="J726" s="16"/>
      <c r="K726" s="16"/>
      <c r="L726" s="16"/>
      <c r="M726" s="16"/>
      <c r="N726" s="16"/>
      <c r="O726" s="16"/>
      <c r="P726" s="16"/>
      <c r="Q726" s="16"/>
      <c r="R726" s="16"/>
      <c r="S726" s="16"/>
      <c r="T726" s="16"/>
      <c r="U726" s="16"/>
      <c r="V726" s="16"/>
      <c r="W726" s="16"/>
      <c r="X726" s="16"/>
      <c r="Y726" s="16"/>
    </row>
    <row r="727" spans="1:25" x14ac:dyDescent="0.2">
      <c r="A727" s="14"/>
      <c r="B727" s="16"/>
      <c r="C727" s="6"/>
      <c r="D727" s="16"/>
      <c r="E727" s="6"/>
      <c r="F727" s="16"/>
      <c r="G727" s="16"/>
      <c r="H727" s="16"/>
      <c r="I727" s="16"/>
      <c r="J727" s="16"/>
      <c r="K727" s="16"/>
      <c r="L727" s="16"/>
      <c r="M727" s="16"/>
      <c r="N727" s="16"/>
      <c r="O727" s="16"/>
      <c r="P727" s="16"/>
      <c r="Q727" s="16"/>
      <c r="R727" s="16"/>
      <c r="S727" s="16"/>
      <c r="T727" s="16"/>
      <c r="U727" s="16"/>
      <c r="V727" s="16"/>
      <c r="W727" s="16"/>
      <c r="X727" s="16"/>
      <c r="Y727" s="16"/>
    </row>
    <row r="728" spans="1:25" x14ac:dyDescent="0.2">
      <c r="A728" s="14"/>
      <c r="B728" s="16"/>
      <c r="C728" s="6"/>
      <c r="D728" s="16"/>
      <c r="E728" s="6"/>
      <c r="F728" s="16"/>
      <c r="G728" s="16"/>
      <c r="H728" s="16"/>
      <c r="I728" s="16"/>
      <c r="J728" s="16"/>
      <c r="K728" s="16"/>
      <c r="L728" s="16"/>
      <c r="M728" s="16"/>
      <c r="N728" s="16"/>
      <c r="O728" s="16"/>
      <c r="P728" s="16"/>
      <c r="Q728" s="16"/>
      <c r="R728" s="16"/>
      <c r="S728" s="16"/>
      <c r="T728" s="16"/>
      <c r="U728" s="16"/>
      <c r="V728" s="16"/>
      <c r="W728" s="16"/>
      <c r="X728" s="16"/>
      <c r="Y728" s="16"/>
    </row>
    <row r="729" spans="1:25" x14ac:dyDescent="0.2">
      <c r="A729" s="14"/>
      <c r="B729" s="16"/>
      <c r="C729" s="6"/>
      <c r="D729" s="16"/>
      <c r="E729" s="6"/>
      <c r="F729" s="16"/>
      <c r="G729" s="16"/>
      <c r="H729" s="16"/>
      <c r="I729" s="16"/>
      <c r="J729" s="16"/>
      <c r="K729" s="16"/>
      <c r="L729" s="16"/>
      <c r="M729" s="16"/>
      <c r="N729" s="16"/>
      <c r="O729" s="16"/>
      <c r="P729" s="16"/>
      <c r="Q729" s="16"/>
      <c r="R729" s="16"/>
      <c r="S729" s="16"/>
      <c r="T729" s="16"/>
      <c r="U729" s="16"/>
      <c r="V729" s="16"/>
      <c r="W729" s="16"/>
      <c r="X729" s="16"/>
      <c r="Y729" s="16"/>
    </row>
    <row r="730" spans="1:25" x14ac:dyDescent="0.2">
      <c r="A730" s="14"/>
      <c r="B730" s="16"/>
      <c r="C730" s="6"/>
      <c r="D730" s="16"/>
      <c r="E730" s="6"/>
      <c r="F730" s="16"/>
      <c r="G730" s="16"/>
      <c r="H730" s="16"/>
      <c r="I730" s="16"/>
      <c r="J730" s="16"/>
      <c r="K730" s="16"/>
      <c r="L730" s="16"/>
      <c r="M730" s="16"/>
      <c r="N730" s="16"/>
      <c r="O730" s="16"/>
      <c r="P730" s="16"/>
      <c r="Q730" s="16"/>
      <c r="R730" s="16"/>
      <c r="S730" s="16"/>
      <c r="T730" s="16"/>
      <c r="U730" s="16"/>
      <c r="V730" s="16"/>
      <c r="W730" s="16"/>
      <c r="X730" s="16"/>
      <c r="Y730" s="16"/>
    </row>
    <row r="731" spans="1:25" x14ac:dyDescent="0.2">
      <c r="A731" s="14"/>
      <c r="B731" s="16"/>
      <c r="C731" s="6"/>
      <c r="D731" s="16"/>
      <c r="E731" s="6"/>
      <c r="F731" s="16"/>
      <c r="G731" s="16"/>
      <c r="H731" s="16"/>
      <c r="I731" s="16"/>
      <c r="J731" s="16"/>
      <c r="K731" s="16"/>
      <c r="L731" s="16"/>
      <c r="M731" s="16"/>
      <c r="N731" s="16"/>
      <c r="O731" s="16"/>
      <c r="P731" s="16"/>
      <c r="Q731" s="16"/>
      <c r="R731" s="16"/>
      <c r="S731" s="16"/>
      <c r="T731" s="16"/>
      <c r="U731" s="16"/>
      <c r="V731" s="16"/>
      <c r="W731" s="16"/>
      <c r="X731" s="16"/>
      <c r="Y731" s="16"/>
    </row>
    <row r="732" spans="1:25" x14ac:dyDescent="0.2">
      <c r="A732" s="14"/>
      <c r="B732" s="16"/>
      <c r="C732" s="6"/>
      <c r="D732" s="16"/>
      <c r="E732" s="6"/>
      <c r="F732" s="16"/>
      <c r="G732" s="16"/>
      <c r="H732" s="16"/>
      <c r="I732" s="16"/>
      <c r="J732" s="16"/>
      <c r="K732" s="16"/>
      <c r="L732" s="16"/>
      <c r="M732" s="16"/>
      <c r="N732" s="16"/>
      <c r="O732" s="16"/>
      <c r="P732" s="16"/>
      <c r="Q732" s="16"/>
      <c r="R732" s="16"/>
      <c r="S732" s="16"/>
      <c r="T732" s="16"/>
      <c r="U732" s="16"/>
      <c r="V732" s="16"/>
      <c r="W732" s="16"/>
      <c r="X732" s="16"/>
      <c r="Y732" s="16"/>
    </row>
    <row r="733" spans="1:25" x14ac:dyDescent="0.2">
      <c r="A733" s="14"/>
      <c r="B733" s="16"/>
      <c r="C733" s="6"/>
      <c r="D733" s="16"/>
      <c r="E733" s="6"/>
      <c r="F733" s="16"/>
      <c r="G733" s="16"/>
      <c r="H733" s="16"/>
      <c r="I733" s="16"/>
      <c r="J733" s="16"/>
      <c r="K733" s="16"/>
      <c r="L733" s="16"/>
      <c r="M733" s="16"/>
      <c r="N733" s="16"/>
      <c r="O733" s="16"/>
      <c r="P733" s="16"/>
      <c r="Q733" s="16"/>
      <c r="R733" s="16"/>
      <c r="S733" s="16"/>
      <c r="T733" s="16"/>
      <c r="U733" s="16"/>
      <c r="V733" s="16"/>
      <c r="W733" s="16"/>
      <c r="X733" s="16"/>
      <c r="Y733" s="16"/>
    </row>
    <row r="734" spans="1:25" x14ac:dyDescent="0.2">
      <c r="A734" s="14"/>
      <c r="B734" s="16"/>
      <c r="C734" s="6"/>
      <c r="D734" s="16"/>
      <c r="E734" s="6"/>
      <c r="F734" s="16"/>
      <c r="G734" s="16"/>
      <c r="H734" s="16"/>
      <c r="I734" s="16"/>
      <c r="J734" s="16"/>
      <c r="K734" s="16"/>
      <c r="L734" s="16"/>
      <c r="M734" s="16"/>
      <c r="N734" s="16"/>
      <c r="O734" s="16"/>
      <c r="P734" s="16"/>
      <c r="Q734" s="16"/>
      <c r="R734" s="16"/>
      <c r="S734" s="16"/>
      <c r="T734" s="16"/>
      <c r="U734" s="16"/>
      <c r="V734" s="16"/>
      <c r="W734" s="16"/>
      <c r="X734" s="16"/>
      <c r="Y734" s="16"/>
    </row>
    <row r="735" spans="1:25" x14ac:dyDescent="0.2">
      <c r="A735" s="14"/>
      <c r="B735" s="16"/>
      <c r="C735" s="6"/>
      <c r="D735" s="16"/>
      <c r="E735" s="6"/>
      <c r="F735" s="16"/>
      <c r="G735" s="16"/>
      <c r="H735" s="16"/>
      <c r="I735" s="16"/>
      <c r="J735" s="16"/>
      <c r="K735" s="16"/>
      <c r="L735" s="16"/>
      <c r="M735" s="16"/>
      <c r="N735" s="16"/>
      <c r="O735" s="16"/>
      <c r="P735" s="16"/>
      <c r="Q735" s="16"/>
      <c r="R735" s="16"/>
      <c r="S735" s="16"/>
      <c r="T735" s="16"/>
      <c r="U735" s="16"/>
      <c r="V735" s="16"/>
      <c r="W735" s="16"/>
      <c r="X735" s="16"/>
      <c r="Y735" s="16"/>
    </row>
    <row r="736" spans="1:25" x14ac:dyDescent="0.2">
      <c r="A736" s="14"/>
      <c r="B736" s="16"/>
      <c r="C736" s="6"/>
      <c r="D736" s="16"/>
      <c r="E736" s="6"/>
      <c r="F736" s="16"/>
      <c r="G736" s="16"/>
      <c r="H736" s="16"/>
      <c r="I736" s="16"/>
      <c r="J736" s="16"/>
      <c r="K736" s="16"/>
      <c r="L736" s="16"/>
      <c r="M736" s="16"/>
      <c r="N736" s="16"/>
      <c r="O736" s="16"/>
      <c r="P736" s="16"/>
      <c r="Q736" s="16"/>
      <c r="R736" s="16"/>
      <c r="S736" s="16"/>
      <c r="T736" s="16"/>
      <c r="U736" s="16"/>
      <c r="V736" s="16"/>
      <c r="W736" s="16"/>
      <c r="X736" s="16"/>
      <c r="Y736" s="16"/>
    </row>
    <row r="737" spans="1:25" x14ac:dyDescent="0.2">
      <c r="A737" s="14"/>
      <c r="B737" s="16"/>
      <c r="C737" s="6"/>
      <c r="D737" s="16"/>
      <c r="E737" s="6"/>
      <c r="F737" s="16"/>
      <c r="G737" s="16"/>
      <c r="H737" s="16"/>
      <c r="I737" s="16"/>
      <c r="J737" s="16"/>
      <c r="K737" s="16"/>
      <c r="L737" s="16"/>
      <c r="M737" s="16"/>
      <c r="N737" s="16"/>
      <c r="O737" s="16"/>
      <c r="P737" s="16"/>
      <c r="Q737" s="16"/>
      <c r="R737" s="16"/>
      <c r="S737" s="16"/>
      <c r="T737" s="16"/>
      <c r="U737" s="16"/>
      <c r="V737" s="16"/>
      <c r="W737" s="16"/>
      <c r="X737" s="16"/>
      <c r="Y737" s="16"/>
    </row>
    <row r="738" spans="1:25" x14ac:dyDescent="0.2">
      <c r="A738" s="14"/>
      <c r="B738" s="16"/>
      <c r="C738" s="6"/>
      <c r="D738" s="16"/>
      <c r="E738" s="6"/>
      <c r="F738" s="16"/>
      <c r="G738" s="16"/>
      <c r="H738" s="16"/>
      <c r="I738" s="16"/>
      <c r="J738" s="16"/>
      <c r="K738" s="16"/>
      <c r="L738" s="16"/>
      <c r="M738" s="16"/>
      <c r="N738" s="16"/>
      <c r="O738" s="16"/>
      <c r="P738" s="16"/>
      <c r="Q738" s="16"/>
      <c r="R738" s="16"/>
      <c r="S738" s="16"/>
      <c r="T738" s="16"/>
      <c r="U738" s="16"/>
      <c r="V738" s="16"/>
      <c r="W738" s="16"/>
      <c r="X738" s="16"/>
      <c r="Y738" s="16"/>
    </row>
    <row r="739" spans="1:25" x14ac:dyDescent="0.2">
      <c r="A739" s="14"/>
      <c r="B739" s="16"/>
      <c r="C739" s="6"/>
      <c r="D739" s="16"/>
      <c r="E739" s="6"/>
      <c r="F739" s="16"/>
      <c r="G739" s="16"/>
      <c r="H739" s="16"/>
      <c r="I739" s="16"/>
      <c r="J739" s="16"/>
      <c r="K739" s="16"/>
      <c r="L739" s="16"/>
      <c r="M739" s="16"/>
      <c r="N739" s="16"/>
      <c r="O739" s="16"/>
      <c r="P739" s="16"/>
      <c r="Q739" s="16"/>
      <c r="R739" s="16"/>
      <c r="S739" s="16"/>
      <c r="T739" s="16"/>
      <c r="U739" s="16"/>
      <c r="V739" s="16"/>
      <c r="W739" s="16"/>
      <c r="X739" s="16"/>
      <c r="Y739" s="16"/>
    </row>
    <row r="740" spans="1:25" x14ac:dyDescent="0.2">
      <c r="A740" s="14"/>
      <c r="B740" s="16"/>
      <c r="C740" s="6"/>
      <c r="D740" s="16"/>
      <c r="E740" s="6"/>
      <c r="F740" s="16"/>
      <c r="G740" s="16"/>
      <c r="H740" s="16"/>
      <c r="I740" s="16"/>
      <c r="J740" s="16"/>
      <c r="K740" s="16"/>
      <c r="L740" s="16"/>
      <c r="M740" s="16"/>
      <c r="N740" s="16"/>
      <c r="O740" s="16"/>
      <c r="P740" s="16"/>
      <c r="Q740" s="16"/>
      <c r="R740" s="16"/>
      <c r="S740" s="16"/>
      <c r="T740" s="16"/>
      <c r="U740" s="16"/>
      <c r="V740" s="16"/>
      <c r="W740" s="16"/>
      <c r="X740" s="16"/>
      <c r="Y740" s="16"/>
    </row>
    <row r="741" spans="1:25" x14ac:dyDescent="0.2">
      <c r="A741" s="14"/>
      <c r="B741" s="16"/>
      <c r="C741" s="6"/>
      <c r="D741" s="16"/>
      <c r="E741" s="6"/>
      <c r="F741" s="16"/>
      <c r="G741" s="16"/>
      <c r="H741" s="16"/>
      <c r="I741" s="16"/>
      <c r="J741" s="16"/>
      <c r="K741" s="16"/>
      <c r="L741" s="16"/>
      <c r="M741" s="16"/>
      <c r="N741" s="16"/>
      <c r="O741" s="16"/>
      <c r="P741" s="16"/>
      <c r="Q741" s="16"/>
      <c r="R741" s="16"/>
      <c r="S741" s="16"/>
      <c r="T741" s="16"/>
      <c r="U741" s="16"/>
      <c r="V741" s="16"/>
      <c r="W741" s="16"/>
      <c r="X741" s="16"/>
      <c r="Y741" s="16"/>
    </row>
    <row r="742" spans="1:25" x14ac:dyDescent="0.2">
      <c r="A742" s="14"/>
      <c r="B742" s="16"/>
      <c r="C742" s="6"/>
      <c r="D742" s="16"/>
      <c r="E742" s="6"/>
      <c r="F742" s="16"/>
      <c r="G742" s="16"/>
      <c r="H742" s="16"/>
      <c r="I742" s="16"/>
      <c r="J742" s="16"/>
      <c r="K742" s="16"/>
      <c r="L742" s="16"/>
      <c r="M742" s="16"/>
      <c r="N742" s="16"/>
      <c r="O742" s="16"/>
      <c r="P742" s="16"/>
      <c r="Q742" s="16"/>
      <c r="R742" s="16"/>
      <c r="S742" s="16"/>
      <c r="T742" s="16"/>
      <c r="U742" s="16"/>
      <c r="V742" s="16"/>
      <c r="W742" s="16"/>
      <c r="X742" s="16"/>
      <c r="Y742" s="16"/>
    </row>
    <row r="743" spans="1:25" x14ac:dyDescent="0.2">
      <c r="A743" s="14"/>
      <c r="B743" s="16"/>
      <c r="C743" s="6"/>
      <c r="D743" s="16"/>
      <c r="E743" s="6"/>
      <c r="F743" s="16"/>
      <c r="G743" s="16"/>
      <c r="H743" s="16"/>
      <c r="I743" s="16"/>
      <c r="J743" s="16"/>
      <c r="K743" s="16"/>
      <c r="L743" s="16"/>
      <c r="M743" s="16"/>
      <c r="N743" s="16"/>
      <c r="O743" s="16"/>
      <c r="P743" s="16"/>
      <c r="Q743" s="16"/>
      <c r="R743" s="16"/>
      <c r="S743" s="16"/>
      <c r="T743" s="16"/>
      <c r="U743" s="16"/>
      <c r="V743" s="16"/>
      <c r="W743" s="16"/>
      <c r="X743" s="16"/>
      <c r="Y743" s="16"/>
    </row>
    <row r="744" spans="1:25" x14ac:dyDescent="0.2">
      <c r="A744" s="14"/>
      <c r="B744" s="16"/>
      <c r="C744" s="6"/>
      <c r="D744" s="16"/>
      <c r="E744" s="6"/>
      <c r="F744" s="16"/>
      <c r="G744" s="16"/>
      <c r="H744" s="16"/>
      <c r="I744" s="16"/>
      <c r="J744" s="16"/>
      <c r="K744" s="16"/>
      <c r="L744" s="16"/>
      <c r="M744" s="16"/>
      <c r="N744" s="16"/>
      <c r="O744" s="16"/>
      <c r="P744" s="16"/>
      <c r="Q744" s="16"/>
      <c r="R744" s="16"/>
      <c r="S744" s="16"/>
      <c r="T744" s="16"/>
      <c r="U744" s="16"/>
      <c r="V744" s="16"/>
      <c r="W744" s="16"/>
      <c r="X744" s="16"/>
      <c r="Y744" s="16"/>
    </row>
    <row r="745" spans="1:25" x14ac:dyDescent="0.2">
      <c r="A745" s="14"/>
      <c r="B745" s="16"/>
      <c r="C745" s="6"/>
      <c r="D745" s="16"/>
      <c r="E745" s="6"/>
      <c r="F745" s="16"/>
      <c r="G745" s="16"/>
      <c r="H745" s="16"/>
      <c r="I745" s="16"/>
      <c r="J745" s="16"/>
      <c r="K745" s="16"/>
      <c r="L745" s="16"/>
      <c r="M745" s="16"/>
      <c r="N745" s="16"/>
      <c r="O745" s="16"/>
      <c r="P745" s="16"/>
      <c r="Q745" s="16"/>
      <c r="R745" s="16"/>
      <c r="S745" s="16"/>
      <c r="T745" s="16"/>
      <c r="U745" s="16"/>
      <c r="V745" s="16"/>
      <c r="W745" s="16"/>
      <c r="X745" s="16"/>
      <c r="Y745" s="16"/>
    </row>
    <row r="746" spans="1:25" x14ac:dyDescent="0.2">
      <c r="A746" s="14"/>
      <c r="B746" s="16"/>
      <c r="C746" s="6"/>
      <c r="D746" s="16"/>
      <c r="E746" s="6"/>
      <c r="F746" s="16"/>
      <c r="G746" s="16"/>
      <c r="H746" s="16"/>
      <c r="I746" s="16"/>
      <c r="J746" s="16"/>
      <c r="K746" s="16"/>
      <c r="L746" s="16"/>
      <c r="M746" s="16"/>
      <c r="N746" s="16"/>
      <c r="O746" s="16"/>
      <c r="P746" s="16"/>
      <c r="Q746" s="16"/>
      <c r="R746" s="16"/>
      <c r="S746" s="16"/>
      <c r="T746" s="16"/>
      <c r="U746" s="16"/>
      <c r="V746" s="16"/>
      <c r="W746" s="16"/>
      <c r="X746" s="16"/>
      <c r="Y746" s="16"/>
    </row>
    <row r="747" spans="1:25" x14ac:dyDescent="0.2">
      <c r="A747" s="14"/>
      <c r="B747" s="16"/>
      <c r="C747" s="6"/>
      <c r="D747" s="16"/>
      <c r="E747" s="6"/>
      <c r="F747" s="16"/>
      <c r="G747" s="16"/>
      <c r="H747" s="16"/>
      <c r="I747" s="16"/>
      <c r="J747" s="16"/>
      <c r="K747" s="16"/>
      <c r="L747" s="16"/>
      <c r="M747" s="16"/>
      <c r="N747" s="16"/>
      <c r="O747" s="16"/>
      <c r="P747" s="16"/>
      <c r="Q747" s="16"/>
      <c r="R747" s="16"/>
      <c r="S747" s="16"/>
      <c r="T747" s="16"/>
      <c r="U747" s="16"/>
      <c r="V747" s="16"/>
      <c r="W747" s="16"/>
      <c r="X747" s="16"/>
      <c r="Y747" s="16"/>
    </row>
    <row r="748" spans="1:25" x14ac:dyDescent="0.2">
      <c r="A748" s="14"/>
      <c r="B748" s="16"/>
      <c r="C748" s="6"/>
      <c r="D748" s="16"/>
      <c r="E748" s="6"/>
      <c r="F748" s="16"/>
      <c r="G748" s="16"/>
      <c r="H748" s="16"/>
      <c r="I748" s="16"/>
      <c r="J748" s="16"/>
      <c r="K748" s="16"/>
      <c r="L748" s="16"/>
      <c r="M748" s="16"/>
      <c r="N748" s="16"/>
      <c r="O748" s="16"/>
      <c r="P748" s="16"/>
      <c r="Q748" s="16"/>
      <c r="R748" s="16"/>
      <c r="S748" s="16"/>
      <c r="T748" s="16"/>
      <c r="U748" s="16"/>
      <c r="V748" s="16"/>
      <c r="W748" s="16"/>
      <c r="X748" s="16"/>
      <c r="Y748" s="16"/>
    </row>
    <row r="749" spans="1:25" x14ac:dyDescent="0.2">
      <c r="A749" s="14"/>
      <c r="B749" s="16"/>
      <c r="C749" s="6"/>
      <c r="D749" s="16"/>
      <c r="E749" s="6"/>
      <c r="F749" s="16"/>
      <c r="G749" s="16"/>
      <c r="H749" s="16"/>
      <c r="I749" s="16"/>
      <c r="J749" s="16"/>
      <c r="K749" s="16"/>
      <c r="L749" s="16"/>
      <c r="M749" s="16"/>
      <c r="N749" s="16"/>
      <c r="O749" s="16"/>
      <c r="P749" s="16"/>
      <c r="Q749" s="16"/>
      <c r="R749" s="16"/>
      <c r="S749" s="16"/>
      <c r="T749" s="16"/>
      <c r="U749" s="16"/>
      <c r="V749" s="16"/>
      <c r="W749" s="16"/>
      <c r="X749" s="16"/>
      <c r="Y749" s="16"/>
    </row>
    <row r="750" spans="1:25" x14ac:dyDescent="0.2">
      <c r="A750" s="14"/>
      <c r="B750" s="16"/>
      <c r="C750" s="6"/>
      <c r="D750" s="16"/>
      <c r="E750" s="6"/>
      <c r="F750" s="16"/>
      <c r="G750" s="16"/>
      <c r="H750" s="16"/>
      <c r="I750" s="16"/>
      <c r="J750" s="16"/>
      <c r="K750" s="16"/>
      <c r="L750" s="16"/>
      <c r="M750" s="16"/>
      <c r="N750" s="16"/>
      <c r="O750" s="16"/>
      <c r="P750" s="16"/>
      <c r="Q750" s="16"/>
      <c r="R750" s="16"/>
      <c r="S750" s="16"/>
      <c r="T750" s="16"/>
      <c r="U750" s="16"/>
      <c r="V750" s="16"/>
      <c r="W750" s="16"/>
      <c r="X750" s="16"/>
      <c r="Y750" s="16"/>
    </row>
    <row r="751" spans="1:25" x14ac:dyDescent="0.2">
      <c r="A751" s="14"/>
      <c r="B751" s="16"/>
      <c r="C751" s="6"/>
      <c r="D751" s="16"/>
      <c r="E751" s="6"/>
      <c r="F751" s="16"/>
      <c r="G751" s="16"/>
      <c r="H751" s="16"/>
      <c r="I751" s="16"/>
      <c r="J751" s="16"/>
      <c r="K751" s="16"/>
      <c r="L751" s="16"/>
      <c r="M751" s="16"/>
      <c r="N751" s="16"/>
      <c r="O751" s="16"/>
      <c r="P751" s="16"/>
      <c r="Q751" s="16"/>
      <c r="R751" s="16"/>
      <c r="S751" s="16"/>
      <c r="T751" s="16"/>
      <c r="U751" s="16"/>
      <c r="V751" s="16"/>
      <c r="W751" s="16"/>
      <c r="X751" s="16"/>
      <c r="Y751" s="16"/>
    </row>
    <row r="752" spans="1:25" x14ac:dyDescent="0.2">
      <c r="A752" s="14"/>
      <c r="B752" s="16"/>
      <c r="C752" s="6"/>
      <c r="D752" s="16"/>
      <c r="E752" s="6"/>
      <c r="F752" s="16"/>
      <c r="G752" s="16"/>
      <c r="H752" s="16"/>
      <c r="I752" s="16"/>
      <c r="J752" s="16"/>
      <c r="K752" s="16"/>
      <c r="L752" s="16"/>
      <c r="M752" s="16"/>
      <c r="N752" s="16"/>
      <c r="O752" s="16"/>
      <c r="P752" s="16"/>
      <c r="Q752" s="16"/>
      <c r="R752" s="16"/>
      <c r="S752" s="16"/>
      <c r="T752" s="16"/>
      <c r="U752" s="16"/>
      <c r="V752" s="16"/>
      <c r="W752" s="16"/>
      <c r="X752" s="16"/>
      <c r="Y752" s="16"/>
    </row>
    <row r="753" spans="1:25" x14ac:dyDescent="0.2">
      <c r="A753" s="14"/>
      <c r="B753" s="16"/>
      <c r="C753" s="6"/>
      <c r="D753" s="16"/>
      <c r="E753" s="6"/>
      <c r="F753" s="16"/>
      <c r="G753" s="16"/>
      <c r="H753" s="16"/>
      <c r="I753" s="16"/>
      <c r="J753" s="16"/>
      <c r="K753" s="16"/>
      <c r="L753" s="16"/>
      <c r="M753" s="16"/>
      <c r="N753" s="16"/>
      <c r="O753" s="16"/>
      <c r="P753" s="16"/>
      <c r="Q753" s="16"/>
      <c r="R753" s="16"/>
      <c r="S753" s="16"/>
      <c r="T753" s="16"/>
      <c r="U753" s="16"/>
      <c r="V753" s="16"/>
      <c r="W753" s="16"/>
      <c r="X753" s="16"/>
      <c r="Y753" s="16"/>
    </row>
    <row r="754" spans="1:25" x14ac:dyDescent="0.2">
      <c r="A754" s="14"/>
      <c r="B754" s="16"/>
      <c r="C754" s="6"/>
      <c r="D754" s="16"/>
      <c r="E754" s="6"/>
      <c r="F754" s="16"/>
      <c r="G754" s="16"/>
      <c r="H754" s="16"/>
      <c r="I754" s="16"/>
      <c r="J754" s="16"/>
      <c r="K754" s="16"/>
      <c r="L754" s="16"/>
      <c r="M754" s="16"/>
      <c r="N754" s="16"/>
      <c r="O754" s="16"/>
      <c r="P754" s="16"/>
      <c r="Q754" s="16"/>
      <c r="R754" s="16"/>
      <c r="S754" s="16"/>
      <c r="T754" s="16"/>
      <c r="U754" s="16"/>
      <c r="V754" s="16"/>
      <c r="W754" s="16"/>
      <c r="X754" s="16"/>
      <c r="Y754" s="16"/>
    </row>
    <row r="755" spans="1:25" x14ac:dyDescent="0.2">
      <c r="A755" s="14"/>
      <c r="B755" s="16"/>
      <c r="C755" s="6"/>
      <c r="D755" s="16"/>
      <c r="E755" s="6"/>
      <c r="F755" s="16"/>
      <c r="G755" s="16"/>
      <c r="H755" s="16"/>
      <c r="I755" s="16"/>
      <c r="J755" s="16"/>
      <c r="K755" s="16"/>
      <c r="L755" s="16"/>
      <c r="M755" s="16"/>
      <c r="N755" s="16"/>
      <c r="O755" s="16"/>
      <c r="P755" s="16"/>
      <c r="Q755" s="16"/>
      <c r="R755" s="16"/>
      <c r="S755" s="16"/>
      <c r="T755" s="16"/>
      <c r="U755" s="16"/>
      <c r="V755" s="16"/>
      <c r="W755" s="16"/>
      <c r="X755" s="16"/>
      <c r="Y755" s="16"/>
    </row>
    <row r="756" spans="1:25" x14ac:dyDescent="0.2">
      <c r="A756" s="14"/>
      <c r="B756" s="16"/>
      <c r="C756" s="6"/>
      <c r="D756" s="16"/>
      <c r="E756" s="6"/>
      <c r="F756" s="16"/>
      <c r="G756" s="16"/>
      <c r="H756" s="16"/>
      <c r="I756" s="16"/>
      <c r="J756" s="16"/>
      <c r="K756" s="16"/>
      <c r="L756" s="16"/>
      <c r="M756" s="16"/>
      <c r="N756" s="16"/>
      <c r="O756" s="16"/>
      <c r="P756" s="16"/>
      <c r="Q756" s="16"/>
      <c r="R756" s="16"/>
      <c r="S756" s="16"/>
      <c r="T756" s="16"/>
      <c r="U756" s="16"/>
      <c r="V756" s="16"/>
      <c r="W756" s="16"/>
      <c r="X756" s="16"/>
      <c r="Y756" s="16"/>
    </row>
    <row r="757" spans="1:25" x14ac:dyDescent="0.2">
      <c r="A757" s="14"/>
      <c r="B757" s="16"/>
      <c r="C757" s="6"/>
      <c r="D757" s="16"/>
      <c r="E757" s="6"/>
      <c r="F757" s="16"/>
      <c r="G757" s="16"/>
      <c r="H757" s="16"/>
      <c r="I757" s="16"/>
      <c r="J757" s="16"/>
      <c r="K757" s="16"/>
      <c r="L757" s="16"/>
      <c r="M757" s="16"/>
      <c r="N757" s="16"/>
      <c r="O757" s="16"/>
      <c r="P757" s="16"/>
      <c r="Q757" s="16"/>
      <c r="R757" s="16"/>
      <c r="S757" s="16"/>
      <c r="T757" s="16"/>
      <c r="U757" s="16"/>
      <c r="V757" s="16"/>
      <c r="W757" s="16"/>
      <c r="X757" s="16"/>
      <c r="Y757" s="16"/>
    </row>
    <row r="758" spans="1:25" x14ac:dyDescent="0.2">
      <c r="A758" s="14"/>
      <c r="B758" s="16"/>
      <c r="C758" s="6"/>
      <c r="D758" s="16"/>
      <c r="E758" s="6"/>
      <c r="F758" s="16"/>
      <c r="G758" s="16"/>
      <c r="H758" s="16"/>
      <c r="I758" s="16"/>
      <c r="J758" s="16"/>
      <c r="K758" s="16"/>
      <c r="L758" s="16"/>
      <c r="M758" s="16"/>
      <c r="N758" s="16"/>
      <c r="O758" s="16"/>
      <c r="P758" s="16"/>
      <c r="Q758" s="16"/>
      <c r="R758" s="16"/>
      <c r="S758" s="16"/>
      <c r="T758" s="16"/>
      <c r="U758" s="16"/>
      <c r="V758" s="16"/>
      <c r="W758" s="16"/>
      <c r="X758" s="16"/>
      <c r="Y758" s="16"/>
    </row>
    <row r="759" spans="1:25" x14ac:dyDescent="0.2">
      <c r="A759" s="14"/>
      <c r="B759" s="16"/>
      <c r="C759" s="6"/>
      <c r="D759" s="16"/>
      <c r="E759" s="6"/>
      <c r="F759" s="16"/>
      <c r="G759" s="16"/>
      <c r="H759" s="16"/>
      <c r="I759" s="16"/>
      <c r="J759" s="16"/>
      <c r="K759" s="16"/>
      <c r="L759" s="16"/>
      <c r="M759" s="16"/>
      <c r="N759" s="16"/>
      <c r="O759" s="16"/>
      <c r="P759" s="16"/>
      <c r="Q759" s="16"/>
      <c r="R759" s="16"/>
      <c r="S759" s="16"/>
      <c r="T759" s="16"/>
      <c r="U759" s="16"/>
      <c r="V759" s="16"/>
      <c r="W759" s="16"/>
      <c r="X759" s="16"/>
      <c r="Y759" s="16"/>
    </row>
    <row r="760" spans="1:25" x14ac:dyDescent="0.2">
      <c r="A760" s="14"/>
      <c r="B760" s="16"/>
      <c r="C760" s="6"/>
      <c r="D760" s="16"/>
      <c r="E760" s="6"/>
      <c r="F760" s="16"/>
      <c r="G760" s="16"/>
      <c r="H760" s="16"/>
      <c r="I760" s="16"/>
      <c r="J760" s="16"/>
      <c r="K760" s="16"/>
      <c r="L760" s="16"/>
      <c r="M760" s="16"/>
      <c r="N760" s="16"/>
      <c r="O760" s="16"/>
      <c r="P760" s="16"/>
      <c r="Q760" s="16"/>
      <c r="R760" s="16"/>
      <c r="S760" s="16"/>
      <c r="T760" s="16"/>
      <c r="U760" s="16"/>
      <c r="V760" s="16"/>
      <c r="W760" s="16"/>
      <c r="X760" s="16"/>
      <c r="Y760" s="16"/>
    </row>
    <row r="761" spans="1:25" x14ac:dyDescent="0.2">
      <c r="A761" s="14"/>
      <c r="B761" s="16"/>
      <c r="C761" s="6"/>
      <c r="D761" s="16"/>
      <c r="E761" s="6"/>
      <c r="F761" s="16"/>
      <c r="G761" s="16"/>
      <c r="H761" s="16"/>
      <c r="I761" s="16"/>
      <c r="J761" s="16"/>
      <c r="K761" s="16"/>
      <c r="L761" s="16"/>
      <c r="M761" s="16"/>
      <c r="N761" s="16"/>
      <c r="O761" s="16"/>
      <c r="P761" s="16"/>
      <c r="Q761" s="16"/>
      <c r="R761" s="16"/>
      <c r="S761" s="16"/>
      <c r="T761" s="16"/>
      <c r="U761" s="16"/>
      <c r="V761" s="16"/>
      <c r="W761" s="16"/>
      <c r="X761" s="16"/>
      <c r="Y761" s="16"/>
    </row>
    <row r="762" spans="1:25" x14ac:dyDescent="0.2">
      <c r="A762" s="14"/>
      <c r="B762" s="16"/>
      <c r="C762" s="6"/>
      <c r="D762" s="16"/>
      <c r="E762" s="6"/>
      <c r="F762" s="16"/>
      <c r="G762" s="16"/>
      <c r="H762" s="16"/>
      <c r="I762" s="16"/>
      <c r="J762" s="16"/>
      <c r="K762" s="16"/>
      <c r="L762" s="16"/>
      <c r="M762" s="16"/>
      <c r="N762" s="16"/>
      <c r="O762" s="16"/>
      <c r="P762" s="16"/>
      <c r="Q762" s="16"/>
      <c r="R762" s="16"/>
      <c r="S762" s="16"/>
      <c r="T762" s="16"/>
      <c r="U762" s="16"/>
      <c r="V762" s="16"/>
      <c r="W762" s="16"/>
      <c r="X762" s="16"/>
      <c r="Y762" s="16"/>
    </row>
    <row r="763" spans="1:25" x14ac:dyDescent="0.2">
      <c r="A763" s="14"/>
      <c r="B763" s="16"/>
      <c r="C763" s="6"/>
      <c r="D763" s="16"/>
      <c r="E763" s="6"/>
      <c r="F763" s="16"/>
      <c r="G763" s="16"/>
      <c r="H763" s="16"/>
      <c r="I763" s="16"/>
      <c r="J763" s="16"/>
      <c r="K763" s="16"/>
      <c r="L763" s="16"/>
      <c r="M763" s="16"/>
      <c r="N763" s="16"/>
      <c r="O763" s="16"/>
      <c r="P763" s="16"/>
      <c r="Q763" s="16"/>
      <c r="R763" s="16"/>
      <c r="S763" s="16"/>
      <c r="T763" s="16"/>
      <c r="U763" s="16"/>
      <c r="V763" s="16"/>
      <c r="W763" s="16"/>
      <c r="X763" s="16"/>
      <c r="Y763" s="16"/>
    </row>
    <row r="764" spans="1:25" x14ac:dyDescent="0.2">
      <c r="A764" s="14"/>
      <c r="B764" s="16"/>
      <c r="C764" s="6"/>
      <c r="D764" s="16"/>
      <c r="E764" s="6"/>
      <c r="F764" s="16"/>
      <c r="G764" s="16"/>
      <c r="H764" s="16"/>
      <c r="I764" s="16"/>
      <c r="J764" s="16"/>
      <c r="K764" s="16"/>
      <c r="L764" s="16"/>
      <c r="M764" s="16"/>
      <c r="N764" s="16"/>
      <c r="O764" s="16"/>
      <c r="P764" s="16"/>
      <c r="Q764" s="16"/>
      <c r="R764" s="16"/>
      <c r="S764" s="16"/>
      <c r="T764" s="16"/>
      <c r="U764" s="16"/>
      <c r="V764" s="16"/>
      <c r="W764" s="16"/>
      <c r="X764" s="16"/>
      <c r="Y764" s="16"/>
    </row>
    <row r="765" spans="1:25" x14ac:dyDescent="0.2">
      <c r="A765" s="14"/>
      <c r="B765" s="16"/>
      <c r="C765" s="6"/>
      <c r="D765" s="16"/>
      <c r="E765" s="6"/>
      <c r="F765" s="16"/>
      <c r="G765" s="16"/>
      <c r="H765" s="16"/>
      <c r="I765" s="16"/>
      <c r="J765" s="16"/>
      <c r="K765" s="16"/>
      <c r="L765" s="16"/>
      <c r="M765" s="16"/>
      <c r="N765" s="16"/>
      <c r="O765" s="16"/>
      <c r="P765" s="16"/>
      <c r="Q765" s="16"/>
      <c r="R765" s="16"/>
      <c r="S765" s="16"/>
      <c r="T765" s="16"/>
      <c r="U765" s="16"/>
      <c r="V765" s="16"/>
      <c r="W765" s="16"/>
      <c r="X765" s="16"/>
      <c r="Y765" s="16"/>
    </row>
    <row r="766" spans="1:25" x14ac:dyDescent="0.2">
      <c r="A766" s="14"/>
      <c r="B766" s="16"/>
      <c r="C766" s="6"/>
      <c r="D766" s="16"/>
      <c r="E766" s="6"/>
      <c r="F766" s="16"/>
      <c r="G766" s="16"/>
      <c r="H766" s="16"/>
      <c r="I766" s="16"/>
      <c r="J766" s="16"/>
      <c r="K766" s="16"/>
      <c r="L766" s="16"/>
      <c r="M766" s="16"/>
      <c r="N766" s="16"/>
      <c r="O766" s="16"/>
      <c r="P766" s="16"/>
      <c r="Q766" s="16"/>
      <c r="R766" s="16"/>
      <c r="S766" s="16"/>
      <c r="T766" s="16"/>
      <c r="U766" s="16"/>
      <c r="V766" s="16"/>
      <c r="W766" s="16"/>
      <c r="X766" s="16"/>
      <c r="Y766" s="16"/>
    </row>
    <row r="767" spans="1:25" x14ac:dyDescent="0.2">
      <c r="A767" s="14"/>
      <c r="B767" s="16"/>
      <c r="C767" s="6"/>
      <c r="D767" s="16"/>
      <c r="E767" s="6"/>
      <c r="F767" s="16"/>
      <c r="G767" s="16"/>
      <c r="H767" s="16"/>
      <c r="I767" s="16"/>
      <c r="J767" s="16"/>
      <c r="K767" s="16"/>
      <c r="L767" s="16"/>
      <c r="M767" s="16"/>
      <c r="N767" s="16"/>
      <c r="O767" s="16"/>
      <c r="P767" s="16"/>
      <c r="Q767" s="16"/>
      <c r="R767" s="16"/>
      <c r="S767" s="16"/>
      <c r="T767" s="16"/>
      <c r="U767" s="16"/>
      <c r="V767" s="16"/>
      <c r="W767" s="16"/>
      <c r="X767" s="16"/>
      <c r="Y767" s="16"/>
    </row>
    <row r="768" spans="1:25" x14ac:dyDescent="0.2">
      <c r="A768" s="14"/>
      <c r="B768" s="16"/>
      <c r="C768" s="6"/>
      <c r="D768" s="16"/>
      <c r="E768" s="6"/>
      <c r="F768" s="16"/>
      <c r="G768" s="16"/>
      <c r="H768" s="16"/>
      <c r="I768" s="16"/>
      <c r="J768" s="16"/>
      <c r="K768" s="16"/>
      <c r="L768" s="16"/>
      <c r="M768" s="16"/>
      <c r="N768" s="16"/>
      <c r="O768" s="16"/>
      <c r="P768" s="16"/>
      <c r="Q768" s="16"/>
      <c r="R768" s="16"/>
      <c r="S768" s="16"/>
      <c r="T768" s="16"/>
      <c r="U768" s="16"/>
      <c r="V768" s="16"/>
      <c r="W768" s="16"/>
      <c r="X768" s="16"/>
      <c r="Y768" s="16"/>
    </row>
    <row r="769" spans="1:25" x14ac:dyDescent="0.2">
      <c r="A769" s="14"/>
      <c r="B769" s="16"/>
      <c r="C769" s="6"/>
      <c r="D769" s="16"/>
      <c r="E769" s="6"/>
      <c r="F769" s="16"/>
      <c r="G769" s="16"/>
      <c r="H769" s="16"/>
      <c r="I769" s="16"/>
      <c r="J769" s="16"/>
      <c r="K769" s="16"/>
      <c r="L769" s="16"/>
      <c r="M769" s="16"/>
      <c r="N769" s="16"/>
      <c r="O769" s="16"/>
      <c r="P769" s="16"/>
      <c r="Q769" s="16"/>
      <c r="R769" s="16"/>
      <c r="S769" s="16"/>
      <c r="T769" s="16"/>
      <c r="U769" s="16"/>
      <c r="V769" s="16"/>
      <c r="W769" s="16"/>
      <c r="X769" s="16"/>
      <c r="Y769" s="16"/>
    </row>
    <row r="770" spans="1:25" x14ac:dyDescent="0.2">
      <c r="A770" s="14"/>
      <c r="B770" s="16"/>
      <c r="C770" s="6"/>
      <c r="D770" s="16"/>
      <c r="E770" s="6"/>
      <c r="F770" s="16"/>
      <c r="G770" s="16"/>
      <c r="H770" s="16"/>
      <c r="I770" s="16"/>
      <c r="J770" s="16"/>
      <c r="K770" s="16"/>
      <c r="L770" s="16"/>
      <c r="M770" s="16"/>
      <c r="N770" s="16"/>
      <c r="O770" s="16"/>
      <c r="P770" s="16"/>
      <c r="Q770" s="16"/>
      <c r="R770" s="16"/>
      <c r="S770" s="16"/>
      <c r="T770" s="16"/>
      <c r="U770" s="16"/>
      <c r="V770" s="16"/>
      <c r="W770" s="16"/>
      <c r="X770" s="16"/>
      <c r="Y770" s="16"/>
    </row>
    <row r="771" spans="1:25" x14ac:dyDescent="0.2">
      <c r="A771" s="14"/>
      <c r="B771" s="16"/>
      <c r="C771" s="6"/>
      <c r="D771" s="16"/>
      <c r="E771" s="6"/>
      <c r="F771" s="16"/>
      <c r="G771" s="16"/>
      <c r="H771" s="16"/>
      <c r="I771" s="16"/>
      <c r="J771" s="16"/>
      <c r="K771" s="16"/>
      <c r="L771" s="16"/>
      <c r="M771" s="16"/>
      <c r="N771" s="16"/>
      <c r="O771" s="16"/>
      <c r="P771" s="16"/>
      <c r="Q771" s="16"/>
      <c r="R771" s="16"/>
      <c r="S771" s="16"/>
      <c r="T771" s="16"/>
      <c r="U771" s="16"/>
      <c r="V771" s="16"/>
      <c r="W771" s="16"/>
      <c r="X771" s="16"/>
      <c r="Y771" s="16"/>
    </row>
    <row r="772" spans="1:25" x14ac:dyDescent="0.2">
      <c r="A772" s="14"/>
      <c r="B772" s="16"/>
      <c r="C772" s="6"/>
      <c r="D772" s="16"/>
      <c r="E772" s="6"/>
      <c r="F772" s="16"/>
      <c r="G772" s="16"/>
      <c r="H772" s="16"/>
      <c r="I772" s="16"/>
      <c r="J772" s="16"/>
      <c r="K772" s="16"/>
      <c r="L772" s="16"/>
      <c r="M772" s="16"/>
      <c r="N772" s="16"/>
      <c r="O772" s="16"/>
      <c r="P772" s="16"/>
      <c r="Q772" s="16"/>
      <c r="R772" s="16"/>
      <c r="S772" s="16"/>
      <c r="T772" s="16"/>
      <c r="U772" s="16"/>
      <c r="V772" s="16"/>
      <c r="W772" s="16"/>
      <c r="X772" s="16"/>
      <c r="Y772" s="16"/>
    </row>
    <row r="773" spans="1:25" x14ac:dyDescent="0.2">
      <c r="A773" s="14"/>
      <c r="B773" s="16"/>
      <c r="C773" s="6"/>
      <c r="D773" s="16"/>
      <c r="E773" s="6"/>
      <c r="F773" s="16"/>
      <c r="G773" s="16"/>
      <c r="H773" s="16"/>
      <c r="I773" s="16"/>
      <c r="J773" s="16"/>
      <c r="K773" s="16"/>
      <c r="L773" s="16"/>
      <c r="M773" s="16"/>
      <c r="N773" s="16"/>
      <c r="O773" s="16"/>
      <c r="P773" s="16"/>
      <c r="Q773" s="16"/>
      <c r="R773" s="16"/>
      <c r="S773" s="16"/>
      <c r="T773" s="16"/>
      <c r="U773" s="16"/>
      <c r="V773" s="16"/>
      <c r="W773" s="16"/>
      <c r="X773" s="16"/>
      <c r="Y773" s="16"/>
    </row>
    <row r="774" spans="1:25" x14ac:dyDescent="0.2">
      <c r="A774" s="14"/>
      <c r="B774" s="16"/>
      <c r="C774" s="6"/>
      <c r="D774" s="16"/>
      <c r="E774" s="6"/>
      <c r="F774" s="16"/>
      <c r="G774" s="16"/>
      <c r="H774" s="16"/>
      <c r="I774" s="16"/>
      <c r="J774" s="16"/>
      <c r="K774" s="16"/>
      <c r="L774" s="16"/>
      <c r="M774" s="16"/>
      <c r="N774" s="16"/>
      <c r="O774" s="16"/>
      <c r="P774" s="16"/>
      <c r="Q774" s="16"/>
      <c r="R774" s="16"/>
      <c r="S774" s="16"/>
      <c r="T774" s="16"/>
      <c r="U774" s="16"/>
      <c r="V774" s="16"/>
      <c r="W774" s="16"/>
      <c r="X774" s="16"/>
      <c r="Y774" s="16"/>
    </row>
    <row r="775" spans="1:25" x14ac:dyDescent="0.2">
      <c r="A775" s="14"/>
      <c r="B775" s="16"/>
      <c r="C775" s="6"/>
      <c r="D775" s="16"/>
      <c r="E775" s="6"/>
      <c r="F775" s="16"/>
      <c r="G775" s="16"/>
      <c r="H775" s="16"/>
      <c r="I775" s="16"/>
      <c r="J775" s="16"/>
      <c r="K775" s="16"/>
      <c r="L775" s="16"/>
      <c r="M775" s="16"/>
      <c r="N775" s="16"/>
      <c r="O775" s="16"/>
      <c r="P775" s="16"/>
      <c r="Q775" s="16"/>
      <c r="R775" s="16"/>
      <c r="S775" s="16"/>
      <c r="T775" s="16"/>
      <c r="U775" s="16"/>
      <c r="V775" s="16"/>
      <c r="W775" s="16"/>
      <c r="X775" s="16"/>
      <c r="Y775" s="16"/>
    </row>
    <row r="776" spans="1:25" x14ac:dyDescent="0.2">
      <c r="A776" s="14"/>
      <c r="B776" s="16"/>
      <c r="C776" s="6"/>
      <c r="D776" s="16"/>
      <c r="E776" s="6"/>
      <c r="F776" s="16"/>
      <c r="G776" s="16"/>
      <c r="H776" s="16"/>
      <c r="I776" s="16"/>
      <c r="J776" s="16"/>
      <c r="K776" s="16"/>
      <c r="L776" s="16"/>
      <c r="M776" s="16"/>
      <c r="N776" s="16"/>
      <c r="O776" s="16"/>
      <c r="P776" s="16"/>
      <c r="Q776" s="16"/>
      <c r="R776" s="16"/>
      <c r="S776" s="16"/>
      <c r="T776" s="16"/>
      <c r="U776" s="16"/>
      <c r="V776" s="16"/>
      <c r="W776" s="16"/>
      <c r="X776" s="16"/>
      <c r="Y776" s="16"/>
    </row>
    <row r="777" spans="1:25" x14ac:dyDescent="0.2">
      <c r="A777" s="14"/>
      <c r="B777" s="16"/>
      <c r="C777" s="6"/>
      <c r="D777" s="16"/>
      <c r="E777" s="6"/>
      <c r="F777" s="16"/>
      <c r="G777" s="16"/>
      <c r="H777" s="16"/>
      <c r="I777" s="16"/>
      <c r="J777" s="16"/>
      <c r="K777" s="16"/>
      <c r="L777" s="16"/>
      <c r="M777" s="16"/>
      <c r="N777" s="16"/>
      <c r="O777" s="16"/>
      <c r="P777" s="16"/>
      <c r="Q777" s="16"/>
      <c r="R777" s="16"/>
      <c r="S777" s="16"/>
      <c r="T777" s="16"/>
      <c r="U777" s="16"/>
      <c r="V777" s="16"/>
      <c r="W777" s="16"/>
      <c r="X777" s="16"/>
      <c r="Y777" s="16"/>
    </row>
    <row r="778" spans="1:25" x14ac:dyDescent="0.2">
      <c r="A778" s="14"/>
      <c r="B778" s="16"/>
      <c r="C778" s="6"/>
      <c r="D778" s="16"/>
      <c r="E778" s="6"/>
      <c r="F778" s="16"/>
      <c r="G778" s="16"/>
      <c r="H778" s="16"/>
      <c r="I778" s="16"/>
      <c r="J778" s="16"/>
      <c r="K778" s="16"/>
      <c r="L778" s="16"/>
      <c r="M778" s="16"/>
      <c r="N778" s="16"/>
      <c r="O778" s="16"/>
      <c r="P778" s="16"/>
      <c r="Q778" s="16"/>
      <c r="R778" s="16"/>
      <c r="S778" s="16"/>
      <c r="T778" s="16"/>
      <c r="U778" s="16"/>
      <c r="V778" s="16"/>
      <c r="W778" s="16"/>
      <c r="X778" s="16"/>
      <c r="Y778" s="16"/>
    </row>
    <row r="779" spans="1:25" x14ac:dyDescent="0.2">
      <c r="A779" s="14"/>
      <c r="B779" s="16"/>
      <c r="C779" s="6"/>
      <c r="D779" s="16"/>
      <c r="E779" s="6"/>
      <c r="F779" s="16"/>
      <c r="G779" s="16"/>
      <c r="H779" s="16"/>
      <c r="I779" s="16"/>
      <c r="J779" s="16"/>
      <c r="K779" s="16"/>
      <c r="L779" s="16"/>
      <c r="M779" s="16"/>
      <c r="N779" s="16"/>
      <c r="O779" s="16"/>
      <c r="P779" s="16"/>
      <c r="Q779" s="16"/>
      <c r="R779" s="16"/>
      <c r="S779" s="16"/>
      <c r="T779" s="16"/>
      <c r="U779" s="16"/>
      <c r="V779" s="16"/>
      <c r="W779" s="16"/>
      <c r="X779" s="16"/>
      <c r="Y779" s="16"/>
    </row>
    <row r="780" spans="1:25" x14ac:dyDescent="0.2">
      <c r="A780" s="14"/>
      <c r="B780" s="16"/>
      <c r="C780" s="6"/>
      <c r="D780" s="16"/>
      <c r="E780" s="6"/>
      <c r="F780" s="16"/>
      <c r="G780" s="16"/>
      <c r="H780" s="16"/>
      <c r="I780" s="16"/>
      <c r="J780" s="16"/>
      <c r="K780" s="16"/>
      <c r="L780" s="16"/>
      <c r="M780" s="16"/>
      <c r="N780" s="16"/>
      <c r="O780" s="16"/>
      <c r="P780" s="16"/>
      <c r="Q780" s="16"/>
      <c r="R780" s="16"/>
      <c r="S780" s="16"/>
      <c r="T780" s="16"/>
      <c r="U780" s="16"/>
      <c r="V780" s="16"/>
      <c r="W780" s="16"/>
      <c r="X780" s="16"/>
      <c r="Y780" s="16"/>
    </row>
    <row r="781" spans="1:25" x14ac:dyDescent="0.2">
      <c r="A781" s="14"/>
      <c r="B781" s="16"/>
      <c r="C781" s="6"/>
      <c r="D781" s="16"/>
      <c r="E781" s="6"/>
      <c r="F781" s="16"/>
      <c r="G781" s="16"/>
      <c r="H781" s="16"/>
      <c r="I781" s="16"/>
      <c r="J781" s="16"/>
      <c r="K781" s="16"/>
      <c r="L781" s="16"/>
      <c r="M781" s="16"/>
      <c r="N781" s="16"/>
      <c r="O781" s="16"/>
      <c r="P781" s="16"/>
      <c r="Q781" s="16"/>
      <c r="R781" s="16"/>
      <c r="S781" s="16"/>
      <c r="T781" s="16"/>
      <c r="U781" s="16"/>
      <c r="V781" s="16"/>
      <c r="W781" s="16"/>
      <c r="X781" s="16"/>
      <c r="Y781" s="16"/>
    </row>
    <row r="782" spans="1:25" x14ac:dyDescent="0.2">
      <c r="A782" s="14"/>
      <c r="B782" s="16"/>
      <c r="C782" s="6"/>
      <c r="D782" s="16"/>
      <c r="E782" s="6"/>
      <c r="F782" s="16"/>
      <c r="G782" s="16"/>
      <c r="H782" s="16"/>
      <c r="I782" s="16"/>
      <c r="J782" s="16"/>
      <c r="K782" s="16"/>
      <c r="L782" s="16"/>
      <c r="M782" s="16"/>
      <c r="N782" s="16"/>
      <c r="O782" s="16"/>
      <c r="P782" s="16"/>
      <c r="Q782" s="16"/>
      <c r="R782" s="16"/>
      <c r="S782" s="16"/>
      <c r="T782" s="16"/>
      <c r="U782" s="16"/>
      <c r="V782" s="16"/>
      <c r="W782" s="16"/>
      <c r="X782" s="16"/>
      <c r="Y782" s="16"/>
    </row>
    <row r="783" spans="1:25" x14ac:dyDescent="0.2">
      <c r="A783" s="14"/>
      <c r="B783" s="16"/>
      <c r="C783" s="6"/>
      <c r="D783" s="16"/>
      <c r="E783" s="6"/>
      <c r="F783" s="16"/>
      <c r="G783" s="16"/>
      <c r="H783" s="16"/>
      <c r="I783" s="16"/>
      <c r="J783" s="16"/>
      <c r="K783" s="16"/>
      <c r="L783" s="16"/>
      <c r="M783" s="16"/>
      <c r="N783" s="16"/>
      <c r="O783" s="16"/>
      <c r="P783" s="16"/>
      <c r="Q783" s="16"/>
      <c r="R783" s="16"/>
      <c r="S783" s="16"/>
      <c r="T783" s="16"/>
      <c r="U783" s="16"/>
      <c r="V783" s="16"/>
      <c r="W783" s="16"/>
      <c r="X783" s="16"/>
      <c r="Y783" s="16"/>
    </row>
    <row r="784" spans="1:25" x14ac:dyDescent="0.2">
      <c r="A784" s="14"/>
      <c r="B784" s="16"/>
      <c r="C784" s="6"/>
      <c r="D784" s="16"/>
      <c r="E784" s="6"/>
      <c r="F784" s="16"/>
      <c r="G784" s="16"/>
      <c r="H784" s="16"/>
      <c r="I784" s="16"/>
      <c r="J784" s="16"/>
      <c r="K784" s="16"/>
      <c r="L784" s="16"/>
      <c r="M784" s="16"/>
      <c r="N784" s="16"/>
      <c r="O784" s="16"/>
      <c r="P784" s="16"/>
      <c r="Q784" s="16"/>
      <c r="R784" s="16"/>
      <c r="S784" s="16"/>
      <c r="T784" s="16"/>
      <c r="U784" s="16"/>
      <c r="V784" s="16"/>
      <c r="W784" s="16"/>
      <c r="X784" s="16"/>
      <c r="Y784" s="16"/>
    </row>
    <row r="785" spans="1:25" x14ac:dyDescent="0.2">
      <c r="A785" s="14"/>
      <c r="B785" s="16"/>
      <c r="C785" s="6"/>
      <c r="D785" s="16"/>
      <c r="E785" s="6"/>
      <c r="F785" s="16"/>
      <c r="G785" s="16"/>
      <c r="H785" s="16"/>
      <c r="I785" s="16"/>
      <c r="J785" s="16"/>
      <c r="K785" s="16"/>
      <c r="L785" s="16"/>
      <c r="M785" s="16"/>
      <c r="N785" s="16"/>
      <c r="O785" s="16"/>
      <c r="P785" s="16"/>
      <c r="Q785" s="16"/>
      <c r="R785" s="16"/>
      <c r="S785" s="16"/>
      <c r="T785" s="16"/>
      <c r="U785" s="16"/>
      <c r="V785" s="16"/>
      <c r="W785" s="16"/>
      <c r="X785" s="16"/>
      <c r="Y785" s="16"/>
    </row>
    <row r="786" spans="1:25" x14ac:dyDescent="0.2">
      <c r="A786" s="14"/>
      <c r="B786" s="16"/>
      <c r="C786" s="6"/>
      <c r="D786" s="16"/>
      <c r="E786" s="6"/>
      <c r="F786" s="16"/>
      <c r="G786" s="16"/>
      <c r="H786" s="16"/>
      <c r="I786" s="16"/>
      <c r="J786" s="16"/>
      <c r="K786" s="16"/>
      <c r="L786" s="16"/>
      <c r="M786" s="16"/>
      <c r="N786" s="16"/>
      <c r="O786" s="16"/>
      <c r="P786" s="16"/>
      <c r="Q786" s="16"/>
      <c r="R786" s="16"/>
      <c r="S786" s="16"/>
      <c r="T786" s="16"/>
      <c r="U786" s="16"/>
      <c r="V786" s="16"/>
      <c r="W786" s="16"/>
      <c r="X786" s="16"/>
      <c r="Y786" s="16"/>
    </row>
    <row r="787" spans="1:25" x14ac:dyDescent="0.2">
      <c r="A787" s="14"/>
      <c r="B787" s="16"/>
      <c r="C787" s="6"/>
      <c r="D787" s="16"/>
      <c r="E787" s="6"/>
      <c r="F787" s="16"/>
      <c r="G787" s="16"/>
      <c r="H787" s="16"/>
      <c r="I787" s="16"/>
      <c r="J787" s="16"/>
      <c r="K787" s="16"/>
      <c r="L787" s="16"/>
      <c r="M787" s="16"/>
      <c r="N787" s="16"/>
      <c r="O787" s="16"/>
      <c r="P787" s="16"/>
      <c r="Q787" s="16"/>
      <c r="R787" s="16"/>
      <c r="S787" s="16"/>
      <c r="T787" s="16"/>
      <c r="U787" s="16"/>
      <c r="V787" s="16"/>
      <c r="W787" s="16"/>
      <c r="X787" s="16"/>
      <c r="Y787" s="16"/>
    </row>
    <row r="788" spans="1:25" x14ac:dyDescent="0.2">
      <c r="A788" s="14"/>
      <c r="B788" s="16"/>
      <c r="C788" s="6"/>
      <c r="D788" s="16"/>
      <c r="E788" s="6"/>
      <c r="F788" s="16"/>
      <c r="G788" s="16"/>
      <c r="H788" s="16"/>
      <c r="I788" s="16"/>
      <c r="J788" s="16"/>
      <c r="K788" s="16"/>
      <c r="L788" s="16"/>
      <c r="M788" s="16"/>
      <c r="N788" s="16"/>
      <c r="O788" s="16"/>
      <c r="P788" s="16"/>
      <c r="Q788" s="16"/>
      <c r="R788" s="16"/>
      <c r="S788" s="16"/>
      <c r="T788" s="16"/>
      <c r="U788" s="16"/>
      <c r="V788" s="16"/>
      <c r="W788" s="16"/>
      <c r="X788" s="16"/>
      <c r="Y788" s="16"/>
    </row>
    <row r="789" spans="1:25" x14ac:dyDescent="0.2">
      <c r="A789" s="14"/>
      <c r="B789" s="16"/>
      <c r="C789" s="6"/>
      <c r="D789" s="16"/>
      <c r="E789" s="6"/>
      <c r="F789" s="16"/>
      <c r="G789" s="16"/>
      <c r="H789" s="16"/>
      <c r="I789" s="16"/>
      <c r="J789" s="16"/>
      <c r="K789" s="16"/>
      <c r="L789" s="16"/>
      <c r="M789" s="16"/>
      <c r="N789" s="16"/>
      <c r="O789" s="16"/>
      <c r="P789" s="16"/>
      <c r="Q789" s="16"/>
      <c r="R789" s="16"/>
      <c r="S789" s="16"/>
      <c r="T789" s="16"/>
      <c r="U789" s="16"/>
      <c r="V789" s="16"/>
      <c r="W789" s="16"/>
      <c r="X789" s="16"/>
      <c r="Y789" s="16"/>
    </row>
    <row r="790" spans="1:25" x14ac:dyDescent="0.2">
      <c r="A790" s="14"/>
      <c r="B790" s="16"/>
      <c r="C790" s="6"/>
      <c r="D790" s="16"/>
      <c r="E790" s="6"/>
      <c r="F790" s="16"/>
      <c r="G790" s="16"/>
      <c r="H790" s="16"/>
      <c r="I790" s="16"/>
      <c r="J790" s="16"/>
      <c r="K790" s="16"/>
      <c r="L790" s="16"/>
      <c r="M790" s="16"/>
      <c r="N790" s="16"/>
      <c r="O790" s="16"/>
      <c r="P790" s="16"/>
      <c r="Q790" s="16"/>
      <c r="R790" s="16"/>
      <c r="S790" s="16"/>
      <c r="T790" s="16"/>
      <c r="U790" s="16"/>
      <c r="V790" s="16"/>
      <c r="W790" s="16"/>
      <c r="X790" s="16"/>
      <c r="Y790" s="16"/>
    </row>
    <row r="791" spans="1:25" x14ac:dyDescent="0.2">
      <c r="A791" s="14"/>
      <c r="B791" s="16"/>
      <c r="C791" s="6"/>
      <c r="D791" s="16"/>
      <c r="E791" s="6"/>
      <c r="F791" s="16"/>
      <c r="G791" s="16"/>
      <c r="H791" s="16"/>
      <c r="I791" s="16"/>
      <c r="J791" s="16"/>
      <c r="K791" s="16"/>
      <c r="L791" s="16"/>
      <c r="M791" s="16"/>
      <c r="N791" s="16"/>
      <c r="O791" s="16"/>
      <c r="P791" s="16"/>
      <c r="Q791" s="16"/>
      <c r="R791" s="16"/>
      <c r="S791" s="16"/>
      <c r="T791" s="16"/>
      <c r="U791" s="16"/>
      <c r="V791" s="16"/>
      <c r="W791" s="16"/>
      <c r="X791" s="16"/>
      <c r="Y791" s="16"/>
    </row>
    <row r="792" spans="1:25" x14ac:dyDescent="0.2">
      <c r="A792" s="14"/>
      <c r="B792" s="16"/>
      <c r="C792" s="6"/>
      <c r="D792" s="16"/>
      <c r="E792" s="6"/>
      <c r="F792" s="16"/>
      <c r="G792" s="16"/>
      <c r="H792" s="16"/>
      <c r="I792" s="16"/>
      <c r="J792" s="16"/>
      <c r="K792" s="16"/>
      <c r="L792" s="16"/>
      <c r="M792" s="16"/>
      <c r="N792" s="16"/>
      <c r="O792" s="16"/>
      <c r="P792" s="16"/>
      <c r="Q792" s="16"/>
      <c r="R792" s="16"/>
      <c r="S792" s="16"/>
      <c r="T792" s="16"/>
      <c r="U792" s="16"/>
      <c r="V792" s="16"/>
      <c r="W792" s="16"/>
      <c r="X792" s="16"/>
      <c r="Y792" s="16"/>
    </row>
    <row r="793" spans="1:25" x14ac:dyDescent="0.2">
      <c r="A793" s="14"/>
      <c r="B793" s="16"/>
      <c r="C793" s="6"/>
      <c r="D793" s="16"/>
      <c r="E793" s="6"/>
      <c r="F793" s="16"/>
      <c r="G793" s="16"/>
      <c r="H793" s="16"/>
      <c r="I793" s="16"/>
      <c r="J793" s="16"/>
      <c r="K793" s="16"/>
      <c r="L793" s="16"/>
      <c r="M793" s="16"/>
      <c r="N793" s="16"/>
      <c r="O793" s="16"/>
      <c r="P793" s="16"/>
      <c r="Q793" s="16"/>
      <c r="R793" s="16"/>
      <c r="S793" s="16"/>
      <c r="T793" s="16"/>
      <c r="U793" s="16"/>
      <c r="V793" s="16"/>
      <c r="W793" s="16"/>
      <c r="X793" s="16"/>
      <c r="Y793" s="16"/>
    </row>
    <row r="794" spans="1:25" x14ac:dyDescent="0.2">
      <c r="A794" s="14"/>
      <c r="B794" s="16"/>
      <c r="C794" s="6"/>
      <c r="D794" s="16"/>
      <c r="E794" s="6"/>
      <c r="F794" s="16"/>
      <c r="G794" s="16"/>
      <c r="H794" s="16"/>
      <c r="I794" s="16"/>
      <c r="J794" s="16"/>
      <c r="K794" s="16"/>
      <c r="L794" s="16"/>
      <c r="M794" s="16"/>
      <c r="N794" s="16"/>
      <c r="O794" s="16"/>
      <c r="P794" s="16"/>
      <c r="Q794" s="16"/>
      <c r="R794" s="16"/>
      <c r="S794" s="16"/>
      <c r="T794" s="16"/>
      <c r="U794" s="16"/>
      <c r="V794" s="16"/>
      <c r="W794" s="16"/>
      <c r="X794" s="16"/>
      <c r="Y794" s="16"/>
    </row>
    <row r="795" spans="1:25" x14ac:dyDescent="0.2">
      <c r="A795" s="14"/>
      <c r="B795" s="16"/>
      <c r="C795" s="6"/>
      <c r="D795" s="16"/>
      <c r="E795" s="6"/>
      <c r="F795" s="16"/>
      <c r="G795" s="16"/>
      <c r="H795" s="16"/>
      <c r="I795" s="16"/>
      <c r="J795" s="16"/>
      <c r="K795" s="16"/>
      <c r="L795" s="16"/>
      <c r="M795" s="16"/>
      <c r="N795" s="16"/>
      <c r="O795" s="16"/>
      <c r="P795" s="16"/>
      <c r="Q795" s="16"/>
      <c r="R795" s="16"/>
      <c r="S795" s="16"/>
      <c r="T795" s="16"/>
      <c r="U795" s="16"/>
      <c r="V795" s="16"/>
      <c r="W795" s="16"/>
      <c r="X795" s="16"/>
      <c r="Y795" s="16"/>
    </row>
    <row r="796" spans="1:25" x14ac:dyDescent="0.2">
      <c r="A796" s="14"/>
      <c r="B796" s="16"/>
      <c r="C796" s="6"/>
      <c r="D796" s="16"/>
      <c r="E796" s="6"/>
      <c r="F796" s="16"/>
      <c r="G796" s="16"/>
      <c r="H796" s="16"/>
      <c r="I796" s="16"/>
      <c r="J796" s="16"/>
      <c r="K796" s="16"/>
      <c r="L796" s="16"/>
      <c r="M796" s="16"/>
      <c r="N796" s="16"/>
      <c r="O796" s="16"/>
      <c r="P796" s="16"/>
      <c r="Q796" s="16"/>
      <c r="R796" s="16"/>
      <c r="S796" s="16"/>
      <c r="T796" s="16"/>
      <c r="U796" s="16"/>
      <c r="V796" s="16"/>
      <c r="W796" s="16"/>
      <c r="X796" s="16"/>
      <c r="Y796" s="16"/>
    </row>
    <row r="797" spans="1:25" x14ac:dyDescent="0.2">
      <c r="A797" s="14"/>
      <c r="B797" s="16"/>
      <c r="C797" s="6"/>
      <c r="D797" s="16"/>
      <c r="E797" s="6"/>
      <c r="F797" s="16"/>
      <c r="G797" s="16"/>
      <c r="H797" s="16"/>
      <c r="I797" s="16"/>
      <c r="J797" s="16"/>
      <c r="K797" s="16"/>
      <c r="L797" s="16"/>
      <c r="M797" s="16"/>
      <c r="N797" s="16"/>
      <c r="O797" s="16"/>
      <c r="P797" s="16"/>
      <c r="Q797" s="16"/>
      <c r="R797" s="16"/>
      <c r="S797" s="16"/>
      <c r="T797" s="16"/>
      <c r="U797" s="16"/>
      <c r="V797" s="16"/>
      <c r="W797" s="16"/>
      <c r="X797" s="16"/>
      <c r="Y797" s="16"/>
    </row>
    <row r="798" spans="1:25" x14ac:dyDescent="0.2">
      <c r="A798" s="14"/>
      <c r="B798" s="16"/>
      <c r="C798" s="6"/>
      <c r="D798" s="16"/>
      <c r="E798" s="6"/>
      <c r="F798" s="16"/>
      <c r="G798" s="16"/>
      <c r="H798" s="16"/>
      <c r="I798" s="16"/>
      <c r="J798" s="16"/>
      <c r="K798" s="16"/>
      <c r="L798" s="16"/>
      <c r="M798" s="16"/>
      <c r="N798" s="16"/>
      <c r="O798" s="16"/>
      <c r="P798" s="16"/>
      <c r="Q798" s="16"/>
      <c r="R798" s="16"/>
      <c r="S798" s="16"/>
      <c r="T798" s="16"/>
      <c r="U798" s="16"/>
      <c r="V798" s="16"/>
      <c r="W798" s="16"/>
      <c r="X798" s="16"/>
      <c r="Y798" s="16"/>
    </row>
    <row r="799" spans="1:25" x14ac:dyDescent="0.2">
      <c r="A799" s="14"/>
      <c r="B799" s="16"/>
      <c r="C799" s="6"/>
      <c r="D799" s="16"/>
      <c r="E799" s="6"/>
      <c r="F799" s="16"/>
      <c r="G799" s="16"/>
      <c r="H799" s="16"/>
      <c r="I799" s="16"/>
      <c r="J799" s="16"/>
      <c r="K799" s="16"/>
      <c r="L799" s="16"/>
      <c r="M799" s="16"/>
      <c r="N799" s="16"/>
      <c r="O799" s="16"/>
      <c r="P799" s="16"/>
      <c r="Q799" s="16"/>
      <c r="R799" s="16"/>
      <c r="S799" s="16"/>
      <c r="T799" s="16"/>
      <c r="U799" s="16"/>
      <c r="V799" s="16"/>
      <c r="W799" s="16"/>
      <c r="X799" s="16"/>
      <c r="Y799" s="16"/>
    </row>
    <row r="800" spans="1:25" x14ac:dyDescent="0.2">
      <c r="A800" s="14"/>
      <c r="B800" s="16"/>
      <c r="C800" s="6"/>
      <c r="D800" s="16"/>
      <c r="E800" s="6"/>
      <c r="F800" s="16"/>
      <c r="G800" s="16"/>
      <c r="H800" s="16"/>
      <c r="I800" s="16"/>
      <c r="J800" s="16"/>
      <c r="K800" s="16"/>
      <c r="L800" s="16"/>
      <c r="M800" s="16"/>
      <c r="N800" s="16"/>
      <c r="O800" s="16"/>
      <c r="P800" s="16"/>
      <c r="Q800" s="16"/>
      <c r="R800" s="16"/>
      <c r="S800" s="16"/>
      <c r="T800" s="16"/>
      <c r="U800" s="16"/>
      <c r="V800" s="16"/>
      <c r="W800" s="16"/>
      <c r="X800" s="16"/>
      <c r="Y800" s="16"/>
    </row>
    <row r="801" spans="1:25" x14ac:dyDescent="0.2">
      <c r="A801" s="14"/>
      <c r="B801" s="16"/>
      <c r="C801" s="6"/>
      <c r="D801" s="16"/>
      <c r="E801" s="6"/>
      <c r="F801" s="16"/>
      <c r="G801" s="16"/>
      <c r="H801" s="16"/>
      <c r="I801" s="16"/>
      <c r="J801" s="16"/>
      <c r="K801" s="16"/>
      <c r="L801" s="16"/>
      <c r="M801" s="16"/>
      <c r="N801" s="16"/>
      <c r="O801" s="16"/>
      <c r="P801" s="16"/>
      <c r="Q801" s="16"/>
      <c r="R801" s="16"/>
      <c r="S801" s="16"/>
      <c r="T801" s="16"/>
      <c r="U801" s="16"/>
      <c r="V801" s="16"/>
      <c r="W801" s="16"/>
      <c r="X801" s="16"/>
      <c r="Y801" s="16"/>
    </row>
    <row r="802" spans="1:25" x14ac:dyDescent="0.2">
      <c r="A802" s="14"/>
      <c r="B802" s="16"/>
      <c r="C802" s="6"/>
      <c r="D802" s="16"/>
      <c r="E802" s="6"/>
      <c r="F802" s="16"/>
      <c r="G802" s="16"/>
      <c r="H802" s="16"/>
      <c r="I802" s="16"/>
      <c r="J802" s="16"/>
      <c r="K802" s="16"/>
      <c r="L802" s="16"/>
      <c r="M802" s="16"/>
      <c r="N802" s="16"/>
      <c r="O802" s="16"/>
      <c r="P802" s="16"/>
      <c r="Q802" s="16"/>
      <c r="R802" s="16"/>
      <c r="S802" s="16"/>
      <c r="T802" s="16"/>
      <c r="U802" s="16"/>
      <c r="V802" s="16"/>
      <c r="W802" s="16"/>
      <c r="X802" s="16"/>
      <c r="Y802" s="16"/>
    </row>
    <row r="803" spans="1:25" x14ac:dyDescent="0.2">
      <c r="A803" s="14"/>
      <c r="B803" s="16"/>
      <c r="C803" s="6"/>
      <c r="D803" s="16"/>
      <c r="E803" s="6"/>
      <c r="F803" s="16"/>
      <c r="G803" s="16"/>
      <c r="H803" s="16"/>
      <c r="I803" s="16"/>
      <c r="J803" s="16"/>
      <c r="K803" s="16"/>
      <c r="L803" s="16"/>
      <c r="M803" s="16"/>
      <c r="N803" s="16"/>
      <c r="O803" s="16"/>
      <c r="P803" s="16"/>
      <c r="Q803" s="16"/>
      <c r="R803" s="16"/>
      <c r="S803" s="16"/>
      <c r="T803" s="16"/>
      <c r="U803" s="16"/>
      <c r="V803" s="16"/>
      <c r="W803" s="16"/>
      <c r="X803" s="16"/>
      <c r="Y803" s="16"/>
    </row>
    <row r="804" spans="1:25" x14ac:dyDescent="0.2">
      <c r="A804" s="14"/>
      <c r="B804" s="16"/>
      <c r="C804" s="6"/>
      <c r="D804" s="16"/>
      <c r="E804" s="6"/>
      <c r="F804" s="16"/>
      <c r="G804" s="16"/>
      <c r="H804" s="16"/>
      <c r="I804" s="16"/>
      <c r="J804" s="16"/>
      <c r="K804" s="16"/>
      <c r="L804" s="16"/>
      <c r="M804" s="16"/>
      <c r="N804" s="16"/>
      <c r="O804" s="16"/>
      <c r="P804" s="16"/>
      <c r="Q804" s="16"/>
      <c r="R804" s="16"/>
      <c r="S804" s="16"/>
      <c r="T804" s="16"/>
      <c r="U804" s="16"/>
      <c r="V804" s="16"/>
      <c r="W804" s="16"/>
      <c r="X804" s="16"/>
      <c r="Y804" s="16"/>
    </row>
    <row r="805" spans="1:25" x14ac:dyDescent="0.2">
      <c r="A805" s="14"/>
      <c r="B805" s="16"/>
      <c r="C805" s="6"/>
      <c r="D805" s="16"/>
      <c r="E805" s="6"/>
      <c r="F805" s="16"/>
      <c r="G805" s="16"/>
      <c r="H805" s="16"/>
      <c r="I805" s="16"/>
      <c r="J805" s="16"/>
      <c r="K805" s="16"/>
      <c r="L805" s="16"/>
      <c r="M805" s="16"/>
      <c r="N805" s="16"/>
      <c r="O805" s="16"/>
      <c r="P805" s="16"/>
      <c r="Q805" s="16"/>
      <c r="R805" s="16"/>
      <c r="S805" s="16"/>
      <c r="T805" s="16"/>
      <c r="U805" s="16"/>
      <c r="V805" s="16"/>
      <c r="W805" s="16"/>
      <c r="X805" s="16"/>
      <c r="Y805" s="16"/>
    </row>
    <row r="806" spans="1:25" x14ac:dyDescent="0.2">
      <c r="A806" s="14"/>
      <c r="B806" s="16"/>
      <c r="C806" s="6"/>
      <c r="D806" s="16"/>
      <c r="E806" s="6"/>
      <c r="F806" s="16"/>
      <c r="G806" s="16"/>
      <c r="H806" s="16"/>
      <c r="I806" s="16"/>
      <c r="J806" s="16"/>
      <c r="K806" s="16"/>
      <c r="L806" s="16"/>
      <c r="M806" s="16"/>
      <c r="N806" s="16"/>
      <c r="O806" s="16"/>
      <c r="P806" s="16"/>
      <c r="Q806" s="16"/>
      <c r="R806" s="16"/>
      <c r="S806" s="16"/>
      <c r="T806" s="16"/>
      <c r="U806" s="16"/>
      <c r="V806" s="16"/>
      <c r="W806" s="16"/>
      <c r="X806" s="16"/>
      <c r="Y806" s="16"/>
    </row>
    <row r="807" spans="1:25" x14ac:dyDescent="0.2">
      <c r="A807" s="14"/>
      <c r="B807" s="16"/>
      <c r="C807" s="6"/>
      <c r="D807" s="16"/>
      <c r="E807" s="6"/>
      <c r="F807" s="16"/>
      <c r="G807" s="16"/>
      <c r="H807" s="16"/>
      <c r="I807" s="16"/>
      <c r="J807" s="16"/>
      <c r="K807" s="16"/>
      <c r="L807" s="16"/>
      <c r="M807" s="16"/>
      <c r="N807" s="16"/>
      <c r="O807" s="16"/>
      <c r="P807" s="16"/>
      <c r="Q807" s="16"/>
      <c r="R807" s="16"/>
      <c r="S807" s="16"/>
      <c r="T807" s="16"/>
      <c r="U807" s="16"/>
      <c r="V807" s="16"/>
      <c r="W807" s="16"/>
      <c r="X807" s="16"/>
      <c r="Y807" s="16"/>
    </row>
    <row r="808" spans="1:25" x14ac:dyDescent="0.2">
      <c r="A808" s="14"/>
      <c r="B808" s="16"/>
      <c r="C808" s="6"/>
      <c r="D808" s="16"/>
      <c r="E808" s="6"/>
      <c r="F808" s="16"/>
      <c r="G808" s="16"/>
      <c r="H808" s="16"/>
      <c r="I808" s="16"/>
      <c r="J808" s="16"/>
      <c r="K808" s="16"/>
      <c r="L808" s="16"/>
      <c r="M808" s="16"/>
      <c r="N808" s="16"/>
      <c r="O808" s="16"/>
      <c r="P808" s="16"/>
      <c r="Q808" s="16"/>
      <c r="R808" s="16"/>
      <c r="S808" s="16"/>
      <c r="T808" s="16"/>
      <c r="U808" s="16"/>
      <c r="V808" s="16"/>
      <c r="W808" s="16"/>
      <c r="X808" s="16"/>
      <c r="Y808" s="16"/>
    </row>
    <row r="809" spans="1:25" x14ac:dyDescent="0.2">
      <c r="A809" s="14"/>
      <c r="B809" s="16"/>
      <c r="C809" s="6"/>
      <c r="D809" s="16"/>
      <c r="E809" s="6"/>
      <c r="F809" s="16"/>
      <c r="G809" s="16"/>
      <c r="H809" s="16"/>
      <c r="I809" s="16"/>
      <c r="J809" s="16"/>
      <c r="K809" s="16"/>
      <c r="L809" s="16"/>
      <c r="M809" s="16"/>
      <c r="N809" s="16"/>
      <c r="O809" s="16"/>
      <c r="P809" s="16"/>
      <c r="Q809" s="16"/>
      <c r="R809" s="16"/>
      <c r="S809" s="16"/>
      <c r="T809" s="16"/>
      <c r="U809" s="16"/>
      <c r="V809" s="16"/>
      <c r="W809" s="16"/>
      <c r="X809" s="16"/>
      <c r="Y809" s="16"/>
    </row>
    <row r="810" spans="1:25" x14ac:dyDescent="0.2">
      <c r="A810" s="14"/>
      <c r="B810" s="16"/>
      <c r="C810" s="6"/>
      <c r="D810" s="16"/>
      <c r="E810" s="6"/>
      <c r="F810" s="16"/>
      <c r="G810" s="16"/>
      <c r="H810" s="16"/>
      <c r="I810" s="16"/>
      <c r="J810" s="16"/>
      <c r="K810" s="16"/>
      <c r="L810" s="16"/>
      <c r="M810" s="16"/>
      <c r="N810" s="16"/>
      <c r="O810" s="16"/>
      <c r="P810" s="16"/>
      <c r="Q810" s="16"/>
      <c r="R810" s="16"/>
      <c r="S810" s="16"/>
      <c r="T810" s="16"/>
      <c r="U810" s="16"/>
      <c r="V810" s="16"/>
      <c r="W810" s="16"/>
      <c r="X810" s="16"/>
      <c r="Y810" s="16"/>
    </row>
    <row r="811" spans="1:25" x14ac:dyDescent="0.2">
      <c r="A811" s="14"/>
      <c r="B811" s="16"/>
      <c r="C811" s="6"/>
      <c r="D811" s="16"/>
      <c r="E811" s="6"/>
      <c r="F811" s="16"/>
      <c r="G811" s="16"/>
      <c r="H811" s="16"/>
      <c r="I811" s="16"/>
      <c r="J811" s="16"/>
      <c r="K811" s="16"/>
      <c r="L811" s="16"/>
      <c r="M811" s="16"/>
      <c r="N811" s="16"/>
      <c r="O811" s="16"/>
      <c r="P811" s="16"/>
      <c r="Q811" s="16"/>
      <c r="R811" s="16"/>
      <c r="S811" s="16"/>
      <c r="T811" s="16"/>
      <c r="U811" s="16"/>
      <c r="V811" s="16"/>
      <c r="W811" s="16"/>
      <c r="X811" s="16"/>
      <c r="Y811" s="16"/>
    </row>
    <row r="812" spans="1:25" x14ac:dyDescent="0.2">
      <c r="A812" s="14"/>
      <c r="B812" s="16"/>
      <c r="C812" s="6"/>
      <c r="D812" s="16"/>
      <c r="E812" s="6"/>
      <c r="F812" s="16"/>
      <c r="G812" s="16"/>
      <c r="H812" s="16"/>
      <c r="I812" s="16"/>
      <c r="J812" s="16"/>
      <c r="K812" s="16"/>
      <c r="L812" s="16"/>
      <c r="M812" s="16"/>
      <c r="N812" s="16"/>
      <c r="O812" s="16"/>
      <c r="P812" s="16"/>
      <c r="Q812" s="16"/>
      <c r="R812" s="16"/>
      <c r="S812" s="16"/>
      <c r="T812" s="16"/>
      <c r="U812" s="16"/>
      <c r="V812" s="16"/>
      <c r="W812" s="16"/>
      <c r="X812" s="16"/>
      <c r="Y812" s="16"/>
    </row>
    <row r="813" spans="1:25" x14ac:dyDescent="0.2">
      <c r="A813" s="14"/>
      <c r="B813" s="16"/>
      <c r="C813" s="6"/>
      <c r="D813" s="16"/>
      <c r="E813" s="6"/>
      <c r="F813" s="16"/>
      <c r="G813" s="16"/>
      <c r="H813" s="16"/>
      <c r="I813" s="16"/>
      <c r="J813" s="16"/>
      <c r="K813" s="16"/>
      <c r="L813" s="16"/>
      <c r="M813" s="16"/>
      <c r="N813" s="16"/>
      <c r="O813" s="16"/>
      <c r="P813" s="16"/>
      <c r="Q813" s="16"/>
      <c r="R813" s="16"/>
      <c r="S813" s="16"/>
      <c r="T813" s="16"/>
      <c r="U813" s="16"/>
      <c r="V813" s="16"/>
      <c r="W813" s="16"/>
      <c r="X813" s="16"/>
      <c r="Y813" s="16"/>
    </row>
    <row r="814" spans="1:25" x14ac:dyDescent="0.2">
      <c r="A814" s="14"/>
      <c r="B814" s="16"/>
      <c r="C814" s="6"/>
      <c r="D814" s="16"/>
      <c r="E814" s="6"/>
      <c r="F814" s="16"/>
      <c r="G814" s="16"/>
      <c r="H814" s="16"/>
      <c r="I814" s="16"/>
      <c r="J814" s="16"/>
      <c r="K814" s="16"/>
      <c r="L814" s="16"/>
      <c r="M814" s="16"/>
      <c r="N814" s="16"/>
      <c r="O814" s="16"/>
      <c r="P814" s="16"/>
      <c r="Q814" s="16"/>
      <c r="R814" s="16"/>
      <c r="S814" s="16"/>
      <c r="T814" s="16"/>
      <c r="U814" s="16"/>
      <c r="V814" s="16"/>
      <c r="W814" s="16"/>
      <c r="X814" s="16"/>
      <c r="Y814" s="16"/>
    </row>
    <row r="815" spans="1:25" x14ac:dyDescent="0.2">
      <c r="A815" s="14"/>
      <c r="B815" s="16"/>
      <c r="C815" s="6"/>
      <c r="D815" s="16"/>
      <c r="E815" s="6"/>
      <c r="F815" s="16"/>
      <c r="G815" s="16"/>
      <c r="H815" s="16"/>
      <c r="I815" s="16"/>
      <c r="J815" s="16"/>
      <c r="K815" s="16"/>
      <c r="L815" s="16"/>
      <c r="M815" s="16"/>
      <c r="N815" s="16"/>
      <c r="O815" s="16"/>
      <c r="P815" s="16"/>
      <c r="Q815" s="16"/>
      <c r="R815" s="16"/>
      <c r="S815" s="16"/>
      <c r="T815" s="16"/>
      <c r="U815" s="16"/>
      <c r="V815" s="16"/>
      <c r="W815" s="16"/>
      <c r="X815" s="16"/>
      <c r="Y815" s="16"/>
    </row>
    <row r="816" spans="1:25" x14ac:dyDescent="0.2">
      <c r="A816" s="14"/>
      <c r="B816" s="16"/>
      <c r="C816" s="6"/>
      <c r="D816" s="16"/>
      <c r="E816" s="6"/>
      <c r="F816" s="16"/>
      <c r="G816" s="16"/>
      <c r="H816" s="16"/>
      <c r="I816" s="16"/>
      <c r="J816" s="16"/>
      <c r="K816" s="16"/>
      <c r="L816" s="16"/>
      <c r="M816" s="16"/>
      <c r="N816" s="16"/>
      <c r="O816" s="16"/>
      <c r="P816" s="16"/>
      <c r="Q816" s="16"/>
      <c r="R816" s="16"/>
      <c r="S816" s="16"/>
      <c r="T816" s="16"/>
      <c r="U816" s="16"/>
      <c r="V816" s="16"/>
      <c r="W816" s="16"/>
      <c r="X816" s="16"/>
      <c r="Y816" s="16"/>
    </row>
    <row r="817" spans="1:25" x14ac:dyDescent="0.2">
      <c r="A817" s="14"/>
      <c r="B817" s="16"/>
      <c r="C817" s="6"/>
      <c r="D817" s="16"/>
      <c r="E817" s="6"/>
      <c r="F817" s="16"/>
      <c r="G817" s="16"/>
      <c r="H817" s="16"/>
      <c r="I817" s="16"/>
      <c r="J817" s="16"/>
      <c r="K817" s="16"/>
      <c r="L817" s="16"/>
      <c r="M817" s="16"/>
      <c r="N817" s="16"/>
      <c r="O817" s="16"/>
      <c r="P817" s="16"/>
      <c r="Q817" s="16"/>
      <c r="R817" s="16"/>
      <c r="S817" s="16"/>
      <c r="T817" s="16"/>
      <c r="U817" s="16"/>
      <c r="V817" s="16"/>
      <c r="W817" s="16"/>
      <c r="X817" s="16"/>
      <c r="Y817" s="16"/>
    </row>
    <row r="818" spans="1:25" x14ac:dyDescent="0.2">
      <c r="A818" s="14"/>
      <c r="B818" s="16"/>
      <c r="C818" s="6"/>
      <c r="D818" s="16"/>
      <c r="E818" s="6"/>
      <c r="F818" s="16"/>
      <c r="G818" s="16"/>
      <c r="H818" s="16"/>
      <c r="I818" s="16"/>
      <c r="J818" s="16"/>
      <c r="K818" s="16"/>
      <c r="L818" s="16"/>
      <c r="M818" s="16"/>
      <c r="N818" s="16"/>
      <c r="O818" s="16"/>
      <c r="P818" s="16"/>
      <c r="Q818" s="16"/>
      <c r="R818" s="16"/>
      <c r="S818" s="16"/>
      <c r="T818" s="16"/>
      <c r="U818" s="16"/>
      <c r="V818" s="16"/>
      <c r="W818" s="16"/>
      <c r="X818" s="16"/>
      <c r="Y818" s="16"/>
    </row>
    <row r="819" spans="1:25" x14ac:dyDescent="0.2">
      <c r="A819" s="14"/>
      <c r="B819" s="16"/>
      <c r="C819" s="6"/>
      <c r="D819" s="16"/>
      <c r="E819" s="6"/>
      <c r="F819" s="16"/>
      <c r="G819" s="16"/>
      <c r="H819" s="16"/>
      <c r="I819" s="16"/>
      <c r="J819" s="16"/>
      <c r="K819" s="16"/>
      <c r="L819" s="16"/>
      <c r="M819" s="16"/>
      <c r="N819" s="16"/>
      <c r="O819" s="16"/>
      <c r="P819" s="16"/>
      <c r="Q819" s="16"/>
      <c r="R819" s="16"/>
      <c r="S819" s="16"/>
      <c r="T819" s="16"/>
      <c r="U819" s="16"/>
      <c r="V819" s="16"/>
      <c r="W819" s="16"/>
      <c r="X819" s="16"/>
      <c r="Y819" s="16"/>
    </row>
    <row r="820" spans="1:25" x14ac:dyDescent="0.2">
      <c r="A820" s="14"/>
      <c r="B820" s="16"/>
      <c r="C820" s="6"/>
      <c r="D820" s="16"/>
      <c r="E820" s="6"/>
      <c r="F820" s="16"/>
      <c r="G820" s="16"/>
      <c r="H820" s="16"/>
      <c r="I820" s="16"/>
      <c r="J820" s="16"/>
      <c r="K820" s="16"/>
      <c r="L820" s="16"/>
      <c r="M820" s="16"/>
      <c r="N820" s="16"/>
      <c r="O820" s="16"/>
      <c r="P820" s="16"/>
      <c r="Q820" s="16"/>
      <c r="R820" s="16"/>
      <c r="S820" s="16"/>
      <c r="T820" s="16"/>
      <c r="U820" s="16"/>
      <c r="V820" s="16"/>
      <c r="W820" s="16"/>
      <c r="X820" s="16"/>
      <c r="Y820" s="16"/>
    </row>
    <row r="821" spans="1:25" x14ac:dyDescent="0.2">
      <c r="A821" s="14"/>
      <c r="B821" s="16"/>
      <c r="C821" s="6"/>
      <c r="D821" s="16"/>
      <c r="E821" s="6"/>
      <c r="F821" s="16"/>
      <c r="G821" s="16"/>
      <c r="H821" s="16"/>
      <c r="I821" s="16"/>
      <c r="J821" s="16"/>
      <c r="K821" s="16"/>
      <c r="L821" s="16"/>
      <c r="M821" s="16"/>
      <c r="N821" s="16"/>
      <c r="O821" s="16"/>
      <c r="P821" s="16"/>
      <c r="Q821" s="16"/>
      <c r="R821" s="16"/>
      <c r="S821" s="16"/>
      <c r="T821" s="16"/>
      <c r="U821" s="16"/>
      <c r="V821" s="16"/>
      <c r="W821" s="16"/>
      <c r="X821" s="16"/>
      <c r="Y821" s="16"/>
    </row>
    <row r="822" spans="1:25" x14ac:dyDescent="0.2">
      <c r="A822" s="14"/>
      <c r="B822" s="16"/>
      <c r="C822" s="6"/>
      <c r="D822" s="16"/>
      <c r="E822" s="6"/>
      <c r="F822" s="16"/>
      <c r="G822" s="16"/>
      <c r="H822" s="16"/>
      <c r="I822" s="16"/>
      <c r="J822" s="16"/>
      <c r="K822" s="16"/>
      <c r="L822" s="16"/>
      <c r="M822" s="16"/>
      <c r="N822" s="16"/>
      <c r="O822" s="16"/>
      <c r="P822" s="16"/>
      <c r="Q822" s="16"/>
      <c r="R822" s="16"/>
      <c r="S822" s="16"/>
      <c r="T822" s="16"/>
      <c r="U822" s="16"/>
      <c r="V822" s="16"/>
      <c r="W822" s="16"/>
      <c r="X822" s="16"/>
      <c r="Y822" s="16"/>
    </row>
    <row r="823" spans="1:25" x14ac:dyDescent="0.2">
      <c r="A823" s="14"/>
      <c r="B823" s="16"/>
      <c r="C823" s="6"/>
      <c r="D823" s="16"/>
      <c r="E823" s="6"/>
      <c r="F823" s="16"/>
      <c r="G823" s="16"/>
      <c r="H823" s="16"/>
      <c r="I823" s="16"/>
      <c r="J823" s="16"/>
      <c r="K823" s="16"/>
      <c r="L823" s="16"/>
      <c r="M823" s="16"/>
      <c r="N823" s="16"/>
      <c r="O823" s="16"/>
      <c r="P823" s="16"/>
      <c r="Q823" s="16"/>
      <c r="R823" s="16"/>
      <c r="S823" s="16"/>
      <c r="T823" s="16"/>
      <c r="U823" s="16"/>
      <c r="V823" s="16"/>
      <c r="W823" s="16"/>
      <c r="X823" s="16"/>
      <c r="Y823" s="16"/>
    </row>
    <row r="824" spans="1:25" x14ac:dyDescent="0.2">
      <c r="A824" s="14"/>
      <c r="B824" s="16"/>
      <c r="C824" s="6"/>
      <c r="D824" s="16"/>
      <c r="E824" s="6"/>
      <c r="F824" s="16"/>
      <c r="G824" s="16"/>
      <c r="H824" s="16"/>
      <c r="I824" s="16"/>
      <c r="J824" s="16"/>
      <c r="K824" s="16"/>
      <c r="L824" s="16"/>
      <c r="M824" s="16"/>
      <c r="N824" s="16"/>
      <c r="O824" s="16"/>
      <c r="P824" s="16"/>
      <c r="Q824" s="16"/>
      <c r="R824" s="16"/>
      <c r="S824" s="16"/>
      <c r="T824" s="16"/>
      <c r="U824" s="16"/>
      <c r="V824" s="16"/>
      <c r="W824" s="16"/>
      <c r="X824" s="16"/>
      <c r="Y824" s="16"/>
    </row>
    <row r="825" spans="1:25" x14ac:dyDescent="0.2">
      <c r="A825" s="14"/>
      <c r="B825" s="16"/>
      <c r="C825" s="6"/>
      <c r="D825" s="16"/>
      <c r="E825" s="6"/>
      <c r="F825" s="16"/>
      <c r="G825" s="16"/>
      <c r="H825" s="16"/>
      <c r="I825" s="16"/>
      <c r="J825" s="16"/>
      <c r="K825" s="16"/>
      <c r="L825" s="16"/>
      <c r="M825" s="16"/>
      <c r="N825" s="16"/>
      <c r="O825" s="16"/>
      <c r="P825" s="16"/>
      <c r="Q825" s="16"/>
      <c r="R825" s="16"/>
      <c r="S825" s="16"/>
      <c r="T825" s="16"/>
      <c r="U825" s="16"/>
      <c r="V825" s="16"/>
      <c r="W825" s="16"/>
      <c r="X825" s="16"/>
      <c r="Y825" s="16"/>
    </row>
    <row r="826" spans="1:25" x14ac:dyDescent="0.2">
      <c r="A826" s="14"/>
      <c r="B826" s="16"/>
      <c r="C826" s="6"/>
      <c r="D826" s="16"/>
      <c r="E826" s="6"/>
      <c r="F826" s="16"/>
      <c r="G826" s="16"/>
      <c r="H826" s="16"/>
      <c r="I826" s="16"/>
      <c r="J826" s="16"/>
      <c r="K826" s="16"/>
      <c r="L826" s="16"/>
      <c r="M826" s="16"/>
      <c r="N826" s="16"/>
      <c r="O826" s="16"/>
      <c r="P826" s="16"/>
      <c r="Q826" s="16"/>
      <c r="R826" s="16"/>
      <c r="S826" s="16"/>
      <c r="T826" s="16"/>
      <c r="U826" s="16"/>
      <c r="V826" s="16"/>
      <c r="W826" s="16"/>
      <c r="X826" s="16"/>
      <c r="Y826" s="16"/>
    </row>
    <row r="827" spans="1:25" x14ac:dyDescent="0.2">
      <c r="A827" s="14"/>
      <c r="B827" s="16"/>
      <c r="C827" s="6"/>
      <c r="D827" s="16"/>
      <c r="E827" s="6"/>
      <c r="F827" s="16"/>
      <c r="G827" s="16"/>
      <c r="H827" s="16"/>
      <c r="I827" s="16"/>
      <c r="J827" s="16"/>
      <c r="K827" s="16"/>
      <c r="L827" s="16"/>
      <c r="M827" s="16"/>
      <c r="N827" s="16"/>
      <c r="O827" s="16"/>
      <c r="P827" s="16"/>
      <c r="Q827" s="16"/>
      <c r="R827" s="16"/>
      <c r="S827" s="16"/>
      <c r="T827" s="16"/>
      <c r="U827" s="16"/>
      <c r="V827" s="16"/>
      <c r="W827" s="16"/>
      <c r="X827" s="16"/>
      <c r="Y827" s="16"/>
    </row>
    <row r="828" spans="1:25" x14ac:dyDescent="0.2">
      <c r="A828" s="14"/>
      <c r="B828" s="16"/>
      <c r="C828" s="6"/>
      <c r="D828" s="16"/>
      <c r="E828" s="6"/>
      <c r="F828" s="16"/>
      <c r="G828" s="16"/>
      <c r="H828" s="16"/>
      <c r="I828" s="16"/>
      <c r="J828" s="16"/>
      <c r="K828" s="16"/>
      <c r="L828" s="16"/>
      <c r="M828" s="16"/>
      <c r="N828" s="16"/>
      <c r="O828" s="16"/>
      <c r="P828" s="16"/>
      <c r="Q828" s="16"/>
      <c r="R828" s="16"/>
      <c r="S828" s="16"/>
      <c r="T828" s="16"/>
      <c r="U828" s="16"/>
      <c r="V828" s="16"/>
      <c r="W828" s="16"/>
      <c r="X828" s="16"/>
      <c r="Y828" s="16"/>
    </row>
    <row r="829" spans="1:25" x14ac:dyDescent="0.2">
      <c r="A829" s="14"/>
      <c r="B829" s="16"/>
      <c r="C829" s="6"/>
      <c r="D829" s="16"/>
      <c r="E829" s="6"/>
      <c r="F829" s="16"/>
      <c r="G829" s="16"/>
      <c r="H829" s="16"/>
      <c r="I829" s="16"/>
      <c r="J829" s="16"/>
      <c r="K829" s="16"/>
      <c r="L829" s="16"/>
      <c r="M829" s="16"/>
      <c r="N829" s="16"/>
      <c r="O829" s="16"/>
      <c r="P829" s="16"/>
      <c r="Q829" s="16"/>
      <c r="R829" s="16"/>
      <c r="S829" s="16"/>
      <c r="T829" s="16"/>
      <c r="U829" s="16"/>
      <c r="V829" s="16"/>
      <c r="W829" s="16"/>
      <c r="X829" s="16"/>
      <c r="Y829" s="16"/>
    </row>
    <row r="830" spans="1:25" x14ac:dyDescent="0.2">
      <c r="A830" s="14"/>
      <c r="B830" s="16"/>
      <c r="C830" s="6"/>
      <c r="D830" s="16"/>
      <c r="E830" s="6"/>
      <c r="F830" s="16"/>
      <c r="G830" s="16"/>
      <c r="H830" s="16"/>
      <c r="I830" s="16"/>
      <c r="J830" s="16"/>
      <c r="K830" s="16"/>
      <c r="L830" s="16"/>
      <c r="M830" s="16"/>
      <c r="N830" s="16"/>
      <c r="O830" s="16"/>
      <c r="P830" s="16"/>
      <c r="Q830" s="16"/>
      <c r="R830" s="16"/>
      <c r="S830" s="16"/>
      <c r="T830" s="16"/>
      <c r="U830" s="16"/>
      <c r="V830" s="16"/>
      <c r="W830" s="16"/>
      <c r="X830" s="16"/>
      <c r="Y830" s="16"/>
    </row>
    <row r="831" spans="1:25" x14ac:dyDescent="0.2">
      <c r="A831" s="14"/>
      <c r="B831" s="16"/>
      <c r="C831" s="6"/>
      <c r="D831" s="16"/>
      <c r="E831" s="6"/>
      <c r="F831" s="16"/>
      <c r="G831" s="16"/>
      <c r="H831" s="16"/>
      <c r="I831" s="16"/>
      <c r="J831" s="16"/>
      <c r="K831" s="16"/>
      <c r="L831" s="16"/>
      <c r="M831" s="16"/>
      <c r="N831" s="16"/>
      <c r="O831" s="16"/>
      <c r="P831" s="16"/>
      <c r="Q831" s="16"/>
      <c r="R831" s="16"/>
      <c r="S831" s="16"/>
      <c r="T831" s="16"/>
      <c r="U831" s="16"/>
      <c r="V831" s="16"/>
      <c r="W831" s="16"/>
      <c r="X831" s="16"/>
      <c r="Y831" s="16"/>
    </row>
    <row r="832" spans="1:25" x14ac:dyDescent="0.2">
      <c r="A832" s="14"/>
      <c r="B832" s="16"/>
      <c r="C832" s="6"/>
      <c r="D832" s="16"/>
      <c r="E832" s="6"/>
      <c r="F832" s="16"/>
      <c r="G832" s="16"/>
      <c r="H832" s="16"/>
      <c r="I832" s="16"/>
      <c r="J832" s="16"/>
      <c r="K832" s="16"/>
      <c r="L832" s="16"/>
      <c r="M832" s="16"/>
      <c r="N832" s="16"/>
      <c r="O832" s="16"/>
      <c r="P832" s="16"/>
      <c r="Q832" s="16"/>
      <c r="R832" s="16"/>
      <c r="S832" s="16"/>
      <c r="T832" s="16"/>
      <c r="U832" s="16"/>
      <c r="V832" s="16"/>
      <c r="W832" s="16"/>
      <c r="X832" s="16"/>
      <c r="Y832" s="16"/>
    </row>
    <row r="833" spans="1:25" x14ac:dyDescent="0.2">
      <c r="A833" s="14"/>
      <c r="B833" s="16"/>
      <c r="C833" s="6"/>
      <c r="D833" s="16"/>
      <c r="E833" s="6"/>
      <c r="F833" s="16"/>
      <c r="G833" s="16"/>
      <c r="H833" s="16"/>
      <c r="I833" s="16"/>
      <c r="J833" s="16"/>
      <c r="K833" s="16"/>
      <c r="L833" s="16"/>
      <c r="M833" s="16"/>
      <c r="N833" s="16"/>
      <c r="O833" s="16"/>
      <c r="P833" s="16"/>
      <c r="Q833" s="16"/>
      <c r="R833" s="16"/>
      <c r="S833" s="16"/>
      <c r="T833" s="16"/>
      <c r="U833" s="16"/>
      <c r="V833" s="16"/>
      <c r="W833" s="16"/>
      <c r="X833" s="16"/>
      <c r="Y833" s="16"/>
    </row>
    <row r="834" spans="1:25" x14ac:dyDescent="0.2">
      <c r="A834" s="14"/>
      <c r="B834" s="16"/>
      <c r="C834" s="6"/>
      <c r="D834" s="16"/>
      <c r="E834" s="6"/>
      <c r="F834" s="16"/>
      <c r="G834" s="16"/>
      <c r="H834" s="16"/>
      <c r="I834" s="16"/>
      <c r="J834" s="16"/>
      <c r="K834" s="16"/>
      <c r="L834" s="16"/>
      <c r="M834" s="16"/>
      <c r="N834" s="16"/>
      <c r="O834" s="16"/>
      <c r="P834" s="16"/>
      <c r="Q834" s="16"/>
      <c r="R834" s="16"/>
      <c r="S834" s="16"/>
      <c r="T834" s="16"/>
      <c r="U834" s="16"/>
      <c r="V834" s="16"/>
      <c r="W834" s="16"/>
      <c r="X834" s="16"/>
      <c r="Y834" s="16"/>
    </row>
    <row r="835" spans="1:25" x14ac:dyDescent="0.2">
      <c r="A835" s="14"/>
      <c r="B835" s="16"/>
      <c r="C835" s="6"/>
      <c r="D835" s="16"/>
      <c r="E835" s="6"/>
      <c r="F835" s="16"/>
      <c r="G835" s="16"/>
      <c r="H835" s="16"/>
      <c r="I835" s="16"/>
      <c r="J835" s="16"/>
      <c r="K835" s="16"/>
      <c r="L835" s="16"/>
      <c r="M835" s="16"/>
      <c r="N835" s="16"/>
      <c r="O835" s="16"/>
      <c r="P835" s="16"/>
      <c r="Q835" s="16"/>
      <c r="R835" s="16"/>
      <c r="S835" s="16"/>
      <c r="T835" s="16"/>
      <c r="U835" s="16"/>
      <c r="V835" s="16"/>
      <c r="W835" s="16"/>
      <c r="X835" s="16"/>
      <c r="Y835" s="16"/>
    </row>
    <row r="836" spans="1:25" x14ac:dyDescent="0.2">
      <c r="A836" s="14"/>
      <c r="B836" s="16"/>
      <c r="C836" s="6"/>
      <c r="D836" s="16"/>
      <c r="E836" s="6"/>
      <c r="F836" s="16"/>
      <c r="G836" s="16"/>
      <c r="H836" s="16"/>
      <c r="I836" s="16"/>
      <c r="J836" s="16"/>
      <c r="K836" s="16"/>
      <c r="L836" s="16"/>
      <c r="M836" s="16"/>
      <c r="N836" s="16"/>
      <c r="O836" s="16"/>
      <c r="P836" s="16"/>
      <c r="Q836" s="16"/>
      <c r="R836" s="16"/>
      <c r="S836" s="16"/>
      <c r="T836" s="16"/>
      <c r="U836" s="16"/>
      <c r="V836" s="16"/>
      <c r="W836" s="16"/>
      <c r="X836" s="16"/>
      <c r="Y836" s="16"/>
    </row>
    <row r="837" spans="1:25" x14ac:dyDescent="0.2">
      <c r="A837" s="14"/>
      <c r="B837" s="16"/>
      <c r="C837" s="6"/>
      <c r="D837" s="16"/>
      <c r="E837" s="6"/>
      <c r="F837" s="16"/>
      <c r="G837" s="16"/>
      <c r="H837" s="16"/>
      <c r="I837" s="16"/>
      <c r="J837" s="16"/>
      <c r="K837" s="16"/>
      <c r="L837" s="16"/>
      <c r="M837" s="16"/>
      <c r="N837" s="16"/>
      <c r="O837" s="16"/>
      <c r="P837" s="16"/>
      <c r="Q837" s="16"/>
      <c r="R837" s="16"/>
      <c r="S837" s="16"/>
      <c r="T837" s="16"/>
      <c r="U837" s="16"/>
      <c r="V837" s="16"/>
      <c r="W837" s="16"/>
      <c r="X837" s="16"/>
      <c r="Y837" s="16"/>
    </row>
    <row r="838" spans="1:25" x14ac:dyDescent="0.2">
      <c r="A838" s="14"/>
      <c r="B838" s="16"/>
      <c r="C838" s="6"/>
      <c r="D838" s="16"/>
      <c r="E838" s="6"/>
      <c r="F838" s="16"/>
      <c r="G838" s="16"/>
      <c r="H838" s="16"/>
      <c r="I838" s="16"/>
      <c r="J838" s="16"/>
      <c r="K838" s="16"/>
      <c r="L838" s="16"/>
      <c r="M838" s="16"/>
      <c r="N838" s="16"/>
      <c r="O838" s="16"/>
      <c r="P838" s="16"/>
      <c r="Q838" s="16"/>
      <c r="R838" s="16"/>
      <c r="S838" s="16"/>
      <c r="T838" s="16"/>
      <c r="U838" s="16"/>
      <c r="V838" s="16"/>
      <c r="W838" s="16"/>
      <c r="X838" s="16"/>
      <c r="Y838" s="16"/>
    </row>
    <row r="839" spans="1:25" x14ac:dyDescent="0.2">
      <c r="A839" s="14"/>
      <c r="B839" s="16"/>
      <c r="C839" s="6"/>
      <c r="D839" s="16"/>
      <c r="E839" s="6"/>
      <c r="F839" s="16"/>
      <c r="G839" s="16"/>
      <c r="H839" s="16"/>
      <c r="I839" s="16"/>
      <c r="J839" s="16"/>
      <c r="K839" s="16"/>
      <c r="L839" s="16"/>
      <c r="M839" s="16"/>
      <c r="N839" s="16"/>
      <c r="O839" s="16"/>
      <c r="P839" s="16"/>
      <c r="Q839" s="16"/>
      <c r="R839" s="16"/>
      <c r="S839" s="16"/>
      <c r="T839" s="16"/>
      <c r="U839" s="16"/>
      <c r="V839" s="16"/>
      <c r="W839" s="16"/>
      <c r="X839" s="16"/>
      <c r="Y839" s="16"/>
    </row>
    <row r="840" spans="1:25" x14ac:dyDescent="0.2">
      <c r="A840" s="14"/>
      <c r="B840" s="16"/>
      <c r="C840" s="6"/>
      <c r="D840" s="16"/>
      <c r="E840" s="6"/>
      <c r="F840" s="16"/>
      <c r="G840" s="16"/>
      <c r="H840" s="16"/>
      <c r="I840" s="16"/>
      <c r="J840" s="16"/>
      <c r="K840" s="16"/>
      <c r="L840" s="16"/>
      <c r="M840" s="16"/>
      <c r="N840" s="16"/>
      <c r="O840" s="16"/>
      <c r="P840" s="16"/>
      <c r="Q840" s="16"/>
      <c r="R840" s="16"/>
      <c r="S840" s="16"/>
      <c r="T840" s="16"/>
      <c r="U840" s="16"/>
      <c r="V840" s="16"/>
      <c r="W840" s="16"/>
      <c r="X840" s="16"/>
      <c r="Y840" s="16"/>
    </row>
    <row r="841" spans="1:25" x14ac:dyDescent="0.2">
      <c r="A841" s="14"/>
      <c r="B841" s="16"/>
      <c r="C841" s="6"/>
      <c r="D841" s="16"/>
      <c r="E841" s="6"/>
      <c r="F841" s="16"/>
      <c r="G841" s="16"/>
      <c r="H841" s="16"/>
      <c r="I841" s="16"/>
      <c r="J841" s="16"/>
      <c r="K841" s="16"/>
      <c r="L841" s="16"/>
      <c r="M841" s="16"/>
      <c r="N841" s="16"/>
      <c r="O841" s="16"/>
      <c r="P841" s="16"/>
      <c r="Q841" s="16"/>
      <c r="R841" s="16"/>
      <c r="S841" s="16"/>
      <c r="T841" s="16"/>
      <c r="U841" s="16"/>
      <c r="V841" s="16"/>
      <c r="W841" s="16"/>
      <c r="X841" s="16"/>
      <c r="Y841" s="16"/>
    </row>
    <row r="842" spans="1:25" x14ac:dyDescent="0.2">
      <c r="A842" s="14"/>
      <c r="B842" s="16"/>
      <c r="C842" s="6"/>
      <c r="D842" s="16"/>
      <c r="E842" s="6"/>
      <c r="F842" s="16"/>
      <c r="G842" s="16"/>
      <c r="H842" s="16"/>
      <c r="I842" s="16"/>
      <c r="J842" s="16"/>
      <c r="K842" s="16"/>
      <c r="L842" s="16"/>
      <c r="M842" s="16"/>
      <c r="N842" s="16"/>
      <c r="O842" s="16"/>
      <c r="P842" s="16"/>
      <c r="Q842" s="16"/>
      <c r="R842" s="16"/>
      <c r="S842" s="16"/>
      <c r="T842" s="16"/>
      <c r="U842" s="16"/>
      <c r="V842" s="16"/>
      <c r="W842" s="16"/>
      <c r="X842" s="16"/>
      <c r="Y842" s="16"/>
    </row>
    <row r="843" spans="1:25" x14ac:dyDescent="0.2">
      <c r="A843" s="14"/>
      <c r="B843" s="16"/>
      <c r="C843" s="6"/>
      <c r="D843" s="16"/>
      <c r="E843" s="6"/>
      <c r="F843" s="16"/>
      <c r="G843" s="16"/>
      <c r="H843" s="16"/>
      <c r="I843" s="16"/>
      <c r="J843" s="16"/>
      <c r="K843" s="16"/>
      <c r="L843" s="16"/>
      <c r="M843" s="16"/>
      <c r="N843" s="16"/>
      <c r="O843" s="16"/>
      <c r="P843" s="16"/>
      <c r="Q843" s="16"/>
      <c r="R843" s="16"/>
      <c r="S843" s="16"/>
      <c r="T843" s="16"/>
      <c r="U843" s="16"/>
      <c r="V843" s="16"/>
      <c r="W843" s="16"/>
      <c r="X843" s="16"/>
      <c r="Y843" s="16"/>
    </row>
    <row r="844" spans="1:25" x14ac:dyDescent="0.2">
      <c r="A844" s="14"/>
      <c r="B844" s="16"/>
      <c r="C844" s="6"/>
      <c r="D844" s="16"/>
      <c r="E844" s="6"/>
      <c r="F844" s="16"/>
      <c r="G844" s="16"/>
      <c r="H844" s="16"/>
      <c r="I844" s="16"/>
      <c r="J844" s="16"/>
      <c r="K844" s="16"/>
      <c r="L844" s="16"/>
      <c r="M844" s="16"/>
      <c r="N844" s="16"/>
      <c r="O844" s="16"/>
      <c r="P844" s="16"/>
      <c r="Q844" s="16"/>
      <c r="R844" s="16"/>
      <c r="S844" s="16"/>
      <c r="T844" s="16"/>
      <c r="U844" s="16"/>
      <c r="V844" s="16"/>
      <c r="W844" s="16"/>
      <c r="X844" s="16"/>
      <c r="Y844" s="16"/>
    </row>
    <row r="845" spans="1:25" x14ac:dyDescent="0.2">
      <c r="A845" s="14"/>
      <c r="B845" s="16"/>
      <c r="C845" s="6"/>
      <c r="D845" s="16"/>
      <c r="E845" s="6"/>
      <c r="F845" s="16"/>
      <c r="G845" s="16"/>
      <c r="H845" s="16"/>
      <c r="I845" s="16"/>
      <c r="J845" s="16"/>
      <c r="K845" s="16"/>
      <c r="L845" s="16"/>
      <c r="M845" s="16"/>
      <c r="N845" s="16"/>
      <c r="O845" s="16"/>
      <c r="P845" s="16"/>
      <c r="Q845" s="16"/>
      <c r="R845" s="16"/>
      <c r="S845" s="16"/>
      <c r="T845" s="16"/>
      <c r="U845" s="16"/>
      <c r="V845" s="16"/>
      <c r="W845" s="16"/>
      <c r="X845" s="16"/>
      <c r="Y845" s="16"/>
    </row>
    <row r="846" spans="1:25" x14ac:dyDescent="0.2">
      <c r="A846" s="14"/>
      <c r="B846" s="16"/>
      <c r="C846" s="6"/>
      <c r="D846" s="16"/>
      <c r="E846" s="6"/>
      <c r="F846" s="16"/>
      <c r="G846" s="16"/>
      <c r="H846" s="16"/>
      <c r="I846" s="16"/>
      <c r="J846" s="16"/>
      <c r="K846" s="16"/>
      <c r="L846" s="16"/>
      <c r="M846" s="16"/>
      <c r="N846" s="16"/>
      <c r="O846" s="16"/>
      <c r="P846" s="16"/>
      <c r="Q846" s="16"/>
      <c r="R846" s="16"/>
      <c r="S846" s="16"/>
      <c r="T846" s="16"/>
      <c r="U846" s="16"/>
      <c r="V846" s="16"/>
      <c r="W846" s="16"/>
      <c r="X846" s="16"/>
      <c r="Y846" s="16"/>
    </row>
    <row r="847" spans="1:25" x14ac:dyDescent="0.2">
      <c r="A847" s="14"/>
      <c r="B847" s="16"/>
      <c r="C847" s="6"/>
      <c r="D847" s="16"/>
      <c r="E847" s="6"/>
      <c r="F847" s="16"/>
      <c r="G847" s="16"/>
      <c r="H847" s="16"/>
      <c r="I847" s="16"/>
      <c r="J847" s="16"/>
      <c r="K847" s="16"/>
      <c r="L847" s="16"/>
      <c r="M847" s="16"/>
      <c r="N847" s="16"/>
      <c r="O847" s="16"/>
      <c r="P847" s="16"/>
      <c r="Q847" s="16"/>
      <c r="R847" s="16"/>
      <c r="S847" s="16"/>
      <c r="T847" s="16"/>
      <c r="U847" s="16"/>
      <c r="V847" s="16"/>
      <c r="W847" s="16"/>
      <c r="X847" s="16"/>
      <c r="Y847" s="16"/>
    </row>
    <row r="848" spans="1:25" x14ac:dyDescent="0.2">
      <c r="A848" s="14"/>
      <c r="B848" s="16"/>
      <c r="C848" s="6"/>
      <c r="D848" s="16"/>
      <c r="E848" s="6"/>
      <c r="F848" s="16"/>
      <c r="G848" s="16"/>
      <c r="H848" s="16"/>
      <c r="I848" s="16"/>
      <c r="J848" s="16"/>
      <c r="K848" s="16"/>
      <c r="L848" s="16"/>
      <c r="M848" s="16"/>
      <c r="N848" s="16"/>
      <c r="O848" s="16"/>
      <c r="P848" s="16"/>
      <c r="Q848" s="16"/>
      <c r="R848" s="16"/>
      <c r="S848" s="16"/>
      <c r="T848" s="16"/>
      <c r="U848" s="16"/>
      <c r="V848" s="16"/>
      <c r="W848" s="16"/>
      <c r="X848" s="16"/>
      <c r="Y848" s="16"/>
    </row>
    <row r="849" spans="1:25" x14ac:dyDescent="0.2">
      <c r="A849" s="14"/>
      <c r="B849" s="16"/>
      <c r="C849" s="6"/>
      <c r="D849" s="16"/>
      <c r="E849" s="6"/>
      <c r="F849" s="16"/>
      <c r="G849" s="16"/>
      <c r="H849" s="16"/>
      <c r="I849" s="16"/>
      <c r="J849" s="16"/>
      <c r="K849" s="16"/>
      <c r="L849" s="16"/>
      <c r="M849" s="16"/>
      <c r="N849" s="16"/>
      <c r="O849" s="16"/>
      <c r="P849" s="16"/>
      <c r="Q849" s="16"/>
      <c r="R849" s="16"/>
      <c r="S849" s="16"/>
      <c r="T849" s="16"/>
      <c r="U849" s="16"/>
      <c r="V849" s="16"/>
      <c r="W849" s="16"/>
      <c r="X849" s="16"/>
      <c r="Y849" s="16"/>
    </row>
    <row r="850" spans="1:25" x14ac:dyDescent="0.2">
      <c r="A850" s="14"/>
      <c r="B850" s="16"/>
      <c r="C850" s="6"/>
      <c r="D850" s="16"/>
      <c r="E850" s="6"/>
      <c r="F850" s="16"/>
      <c r="G850" s="16"/>
      <c r="H850" s="16"/>
      <c r="I850" s="16"/>
      <c r="J850" s="16"/>
      <c r="K850" s="16"/>
      <c r="L850" s="16"/>
      <c r="M850" s="16"/>
      <c r="N850" s="16"/>
      <c r="O850" s="16"/>
      <c r="P850" s="16"/>
      <c r="Q850" s="16"/>
      <c r="R850" s="16"/>
      <c r="S850" s="16"/>
      <c r="T850" s="16"/>
      <c r="U850" s="16"/>
      <c r="V850" s="16"/>
      <c r="W850" s="16"/>
      <c r="X850" s="16"/>
      <c r="Y850" s="16"/>
    </row>
    <row r="851" spans="1:25" x14ac:dyDescent="0.2">
      <c r="A851" s="14"/>
      <c r="B851" s="16"/>
      <c r="C851" s="6"/>
      <c r="D851" s="16"/>
      <c r="E851" s="6"/>
      <c r="F851" s="16"/>
      <c r="G851" s="16"/>
      <c r="H851" s="16"/>
      <c r="I851" s="16"/>
      <c r="J851" s="16"/>
      <c r="K851" s="16"/>
      <c r="L851" s="16"/>
      <c r="M851" s="16"/>
      <c r="N851" s="16"/>
      <c r="O851" s="16"/>
      <c r="P851" s="16"/>
      <c r="Q851" s="16"/>
      <c r="R851" s="16"/>
      <c r="S851" s="16"/>
      <c r="T851" s="16"/>
      <c r="U851" s="16"/>
      <c r="V851" s="16"/>
      <c r="W851" s="16"/>
      <c r="X851" s="16"/>
      <c r="Y851" s="16"/>
    </row>
    <row r="852" spans="1:25" x14ac:dyDescent="0.2">
      <c r="A852" s="14"/>
      <c r="B852" s="16"/>
      <c r="C852" s="6"/>
      <c r="D852" s="16"/>
      <c r="E852" s="6"/>
      <c r="F852" s="16"/>
      <c r="G852" s="16"/>
      <c r="H852" s="16"/>
      <c r="I852" s="16"/>
      <c r="J852" s="16"/>
      <c r="K852" s="16"/>
      <c r="L852" s="16"/>
      <c r="M852" s="16"/>
      <c r="N852" s="16"/>
      <c r="O852" s="16"/>
      <c r="P852" s="16"/>
      <c r="Q852" s="16"/>
      <c r="R852" s="16"/>
      <c r="S852" s="16"/>
      <c r="T852" s="16"/>
      <c r="U852" s="16"/>
      <c r="V852" s="16"/>
      <c r="W852" s="16"/>
      <c r="X852" s="16"/>
      <c r="Y852" s="16"/>
    </row>
    <row r="853" spans="1:25" x14ac:dyDescent="0.2">
      <c r="A853" s="14"/>
      <c r="B853" s="16"/>
      <c r="C853" s="6"/>
      <c r="D853" s="16"/>
      <c r="E853" s="6"/>
      <c r="F853" s="16"/>
      <c r="G853" s="16"/>
      <c r="H853" s="16"/>
      <c r="I853" s="16"/>
      <c r="J853" s="16"/>
      <c r="K853" s="16"/>
      <c r="L853" s="16"/>
      <c r="M853" s="16"/>
      <c r="N853" s="16"/>
      <c r="O853" s="16"/>
      <c r="P853" s="16"/>
      <c r="Q853" s="16"/>
      <c r="R853" s="16"/>
      <c r="S853" s="16"/>
      <c r="T853" s="16"/>
      <c r="U853" s="16"/>
      <c r="V853" s="16"/>
      <c r="W853" s="16"/>
      <c r="X853" s="16"/>
      <c r="Y853" s="16"/>
    </row>
    <row r="854" spans="1:25" x14ac:dyDescent="0.2">
      <c r="A854" s="14"/>
      <c r="B854" s="16"/>
      <c r="C854" s="6"/>
      <c r="D854" s="16"/>
      <c r="E854" s="6"/>
      <c r="F854" s="16"/>
      <c r="G854" s="16"/>
      <c r="H854" s="16"/>
      <c r="I854" s="16"/>
      <c r="J854" s="16"/>
      <c r="K854" s="16"/>
      <c r="L854" s="16"/>
      <c r="M854" s="16"/>
      <c r="N854" s="16"/>
      <c r="O854" s="16"/>
      <c r="P854" s="16"/>
      <c r="Q854" s="16"/>
      <c r="R854" s="16"/>
      <c r="S854" s="16"/>
      <c r="T854" s="16"/>
      <c r="U854" s="16"/>
      <c r="V854" s="16"/>
      <c r="W854" s="16"/>
      <c r="X854" s="16"/>
      <c r="Y854" s="16"/>
    </row>
    <row r="855" spans="1:25" x14ac:dyDescent="0.2">
      <c r="A855" s="14"/>
      <c r="B855" s="16"/>
      <c r="C855" s="6"/>
      <c r="D855" s="16"/>
      <c r="E855" s="6"/>
      <c r="F855" s="16"/>
      <c r="G855" s="16"/>
      <c r="H855" s="16"/>
      <c r="I855" s="16"/>
      <c r="J855" s="16"/>
      <c r="K855" s="16"/>
      <c r="L855" s="16"/>
      <c r="M855" s="16"/>
      <c r="N855" s="16"/>
      <c r="O855" s="16"/>
      <c r="P855" s="16"/>
      <c r="Q855" s="16"/>
      <c r="R855" s="16"/>
      <c r="S855" s="16"/>
      <c r="T855" s="16"/>
      <c r="U855" s="16"/>
      <c r="V855" s="16"/>
      <c r="W855" s="16"/>
      <c r="X855" s="16"/>
      <c r="Y855" s="16"/>
    </row>
    <row r="856" spans="1:25" x14ac:dyDescent="0.2">
      <c r="A856" s="14"/>
      <c r="B856" s="16"/>
      <c r="C856" s="6"/>
      <c r="D856" s="16"/>
      <c r="E856" s="6"/>
      <c r="F856" s="16"/>
      <c r="G856" s="16"/>
      <c r="H856" s="16"/>
      <c r="I856" s="16"/>
      <c r="J856" s="16"/>
      <c r="K856" s="16"/>
      <c r="L856" s="16"/>
      <c r="M856" s="16"/>
      <c r="N856" s="16"/>
      <c r="O856" s="16"/>
      <c r="P856" s="16"/>
      <c r="Q856" s="16"/>
      <c r="R856" s="16"/>
      <c r="S856" s="16"/>
      <c r="T856" s="16"/>
      <c r="U856" s="16"/>
      <c r="V856" s="16"/>
      <c r="W856" s="16"/>
      <c r="X856" s="16"/>
      <c r="Y856" s="16"/>
    </row>
    <row r="857" spans="1:25" x14ac:dyDescent="0.2">
      <c r="A857" s="14"/>
      <c r="B857" s="16"/>
      <c r="C857" s="6"/>
      <c r="D857" s="16"/>
      <c r="E857" s="6"/>
      <c r="F857" s="16"/>
      <c r="G857" s="16"/>
      <c r="H857" s="16"/>
      <c r="I857" s="16"/>
      <c r="J857" s="16"/>
      <c r="K857" s="16"/>
      <c r="L857" s="16"/>
      <c r="M857" s="16"/>
      <c r="N857" s="16"/>
      <c r="O857" s="16"/>
      <c r="P857" s="16"/>
      <c r="Q857" s="16"/>
      <c r="R857" s="16"/>
      <c r="S857" s="16"/>
      <c r="T857" s="16"/>
      <c r="U857" s="16"/>
      <c r="V857" s="16"/>
      <c r="W857" s="16"/>
      <c r="X857" s="16"/>
      <c r="Y857" s="16"/>
    </row>
    <row r="858" spans="1:25" x14ac:dyDescent="0.2">
      <c r="A858" s="14"/>
      <c r="B858" s="16"/>
      <c r="C858" s="6"/>
      <c r="D858" s="16"/>
      <c r="E858" s="6"/>
      <c r="F858" s="16"/>
      <c r="G858" s="16"/>
      <c r="H858" s="16"/>
      <c r="I858" s="16"/>
      <c r="J858" s="16"/>
      <c r="K858" s="16"/>
      <c r="L858" s="16"/>
      <c r="M858" s="16"/>
      <c r="N858" s="16"/>
      <c r="O858" s="16"/>
      <c r="P858" s="16"/>
      <c r="Q858" s="16"/>
      <c r="R858" s="16"/>
      <c r="S858" s="16"/>
      <c r="T858" s="16"/>
      <c r="U858" s="16"/>
      <c r="V858" s="16"/>
      <c r="W858" s="16"/>
      <c r="X858" s="16"/>
      <c r="Y858" s="16"/>
    </row>
    <row r="859" spans="1:25" x14ac:dyDescent="0.2">
      <c r="A859" s="14"/>
      <c r="B859" s="16"/>
      <c r="C859" s="6"/>
      <c r="D859" s="16"/>
      <c r="E859" s="6"/>
      <c r="F859" s="16"/>
      <c r="G859" s="16"/>
      <c r="H859" s="16"/>
      <c r="I859" s="16"/>
      <c r="J859" s="16"/>
      <c r="K859" s="16"/>
      <c r="L859" s="16"/>
      <c r="M859" s="16"/>
      <c r="N859" s="16"/>
      <c r="O859" s="16"/>
      <c r="P859" s="16"/>
      <c r="Q859" s="16"/>
      <c r="R859" s="16"/>
      <c r="S859" s="16"/>
      <c r="T859" s="16"/>
      <c r="U859" s="16"/>
      <c r="V859" s="16"/>
      <c r="W859" s="16"/>
      <c r="X859" s="16"/>
      <c r="Y859" s="16"/>
    </row>
    <row r="860" spans="1:25" x14ac:dyDescent="0.2">
      <c r="A860" s="14"/>
      <c r="B860" s="16"/>
      <c r="C860" s="6"/>
      <c r="D860" s="16"/>
      <c r="E860" s="6"/>
      <c r="F860" s="16"/>
      <c r="G860" s="16"/>
      <c r="H860" s="16"/>
      <c r="I860" s="16"/>
      <c r="J860" s="16"/>
      <c r="K860" s="16"/>
      <c r="L860" s="16"/>
      <c r="M860" s="16"/>
      <c r="N860" s="16"/>
      <c r="O860" s="16"/>
      <c r="P860" s="16"/>
      <c r="Q860" s="16"/>
      <c r="R860" s="16"/>
      <c r="S860" s="16"/>
      <c r="T860" s="16"/>
      <c r="U860" s="16"/>
      <c r="V860" s="16"/>
      <c r="W860" s="16"/>
      <c r="X860" s="16"/>
      <c r="Y860" s="16"/>
    </row>
    <row r="861" spans="1:25" x14ac:dyDescent="0.2">
      <c r="A861" s="14"/>
      <c r="B861" s="16"/>
      <c r="C861" s="6"/>
      <c r="D861" s="16"/>
      <c r="E861" s="6"/>
      <c r="F861" s="16"/>
      <c r="G861" s="16"/>
      <c r="H861" s="16"/>
      <c r="I861" s="16"/>
      <c r="J861" s="16"/>
      <c r="K861" s="16"/>
      <c r="L861" s="16"/>
      <c r="M861" s="16"/>
      <c r="N861" s="16"/>
      <c r="O861" s="16"/>
      <c r="P861" s="16"/>
      <c r="Q861" s="16"/>
      <c r="R861" s="16"/>
      <c r="S861" s="16"/>
      <c r="T861" s="16"/>
      <c r="U861" s="16"/>
      <c r="V861" s="16"/>
      <c r="W861" s="16"/>
      <c r="X861" s="16"/>
      <c r="Y861" s="16"/>
    </row>
    <row r="862" spans="1:25" x14ac:dyDescent="0.2">
      <c r="A862" s="14"/>
      <c r="B862" s="16"/>
      <c r="C862" s="6"/>
      <c r="D862" s="16"/>
      <c r="E862" s="6"/>
      <c r="F862" s="16"/>
      <c r="G862" s="16"/>
      <c r="H862" s="16"/>
      <c r="I862" s="16"/>
      <c r="J862" s="16"/>
      <c r="K862" s="16"/>
      <c r="L862" s="16"/>
      <c r="M862" s="16"/>
      <c r="N862" s="16"/>
      <c r="O862" s="16"/>
      <c r="P862" s="16"/>
      <c r="Q862" s="16"/>
      <c r="R862" s="16"/>
      <c r="S862" s="16"/>
      <c r="T862" s="16"/>
      <c r="U862" s="16"/>
      <c r="V862" s="16"/>
      <c r="W862" s="16"/>
      <c r="X862" s="16"/>
      <c r="Y862" s="16"/>
    </row>
    <row r="863" spans="1:25" x14ac:dyDescent="0.2">
      <c r="A863" s="14"/>
      <c r="B863" s="16"/>
      <c r="C863" s="6"/>
      <c r="D863" s="16"/>
      <c r="E863" s="6"/>
      <c r="F863" s="16"/>
      <c r="G863" s="16"/>
      <c r="H863" s="16"/>
      <c r="I863" s="16"/>
      <c r="J863" s="16"/>
      <c r="K863" s="16"/>
      <c r="L863" s="16"/>
      <c r="M863" s="16"/>
      <c r="N863" s="16"/>
      <c r="O863" s="16"/>
      <c r="P863" s="16"/>
      <c r="Q863" s="16"/>
      <c r="R863" s="16"/>
      <c r="S863" s="16"/>
      <c r="T863" s="16"/>
      <c r="U863" s="16"/>
      <c r="V863" s="16"/>
      <c r="W863" s="16"/>
      <c r="X863" s="16"/>
      <c r="Y863" s="16"/>
    </row>
    <row r="864" spans="1:25" x14ac:dyDescent="0.2">
      <c r="A864" s="14"/>
      <c r="B864" s="16"/>
      <c r="C864" s="6"/>
      <c r="D864" s="16"/>
      <c r="E864" s="6"/>
      <c r="F864" s="16"/>
      <c r="G864" s="16"/>
      <c r="H864" s="16"/>
      <c r="I864" s="16"/>
      <c r="J864" s="16"/>
      <c r="K864" s="16"/>
      <c r="L864" s="16"/>
      <c r="M864" s="16"/>
      <c r="N864" s="16"/>
      <c r="O864" s="16"/>
      <c r="P864" s="16"/>
      <c r="Q864" s="16"/>
      <c r="R864" s="16"/>
      <c r="S864" s="16"/>
      <c r="T864" s="16"/>
      <c r="U864" s="16"/>
      <c r="V864" s="16"/>
      <c r="W864" s="16"/>
      <c r="X864" s="16"/>
      <c r="Y864" s="16"/>
    </row>
    <row r="865" spans="1:25" x14ac:dyDescent="0.2">
      <c r="A865" s="14"/>
      <c r="B865" s="16"/>
      <c r="C865" s="6"/>
      <c r="D865" s="16"/>
      <c r="E865" s="6"/>
      <c r="F865" s="16"/>
      <c r="G865" s="16"/>
      <c r="H865" s="16"/>
      <c r="I865" s="16"/>
      <c r="J865" s="16"/>
      <c r="K865" s="16"/>
      <c r="L865" s="16"/>
      <c r="M865" s="16"/>
      <c r="N865" s="16"/>
      <c r="O865" s="16"/>
      <c r="P865" s="16"/>
      <c r="Q865" s="16"/>
      <c r="R865" s="16"/>
      <c r="S865" s="16"/>
      <c r="T865" s="16"/>
      <c r="U865" s="16"/>
      <c r="V865" s="16"/>
      <c r="W865" s="16"/>
      <c r="X865" s="16"/>
      <c r="Y865" s="16"/>
    </row>
    <row r="866" spans="1:25" x14ac:dyDescent="0.2">
      <c r="A866" s="14"/>
      <c r="B866" s="16"/>
      <c r="C866" s="6"/>
      <c r="D866" s="16"/>
      <c r="E866" s="6"/>
      <c r="F866" s="16"/>
      <c r="G866" s="16"/>
      <c r="H866" s="16"/>
      <c r="I866" s="16"/>
      <c r="J866" s="16"/>
      <c r="K866" s="16"/>
      <c r="L866" s="16"/>
      <c r="M866" s="16"/>
      <c r="N866" s="16"/>
      <c r="O866" s="16"/>
      <c r="P866" s="16"/>
      <c r="Q866" s="16"/>
      <c r="R866" s="16"/>
      <c r="S866" s="16"/>
      <c r="T866" s="16"/>
      <c r="U866" s="16"/>
      <c r="V866" s="16"/>
      <c r="W866" s="16"/>
      <c r="X866" s="16"/>
      <c r="Y866" s="16"/>
    </row>
    <row r="867" spans="1:25" x14ac:dyDescent="0.2">
      <c r="A867" s="14"/>
      <c r="B867" s="16"/>
      <c r="C867" s="6"/>
      <c r="D867" s="16"/>
      <c r="E867" s="6"/>
      <c r="F867" s="16"/>
      <c r="G867" s="16"/>
      <c r="H867" s="16"/>
      <c r="I867" s="16"/>
      <c r="J867" s="16"/>
      <c r="K867" s="16"/>
      <c r="L867" s="16"/>
      <c r="M867" s="16"/>
      <c r="N867" s="16"/>
      <c r="O867" s="16"/>
      <c r="P867" s="16"/>
      <c r="Q867" s="16"/>
      <c r="R867" s="16"/>
      <c r="S867" s="16"/>
      <c r="T867" s="16"/>
      <c r="U867" s="16"/>
      <c r="V867" s="16"/>
      <c r="W867" s="16"/>
      <c r="X867" s="16"/>
      <c r="Y867" s="16"/>
    </row>
    <row r="868" spans="1:25" x14ac:dyDescent="0.2">
      <c r="A868" s="14"/>
      <c r="B868" s="16"/>
      <c r="C868" s="6"/>
      <c r="D868" s="16"/>
      <c r="E868" s="6"/>
      <c r="F868" s="16"/>
      <c r="G868" s="16"/>
      <c r="H868" s="16"/>
      <c r="I868" s="16"/>
      <c r="J868" s="16"/>
      <c r="K868" s="16"/>
      <c r="L868" s="16"/>
      <c r="M868" s="16"/>
      <c r="N868" s="16"/>
      <c r="O868" s="16"/>
      <c r="P868" s="16"/>
      <c r="Q868" s="16"/>
      <c r="R868" s="16"/>
      <c r="S868" s="16"/>
      <c r="T868" s="16"/>
      <c r="U868" s="16"/>
      <c r="V868" s="16"/>
      <c r="W868" s="16"/>
      <c r="X868" s="16"/>
      <c r="Y868" s="16"/>
    </row>
    <row r="869" spans="1:25" x14ac:dyDescent="0.2">
      <c r="A869" s="14"/>
      <c r="B869" s="16"/>
      <c r="C869" s="6"/>
      <c r="D869" s="16"/>
      <c r="E869" s="6"/>
      <c r="F869" s="16"/>
      <c r="G869" s="16"/>
      <c r="H869" s="16"/>
      <c r="I869" s="16"/>
      <c r="J869" s="16"/>
      <c r="K869" s="16"/>
      <c r="L869" s="16"/>
      <c r="M869" s="16"/>
      <c r="N869" s="16"/>
      <c r="O869" s="16"/>
      <c r="P869" s="16"/>
      <c r="Q869" s="16"/>
      <c r="R869" s="16"/>
      <c r="S869" s="16"/>
      <c r="T869" s="16"/>
      <c r="U869" s="16"/>
      <c r="V869" s="16"/>
      <c r="W869" s="16"/>
      <c r="X869" s="16"/>
      <c r="Y869" s="16"/>
    </row>
    <row r="870" spans="1:25" x14ac:dyDescent="0.2">
      <c r="A870" s="14"/>
      <c r="B870" s="16"/>
      <c r="C870" s="6"/>
      <c r="D870" s="16"/>
      <c r="E870" s="6"/>
      <c r="F870" s="16"/>
      <c r="G870" s="16"/>
      <c r="H870" s="16"/>
      <c r="I870" s="16"/>
      <c r="J870" s="16"/>
      <c r="K870" s="16"/>
      <c r="L870" s="16"/>
      <c r="M870" s="16"/>
      <c r="N870" s="16"/>
      <c r="O870" s="16"/>
      <c r="P870" s="16"/>
      <c r="Q870" s="16"/>
      <c r="R870" s="16"/>
      <c r="S870" s="16"/>
      <c r="T870" s="16"/>
      <c r="U870" s="16"/>
      <c r="V870" s="16"/>
      <c r="W870" s="16"/>
      <c r="X870" s="16"/>
      <c r="Y870" s="16"/>
    </row>
    <row r="871" spans="1:25" x14ac:dyDescent="0.2">
      <c r="A871" s="14"/>
      <c r="B871" s="16"/>
      <c r="C871" s="6"/>
      <c r="D871" s="16"/>
      <c r="E871" s="6"/>
      <c r="F871" s="16"/>
      <c r="G871" s="16"/>
      <c r="H871" s="16"/>
      <c r="I871" s="16"/>
      <c r="J871" s="16"/>
      <c r="K871" s="16"/>
      <c r="L871" s="16"/>
      <c r="M871" s="16"/>
      <c r="N871" s="16"/>
      <c r="O871" s="16"/>
      <c r="P871" s="16"/>
      <c r="Q871" s="16"/>
      <c r="R871" s="16"/>
      <c r="S871" s="16"/>
      <c r="T871" s="16"/>
      <c r="U871" s="16"/>
      <c r="V871" s="16"/>
      <c r="W871" s="16"/>
      <c r="X871" s="16"/>
      <c r="Y871" s="16"/>
    </row>
    <row r="872" spans="1:25" x14ac:dyDescent="0.2">
      <c r="A872" s="14"/>
      <c r="B872" s="16"/>
      <c r="C872" s="6"/>
      <c r="D872" s="16"/>
      <c r="E872" s="6"/>
      <c r="F872" s="16"/>
      <c r="G872" s="16"/>
      <c r="H872" s="16"/>
      <c r="I872" s="16"/>
      <c r="J872" s="16"/>
      <c r="K872" s="16"/>
      <c r="L872" s="16"/>
      <c r="M872" s="16"/>
      <c r="N872" s="16"/>
      <c r="O872" s="16"/>
      <c r="P872" s="16"/>
      <c r="Q872" s="16"/>
      <c r="R872" s="16"/>
      <c r="S872" s="16"/>
      <c r="T872" s="16"/>
      <c r="U872" s="16"/>
      <c r="V872" s="16"/>
      <c r="W872" s="16"/>
      <c r="X872" s="16"/>
      <c r="Y872" s="16"/>
    </row>
    <row r="873" spans="1:25" x14ac:dyDescent="0.2">
      <c r="A873" s="14"/>
      <c r="B873" s="16"/>
      <c r="C873" s="6"/>
      <c r="D873" s="16"/>
      <c r="E873" s="6"/>
      <c r="F873" s="16"/>
      <c r="G873" s="16"/>
      <c r="H873" s="16"/>
      <c r="I873" s="16"/>
      <c r="J873" s="16"/>
      <c r="K873" s="16"/>
      <c r="L873" s="16"/>
      <c r="M873" s="16"/>
      <c r="N873" s="16"/>
      <c r="O873" s="16"/>
      <c r="P873" s="16"/>
      <c r="Q873" s="16"/>
      <c r="R873" s="16"/>
      <c r="S873" s="16"/>
      <c r="T873" s="16"/>
      <c r="U873" s="16"/>
      <c r="V873" s="16"/>
      <c r="W873" s="16"/>
      <c r="X873" s="16"/>
      <c r="Y873" s="16"/>
    </row>
    <row r="874" spans="1:25" x14ac:dyDescent="0.2">
      <c r="A874" s="14"/>
      <c r="B874" s="16"/>
      <c r="C874" s="6"/>
      <c r="D874" s="16"/>
      <c r="E874" s="6"/>
      <c r="F874" s="16"/>
      <c r="G874" s="16"/>
      <c r="H874" s="16"/>
      <c r="I874" s="16"/>
      <c r="J874" s="16"/>
      <c r="K874" s="16"/>
      <c r="L874" s="16"/>
      <c r="M874" s="16"/>
      <c r="N874" s="16"/>
      <c r="O874" s="16"/>
      <c r="P874" s="16"/>
      <c r="Q874" s="16"/>
      <c r="R874" s="16"/>
      <c r="S874" s="16"/>
      <c r="T874" s="16"/>
      <c r="U874" s="16"/>
      <c r="V874" s="16"/>
      <c r="W874" s="16"/>
      <c r="X874" s="16"/>
      <c r="Y874" s="16"/>
    </row>
    <row r="875" spans="1:25" x14ac:dyDescent="0.2">
      <c r="A875" s="14"/>
      <c r="B875" s="16"/>
      <c r="C875" s="6"/>
      <c r="D875" s="16"/>
      <c r="E875" s="6"/>
      <c r="F875" s="16"/>
      <c r="G875" s="16"/>
      <c r="H875" s="16"/>
      <c r="I875" s="16"/>
      <c r="J875" s="16"/>
      <c r="K875" s="16"/>
      <c r="L875" s="16"/>
      <c r="M875" s="16"/>
      <c r="N875" s="16"/>
      <c r="O875" s="16"/>
      <c r="P875" s="16"/>
      <c r="Q875" s="16"/>
      <c r="R875" s="16"/>
      <c r="S875" s="16"/>
      <c r="T875" s="16"/>
      <c r="U875" s="16"/>
      <c r="V875" s="16"/>
      <c r="W875" s="16"/>
      <c r="X875" s="16"/>
      <c r="Y875" s="16"/>
    </row>
    <row r="876" spans="1:25" x14ac:dyDescent="0.2">
      <c r="A876" s="14"/>
      <c r="B876" s="16"/>
      <c r="C876" s="6"/>
      <c r="D876" s="16"/>
      <c r="E876" s="6"/>
      <c r="F876" s="16"/>
      <c r="G876" s="16"/>
      <c r="H876" s="16"/>
      <c r="I876" s="16"/>
      <c r="J876" s="16"/>
      <c r="K876" s="16"/>
      <c r="L876" s="16"/>
      <c r="M876" s="16"/>
      <c r="N876" s="16"/>
      <c r="O876" s="16"/>
      <c r="P876" s="16"/>
      <c r="Q876" s="16"/>
      <c r="R876" s="16"/>
      <c r="S876" s="16"/>
      <c r="T876" s="16"/>
      <c r="U876" s="16"/>
      <c r="V876" s="16"/>
      <c r="W876" s="16"/>
      <c r="X876" s="16"/>
      <c r="Y876" s="16"/>
    </row>
    <row r="877" spans="1:25" x14ac:dyDescent="0.2">
      <c r="A877" s="14"/>
      <c r="B877" s="16"/>
      <c r="C877" s="6"/>
      <c r="D877" s="16"/>
      <c r="E877" s="6"/>
      <c r="F877" s="16"/>
      <c r="G877" s="16"/>
      <c r="H877" s="16"/>
      <c r="I877" s="16"/>
      <c r="J877" s="16"/>
      <c r="K877" s="16"/>
      <c r="L877" s="16"/>
      <c r="M877" s="16"/>
      <c r="N877" s="16"/>
      <c r="O877" s="16"/>
      <c r="P877" s="16"/>
      <c r="Q877" s="16"/>
      <c r="R877" s="16"/>
      <c r="S877" s="16"/>
      <c r="T877" s="16"/>
      <c r="U877" s="16"/>
      <c r="V877" s="16"/>
      <c r="W877" s="16"/>
      <c r="X877" s="16"/>
      <c r="Y877" s="16"/>
    </row>
    <row r="878" spans="1:25" x14ac:dyDescent="0.2">
      <c r="A878" s="14"/>
      <c r="B878" s="16"/>
      <c r="C878" s="6"/>
      <c r="D878" s="16"/>
      <c r="E878" s="6"/>
      <c r="F878" s="16"/>
      <c r="G878" s="16"/>
      <c r="H878" s="16"/>
      <c r="I878" s="16"/>
      <c r="J878" s="16"/>
      <c r="K878" s="16"/>
      <c r="L878" s="16"/>
      <c r="M878" s="16"/>
      <c r="N878" s="16"/>
      <c r="O878" s="16"/>
      <c r="P878" s="16"/>
      <c r="Q878" s="16"/>
      <c r="R878" s="16"/>
      <c r="S878" s="16"/>
      <c r="T878" s="16"/>
      <c r="U878" s="16"/>
      <c r="V878" s="16"/>
      <c r="W878" s="16"/>
      <c r="X878" s="16"/>
      <c r="Y878" s="16"/>
    </row>
    <row r="879" spans="1:25" x14ac:dyDescent="0.2">
      <c r="A879" s="14"/>
      <c r="B879" s="16"/>
      <c r="C879" s="6"/>
      <c r="D879" s="16"/>
      <c r="E879" s="6"/>
      <c r="F879" s="16"/>
      <c r="G879" s="16"/>
      <c r="H879" s="16"/>
      <c r="I879" s="16"/>
      <c r="J879" s="16"/>
      <c r="K879" s="16"/>
      <c r="L879" s="16"/>
      <c r="M879" s="16"/>
      <c r="N879" s="16"/>
      <c r="O879" s="16"/>
      <c r="P879" s="16"/>
      <c r="Q879" s="16"/>
      <c r="R879" s="16"/>
      <c r="S879" s="16"/>
      <c r="T879" s="16"/>
      <c r="U879" s="16"/>
      <c r="V879" s="16"/>
      <c r="W879" s="16"/>
      <c r="X879" s="16"/>
      <c r="Y879" s="16"/>
    </row>
    <row r="880" spans="1:25" x14ac:dyDescent="0.2">
      <c r="A880" s="14"/>
      <c r="B880" s="16"/>
      <c r="C880" s="6"/>
      <c r="D880" s="16"/>
      <c r="E880" s="6"/>
      <c r="F880" s="16"/>
      <c r="G880" s="16"/>
      <c r="H880" s="16"/>
      <c r="I880" s="16"/>
      <c r="J880" s="16"/>
      <c r="K880" s="16"/>
      <c r="L880" s="16"/>
      <c r="M880" s="16"/>
      <c r="N880" s="16"/>
      <c r="O880" s="16"/>
      <c r="P880" s="16"/>
      <c r="Q880" s="16"/>
      <c r="R880" s="16"/>
      <c r="S880" s="16"/>
      <c r="T880" s="16"/>
      <c r="U880" s="16"/>
      <c r="V880" s="16"/>
      <c r="W880" s="16"/>
      <c r="X880" s="16"/>
      <c r="Y880" s="16"/>
    </row>
    <row r="881" spans="1:25" x14ac:dyDescent="0.2">
      <c r="A881" s="14"/>
      <c r="B881" s="16"/>
      <c r="C881" s="6"/>
      <c r="D881" s="16"/>
      <c r="E881" s="6"/>
      <c r="F881" s="16"/>
      <c r="G881" s="16"/>
      <c r="H881" s="16"/>
      <c r="I881" s="16"/>
      <c r="J881" s="16"/>
      <c r="K881" s="16"/>
      <c r="L881" s="16"/>
      <c r="M881" s="16"/>
      <c r="N881" s="16"/>
      <c r="O881" s="16"/>
      <c r="P881" s="16"/>
      <c r="Q881" s="16"/>
      <c r="R881" s="16"/>
      <c r="S881" s="16"/>
      <c r="T881" s="16"/>
      <c r="U881" s="16"/>
      <c r="V881" s="16"/>
      <c r="W881" s="16"/>
      <c r="X881" s="16"/>
      <c r="Y881" s="16"/>
    </row>
    <row r="882" spans="1:25" x14ac:dyDescent="0.2">
      <c r="A882" s="14"/>
      <c r="B882" s="16"/>
      <c r="C882" s="6"/>
      <c r="D882" s="16"/>
      <c r="E882" s="6"/>
      <c r="F882" s="16"/>
      <c r="G882" s="16"/>
      <c r="H882" s="16"/>
      <c r="I882" s="16"/>
      <c r="J882" s="16"/>
      <c r="K882" s="16"/>
      <c r="L882" s="16"/>
      <c r="M882" s="16"/>
      <c r="N882" s="16"/>
      <c r="O882" s="16"/>
      <c r="P882" s="16"/>
      <c r="Q882" s="16"/>
      <c r="R882" s="16"/>
      <c r="S882" s="16"/>
      <c r="T882" s="16"/>
      <c r="U882" s="16"/>
      <c r="V882" s="16"/>
      <c r="W882" s="16"/>
      <c r="X882" s="16"/>
      <c r="Y882" s="16"/>
    </row>
    <row r="883" spans="1:25" x14ac:dyDescent="0.2">
      <c r="A883" s="14"/>
      <c r="B883" s="16"/>
      <c r="C883" s="6"/>
      <c r="D883" s="16"/>
      <c r="E883" s="6"/>
      <c r="F883" s="16"/>
      <c r="G883" s="16"/>
      <c r="H883" s="16"/>
      <c r="I883" s="16"/>
      <c r="J883" s="16"/>
      <c r="K883" s="16"/>
      <c r="L883" s="16"/>
      <c r="M883" s="16"/>
      <c r="N883" s="16"/>
      <c r="O883" s="16"/>
      <c r="P883" s="16"/>
      <c r="Q883" s="16"/>
      <c r="R883" s="16"/>
      <c r="S883" s="16"/>
      <c r="T883" s="16"/>
      <c r="U883" s="16"/>
      <c r="V883" s="16"/>
      <c r="W883" s="16"/>
      <c r="X883" s="16"/>
      <c r="Y883" s="16"/>
    </row>
    <row r="884" spans="1:25" x14ac:dyDescent="0.2">
      <c r="A884" s="14"/>
      <c r="B884" s="16"/>
      <c r="C884" s="6"/>
      <c r="D884" s="16"/>
      <c r="E884" s="6"/>
      <c r="F884" s="16"/>
      <c r="G884" s="16"/>
      <c r="H884" s="16"/>
      <c r="I884" s="16"/>
      <c r="J884" s="16"/>
      <c r="K884" s="16"/>
      <c r="L884" s="16"/>
      <c r="M884" s="16"/>
      <c r="N884" s="16"/>
      <c r="O884" s="16"/>
      <c r="P884" s="16"/>
      <c r="Q884" s="16"/>
      <c r="R884" s="16"/>
      <c r="S884" s="16"/>
      <c r="T884" s="16"/>
      <c r="U884" s="16"/>
      <c r="V884" s="16"/>
      <c r="W884" s="16"/>
      <c r="X884" s="16"/>
      <c r="Y884" s="16"/>
    </row>
    <row r="885" spans="1:25" x14ac:dyDescent="0.2">
      <c r="A885" s="14"/>
      <c r="B885" s="16"/>
      <c r="C885" s="6"/>
      <c r="D885" s="16"/>
      <c r="E885" s="6"/>
      <c r="F885" s="16"/>
      <c r="G885" s="16"/>
      <c r="H885" s="16"/>
      <c r="I885" s="16"/>
      <c r="J885" s="16"/>
      <c r="K885" s="16"/>
      <c r="L885" s="16"/>
      <c r="M885" s="16"/>
      <c r="N885" s="16"/>
      <c r="O885" s="16"/>
      <c r="P885" s="16"/>
      <c r="Q885" s="16"/>
      <c r="R885" s="16"/>
      <c r="S885" s="16"/>
      <c r="T885" s="16"/>
      <c r="U885" s="16"/>
      <c r="V885" s="16"/>
      <c r="W885" s="16"/>
      <c r="X885" s="16"/>
      <c r="Y885" s="16"/>
    </row>
    <row r="886" spans="1:25" x14ac:dyDescent="0.2">
      <c r="A886" s="14"/>
      <c r="B886" s="16"/>
      <c r="C886" s="6"/>
      <c r="D886" s="16"/>
      <c r="E886" s="6"/>
      <c r="F886" s="16"/>
      <c r="G886" s="16"/>
      <c r="H886" s="16"/>
      <c r="I886" s="16"/>
      <c r="J886" s="16"/>
      <c r="K886" s="16"/>
      <c r="L886" s="16"/>
      <c r="M886" s="16"/>
      <c r="N886" s="16"/>
      <c r="O886" s="16"/>
      <c r="P886" s="16"/>
      <c r="Q886" s="16"/>
      <c r="R886" s="16"/>
      <c r="S886" s="16"/>
      <c r="T886" s="16"/>
      <c r="U886" s="16"/>
      <c r="V886" s="16"/>
      <c r="W886" s="16"/>
      <c r="X886" s="16"/>
      <c r="Y886" s="16"/>
    </row>
    <row r="887" spans="1:25" x14ac:dyDescent="0.2">
      <c r="A887" s="14"/>
      <c r="B887" s="16"/>
      <c r="C887" s="6"/>
      <c r="D887" s="16"/>
      <c r="E887" s="6"/>
      <c r="F887" s="16"/>
      <c r="G887" s="16"/>
      <c r="H887" s="16"/>
      <c r="I887" s="16"/>
      <c r="J887" s="16"/>
      <c r="K887" s="16"/>
      <c r="L887" s="16"/>
      <c r="M887" s="16"/>
      <c r="N887" s="16"/>
      <c r="O887" s="16"/>
      <c r="P887" s="16"/>
      <c r="Q887" s="16"/>
      <c r="R887" s="16"/>
      <c r="S887" s="16"/>
      <c r="T887" s="16"/>
      <c r="U887" s="16"/>
      <c r="V887" s="16"/>
      <c r="W887" s="16"/>
      <c r="X887" s="16"/>
      <c r="Y887" s="16"/>
    </row>
    <row r="888" spans="1:25" x14ac:dyDescent="0.2">
      <c r="A888" s="14"/>
      <c r="B888" s="16"/>
      <c r="C888" s="6"/>
      <c r="D888" s="16"/>
      <c r="E888" s="6"/>
      <c r="F888" s="16"/>
      <c r="G888" s="16"/>
      <c r="H888" s="16"/>
      <c r="I888" s="16"/>
      <c r="J888" s="16"/>
      <c r="K888" s="16"/>
      <c r="L888" s="16"/>
      <c r="M888" s="16"/>
      <c r="N888" s="16"/>
      <c r="O888" s="16"/>
      <c r="P888" s="16"/>
      <c r="Q888" s="16"/>
      <c r="R888" s="16"/>
      <c r="S888" s="16"/>
      <c r="T888" s="16"/>
      <c r="U888" s="16"/>
      <c r="V888" s="16"/>
      <c r="W888" s="16"/>
      <c r="X888" s="16"/>
      <c r="Y888" s="16"/>
    </row>
    <row r="889" spans="1:25" x14ac:dyDescent="0.2">
      <c r="A889" s="14"/>
      <c r="B889" s="16"/>
      <c r="C889" s="6"/>
      <c r="D889" s="16"/>
      <c r="E889" s="6"/>
      <c r="F889" s="16"/>
      <c r="G889" s="16"/>
      <c r="H889" s="16"/>
      <c r="I889" s="16"/>
      <c r="J889" s="16"/>
      <c r="K889" s="16"/>
      <c r="L889" s="16"/>
      <c r="M889" s="16"/>
      <c r="N889" s="16"/>
      <c r="O889" s="16"/>
      <c r="P889" s="16"/>
      <c r="Q889" s="16"/>
      <c r="R889" s="16"/>
      <c r="S889" s="16"/>
      <c r="T889" s="16"/>
      <c r="U889" s="16"/>
      <c r="V889" s="16"/>
      <c r="W889" s="16"/>
      <c r="X889" s="16"/>
      <c r="Y889" s="16"/>
    </row>
    <row r="890" spans="1:25" x14ac:dyDescent="0.2">
      <c r="A890" s="14"/>
      <c r="B890" s="16"/>
      <c r="C890" s="6"/>
      <c r="D890" s="16"/>
      <c r="E890" s="6"/>
      <c r="F890" s="16"/>
      <c r="G890" s="16"/>
      <c r="H890" s="16"/>
      <c r="I890" s="16"/>
      <c r="J890" s="16"/>
      <c r="K890" s="16"/>
      <c r="L890" s="16"/>
      <c r="M890" s="16"/>
      <c r="N890" s="16"/>
      <c r="O890" s="16"/>
      <c r="P890" s="16"/>
      <c r="Q890" s="16"/>
      <c r="R890" s="16"/>
      <c r="S890" s="16"/>
      <c r="T890" s="16"/>
      <c r="U890" s="16"/>
      <c r="V890" s="16"/>
      <c r="W890" s="16"/>
      <c r="X890" s="16"/>
      <c r="Y890" s="16"/>
    </row>
    <row r="891" spans="1:25" x14ac:dyDescent="0.2">
      <c r="A891" s="14"/>
      <c r="B891" s="16"/>
      <c r="C891" s="6"/>
      <c r="D891" s="16"/>
      <c r="E891" s="6"/>
      <c r="F891" s="16"/>
      <c r="G891" s="16"/>
      <c r="H891" s="16"/>
      <c r="I891" s="16"/>
      <c r="J891" s="16"/>
      <c r="K891" s="16"/>
      <c r="L891" s="16"/>
      <c r="M891" s="16"/>
      <c r="N891" s="16"/>
      <c r="O891" s="16"/>
      <c r="P891" s="16"/>
      <c r="Q891" s="16"/>
      <c r="R891" s="16"/>
      <c r="S891" s="16"/>
      <c r="T891" s="16"/>
      <c r="U891" s="16"/>
      <c r="V891" s="16"/>
      <c r="W891" s="16"/>
      <c r="X891" s="16"/>
      <c r="Y891" s="16"/>
    </row>
    <row r="892" spans="1:25" x14ac:dyDescent="0.2">
      <c r="A892" s="14"/>
      <c r="B892" s="16"/>
      <c r="C892" s="6"/>
      <c r="D892" s="16"/>
      <c r="E892" s="6"/>
      <c r="F892" s="16"/>
      <c r="G892" s="16"/>
      <c r="H892" s="16"/>
      <c r="I892" s="16"/>
      <c r="J892" s="16"/>
      <c r="K892" s="16"/>
      <c r="L892" s="16"/>
      <c r="M892" s="16"/>
      <c r="N892" s="16"/>
      <c r="O892" s="16"/>
      <c r="P892" s="16"/>
      <c r="Q892" s="16"/>
      <c r="R892" s="16"/>
      <c r="S892" s="16"/>
      <c r="T892" s="16"/>
      <c r="U892" s="16"/>
      <c r="V892" s="16"/>
      <c r="W892" s="16"/>
      <c r="X892" s="16"/>
      <c r="Y892" s="16"/>
    </row>
    <row r="893" spans="1:25" x14ac:dyDescent="0.2">
      <c r="A893" s="14"/>
      <c r="B893" s="16"/>
      <c r="C893" s="6"/>
      <c r="D893" s="16"/>
      <c r="E893" s="6"/>
      <c r="F893" s="16"/>
      <c r="G893" s="16"/>
      <c r="H893" s="16"/>
      <c r="I893" s="16"/>
      <c r="J893" s="16"/>
      <c r="K893" s="16"/>
      <c r="L893" s="16"/>
      <c r="M893" s="16"/>
      <c r="N893" s="16"/>
      <c r="O893" s="16"/>
      <c r="P893" s="16"/>
      <c r="Q893" s="16"/>
      <c r="R893" s="16"/>
      <c r="S893" s="16"/>
      <c r="T893" s="16"/>
      <c r="U893" s="16"/>
      <c r="V893" s="16"/>
      <c r="W893" s="16"/>
      <c r="X893" s="16"/>
      <c r="Y893" s="16"/>
    </row>
    <row r="894" spans="1:25" x14ac:dyDescent="0.2">
      <c r="A894" s="14"/>
      <c r="B894" s="16"/>
      <c r="C894" s="6"/>
      <c r="D894" s="16"/>
      <c r="E894" s="6"/>
      <c r="F894" s="16"/>
      <c r="G894" s="16"/>
      <c r="H894" s="16"/>
      <c r="I894" s="16"/>
      <c r="J894" s="16"/>
      <c r="K894" s="16"/>
      <c r="L894" s="16"/>
      <c r="M894" s="16"/>
      <c r="N894" s="16"/>
      <c r="O894" s="16"/>
      <c r="P894" s="16"/>
      <c r="Q894" s="16"/>
      <c r="R894" s="16"/>
      <c r="S894" s="16"/>
      <c r="T894" s="16"/>
      <c r="U894" s="16"/>
      <c r="V894" s="16"/>
      <c r="W894" s="16"/>
      <c r="X894" s="16"/>
      <c r="Y894" s="16"/>
    </row>
    <row r="895" spans="1:25" x14ac:dyDescent="0.2">
      <c r="A895" s="14"/>
      <c r="B895" s="16"/>
      <c r="C895" s="6"/>
      <c r="D895" s="16"/>
      <c r="E895" s="6"/>
      <c r="F895" s="16"/>
      <c r="G895" s="16"/>
      <c r="H895" s="16"/>
      <c r="I895" s="16"/>
      <c r="J895" s="16"/>
      <c r="K895" s="16"/>
      <c r="L895" s="16"/>
      <c r="M895" s="16"/>
      <c r="N895" s="16"/>
      <c r="O895" s="16"/>
      <c r="P895" s="16"/>
      <c r="Q895" s="16"/>
      <c r="R895" s="16"/>
      <c r="S895" s="16"/>
      <c r="T895" s="16"/>
      <c r="U895" s="16"/>
      <c r="V895" s="16"/>
      <c r="W895" s="16"/>
      <c r="X895" s="16"/>
      <c r="Y895" s="16"/>
    </row>
    <row r="896" spans="1:25" x14ac:dyDescent="0.2">
      <c r="A896" s="14"/>
      <c r="B896" s="16"/>
      <c r="C896" s="6"/>
      <c r="D896" s="16"/>
      <c r="E896" s="6"/>
      <c r="F896" s="16"/>
      <c r="G896" s="16"/>
      <c r="H896" s="16"/>
      <c r="I896" s="16"/>
      <c r="J896" s="16"/>
      <c r="K896" s="16"/>
      <c r="L896" s="16"/>
      <c r="M896" s="16"/>
      <c r="N896" s="16"/>
      <c r="O896" s="16"/>
      <c r="P896" s="16"/>
      <c r="Q896" s="16"/>
      <c r="R896" s="16"/>
      <c r="S896" s="16"/>
      <c r="T896" s="16"/>
      <c r="U896" s="16"/>
      <c r="V896" s="16"/>
      <c r="W896" s="16"/>
      <c r="X896" s="16"/>
      <c r="Y896" s="16"/>
    </row>
    <row r="897" spans="1:25" x14ac:dyDescent="0.2">
      <c r="A897" s="14"/>
      <c r="B897" s="16"/>
      <c r="C897" s="6"/>
      <c r="D897" s="16"/>
      <c r="E897" s="6"/>
      <c r="F897" s="16"/>
      <c r="G897" s="16"/>
      <c r="H897" s="16"/>
      <c r="I897" s="16"/>
      <c r="J897" s="16"/>
      <c r="K897" s="16"/>
      <c r="L897" s="16"/>
      <c r="M897" s="16"/>
      <c r="N897" s="16"/>
      <c r="O897" s="16"/>
      <c r="P897" s="16"/>
      <c r="Q897" s="16"/>
      <c r="R897" s="16"/>
      <c r="S897" s="16"/>
      <c r="T897" s="16"/>
      <c r="U897" s="16"/>
      <c r="V897" s="16"/>
      <c r="W897" s="16"/>
      <c r="X897" s="16"/>
      <c r="Y897" s="16"/>
    </row>
    <row r="898" spans="1:25" x14ac:dyDescent="0.2">
      <c r="A898" s="14"/>
      <c r="B898" s="16"/>
      <c r="C898" s="6"/>
      <c r="D898" s="16"/>
      <c r="E898" s="6"/>
      <c r="F898" s="16"/>
      <c r="G898" s="16"/>
      <c r="H898" s="16"/>
      <c r="I898" s="16"/>
      <c r="J898" s="16"/>
      <c r="K898" s="16"/>
      <c r="L898" s="16"/>
      <c r="M898" s="16"/>
      <c r="N898" s="16"/>
      <c r="O898" s="16"/>
      <c r="P898" s="16"/>
      <c r="Q898" s="16"/>
      <c r="R898" s="16"/>
      <c r="S898" s="16"/>
      <c r="T898" s="16"/>
      <c r="U898" s="16"/>
      <c r="V898" s="16"/>
      <c r="W898" s="16"/>
      <c r="X898" s="16"/>
      <c r="Y898" s="16"/>
    </row>
    <row r="899" spans="1:25" x14ac:dyDescent="0.2">
      <c r="A899" s="14"/>
      <c r="B899" s="16"/>
      <c r="C899" s="6"/>
      <c r="D899" s="16"/>
      <c r="E899" s="6"/>
      <c r="F899" s="16"/>
      <c r="G899" s="16"/>
      <c r="H899" s="16"/>
      <c r="I899" s="16"/>
      <c r="J899" s="16"/>
      <c r="K899" s="16"/>
      <c r="L899" s="16"/>
      <c r="M899" s="16"/>
      <c r="N899" s="16"/>
      <c r="O899" s="16"/>
      <c r="P899" s="16"/>
      <c r="Q899" s="16"/>
      <c r="R899" s="16"/>
      <c r="S899" s="16"/>
      <c r="T899" s="16"/>
      <c r="U899" s="16"/>
      <c r="V899" s="16"/>
      <c r="W899" s="16"/>
      <c r="X899" s="16"/>
      <c r="Y899" s="16"/>
    </row>
    <row r="900" spans="1:25" x14ac:dyDescent="0.2">
      <c r="A900" s="14"/>
      <c r="B900" s="16"/>
      <c r="C900" s="6"/>
      <c r="D900" s="16"/>
      <c r="E900" s="6"/>
      <c r="F900" s="16"/>
      <c r="G900" s="16"/>
      <c r="H900" s="16"/>
      <c r="I900" s="16"/>
      <c r="J900" s="16"/>
      <c r="K900" s="16"/>
      <c r="L900" s="16"/>
      <c r="M900" s="16"/>
      <c r="N900" s="16"/>
      <c r="O900" s="16"/>
      <c r="P900" s="16"/>
      <c r="Q900" s="16"/>
      <c r="R900" s="16"/>
      <c r="S900" s="16"/>
      <c r="T900" s="16"/>
      <c r="U900" s="16"/>
      <c r="V900" s="16"/>
      <c r="W900" s="16"/>
      <c r="X900" s="16"/>
      <c r="Y900" s="16"/>
    </row>
    <row r="901" spans="1:25" x14ac:dyDescent="0.2">
      <c r="A901" s="14"/>
      <c r="B901" s="16"/>
      <c r="C901" s="6"/>
      <c r="D901" s="16"/>
      <c r="E901" s="6"/>
      <c r="F901" s="16"/>
      <c r="G901" s="16"/>
      <c r="H901" s="16"/>
      <c r="I901" s="16"/>
      <c r="J901" s="16"/>
      <c r="K901" s="16"/>
      <c r="L901" s="16"/>
      <c r="M901" s="16"/>
      <c r="N901" s="16"/>
      <c r="O901" s="16"/>
      <c r="P901" s="16"/>
      <c r="Q901" s="16"/>
      <c r="R901" s="16"/>
      <c r="S901" s="16"/>
      <c r="T901" s="16"/>
      <c r="U901" s="16"/>
      <c r="V901" s="16"/>
      <c r="W901" s="16"/>
      <c r="X901" s="16"/>
      <c r="Y901" s="16"/>
    </row>
    <row r="902" spans="1:25" x14ac:dyDescent="0.2">
      <c r="A902" s="14"/>
      <c r="B902" s="16"/>
      <c r="C902" s="6"/>
      <c r="D902" s="16"/>
      <c r="E902" s="6"/>
      <c r="F902" s="16"/>
      <c r="G902" s="16"/>
      <c r="H902" s="16"/>
      <c r="I902" s="16"/>
      <c r="J902" s="16"/>
      <c r="K902" s="16"/>
      <c r="L902" s="16"/>
      <c r="M902" s="16"/>
      <c r="N902" s="16"/>
      <c r="O902" s="16"/>
      <c r="P902" s="16"/>
      <c r="Q902" s="16"/>
      <c r="R902" s="16"/>
      <c r="S902" s="16"/>
      <c r="T902" s="16"/>
      <c r="U902" s="16"/>
      <c r="V902" s="16"/>
      <c r="W902" s="16"/>
      <c r="X902" s="16"/>
      <c r="Y902" s="16"/>
    </row>
    <row r="903" spans="1:25" x14ac:dyDescent="0.2">
      <c r="A903" s="14"/>
      <c r="B903" s="16"/>
      <c r="C903" s="6"/>
      <c r="D903" s="16"/>
      <c r="E903" s="6"/>
      <c r="F903" s="16"/>
      <c r="G903" s="16"/>
      <c r="H903" s="16"/>
      <c r="I903" s="16"/>
      <c r="J903" s="16"/>
      <c r="K903" s="16"/>
      <c r="L903" s="16"/>
      <c r="M903" s="16"/>
      <c r="N903" s="16"/>
      <c r="O903" s="16"/>
      <c r="P903" s="16"/>
      <c r="Q903" s="16"/>
      <c r="R903" s="16"/>
      <c r="S903" s="16"/>
      <c r="T903" s="16"/>
      <c r="U903" s="16"/>
      <c r="V903" s="16"/>
      <c r="W903" s="16"/>
      <c r="X903" s="16"/>
      <c r="Y903" s="16"/>
    </row>
    <row r="904" spans="1:25" x14ac:dyDescent="0.2">
      <c r="A904" s="14"/>
      <c r="B904" s="16"/>
      <c r="C904" s="6"/>
      <c r="D904" s="16"/>
      <c r="E904" s="6"/>
      <c r="F904" s="16"/>
      <c r="G904" s="16"/>
      <c r="H904" s="16"/>
      <c r="I904" s="16"/>
      <c r="J904" s="16"/>
      <c r="K904" s="16"/>
      <c r="L904" s="16"/>
      <c r="M904" s="16"/>
      <c r="N904" s="16"/>
      <c r="O904" s="16"/>
      <c r="P904" s="16"/>
      <c r="Q904" s="16"/>
      <c r="R904" s="16"/>
      <c r="S904" s="16"/>
      <c r="T904" s="16"/>
      <c r="U904" s="16"/>
      <c r="V904" s="16"/>
      <c r="W904" s="16"/>
      <c r="X904" s="16"/>
      <c r="Y904" s="16"/>
    </row>
    <row r="905" spans="1:25" x14ac:dyDescent="0.2">
      <c r="A905" s="14"/>
      <c r="B905" s="16"/>
      <c r="C905" s="6"/>
      <c r="D905" s="16"/>
      <c r="E905" s="6"/>
      <c r="F905" s="16"/>
      <c r="G905" s="16"/>
      <c r="H905" s="16"/>
      <c r="I905" s="16"/>
      <c r="J905" s="16"/>
      <c r="K905" s="16"/>
      <c r="L905" s="16"/>
      <c r="M905" s="16"/>
      <c r="N905" s="16"/>
      <c r="O905" s="16"/>
      <c r="P905" s="16"/>
      <c r="Q905" s="16"/>
      <c r="R905" s="16"/>
      <c r="S905" s="16"/>
      <c r="T905" s="16"/>
      <c r="U905" s="16"/>
      <c r="V905" s="16"/>
      <c r="W905" s="16"/>
      <c r="X905" s="16"/>
      <c r="Y905" s="16"/>
    </row>
    <row r="906" spans="1:25" x14ac:dyDescent="0.2">
      <c r="A906" s="14"/>
      <c r="B906" s="16"/>
      <c r="C906" s="6"/>
      <c r="D906" s="16"/>
      <c r="E906" s="6"/>
      <c r="F906" s="16"/>
      <c r="G906" s="16"/>
      <c r="H906" s="16"/>
      <c r="I906" s="16"/>
      <c r="J906" s="16"/>
      <c r="K906" s="16"/>
      <c r="L906" s="16"/>
      <c r="M906" s="16"/>
      <c r="N906" s="16"/>
      <c r="O906" s="16"/>
      <c r="P906" s="16"/>
      <c r="Q906" s="16"/>
      <c r="R906" s="16"/>
      <c r="S906" s="16"/>
      <c r="T906" s="16"/>
      <c r="U906" s="16"/>
      <c r="V906" s="16"/>
      <c r="W906" s="16"/>
      <c r="X906" s="16"/>
      <c r="Y906" s="16"/>
    </row>
    <row r="907" spans="1:25" x14ac:dyDescent="0.2">
      <c r="A907" s="14"/>
      <c r="B907" s="16"/>
      <c r="C907" s="6"/>
      <c r="D907" s="16"/>
      <c r="E907" s="6"/>
      <c r="F907" s="16"/>
      <c r="G907" s="16"/>
      <c r="H907" s="16"/>
      <c r="I907" s="16"/>
      <c r="J907" s="16"/>
      <c r="K907" s="16"/>
      <c r="L907" s="16"/>
      <c r="M907" s="16"/>
      <c r="N907" s="16"/>
      <c r="O907" s="16"/>
      <c r="P907" s="16"/>
      <c r="Q907" s="16"/>
      <c r="R907" s="16"/>
      <c r="S907" s="16"/>
      <c r="T907" s="16"/>
      <c r="U907" s="16"/>
      <c r="V907" s="16"/>
      <c r="W907" s="16"/>
      <c r="X907" s="16"/>
      <c r="Y907" s="16"/>
    </row>
    <row r="908" spans="1:25" x14ac:dyDescent="0.2">
      <c r="A908" s="14"/>
      <c r="B908" s="16"/>
      <c r="C908" s="6"/>
      <c r="D908" s="16"/>
      <c r="E908" s="6"/>
      <c r="F908" s="16"/>
      <c r="G908" s="16"/>
      <c r="H908" s="16"/>
      <c r="I908" s="16"/>
      <c r="J908" s="16"/>
      <c r="K908" s="16"/>
      <c r="L908" s="16"/>
      <c r="M908" s="16"/>
      <c r="N908" s="16"/>
      <c r="O908" s="16"/>
      <c r="P908" s="16"/>
      <c r="Q908" s="16"/>
      <c r="R908" s="16"/>
      <c r="S908" s="16"/>
      <c r="T908" s="16"/>
      <c r="U908" s="16"/>
      <c r="V908" s="16"/>
      <c r="W908" s="16"/>
      <c r="X908" s="16"/>
      <c r="Y908" s="16"/>
    </row>
    <row r="909" spans="1:25" x14ac:dyDescent="0.2">
      <c r="A909" s="14"/>
      <c r="B909" s="16"/>
      <c r="C909" s="6"/>
      <c r="D909" s="16"/>
      <c r="E909" s="6"/>
      <c r="F909" s="16"/>
      <c r="G909" s="16"/>
      <c r="H909" s="16"/>
      <c r="I909" s="16"/>
      <c r="J909" s="16"/>
      <c r="K909" s="16"/>
      <c r="L909" s="16"/>
      <c r="M909" s="16"/>
      <c r="N909" s="16"/>
      <c r="O909" s="16"/>
      <c r="P909" s="16"/>
      <c r="Q909" s="16"/>
      <c r="R909" s="16"/>
      <c r="S909" s="16"/>
      <c r="T909" s="16"/>
      <c r="U909" s="16"/>
      <c r="V909" s="16"/>
      <c r="W909" s="16"/>
      <c r="X909" s="16"/>
      <c r="Y909" s="16"/>
    </row>
    <row r="910" spans="1:25" x14ac:dyDescent="0.2">
      <c r="A910" s="14"/>
      <c r="B910" s="16"/>
      <c r="C910" s="6"/>
      <c r="D910" s="16"/>
      <c r="E910" s="6"/>
      <c r="F910" s="16"/>
      <c r="G910" s="16"/>
      <c r="H910" s="16"/>
      <c r="I910" s="16"/>
      <c r="J910" s="16"/>
      <c r="K910" s="16"/>
      <c r="L910" s="16"/>
      <c r="M910" s="16"/>
      <c r="N910" s="16"/>
      <c r="O910" s="16"/>
      <c r="P910" s="16"/>
      <c r="Q910" s="16"/>
      <c r="R910" s="16"/>
      <c r="S910" s="16"/>
      <c r="T910" s="16"/>
      <c r="U910" s="16"/>
      <c r="V910" s="16"/>
      <c r="W910" s="16"/>
      <c r="X910" s="16"/>
      <c r="Y910" s="16"/>
    </row>
    <row r="911" spans="1:25" x14ac:dyDescent="0.2">
      <c r="A911" s="14"/>
      <c r="B911" s="16"/>
      <c r="C911" s="6"/>
      <c r="D911" s="16"/>
      <c r="E911" s="6"/>
      <c r="F911" s="16"/>
      <c r="G911" s="16"/>
      <c r="H911" s="16"/>
      <c r="I911" s="16"/>
      <c r="J911" s="16"/>
      <c r="K911" s="16"/>
      <c r="L911" s="16"/>
      <c r="M911" s="16"/>
      <c r="N911" s="16"/>
      <c r="O911" s="16"/>
      <c r="P911" s="16"/>
      <c r="Q911" s="16"/>
      <c r="R911" s="16"/>
      <c r="S911" s="16"/>
      <c r="T911" s="16"/>
      <c r="U911" s="16"/>
      <c r="V911" s="16"/>
      <c r="W911" s="16"/>
      <c r="X911" s="16"/>
      <c r="Y911" s="16"/>
    </row>
    <row r="912" spans="1:25" x14ac:dyDescent="0.2">
      <c r="A912" s="14"/>
      <c r="B912" s="16"/>
      <c r="C912" s="6"/>
      <c r="D912" s="16"/>
      <c r="E912" s="6"/>
      <c r="F912" s="16"/>
      <c r="G912" s="16"/>
      <c r="H912" s="16"/>
      <c r="I912" s="16"/>
      <c r="J912" s="16"/>
      <c r="K912" s="16"/>
      <c r="L912" s="16"/>
      <c r="M912" s="16"/>
      <c r="N912" s="16"/>
      <c r="O912" s="16"/>
      <c r="P912" s="16"/>
      <c r="Q912" s="16"/>
      <c r="R912" s="16"/>
      <c r="S912" s="16"/>
      <c r="T912" s="16"/>
      <c r="U912" s="16"/>
      <c r="V912" s="16"/>
      <c r="W912" s="16"/>
      <c r="X912" s="16"/>
      <c r="Y912" s="16"/>
    </row>
    <row r="913" spans="1:25" x14ac:dyDescent="0.2">
      <c r="A913" s="14"/>
      <c r="B913" s="16"/>
      <c r="C913" s="6"/>
      <c r="D913" s="16"/>
      <c r="E913" s="6"/>
      <c r="F913" s="16"/>
      <c r="G913" s="16"/>
      <c r="H913" s="16"/>
      <c r="I913" s="16"/>
      <c r="J913" s="16"/>
      <c r="K913" s="16"/>
      <c r="L913" s="16"/>
      <c r="M913" s="16"/>
      <c r="N913" s="16"/>
      <c r="O913" s="16"/>
      <c r="P913" s="16"/>
      <c r="Q913" s="16"/>
      <c r="R913" s="16"/>
      <c r="S913" s="16"/>
      <c r="T913" s="16"/>
      <c r="U913" s="16"/>
      <c r="V913" s="16"/>
      <c r="W913" s="16"/>
      <c r="X913" s="16"/>
      <c r="Y913" s="16"/>
    </row>
    <row r="914" spans="1:25" x14ac:dyDescent="0.2">
      <c r="A914" s="14"/>
      <c r="B914" s="16"/>
      <c r="C914" s="6"/>
      <c r="D914" s="16"/>
      <c r="E914" s="6"/>
      <c r="F914" s="16"/>
      <c r="G914" s="16"/>
      <c r="H914" s="16"/>
      <c r="I914" s="16"/>
      <c r="J914" s="16"/>
      <c r="K914" s="16"/>
      <c r="L914" s="16"/>
      <c r="M914" s="16"/>
      <c r="N914" s="16"/>
      <c r="O914" s="16"/>
      <c r="P914" s="16"/>
      <c r="Q914" s="16"/>
      <c r="R914" s="16"/>
      <c r="S914" s="16"/>
      <c r="T914" s="16"/>
      <c r="U914" s="16"/>
      <c r="V914" s="16"/>
      <c r="W914" s="16"/>
      <c r="X914" s="16"/>
      <c r="Y914" s="16"/>
    </row>
    <row r="915" spans="1:25" x14ac:dyDescent="0.2">
      <c r="A915" s="14"/>
      <c r="B915" s="16"/>
      <c r="C915" s="6"/>
      <c r="D915" s="16"/>
      <c r="E915" s="6"/>
      <c r="F915" s="16"/>
      <c r="G915" s="16"/>
      <c r="H915" s="16"/>
      <c r="I915" s="16"/>
      <c r="J915" s="16"/>
      <c r="K915" s="16"/>
      <c r="L915" s="16"/>
      <c r="M915" s="16"/>
      <c r="N915" s="16"/>
      <c r="O915" s="16"/>
      <c r="P915" s="16"/>
      <c r="Q915" s="16"/>
      <c r="R915" s="16"/>
      <c r="S915" s="16"/>
      <c r="T915" s="16"/>
      <c r="U915" s="16"/>
      <c r="V915" s="16"/>
      <c r="W915" s="16"/>
      <c r="X915" s="16"/>
      <c r="Y915" s="16"/>
    </row>
    <row r="916" spans="1:25" x14ac:dyDescent="0.2">
      <c r="A916" s="14"/>
      <c r="B916" s="16"/>
      <c r="C916" s="6"/>
      <c r="D916" s="16"/>
      <c r="E916" s="6"/>
      <c r="F916" s="16"/>
      <c r="G916" s="16"/>
      <c r="H916" s="16"/>
      <c r="I916" s="16"/>
      <c r="J916" s="16"/>
      <c r="K916" s="16"/>
      <c r="L916" s="16"/>
      <c r="M916" s="16"/>
      <c r="N916" s="16"/>
      <c r="O916" s="16"/>
      <c r="P916" s="16"/>
      <c r="Q916" s="16"/>
      <c r="R916" s="16"/>
      <c r="S916" s="16"/>
      <c r="T916" s="16"/>
      <c r="U916" s="16"/>
      <c r="V916" s="16"/>
      <c r="W916" s="16"/>
      <c r="X916" s="16"/>
      <c r="Y916" s="16"/>
    </row>
    <row r="917" spans="1:25" x14ac:dyDescent="0.2">
      <c r="A917" s="14"/>
      <c r="B917" s="16"/>
      <c r="C917" s="6"/>
      <c r="D917" s="16"/>
      <c r="E917" s="6"/>
      <c r="F917" s="16"/>
      <c r="G917" s="16"/>
      <c r="H917" s="16"/>
      <c r="I917" s="16"/>
      <c r="J917" s="16"/>
      <c r="K917" s="16"/>
      <c r="L917" s="16"/>
      <c r="M917" s="16"/>
      <c r="N917" s="16"/>
      <c r="O917" s="16"/>
      <c r="P917" s="16"/>
      <c r="Q917" s="16"/>
      <c r="R917" s="16"/>
      <c r="S917" s="16"/>
      <c r="T917" s="16"/>
      <c r="U917" s="16"/>
      <c r="V917" s="16"/>
      <c r="W917" s="16"/>
      <c r="X917" s="16"/>
      <c r="Y917" s="16"/>
    </row>
    <row r="918" spans="1:25" x14ac:dyDescent="0.2">
      <c r="A918" s="14"/>
      <c r="B918" s="16"/>
      <c r="C918" s="6"/>
      <c r="D918" s="16"/>
      <c r="E918" s="6"/>
      <c r="F918" s="16"/>
      <c r="G918" s="16"/>
      <c r="H918" s="16"/>
      <c r="I918" s="16"/>
      <c r="J918" s="16"/>
      <c r="K918" s="16"/>
      <c r="L918" s="16"/>
      <c r="M918" s="16"/>
      <c r="N918" s="16"/>
      <c r="O918" s="16"/>
      <c r="P918" s="16"/>
      <c r="Q918" s="16"/>
      <c r="R918" s="16"/>
      <c r="S918" s="16"/>
      <c r="T918" s="16"/>
      <c r="U918" s="16"/>
      <c r="V918" s="16"/>
      <c r="W918" s="16"/>
      <c r="X918" s="16"/>
      <c r="Y918" s="16"/>
    </row>
    <row r="919" spans="1:25" x14ac:dyDescent="0.2">
      <c r="A919" s="14"/>
      <c r="B919" s="16"/>
      <c r="C919" s="6"/>
      <c r="D919" s="16"/>
      <c r="E919" s="6"/>
      <c r="F919" s="16"/>
      <c r="G919" s="16"/>
      <c r="H919" s="16"/>
      <c r="I919" s="16"/>
      <c r="J919" s="16"/>
      <c r="K919" s="16"/>
      <c r="L919" s="16"/>
      <c r="M919" s="16"/>
      <c r="N919" s="16"/>
      <c r="O919" s="16"/>
      <c r="P919" s="16"/>
      <c r="Q919" s="16"/>
      <c r="R919" s="16"/>
      <c r="S919" s="16"/>
      <c r="T919" s="16"/>
      <c r="U919" s="16"/>
      <c r="V919" s="16"/>
      <c r="W919" s="16"/>
      <c r="X919" s="16"/>
      <c r="Y919" s="16"/>
    </row>
    <row r="920" spans="1:25" x14ac:dyDescent="0.2">
      <c r="A920" s="14"/>
      <c r="B920" s="16"/>
      <c r="C920" s="6"/>
      <c r="D920" s="16"/>
      <c r="E920" s="6"/>
      <c r="F920" s="16"/>
      <c r="G920" s="16"/>
      <c r="H920" s="16"/>
      <c r="I920" s="16"/>
      <c r="J920" s="16"/>
      <c r="K920" s="16"/>
      <c r="L920" s="16"/>
      <c r="M920" s="16"/>
      <c r="N920" s="16"/>
      <c r="O920" s="16"/>
      <c r="P920" s="16"/>
      <c r="Q920" s="16"/>
      <c r="R920" s="16"/>
      <c r="S920" s="16"/>
      <c r="T920" s="16"/>
      <c r="U920" s="16"/>
      <c r="V920" s="16"/>
      <c r="W920" s="16"/>
      <c r="X920" s="16"/>
      <c r="Y920" s="16"/>
    </row>
    <row r="921" spans="1:25" x14ac:dyDescent="0.2">
      <c r="A921" s="14"/>
      <c r="B921" s="16"/>
      <c r="C921" s="6"/>
      <c r="D921" s="16"/>
      <c r="E921" s="6"/>
      <c r="F921" s="16"/>
      <c r="G921" s="16"/>
      <c r="H921" s="16"/>
      <c r="I921" s="16"/>
      <c r="J921" s="16"/>
      <c r="K921" s="16"/>
      <c r="L921" s="16"/>
      <c r="M921" s="16"/>
      <c r="N921" s="16"/>
      <c r="O921" s="16"/>
      <c r="P921" s="16"/>
      <c r="Q921" s="16"/>
      <c r="R921" s="16"/>
      <c r="S921" s="16"/>
      <c r="T921" s="16"/>
      <c r="U921" s="16"/>
      <c r="V921" s="16"/>
      <c r="W921" s="16"/>
      <c r="X921" s="16"/>
      <c r="Y921" s="16"/>
    </row>
    <row r="922" spans="1:25" x14ac:dyDescent="0.2">
      <c r="A922" s="14"/>
      <c r="B922" s="16"/>
      <c r="C922" s="6"/>
      <c r="D922" s="16"/>
      <c r="E922" s="6"/>
      <c r="F922" s="16"/>
      <c r="G922" s="16"/>
      <c r="H922" s="16"/>
      <c r="I922" s="16"/>
      <c r="J922" s="16"/>
      <c r="K922" s="16"/>
      <c r="L922" s="16"/>
      <c r="M922" s="16"/>
      <c r="N922" s="16"/>
      <c r="O922" s="16"/>
      <c r="P922" s="16"/>
      <c r="Q922" s="16"/>
      <c r="R922" s="16"/>
      <c r="S922" s="16"/>
      <c r="T922" s="16"/>
      <c r="U922" s="16"/>
      <c r="V922" s="16"/>
      <c r="W922" s="16"/>
      <c r="X922" s="16"/>
      <c r="Y922" s="16"/>
    </row>
    <row r="923" spans="1:25" x14ac:dyDescent="0.2">
      <c r="A923" s="14"/>
      <c r="B923" s="16"/>
      <c r="C923" s="6"/>
      <c r="D923" s="16"/>
      <c r="E923" s="6"/>
      <c r="F923" s="16"/>
      <c r="G923" s="16"/>
      <c r="H923" s="16"/>
      <c r="I923" s="16"/>
      <c r="J923" s="16"/>
      <c r="K923" s="16"/>
      <c r="L923" s="16"/>
      <c r="M923" s="16"/>
      <c r="N923" s="16"/>
      <c r="O923" s="16"/>
      <c r="P923" s="16"/>
      <c r="Q923" s="16"/>
      <c r="R923" s="16"/>
      <c r="S923" s="16"/>
      <c r="T923" s="16"/>
      <c r="U923" s="16"/>
      <c r="V923" s="16"/>
      <c r="W923" s="16"/>
      <c r="X923" s="16"/>
      <c r="Y923" s="16"/>
    </row>
    <row r="924" spans="1:25" x14ac:dyDescent="0.2">
      <c r="A924" s="14"/>
      <c r="B924" s="16"/>
      <c r="C924" s="6"/>
      <c r="D924" s="16"/>
      <c r="E924" s="6"/>
      <c r="F924" s="16"/>
      <c r="G924" s="16"/>
      <c r="H924" s="16"/>
      <c r="I924" s="16"/>
      <c r="J924" s="16"/>
      <c r="K924" s="16"/>
      <c r="L924" s="16"/>
      <c r="M924" s="16"/>
      <c r="N924" s="16"/>
      <c r="O924" s="16"/>
      <c r="P924" s="16"/>
      <c r="Q924" s="16"/>
      <c r="R924" s="16"/>
      <c r="S924" s="16"/>
      <c r="T924" s="16"/>
      <c r="U924" s="16"/>
      <c r="V924" s="16"/>
      <c r="W924" s="16"/>
      <c r="X924" s="16"/>
      <c r="Y924" s="16"/>
    </row>
    <row r="925" spans="1:25" x14ac:dyDescent="0.2">
      <c r="A925" s="14"/>
      <c r="B925" s="16"/>
      <c r="C925" s="6"/>
      <c r="D925" s="16"/>
      <c r="E925" s="6"/>
      <c r="F925" s="16"/>
      <c r="G925" s="16"/>
      <c r="H925" s="16"/>
      <c r="I925" s="16"/>
      <c r="J925" s="16"/>
      <c r="K925" s="16"/>
      <c r="L925" s="16"/>
      <c r="M925" s="16"/>
      <c r="N925" s="16"/>
      <c r="O925" s="16"/>
      <c r="P925" s="16"/>
      <c r="Q925" s="16"/>
      <c r="R925" s="16"/>
      <c r="S925" s="16"/>
      <c r="T925" s="16"/>
      <c r="U925" s="16"/>
      <c r="V925" s="16"/>
      <c r="W925" s="16"/>
      <c r="X925" s="16"/>
      <c r="Y925" s="16"/>
    </row>
    <row r="926" spans="1:25" x14ac:dyDescent="0.2">
      <c r="A926" s="14"/>
      <c r="B926" s="16"/>
      <c r="C926" s="6"/>
      <c r="D926" s="16"/>
      <c r="E926" s="6"/>
      <c r="F926" s="16"/>
      <c r="G926" s="16"/>
      <c r="H926" s="16"/>
      <c r="I926" s="16"/>
      <c r="J926" s="16"/>
      <c r="K926" s="16"/>
      <c r="L926" s="16"/>
      <c r="M926" s="16"/>
      <c r="N926" s="16"/>
      <c r="O926" s="16"/>
      <c r="P926" s="16"/>
      <c r="Q926" s="16"/>
      <c r="R926" s="16"/>
      <c r="S926" s="16"/>
      <c r="T926" s="16"/>
      <c r="U926" s="16"/>
      <c r="V926" s="16"/>
      <c r="W926" s="16"/>
      <c r="X926" s="16"/>
      <c r="Y926" s="16"/>
    </row>
    <row r="927" spans="1:25" x14ac:dyDescent="0.2">
      <c r="A927" s="14"/>
      <c r="B927" s="16"/>
      <c r="C927" s="6"/>
      <c r="D927" s="16"/>
      <c r="E927" s="6"/>
      <c r="F927" s="16"/>
      <c r="G927" s="16"/>
      <c r="H927" s="16"/>
      <c r="I927" s="16"/>
      <c r="J927" s="16"/>
      <c r="K927" s="16"/>
      <c r="L927" s="16"/>
      <c r="M927" s="16"/>
      <c r="N927" s="16"/>
      <c r="O927" s="16"/>
      <c r="P927" s="16"/>
      <c r="Q927" s="16"/>
      <c r="R927" s="16"/>
      <c r="S927" s="16"/>
      <c r="T927" s="16"/>
      <c r="U927" s="16"/>
      <c r="V927" s="16"/>
      <c r="W927" s="16"/>
      <c r="X927" s="16"/>
      <c r="Y927" s="16"/>
    </row>
    <row r="928" spans="1:25" x14ac:dyDescent="0.2">
      <c r="A928" s="14"/>
      <c r="B928" s="16"/>
      <c r="C928" s="6"/>
      <c r="D928" s="16"/>
      <c r="E928" s="6"/>
      <c r="F928" s="16"/>
      <c r="G928" s="16"/>
      <c r="H928" s="16"/>
      <c r="I928" s="16"/>
      <c r="J928" s="16"/>
      <c r="K928" s="16"/>
      <c r="L928" s="16"/>
      <c r="M928" s="16"/>
      <c r="N928" s="16"/>
      <c r="O928" s="16"/>
      <c r="P928" s="16"/>
      <c r="Q928" s="16"/>
      <c r="R928" s="16"/>
      <c r="S928" s="16"/>
      <c r="T928" s="16"/>
      <c r="U928" s="16"/>
      <c r="V928" s="16"/>
      <c r="W928" s="16"/>
      <c r="X928" s="16"/>
      <c r="Y928" s="16"/>
    </row>
    <row r="929" spans="1:25" x14ac:dyDescent="0.2">
      <c r="A929" s="14"/>
      <c r="B929" s="16"/>
      <c r="C929" s="6"/>
      <c r="D929" s="16"/>
      <c r="E929" s="6"/>
      <c r="F929" s="16"/>
      <c r="G929" s="16"/>
      <c r="H929" s="16"/>
      <c r="I929" s="16"/>
      <c r="J929" s="16"/>
      <c r="K929" s="16"/>
      <c r="L929" s="16"/>
      <c r="M929" s="16"/>
      <c r="N929" s="16"/>
      <c r="O929" s="16"/>
      <c r="P929" s="16"/>
      <c r="Q929" s="16"/>
      <c r="R929" s="16"/>
      <c r="S929" s="16"/>
      <c r="T929" s="16"/>
      <c r="U929" s="16"/>
      <c r="V929" s="16"/>
      <c r="W929" s="16"/>
      <c r="X929" s="16"/>
      <c r="Y929" s="16"/>
    </row>
    <row r="930" spans="1:25" x14ac:dyDescent="0.2">
      <c r="A930" s="14"/>
      <c r="B930" s="16"/>
      <c r="C930" s="6"/>
      <c r="D930" s="16"/>
      <c r="E930" s="6"/>
      <c r="F930" s="16"/>
      <c r="G930" s="16"/>
      <c r="H930" s="16"/>
      <c r="I930" s="16"/>
      <c r="J930" s="16"/>
      <c r="K930" s="16"/>
      <c r="L930" s="16"/>
      <c r="M930" s="16"/>
      <c r="N930" s="16"/>
      <c r="O930" s="16"/>
      <c r="P930" s="16"/>
      <c r="Q930" s="16"/>
      <c r="R930" s="16"/>
      <c r="S930" s="16"/>
      <c r="T930" s="16"/>
      <c r="U930" s="16"/>
      <c r="V930" s="16"/>
      <c r="W930" s="16"/>
      <c r="X930" s="16"/>
      <c r="Y930" s="16"/>
    </row>
    <row r="931" spans="1:25" x14ac:dyDescent="0.2">
      <c r="A931" s="14"/>
      <c r="B931" s="16"/>
      <c r="C931" s="6"/>
      <c r="D931" s="16"/>
      <c r="E931" s="6"/>
      <c r="F931" s="16"/>
      <c r="G931" s="16"/>
      <c r="H931" s="16"/>
      <c r="I931" s="16"/>
      <c r="J931" s="16"/>
      <c r="K931" s="16"/>
      <c r="L931" s="16"/>
      <c r="M931" s="16"/>
      <c r="N931" s="16"/>
      <c r="O931" s="16"/>
      <c r="P931" s="16"/>
      <c r="Q931" s="16"/>
      <c r="R931" s="16"/>
      <c r="S931" s="16"/>
      <c r="T931" s="16"/>
      <c r="U931" s="16"/>
      <c r="V931" s="16"/>
      <c r="W931" s="16"/>
      <c r="X931" s="16"/>
      <c r="Y931" s="16"/>
    </row>
    <row r="932" spans="1:25" x14ac:dyDescent="0.2">
      <c r="A932" s="14"/>
      <c r="B932" s="16"/>
      <c r="C932" s="6"/>
      <c r="D932" s="16"/>
      <c r="E932" s="6"/>
      <c r="F932" s="16"/>
      <c r="G932" s="16"/>
      <c r="H932" s="16"/>
      <c r="I932" s="16"/>
      <c r="J932" s="16"/>
      <c r="K932" s="16"/>
      <c r="L932" s="16"/>
      <c r="M932" s="16"/>
      <c r="N932" s="16"/>
      <c r="O932" s="16"/>
      <c r="P932" s="16"/>
      <c r="Q932" s="16"/>
      <c r="R932" s="16"/>
      <c r="S932" s="16"/>
      <c r="T932" s="16"/>
      <c r="U932" s="16"/>
      <c r="V932" s="16"/>
      <c r="W932" s="16"/>
      <c r="X932" s="16"/>
      <c r="Y932" s="16"/>
    </row>
    <row r="933" spans="1:25" x14ac:dyDescent="0.2">
      <c r="A933" s="14"/>
      <c r="B933" s="16"/>
      <c r="C933" s="6"/>
      <c r="D933" s="16"/>
      <c r="E933" s="6"/>
      <c r="F933" s="16"/>
      <c r="G933" s="16"/>
      <c r="H933" s="16"/>
      <c r="I933" s="16"/>
      <c r="J933" s="16"/>
      <c r="K933" s="16"/>
      <c r="L933" s="16"/>
      <c r="M933" s="16"/>
      <c r="N933" s="16"/>
      <c r="O933" s="16"/>
      <c r="P933" s="16"/>
      <c r="Q933" s="16"/>
      <c r="R933" s="16"/>
      <c r="S933" s="16"/>
      <c r="T933" s="16"/>
      <c r="U933" s="16"/>
      <c r="V933" s="16"/>
      <c r="W933" s="16"/>
      <c r="X933" s="16"/>
      <c r="Y933" s="16"/>
    </row>
    <row r="934" spans="1:25" x14ac:dyDescent="0.2">
      <c r="A934" s="14"/>
      <c r="B934" s="16"/>
      <c r="C934" s="6"/>
      <c r="D934" s="16"/>
      <c r="E934" s="6"/>
      <c r="F934" s="16"/>
      <c r="G934" s="16"/>
      <c r="H934" s="16"/>
      <c r="I934" s="16"/>
      <c r="J934" s="16"/>
      <c r="K934" s="16"/>
      <c r="L934" s="16"/>
      <c r="M934" s="16"/>
      <c r="N934" s="16"/>
      <c r="O934" s="16"/>
      <c r="P934" s="16"/>
      <c r="Q934" s="16"/>
      <c r="R934" s="16"/>
      <c r="S934" s="16"/>
      <c r="T934" s="16"/>
      <c r="U934" s="16"/>
      <c r="V934" s="16"/>
      <c r="W934" s="16"/>
      <c r="X934" s="16"/>
      <c r="Y934" s="16"/>
    </row>
    <row r="935" spans="1:25" x14ac:dyDescent="0.2">
      <c r="A935" s="14"/>
      <c r="B935" s="16"/>
      <c r="C935" s="6"/>
      <c r="D935" s="16"/>
      <c r="E935" s="6"/>
      <c r="F935" s="16"/>
      <c r="G935" s="16"/>
      <c r="H935" s="16"/>
      <c r="I935" s="16"/>
      <c r="J935" s="16"/>
      <c r="K935" s="16"/>
      <c r="L935" s="16"/>
      <c r="M935" s="16"/>
      <c r="N935" s="16"/>
      <c r="O935" s="16"/>
      <c r="P935" s="16"/>
      <c r="Q935" s="16"/>
      <c r="R935" s="16"/>
      <c r="S935" s="16"/>
      <c r="T935" s="16"/>
      <c r="U935" s="16"/>
      <c r="V935" s="16"/>
      <c r="W935" s="16"/>
      <c r="X935" s="16"/>
      <c r="Y935" s="16"/>
    </row>
    <row r="936" spans="1:25" x14ac:dyDescent="0.2">
      <c r="A936" s="14"/>
      <c r="B936" s="16"/>
      <c r="C936" s="6"/>
      <c r="D936" s="16"/>
      <c r="E936" s="6"/>
      <c r="F936" s="16"/>
      <c r="G936" s="16"/>
      <c r="H936" s="16"/>
      <c r="I936" s="16"/>
      <c r="J936" s="16"/>
      <c r="K936" s="16"/>
      <c r="L936" s="16"/>
      <c r="M936" s="16"/>
      <c r="N936" s="16"/>
      <c r="O936" s="16"/>
      <c r="P936" s="16"/>
      <c r="Q936" s="16"/>
      <c r="R936" s="16"/>
      <c r="S936" s="16"/>
      <c r="T936" s="16"/>
      <c r="U936" s="16"/>
      <c r="V936" s="16"/>
      <c r="W936" s="16"/>
      <c r="X936" s="16"/>
      <c r="Y936" s="16"/>
    </row>
    <row r="937" spans="1:25" x14ac:dyDescent="0.2">
      <c r="A937" s="14"/>
      <c r="B937" s="16"/>
      <c r="C937" s="6"/>
      <c r="D937" s="16"/>
      <c r="E937" s="6"/>
      <c r="F937" s="16"/>
      <c r="G937" s="16"/>
      <c r="H937" s="16"/>
      <c r="I937" s="16"/>
      <c r="J937" s="16"/>
      <c r="K937" s="16"/>
      <c r="L937" s="16"/>
      <c r="M937" s="16"/>
      <c r="N937" s="16"/>
      <c r="O937" s="16"/>
      <c r="P937" s="16"/>
      <c r="Q937" s="16"/>
      <c r="R937" s="16"/>
      <c r="S937" s="16"/>
      <c r="T937" s="16"/>
      <c r="U937" s="16"/>
      <c r="V937" s="16"/>
      <c r="W937" s="16"/>
      <c r="X937" s="16"/>
      <c r="Y937" s="16"/>
    </row>
    <row r="938" spans="1:25" x14ac:dyDescent="0.2">
      <c r="A938" s="14"/>
      <c r="B938" s="16"/>
      <c r="C938" s="6"/>
      <c r="D938" s="16"/>
      <c r="E938" s="6"/>
      <c r="F938" s="16"/>
      <c r="G938" s="16"/>
      <c r="H938" s="16"/>
      <c r="I938" s="16"/>
      <c r="J938" s="16"/>
      <c r="K938" s="16"/>
      <c r="L938" s="16"/>
      <c r="M938" s="16"/>
      <c r="N938" s="16"/>
      <c r="O938" s="16"/>
      <c r="P938" s="16"/>
      <c r="Q938" s="16"/>
      <c r="R938" s="16"/>
      <c r="S938" s="16"/>
      <c r="T938" s="16"/>
      <c r="U938" s="16"/>
      <c r="V938" s="16"/>
      <c r="W938" s="16"/>
      <c r="X938" s="16"/>
      <c r="Y938" s="16"/>
    </row>
    <row r="939" spans="1:25" x14ac:dyDescent="0.2">
      <c r="A939" s="14"/>
      <c r="B939" s="16"/>
      <c r="C939" s="6"/>
      <c r="D939" s="16"/>
      <c r="E939" s="6"/>
      <c r="F939" s="16"/>
      <c r="G939" s="16"/>
      <c r="H939" s="16"/>
      <c r="I939" s="16"/>
      <c r="J939" s="16"/>
      <c r="K939" s="16"/>
      <c r="L939" s="16"/>
      <c r="M939" s="16"/>
      <c r="N939" s="16"/>
      <c r="O939" s="16"/>
      <c r="P939" s="16"/>
      <c r="Q939" s="16"/>
      <c r="R939" s="16"/>
      <c r="S939" s="16"/>
      <c r="T939" s="16"/>
      <c r="U939" s="16"/>
      <c r="V939" s="16"/>
      <c r="W939" s="16"/>
      <c r="X939" s="16"/>
      <c r="Y939" s="16"/>
    </row>
    <row r="940" spans="1:25" x14ac:dyDescent="0.2">
      <c r="A940" s="14"/>
      <c r="B940" s="16"/>
      <c r="C940" s="6"/>
      <c r="D940" s="16"/>
      <c r="E940" s="6"/>
      <c r="F940" s="16"/>
      <c r="G940" s="16"/>
      <c r="H940" s="16"/>
      <c r="I940" s="16"/>
      <c r="J940" s="16"/>
      <c r="K940" s="16"/>
      <c r="L940" s="16"/>
      <c r="M940" s="16"/>
      <c r="N940" s="16"/>
      <c r="O940" s="16"/>
      <c r="P940" s="16"/>
      <c r="Q940" s="16"/>
      <c r="R940" s="16"/>
      <c r="S940" s="16"/>
      <c r="T940" s="16"/>
      <c r="U940" s="16"/>
      <c r="V940" s="16"/>
      <c r="W940" s="16"/>
      <c r="X940" s="16"/>
      <c r="Y940" s="16"/>
    </row>
    <row r="941" spans="1:25" x14ac:dyDescent="0.2">
      <c r="A941" s="14"/>
      <c r="B941" s="16"/>
      <c r="C941" s="6"/>
      <c r="D941" s="16"/>
      <c r="E941" s="6"/>
      <c r="F941" s="16"/>
      <c r="G941" s="16"/>
      <c r="H941" s="16"/>
      <c r="I941" s="16"/>
      <c r="J941" s="16"/>
      <c r="K941" s="16"/>
      <c r="L941" s="16"/>
      <c r="M941" s="16"/>
      <c r="N941" s="16"/>
      <c r="O941" s="16"/>
      <c r="P941" s="16"/>
      <c r="Q941" s="16"/>
      <c r="R941" s="16"/>
      <c r="S941" s="16"/>
      <c r="T941" s="16"/>
      <c r="U941" s="16"/>
      <c r="V941" s="16"/>
      <c r="W941" s="16"/>
      <c r="X941" s="16"/>
      <c r="Y941" s="16"/>
    </row>
    <row r="942" spans="1:25" x14ac:dyDescent="0.2">
      <c r="A942" s="14"/>
      <c r="B942" s="16"/>
      <c r="C942" s="6"/>
      <c r="D942" s="16"/>
      <c r="E942" s="6"/>
      <c r="F942" s="16"/>
      <c r="G942" s="16"/>
      <c r="H942" s="16"/>
      <c r="I942" s="16"/>
      <c r="J942" s="16"/>
      <c r="K942" s="16"/>
      <c r="L942" s="16"/>
      <c r="M942" s="16"/>
      <c r="N942" s="16"/>
      <c r="O942" s="16"/>
      <c r="P942" s="16"/>
      <c r="Q942" s="16"/>
      <c r="R942" s="16"/>
      <c r="S942" s="16"/>
      <c r="T942" s="16"/>
      <c r="U942" s="16"/>
      <c r="V942" s="16"/>
      <c r="W942" s="16"/>
      <c r="X942" s="16"/>
      <c r="Y942" s="16"/>
    </row>
    <row r="943" spans="1:25" x14ac:dyDescent="0.2">
      <c r="A943" s="14"/>
      <c r="B943" s="16"/>
      <c r="C943" s="6"/>
      <c r="D943" s="16"/>
      <c r="E943" s="6"/>
      <c r="F943" s="16"/>
      <c r="G943" s="16"/>
      <c r="H943" s="16"/>
      <c r="I943" s="16"/>
      <c r="J943" s="16"/>
      <c r="K943" s="16"/>
      <c r="L943" s="16"/>
      <c r="M943" s="16"/>
      <c r="N943" s="16"/>
      <c r="O943" s="16"/>
      <c r="P943" s="16"/>
      <c r="Q943" s="16"/>
      <c r="R943" s="16"/>
      <c r="S943" s="16"/>
      <c r="T943" s="16"/>
      <c r="U943" s="16"/>
      <c r="V943" s="16"/>
      <c r="W943" s="16"/>
      <c r="X943" s="16"/>
      <c r="Y943" s="16"/>
    </row>
    <row r="944" spans="1:25" x14ac:dyDescent="0.2">
      <c r="A944" s="14"/>
      <c r="B944" s="16"/>
      <c r="C944" s="6"/>
      <c r="D944" s="16"/>
      <c r="E944" s="6"/>
      <c r="F944" s="16"/>
      <c r="G944" s="16"/>
      <c r="H944" s="16"/>
      <c r="I944" s="16"/>
      <c r="J944" s="16"/>
      <c r="K944" s="16"/>
      <c r="L944" s="16"/>
      <c r="M944" s="16"/>
      <c r="N944" s="16"/>
      <c r="O944" s="16"/>
      <c r="P944" s="16"/>
      <c r="Q944" s="16"/>
      <c r="R944" s="16"/>
      <c r="S944" s="16"/>
      <c r="T944" s="16"/>
      <c r="U944" s="16"/>
      <c r="V944" s="16"/>
      <c r="W944" s="16"/>
      <c r="X944" s="16"/>
      <c r="Y944" s="16"/>
    </row>
    <row r="945" spans="1:25" x14ac:dyDescent="0.2">
      <c r="A945" s="14"/>
      <c r="B945" s="16"/>
      <c r="C945" s="6"/>
      <c r="D945" s="16"/>
      <c r="E945" s="6"/>
      <c r="F945" s="16"/>
      <c r="G945" s="16"/>
      <c r="H945" s="16"/>
      <c r="I945" s="16"/>
      <c r="J945" s="16"/>
      <c r="K945" s="16"/>
      <c r="L945" s="16"/>
      <c r="M945" s="16"/>
      <c r="N945" s="16"/>
      <c r="O945" s="16"/>
      <c r="P945" s="16"/>
      <c r="Q945" s="16"/>
      <c r="R945" s="16"/>
      <c r="S945" s="16"/>
      <c r="T945" s="16"/>
      <c r="U945" s="16"/>
      <c r="V945" s="16"/>
      <c r="W945" s="16"/>
      <c r="X945" s="16"/>
      <c r="Y945" s="16"/>
    </row>
    <row r="946" spans="1:25" x14ac:dyDescent="0.2">
      <c r="A946" s="14"/>
      <c r="B946" s="16"/>
      <c r="C946" s="6"/>
      <c r="D946" s="16"/>
      <c r="E946" s="6"/>
      <c r="F946" s="16"/>
      <c r="G946" s="16"/>
      <c r="H946" s="16"/>
      <c r="I946" s="16"/>
      <c r="J946" s="16"/>
      <c r="K946" s="16"/>
      <c r="L946" s="16"/>
      <c r="M946" s="16"/>
      <c r="N946" s="16"/>
      <c r="O946" s="16"/>
      <c r="P946" s="16"/>
      <c r="Q946" s="16"/>
      <c r="R946" s="16"/>
      <c r="S946" s="16"/>
      <c r="T946" s="16"/>
      <c r="U946" s="16"/>
      <c r="V946" s="16"/>
      <c r="W946" s="16"/>
      <c r="X946" s="16"/>
      <c r="Y946" s="16"/>
    </row>
    <row r="947" spans="1:25" x14ac:dyDescent="0.2">
      <c r="A947" s="14"/>
      <c r="B947" s="16"/>
      <c r="C947" s="6"/>
      <c r="D947" s="16"/>
      <c r="E947" s="6"/>
      <c r="F947" s="16"/>
      <c r="G947" s="16"/>
      <c r="H947" s="16"/>
      <c r="I947" s="16"/>
      <c r="J947" s="16"/>
      <c r="K947" s="16"/>
      <c r="L947" s="16"/>
      <c r="M947" s="16"/>
      <c r="N947" s="16"/>
      <c r="O947" s="16"/>
      <c r="P947" s="16"/>
      <c r="Q947" s="16"/>
      <c r="R947" s="16"/>
      <c r="S947" s="16"/>
      <c r="T947" s="16"/>
      <c r="U947" s="16"/>
      <c r="V947" s="16"/>
      <c r="W947" s="16"/>
      <c r="X947" s="16"/>
      <c r="Y947" s="16"/>
    </row>
    <row r="948" spans="1:25" x14ac:dyDescent="0.2">
      <c r="A948" s="14"/>
      <c r="B948" s="16"/>
      <c r="C948" s="6"/>
      <c r="D948" s="16"/>
      <c r="E948" s="6"/>
      <c r="F948" s="16"/>
      <c r="G948" s="16"/>
      <c r="H948" s="16"/>
      <c r="I948" s="16"/>
      <c r="J948" s="16"/>
      <c r="K948" s="16"/>
      <c r="L948" s="16"/>
      <c r="M948" s="16"/>
      <c r="N948" s="16"/>
      <c r="O948" s="16"/>
      <c r="P948" s="16"/>
      <c r="Q948" s="16"/>
      <c r="R948" s="16"/>
      <c r="S948" s="16"/>
      <c r="T948" s="16"/>
      <c r="U948" s="16"/>
      <c r="V948" s="16"/>
      <c r="W948" s="16"/>
      <c r="X948" s="16"/>
      <c r="Y948" s="16"/>
    </row>
    <row r="949" spans="1:25" x14ac:dyDescent="0.2">
      <c r="A949" s="14"/>
      <c r="B949" s="16"/>
      <c r="C949" s="6"/>
      <c r="D949" s="16"/>
      <c r="E949" s="6"/>
      <c r="F949" s="16"/>
      <c r="G949" s="16"/>
      <c r="H949" s="16"/>
      <c r="I949" s="16"/>
      <c r="J949" s="16"/>
      <c r="K949" s="16"/>
      <c r="L949" s="16"/>
      <c r="M949" s="16"/>
      <c r="N949" s="16"/>
      <c r="O949" s="16"/>
      <c r="P949" s="16"/>
      <c r="Q949" s="16"/>
      <c r="R949" s="16"/>
      <c r="S949" s="16"/>
      <c r="T949" s="16"/>
      <c r="U949" s="16"/>
      <c r="V949" s="16"/>
      <c r="W949" s="16"/>
      <c r="X949" s="16"/>
      <c r="Y949" s="16"/>
    </row>
    <row r="950" spans="1:25" x14ac:dyDescent="0.2">
      <c r="A950" s="14"/>
      <c r="B950" s="16"/>
      <c r="C950" s="6"/>
      <c r="D950" s="16"/>
      <c r="E950" s="6"/>
      <c r="F950" s="16"/>
      <c r="G950" s="16"/>
      <c r="H950" s="16"/>
      <c r="I950" s="16"/>
      <c r="J950" s="16"/>
      <c r="K950" s="16"/>
      <c r="L950" s="16"/>
      <c r="M950" s="16"/>
      <c r="N950" s="16"/>
      <c r="O950" s="16"/>
      <c r="P950" s="16"/>
      <c r="Q950" s="16"/>
      <c r="R950" s="16"/>
      <c r="S950" s="16"/>
      <c r="T950" s="16"/>
      <c r="U950" s="16"/>
      <c r="V950" s="16"/>
      <c r="W950" s="16"/>
      <c r="X950" s="16"/>
      <c r="Y950" s="16"/>
    </row>
    <row r="951" spans="1:25" x14ac:dyDescent="0.2">
      <c r="A951" s="14"/>
      <c r="B951" s="16"/>
      <c r="C951" s="6"/>
      <c r="D951" s="16"/>
      <c r="E951" s="6"/>
      <c r="F951" s="16"/>
      <c r="G951" s="16"/>
      <c r="H951" s="16"/>
      <c r="I951" s="16"/>
      <c r="J951" s="16"/>
      <c r="K951" s="16"/>
      <c r="L951" s="16"/>
      <c r="M951" s="16"/>
      <c r="N951" s="16"/>
      <c r="O951" s="16"/>
      <c r="P951" s="16"/>
      <c r="Q951" s="16"/>
      <c r="R951" s="16"/>
      <c r="S951" s="16"/>
      <c r="T951" s="16"/>
      <c r="U951" s="16"/>
      <c r="V951" s="16"/>
      <c r="W951" s="16"/>
      <c r="X951" s="16"/>
      <c r="Y951" s="16"/>
    </row>
    <row r="952" spans="1:25" x14ac:dyDescent="0.2">
      <c r="A952" s="14"/>
      <c r="B952" s="16"/>
      <c r="C952" s="6"/>
      <c r="D952" s="16"/>
      <c r="E952" s="6"/>
      <c r="F952" s="16"/>
      <c r="G952" s="16"/>
      <c r="H952" s="16"/>
      <c r="I952" s="16"/>
      <c r="J952" s="16"/>
      <c r="K952" s="16"/>
      <c r="L952" s="16"/>
      <c r="M952" s="16"/>
      <c r="N952" s="16"/>
      <c r="O952" s="16"/>
      <c r="P952" s="16"/>
      <c r="Q952" s="16"/>
      <c r="R952" s="16"/>
      <c r="S952" s="16"/>
      <c r="T952" s="16"/>
      <c r="U952" s="16"/>
      <c r="V952" s="16"/>
      <c r="W952" s="16"/>
      <c r="X952" s="16"/>
      <c r="Y952" s="16"/>
    </row>
    <row r="953" spans="1:25" x14ac:dyDescent="0.2">
      <c r="A953" s="14"/>
      <c r="B953" s="16"/>
      <c r="C953" s="6"/>
      <c r="D953" s="16"/>
      <c r="E953" s="6"/>
      <c r="F953" s="16"/>
      <c r="G953" s="16"/>
      <c r="H953" s="16"/>
      <c r="I953" s="16"/>
      <c r="J953" s="16"/>
      <c r="K953" s="16"/>
      <c r="L953" s="16"/>
      <c r="M953" s="16"/>
      <c r="N953" s="16"/>
      <c r="O953" s="16"/>
      <c r="P953" s="16"/>
      <c r="Q953" s="16"/>
      <c r="R953" s="16"/>
      <c r="S953" s="16"/>
      <c r="T953" s="16"/>
      <c r="U953" s="16"/>
      <c r="V953" s="16"/>
      <c r="W953" s="16"/>
      <c r="X953" s="16"/>
      <c r="Y953" s="16"/>
    </row>
    <row r="954" spans="1:25" x14ac:dyDescent="0.2">
      <c r="A954" s="14"/>
      <c r="B954" s="16"/>
      <c r="C954" s="6"/>
      <c r="D954" s="16"/>
      <c r="E954" s="6"/>
      <c r="F954" s="16"/>
      <c r="G954" s="16"/>
      <c r="H954" s="16"/>
      <c r="I954" s="16"/>
      <c r="J954" s="16"/>
      <c r="K954" s="16"/>
      <c r="L954" s="16"/>
      <c r="M954" s="16"/>
      <c r="N954" s="16"/>
      <c r="O954" s="16"/>
      <c r="P954" s="16"/>
      <c r="Q954" s="16"/>
      <c r="R954" s="16"/>
      <c r="S954" s="16"/>
      <c r="T954" s="16"/>
      <c r="U954" s="16"/>
      <c r="V954" s="16"/>
      <c r="W954" s="16"/>
      <c r="X954" s="16"/>
      <c r="Y954" s="16"/>
    </row>
    <row r="955" spans="1:25" x14ac:dyDescent="0.2">
      <c r="A955" s="14"/>
      <c r="B955" s="16"/>
      <c r="C955" s="6"/>
      <c r="D955" s="16"/>
      <c r="E955" s="6"/>
      <c r="F955" s="16"/>
      <c r="G955" s="16"/>
      <c r="H955" s="16"/>
      <c r="I955" s="16"/>
      <c r="J955" s="16"/>
      <c r="K955" s="16"/>
      <c r="L955" s="16"/>
      <c r="M955" s="16"/>
      <c r="N955" s="16"/>
      <c r="O955" s="16"/>
      <c r="P955" s="16"/>
      <c r="Q955" s="16"/>
      <c r="R955" s="16"/>
      <c r="S955" s="16"/>
      <c r="T955" s="16"/>
      <c r="U955" s="16"/>
      <c r="V955" s="16"/>
      <c r="W955" s="16"/>
      <c r="X955" s="16"/>
      <c r="Y955" s="16"/>
    </row>
    <row r="956" spans="1:25" x14ac:dyDescent="0.2">
      <c r="A956" s="14"/>
      <c r="B956" s="16"/>
      <c r="C956" s="6"/>
      <c r="D956" s="16"/>
      <c r="E956" s="6"/>
      <c r="F956" s="16"/>
      <c r="G956" s="16"/>
      <c r="H956" s="16"/>
      <c r="I956" s="16"/>
      <c r="J956" s="16"/>
      <c r="K956" s="16"/>
      <c r="L956" s="16"/>
      <c r="M956" s="16"/>
      <c r="N956" s="16"/>
      <c r="O956" s="16"/>
      <c r="P956" s="16"/>
      <c r="Q956" s="16"/>
      <c r="R956" s="16"/>
      <c r="S956" s="16"/>
      <c r="T956" s="16"/>
      <c r="U956" s="16"/>
      <c r="V956" s="16"/>
      <c r="W956" s="16"/>
      <c r="X956" s="16"/>
      <c r="Y956" s="16"/>
    </row>
    <row r="957" spans="1:25" x14ac:dyDescent="0.2">
      <c r="A957" s="14"/>
      <c r="B957" s="16"/>
      <c r="C957" s="6"/>
      <c r="D957" s="16"/>
      <c r="E957" s="6"/>
      <c r="F957" s="16"/>
      <c r="G957" s="16"/>
      <c r="H957" s="16"/>
      <c r="I957" s="16"/>
      <c r="J957" s="16"/>
      <c r="K957" s="16"/>
      <c r="L957" s="16"/>
      <c r="M957" s="16"/>
      <c r="N957" s="16"/>
      <c r="O957" s="16"/>
      <c r="P957" s="16"/>
      <c r="Q957" s="16"/>
      <c r="R957" s="16"/>
      <c r="S957" s="16"/>
      <c r="T957" s="16"/>
      <c r="U957" s="16"/>
      <c r="V957" s="16"/>
      <c r="W957" s="16"/>
      <c r="X957" s="16"/>
      <c r="Y957" s="16"/>
    </row>
    <row r="958" spans="1:25" x14ac:dyDescent="0.2">
      <c r="A958" s="14"/>
      <c r="B958" s="16"/>
      <c r="C958" s="6"/>
      <c r="D958" s="16"/>
      <c r="E958" s="6"/>
      <c r="F958" s="16"/>
      <c r="G958" s="16"/>
      <c r="H958" s="16"/>
      <c r="I958" s="16"/>
      <c r="J958" s="16"/>
      <c r="K958" s="16"/>
      <c r="L958" s="16"/>
      <c r="M958" s="16"/>
      <c r="N958" s="16"/>
      <c r="O958" s="16"/>
      <c r="P958" s="16"/>
      <c r="Q958" s="16"/>
      <c r="R958" s="16"/>
      <c r="S958" s="16"/>
      <c r="T958" s="16"/>
      <c r="U958" s="16"/>
      <c r="V958" s="16"/>
      <c r="W958" s="16"/>
      <c r="X958" s="16"/>
      <c r="Y958" s="16"/>
    </row>
    <row r="959" spans="1:25" x14ac:dyDescent="0.2">
      <c r="A959" s="14"/>
      <c r="B959" s="16"/>
      <c r="C959" s="6"/>
      <c r="D959" s="16"/>
      <c r="E959" s="6"/>
      <c r="F959" s="16"/>
      <c r="G959" s="16"/>
      <c r="H959" s="16"/>
      <c r="I959" s="16"/>
      <c r="J959" s="16"/>
      <c r="K959" s="16"/>
      <c r="L959" s="16"/>
      <c r="M959" s="16"/>
      <c r="N959" s="16"/>
      <c r="O959" s="16"/>
      <c r="P959" s="16"/>
      <c r="Q959" s="16"/>
      <c r="R959" s="16"/>
      <c r="S959" s="16"/>
      <c r="T959" s="16"/>
      <c r="U959" s="16"/>
      <c r="V959" s="16"/>
      <c r="W959" s="16"/>
      <c r="X959" s="16"/>
      <c r="Y959" s="16"/>
    </row>
    <row r="960" spans="1:25" x14ac:dyDescent="0.2">
      <c r="A960" s="14"/>
      <c r="B960" s="16"/>
      <c r="C960" s="6"/>
      <c r="D960" s="16"/>
      <c r="E960" s="6"/>
      <c r="F960" s="16"/>
      <c r="G960" s="16"/>
      <c r="H960" s="16"/>
      <c r="I960" s="16"/>
      <c r="J960" s="16"/>
      <c r="K960" s="16"/>
      <c r="L960" s="16"/>
      <c r="M960" s="16"/>
      <c r="N960" s="16"/>
      <c r="O960" s="16"/>
      <c r="P960" s="16"/>
      <c r="Q960" s="16"/>
      <c r="R960" s="16"/>
      <c r="S960" s="16"/>
      <c r="T960" s="16"/>
      <c r="U960" s="16"/>
      <c r="V960" s="16"/>
      <c r="W960" s="16"/>
      <c r="X960" s="16"/>
      <c r="Y960" s="16"/>
    </row>
    <row r="961" spans="1:25" x14ac:dyDescent="0.2">
      <c r="A961" s="14"/>
      <c r="B961" s="16"/>
      <c r="C961" s="6"/>
      <c r="D961" s="16"/>
      <c r="E961" s="6"/>
      <c r="F961" s="16"/>
      <c r="G961" s="16"/>
      <c r="H961" s="16"/>
      <c r="I961" s="16"/>
      <c r="J961" s="16"/>
      <c r="K961" s="16"/>
      <c r="L961" s="16"/>
      <c r="M961" s="16"/>
      <c r="N961" s="16"/>
      <c r="O961" s="16"/>
      <c r="P961" s="16"/>
      <c r="Q961" s="16"/>
      <c r="R961" s="16"/>
      <c r="S961" s="16"/>
      <c r="T961" s="16"/>
      <c r="U961" s="16"/>
      <c r="V961" s="16"/>
      <c r="W961" s="16"/>
      <c r="X961" s="16"/>
      <c r="Y961" s="16"/>
    </row>
    <row r="962" spans="1:25" x14ac:dyDescent="0.2">
      <c r="A962" s="14"/>
      <c r="B962" s="16"/>
      <c r="C962" s="6"/>
      <c r="D962" s="16"/>
      <c r="E962" s="6"/>
      <c r="F962" s="16"/>
      <c r="G962" s="16"/>
      <c r="H962" s="16"/>
      <c r="I962" s="16"/>
      <c r="J962" s="16"/>
      <c r="K962" s="16"/>
      <c r="L962" s="16"/>
      <c r="M962" s="16"/>
      <c r="N962" s="16"/>
      <c r="O962" s="16"/>
      <c r="P962" s="16"/>
      <c r="Q962" s="16"/>
      <c r="R962" s="16"/>
      <c r="S962" s="16"/>
      <c r="T962" s="16"/>
      <c r="U962" s="16"/>
      <c r="V962" s="16"/>
      <c r="W962" s="16"/>
      <c r="X962" s="16"/>
      <c r="Y962" s="16"/>
    </row>
    <row r="963" spans="1:25" x14ac:dyDescent="0.2">
      <c r="A963" s="14"/>
      <c r="B963" s="16"/>
      <c r="C963" s="6"/>
      <c r="D963" s="16"/>
      <c r="E963" s="6"/>
      <c r="F963" s="16"/>
      <c r="G963" s="16"/>
      <c r="H963" s="16"/>
      <c r="I963" s="16"/>
      <c r="J963" s="16"/>
      <c r="K963" s="16"/>
      <c r="L963" s="16"/>
      <c r="M963" s="16"/>
      <c r="N963" s="16"/>
      <c r="O963" s="16"/>
      <c r="P963" s="16"/>
      <c r="Q963" s="16"/>
      <c r="R963" s="16"/>
      <c r="S963" s="16"/>
      <c r="T963" s="16"/>
      <c r="U963" s="16"/>
      <c r="V963" s="16"/>
      <c r="W963" s="16"/>
      <c r="X963" s="16"/>
      <c r="Y963" s="16"/>
    </row>
    <row r="964" spans="1:25" x14ac:dyDescent="0.2">
      <c r="A964" s="14"/>
      <c r="B964" s="16"/>
      <c r="C964" s="6"/>
      <c r="D964" s="16"/>
      <c r="E964" s="6"/>
      <c r="F964" s="16"/>
      <c r="G964" s="16"/>
      <c r="H964" s="16"/>
      <c r="I964" s="16"/>
      <c r="J964" s="16"/>
      <c r="K964" s="16"/>
      <c r="L964" s="16"/>
      <c r="M964" s="16"/>
      <c r="N964" s="16"/>
      <c r="O964" s="16"/>
      <c r="P964" s="16"/>
      <c r="Q964" s="16"/>
      <c r="R964" s="16"/>
      <c r="S964" s="16"/>
      <c r="T964" s="16"/>
      <c r="U964" s="16"/>
      <c r="V964" s="16"/>
      <c r="W964" s="16"/>
      <c r="X964" s="16"/>
      <c r="Y964" s="16"/>
    </row>
    <row r="965" spans="1:25" x14ac:dyDescent="0.2">
      <c r="A965" s="14"/>
      <c r="B965" s="16"/>
      <c r="C965" s="6"/>
      <c r="D965" s="16"/>
      <c r="E965" s="6"/>
      <c r="F965" s="16"/>
      <c r="G965" s="16"/>
      <c r="H965" s="16"/>
      <c r="I965" s="16"/>
      <c r="J965" s="16"/>
      <c r="K965" s="16"/>
      <c r="L965" s="16"/>
      <c r="M965" s="16"/>
      <c r="N965" s="16"/>
      <c r="O965" s="16"/>
      <c r="P965" s="16"/>
      <c r="Q965" s="16"/>
      <c r="R965" s="16"/>
      <c r="S965" s="16"/>
      <c r="T965" s="16"/>
      <c r="U965" s="16"/>
      <c r="V965" s="16"/>
      <c r="W965" s="16"/>
      <c r="X965" s="16"/>
      <c r="Y965" s="16"/>
    </row>
    <row r="966" spans="1:25" x14ac:dyDescent="0.2">
      <c r="A966" s="14"/>
      <c r="B966" s="16"/>
      <c r="C966" s="6"/>
      <c r="D966" s="16"/>
      <c r="E966" s="6"/>
      <c r="F966" s="16"/>
      <c r="G966" s="16"/>
      <c r="H966" s="16"/>
      <c r="I966" s="16"/>
      <c r="J966" s="16"/>
      <c r="K966" s="16"/>
      <c r="L966" s="16"/>
      <c r="M966" s="16"/>
      <c r="N966" s="16"/>
      <c r="O966" s="16"/>
      <c r="P966" s="16"/>
      <c r="Q966" s="16"/>
      <c r="R966" s="16"/>
      <c r="S966" s="16"/>
      <c r="T966" s="16"/>
      <c r="U966" s="16"/>
      <c r="V966" s="16"/>
      <c r="W966" s="16"/>
      <c r="X966" s="16"/>
      <c r="Y966" s="16"/>
    </row>
    <row r="967" spans="1:25" x14ac:dyDescent="0.2">
      <c r="A967" s="14"/>
      <c r="B967" s="16"/>
      <c r="C967" s="6"/>
      <c r="D967" s="16"/>
      <c r="E967" s="6"/>
      <c r="F967" s="16"/>
      <c r="G967" s="16"/>
      <c r="H967" s="16"/>
      <c r="I967" s="16"/>
      <c r="J967" s="16"/>
      <c r="K967" s="16"/>
      <c r="L967" s="16"/>
      <c r="M967" s="16"/>
      <c r="N967" s="16"/>
      <c r="O967" s="16"/>
      <c r="P967" s="16"/>
      <c r="Q967" s="16"/>
      <c r="R967" s="16"/>
      <c r="S967" s="16"/>
      <c r="T967" s="16"/>
      <c r="U967" s="16"/>
      <c r="V967" s="16"/>
      <c r="W967" s="16"/>
      <c r="X967" s="16"/>
      <c r="Y967" s="16"/>
    </row>
    <row r="968" spans="1:25" x14ac:dyDescent="0.2">
      <c r="A968" s="14"/>
      <c r="B968" s="16"/>
      <c r="C968" s="6"/>
      <c r="D968" s="16"/>
      <c r="E968" s="6"/>
      <c r="F968" s="16"/>
      <c r="G968" s="16"/>
      <c r="H968" s="16"/>
      <c r="I968" s="16"/>
      <c r="J968" s="16"/>
      <c r="K968" s="16"/>
      <c r="L968" s="16"/>
      <c r="M968" s="16"/>
      <c r="N968" s="16"/>
      <c r="O968" s="16"/>
      <c r="P968" s="16"/>
      <c r="Q968" s="16"/>
      <c r="R968" s="16"/>
      <c r="S968" s="16"/>
      <c r="T968" s="16"/>
      <c r="U968" s="16"/>
      <c r="V968" s="16"/>
      <c r="W968" s="16"/>
      <c r="X968" s="16"/>
      <c r="Y968" s="16"/>
    </row>
    <row r="969" spans="1:25" x14ac:dyDescent="0.2">
      <c r="A969" s="14"/>
      <c r="B969" s="16"/>
      <c r="C969" s="6"/>
      <c r="D969" s="16"/>
      <c r="E969" s="6"/>
      <c r="F969" s="16"/>
      <c r="G969" s="16"/>
      <c r="H969" s="16"/>
      <c r="I969" s="16"/>
      <c r="J969" s="16"/>
      <c r="K969" s="16"/>
      <c r="L969" s="16"/>
      <c r="M969" s="16"/>
      <c r="N969" s="16"/>
      <c r="O969" s="16"/>
      <c r="P969" s="16"/>
      <c r="Q969" s="16"/>
      <c r="R969" s="16"/>
      <c r="S969" s="16"/>
      <c r="T969" s="16"/>
      <c r="U969" s="16"/>
      <c r="V969" s="16"/>
      <c r="W969" s="16"/>
      <c r="X969" s="16"/>
      <c r="Y969" s="16"/>
    </row>
    <row r="970" spans="1:25" x14ac:dyDescent="0.2">
      <c r="A970" s="14"/>
      <c r="B970" s="16"/>
      <c r="C970" s="6"/>
      <c r="D970" s="16"/>
      <c r="E970" s="6"/>
      <c r="F970" s="16"/>
      <c r="G970" s="16"/>
      <c r="H970" s="16"/>
      <c r="I970" s="16"/>
      <c r="J970" s="16"/>
      <c r="K970" s="16"/>
      <c r="L970" s="16"/>
      <c r="M970" s="16"/>
      <c r="N970" s="16"/>
      <c r="O970" s="16"/>
      <c r="P970" s="16"/>
      <c r="Q970" s="16"/>
      <c r="R970" s="16"/>
      <c r="S970" s="16"/>
      <c r="T970" s="16"/>
      <c r="U970" s="16"/>
      <c r="V970" s="16"/>
      <c r="W970" s="16"/>
      <c r="X970" s="16"/>
      <c r="Y970" s="16"/>
    </row>
    <row r="971" spans="1:25" x14ac:dyDescent="0.2">
      <c r="A971" s="14"/>
      <c r="B971" s="16"/>
      <c r="C971" s="6"/>
      <c r="D971" s="16"/>
      <c r="E971" s="6"/>
      <c r="F971" s="16"/>
      <c r="G971" s="16"/>
      <c r="H971" s="16"/>
      <c r="I971" s="16"/>
      <c r="J971" s="16"/>
      <c r="K971" s="16"/>
      <c r="L971" s="16"/>
      <c r="M971" s="16"/>
      <c r="N971" s="16"/>
      <c r="O971" s="16"/>
      <c r="P971" s="16"/>
      <c r="Q971" s="16"/>
      <c r="R971" s="16"/>
      <c r="S971" s="16"/>
      <c r="T971" s="16"/>
      <c r="U971" s="16"/>
      <c r="V971" s="16"/>
      <c r="W971" s="16"/>
      <c r="X971" s="16"/>
      <c r="Y971" s="16"/>
    </row>
    <row r="972" spans="1:25" x14ac:dyDescent="0.2">
      <c r="A972" s="14"/>
      <c r="B972" s="16"/>
      <c r="C972" s="6"/>
      <c r="D972" s="16"/>
      <c r="E972" s="6"/>
      <c r="F972" s="16"/>
      <c r="G972" s="16"/>
      <c r="H972" s="16"/>
      <c r="I972" s="16"/>
      <c r="J972" s="16"/>
      <c r="K972" s="16"/>
      <c r="L972" s="16"/>
      <c r="M972" s="16"/>
      <c r="N972" s="16"/>
      <c r="O972" s="16"/>
      <c r="P972" s="16"/>
      <c r="Q972" s="16"/>
      <c r="R972" s="16"/>
      <c r="S972" s="16"/>
      <c r="T972" s="16"/>
      <c r="U972" s="16"/>
      <c r="V972" s="16"/>
      <c r="W972" s="16"/>
      <c r="X972" s="16"/>
      <c r="Y972" s="16"/>
    </row>
    <row r="973" spans="1:25" x14ac:dyDescent="0.2">
      <c r="A973" s="14"/>
      <c r="B973" s="16"/>
      <c r="C973" s="6"/>
      <c r="D973" s="16"/>
      <c r="E973" s="6"/>
      <c r="F973" s="16"/>
      <c r="G973" s="16"/>
      <c r="H973" s="16"/>
      <c r="I973" s="16"/>
      <c r="J973" s="16"/>
      <c r="K973" s="16"/>
      <c r="L973" s="16"/>
      <c r="M973" s="16"/>
      <c r="N973" s="16"/>
      <c r="O973" s="16"/>
      <c r="P973" s="16"/>
      <c r="Q973" s="16"/>
      <c r="R973" s="16"/>
      <c r="S973" s="16"/>
      <c r="T973" s="16"/>
      <c r="U973" s="16"/>
      <c r="V973" s="16"/>
      <c r="W973" s="16"/>
      <c r="X973" s="16"/>
      <c r="Y973" s="16"/>
    </row>
    <row r="974" spans="1:25" x14ac:dyDescent="0.2">
      <c r="A974" s="14"/>
      <c r="B974" s="16"/>
      <c r="C974" s="6"/>
      <c r="D974" s="16"/>
      <c r="E974" s="6"/>
      <c r="F974" s="16"/>
      <c r="G974" s="16"/>
      <c r="H974" s="16"/>
      <c r="I974" s="16"/>
      <c r="J974" s="16"/>
      <c r="K974" s="16"/>
      <c r="L974" s="16"/>
      <c r="M974" s="16"/>
      <c r="N974" s="16"/>
      <c r="O974" s="16"/>
      <c r="P974" s="16"/>
      <c r="Q974" s="16"/>
      <c r="R974" s="16"/>
      <c r="S974" s="16"/>
      <c r="T974" s="16"/>
      <c r="U974" s="16"/>
      <c r="V974" s="16"/>
      <c r="W974" s="16"/>
      <c r="X974" s="16"/>
      <c r="Y974" s="16"/>
    </row>
    <row r="975" spans="1:25" x14ac:dyDescent="0.2">
      <c r="A975" s="14"/>
      <c r="B975" s="16"/>
      <c r="C975" s="6"/>
      <c r="D975" s="16"/>
      <c r="E975" s="6"/>
      <c r="F975" s="16"/>
      <c r="G975" s="16"/>
      <c r="H975" s="16"/>
      <c r="I975" s="16"/>
      <c r="J975" s="16"/>
      <c r="K975" s="16"/>
      <c r="L975" s="16"/>
      <c r="M975" s="16"/>
      <c r="N975" s="16"/>
      <c r="O975" s="16"/>
      <c r="P975" s="16"/>
      <c r="Q975" s="16"/>
      <c r="R975" s="16"/>
      <c r="S975" s="16"/>
      <c r="T975" s="16"/>
      <c r="U975" s="16"/>
      <c r="V975" s="16"/>
      <c r="W975" s="16"/>
      <c r="X975" s="16"/>
      <c r="Y975" s="16"/>
    </row>
    <row r="976" spans="1:25" x14ac:dyDescent="0.2">
      <c r="A976" s="14"/>
      <c r="B976" s="16"/>
      <c r="C976" s="6"/>
      <c r="D976" s="16"/>
      <c r="E976" s="6"/>
      <c r="F976" s="16"/>
      <c r="G976" s="16"/>
      <c r="H976" s="16"/>
      <c r="I976" s="16"/>
      <c r="J976" s="16"/>
      <c r="K976" s="16"/>
      <c r="L976" s="16"/>
      <c r="M976" s="16"/>
      <c r="N976" s="16"/>
      <c r="O976" s="16"/>
      <c r="P976" s="16"/>
      <c r="Q976" s="16"/>
      <c r="R976" s="16"/>
      <c r="S976" s="16"/>
      <c r="T976" s="16"/>
      <c r="U976" s="16"/>
      <c r="V976" s="16"/>
      <c r="W976" s="16"/>
      <c r="X976" s="16"/>
      <c r="Y976" s="16"/>
    </row>
    <row r="977" spans="1:25" x14ac:dyDescent="0.2">
      <c r="A977" s="14"/>
      <c r="B977" s="16"/>
      <c r="C977" s="6"/>
      <c r="D977" s="16"/>
      <c r="E977" s="6"/>
      <c r="F977" s="16"/>
      <c r="G977" s="16"/>
      <c r="H977" s="16"/>
      <c r="I977" s="16"/>
      <c r="J977" s="16"/>
      <c r="K977" s="16"/>
      <c r="L977" s="16"/>
      <c r="M977" s="16"/>
      <c r="N977" s="16"/>
      <c r="O977" s="16"/>
      <c r="P977" s="16"/>
      <c r="Q977" s="16"/>
      <c r="R977" s="16"/>
      <c r="S977" s="16"/>
      <c r="T977" s="16"/>
      <c r="U977" s="16"/>
      <c r="V977" s="16"/>
      <c r="W977" s="16"/>
      <c r="X977" s="16"/>
      <c r="Y977" s="16"/>
    </row>
    <row r="978" spans="1:25" x14ac:dyDescent="0.2">
      <c r="A978" s="14"/>
      <c r="B978" s="16"/>
      <c r="C978" s="6"/>
      <c r="D978" s="16"/>
      <c r="E978" s="6"/>
      <c r="F978" s="16"/>
      <c r="G978" s="16"/>
      <c r="H978" s="16"/>
      <c r="I978" s="16"/>
      <c r="J978" s="16"/>
      <c r="K978" s="16"/>
      <c r="L978" s="16"/>
      <c r="M978" s="16"/>
      <c r="N978" s="16"/>
      <c r="O978" s="16"/>
      <c r="P978" s="16"/>
      <c r="Q978" s="16"/>
      <c r="R978" s="16"/>
      <c r="S978" s="16"/>
      <c r="T978" s="16"/>
      <c r="U978" s="16"/>
      <c r="V978" s="16"/>
      <c r="W978" s="16"/>
      <c r="X978" s="16"/>
      <c r="Y978" s="16"/>
    </row>
    <row r="979" spans="1:25" x14ac:dyDescent="0.2">
      <c r="A979" s="14"/>
      <c r="B979" s="16"/>
      <c r="C979" s="6"/>
      <c r="D979" s="16"/>
      <c r="E979" s="6"/>
      <c r="F979" s="16"/>
      <c r="G979" s="16"/>
      <c r="H979" s="16"/>
      <c r="I979" s="16"/>
      <c r="J979" s="16"/>
      <c r="K979" s="16"/>
      <c r="L979" s="16"/>
      <c r="M979" s="16"/>
      <c r="N979" s="16"/>
      <c r="O979" s="16"/>
      <c r="P979" s="16"/>
      <c r="Q979" s="16"/>
      <c r="R979" s="16"/>
      <c r="S979" s="16"/>
      <c r="T979" s="16"/>
      <c r="U979" s="16"/>
      <c r="V979" s="16"/>
      <c r="W979" s="16"/>
      <c r="X979" s="16"/>
      <c r="Y979" s="16"/>
    </row>
    <row r="980" spans="1:25" x14ac:dyDescent="0.2">
      <c r="A980" s="14"/>
      <c r="B980" s="16"/>
      <c r="C980" s="6"/>
      <c r="D980" s="16"/>
      <c r="E980" s="6"/>
      <c r="F980" s="16"/>
      <c r="G980" s="16"/>
      <c r="H980" s="16"/>
      <c r="I980" s="16"/>
      <c r="J980" s="16"/>
      <c r="K980" s="16"/>
      <c r="L980" s="16"/>
      <c r="M980" s="16"/>
      <c r="N980" s="16"/>
      <c r="O980" s="16"/>
      <c r="P980" s="16"/>
      <c r="Q980" s="16"/>
      <c r="R980" s="16"/>
      <c r="S980" s="16"/>
      <c r="T980" s="16"/>
      <c r="U980" s="16"/>
      <c r="V980" s="16"/>
      <c r="W980" s="16"/>
      <c r="X980" s="16"/>
      <c r="Y980" s="16"/>
    </row>
    <row r="981" spans="1:25" x14ac:dyDescent="0.2">
      <c r="A981" s="14"/>
      <c r="B981" s="16"/>
      <c r="C981" s="6"/>
      <c r="D981" s="16"/>
      <c r="E981" s="6"/>
      <c r="F981" s="16"/>
      <c r="G981" s="16"/>
      <c r="H981" s="16"/>
      <c r="I981" s="16"/>
      <c r="J981" s="16"/>
      <c r="K981" s="16"/>
      <c r="L981" s="16"/>
      <c r="M981" s="16"/>
      <c r="N981" s="16"/>
      <c r="O981" s="16"/>
      <c r="P981" s="16"/>
      <c r="Q981" s="16"/>
      <c r="R981" s="16"/>
      <c r="S981" s="16"/>
      <c r="T981" s="16"/>
      <c r="U981" s="16"/>
      <c r="V981" s="16"/>
      <c r="W981" s="16"/>
      <c r="X981" s="16"/>
      <c r="Y981" s="16"/>
    </row>
    <row r="982" spans="1:25" x14ac:dyDescent="0.2">
      <c r="A982" s="14"/>
      <c r="B982" s="16"/>
      <c r="C982" s="6"/>
      <c r="D982" s="16"/>
      <c r="E982" s="6"/>
      <c r="F982" s="16"/>
      <c r="G982" s="16"/>
      <c r="H982" s="16"/>
      <c r="I982" s="16"/>
      <c r="J982" s="16"/>
      <c r="K982" s="16"/>
      <c r="L982" s="16"/>
      <c r="M982" s="16"/>
      <c r="N982" s="16"/>
      <c r="O982" s="16"/>
      <c r="P982" s="16"/>
      <c r="Q982" s="16"/>
      <c r="R982" s="16"/>
      <c r="S982" s="16"/>
      <c r="T982" s="16"/>
      <c r="U982" s="16"/>
      <c r="V982" s="16"/>
      <c r="W982" s="16"/>
      <c r="X982" s="16"/>
      <c r="Y982" s="16"/>
    </row>
    <row r="983" spans="1:25" x14ac:dyDescent="0.2">
      <c r="A983" s="14"/>
      <c r="B983" s="16"/>
      <c r="C983" s="6"/>
      <c r="D983" s="16"/>
      <c r="E983" s="6"/>
      <c r="F983" s="16"/>
      <c r="G983" s="16"/>
      <c r="H983" s="16"/>
      <c r="I983" s="16"/>
      <c r="J983" s="16"/>
      <c r="K983" s="16"/>
      <c r="L983" s="16"/>
      <c r="M983" s="16"/>
      <c r="N983" s="16"/>
      <c r="O983" s="16"/>
      <c r="P983" s="16"/>
      <c r="Q983" s="16"/>
      <c r="R983" s="16"/>
      <c r="S983" s="16"/>
      <c r="T983" s="16"/>
      <c r="U983" s="16"/>
      <c r="V983" s="16"/>
      <c r="W983" s="16"/>
      <c r="X983" s="16"/>
      <c r="Y983" s="16"/>
    </row>
    <row r="984" spans="1:25" x14ac:dyDescent="0.2">
      <c r="A984" s="14"/>
      <c r="B984" s="16"/>
      <c r="C984" s="6"/>
      <c r="D984" s="16"/>
      <c r="E984" s="6"/>
      <c r="F984" s="16"/>
      <c r="G984" s="16"/>
      <c r="H984" s="16"/>
      <c r="I984" s="16"/>
      <c r="J984" s="16"/>
      <c r="K984" s="16"/>
      <c r="L984" s="16"/>
      <c r="M984" s="16"/>
      <c r="N984" s="16"/>
      <c r="O984" s="16"/>
      <c r="P984" s="16"/>
      <c r="Q984" s="16"/>
      <c r="R984" s="16"/>
      <c r="S984" s="16"/>
      <c r="T984" s="16"/>
      <c r="U984" s="16"/>
      <c r="V984" s="16"/>
      <c r="W984" s="16"/>
      <c r="X984" s="16"/>
      <c r="Y984" s="16"/>
    </row>
    <row r="985" spans="1:25" x14ac:dyDescent="0.2">
      <c r="A985" s="14"/>
      <c r="B985" s="16"/>
      <c r="C985" s="6"/>
      <c r="D985" s="16"/>
      <c r="E985" s="6"/>
      <c r="F985" s="16"/>
      <c r="G985" s="16"/>
      <c r="H985" s="16"/>
      <c r="I985" s="16"/>
      <c r="J985" s="16"/>
      <c r="K985" s="16"/>
      <c r="L985" s="16"/>
      <c r="M985" s="16"/>
      <c r="N985" s="16"/>
      <c r="O985" s="16"/>
      <c r="P985" s="16"/>
      <c r="Q985" s="16"/>
      <c r="R985" s="16"/>
      <c r="S985" s="16"/>
      <c r="T985" s="16"/>
      <c r="U985" s="16"/>
      <c r="V985" s="16"/>
      <c r="W985" s="16"/>
      <c r="X985" s="16"/>
      <c r="Y985" s="16"/>
    </row>
    <row r="986" spans="1:25" x14ac:dyDescent="0.2">
      <c r="A986" s="14"/>
      <c r="B986" s="16"/>
      <c r="C986" s="6"/>
      <c r="D986" s="16"/>
      <c r="E986" s="6"/>
      <c r="F986" s="16"/>
      <c r="G986" s="16"/>
      <c r="H986" s="16"/>
      <c r="I986" s="16"/>
      <c r="J986" s="16"/>
      <c r="K986" s="16"/>
      <c r="L986" s="16"/>
      <c r="M986" s="16"/>
      <c r="N986" s="16"/>
      <c r="O986" s="16"/>
      <c r="P986" s="16"/>
      <c r="Q986" s="16"/>
      <c r="R986" s="16"/>
      <c r="S986" s="16"/>
      <c r="T986" s="16"/>
      <c r="U986" s="16"/>
      <c r="V986" s="16"/>
      <c r="W986" s="16"/>
      <c r="X986" s="16"/>
      <c r="Y986" s="16"/>
    </row>
    <row r="987" spans="1:25" x14ac:dyDescent="0.2">
      <c r="A987" s="14"/>
      <c r="B987" s="16"/>
      <c r="C987" s="6"/>
      <c r="D987" s="16"/>
      <c r="E987" s="6"/>
      <c r="F987" s="16"/>
      <c r="G987" s="16"/>
      <c r="H987" s="16"/>
      <c r="I987" s="16"/>
      <c r="J987" s="16"/>
      <c r="K987" s="16"/>
      <c r="L987" s="16"/>
      <c r="M987" s="16"/>
      <c r="N987" s="16"/>
      <c r="O987" s="16"/>
      <c r="P987" s="16"/>
      <c r="Q987" s="16"/>
      <c r="R987" s="16"/>
      <c r="S987" s="16"/>
      <c r="T987" s="16"/>
      <c r="U987" s="16"/>
      <c r="V987" s="16"/>
      <c r="W987" s="16"/>
      <c r="X987" s="16"/>
      <c r="Y987" s="16"/>
    </row>
    <row r="988" spans="1:25" x14ac:dyDescent="0.2">
      <c r="A988" s="14"/>
      <c r="B988" s="16"/>
      <c r="C988" s="6"/>
      <c r="D988" s="16"/>
      <c r="E988" s="6"/>
      <c r="F988" s="16"/>
      <c r="G988" s="16"/>
      <c r="H988" s="16"/>
      <c r="I988" s="16"/>
      <c r="J988" s="16"/>
      <c r="K988" s="16"/>
      <c r="L988" s="16"/>
      <c r="M988" s="16"/>
      <c r="N988" s="16"/>
      <c r="O988" s="16"/>
      <c r="P988" s="16"/>
      <c r="Q988" s="16"/>
      <c r="R988" s="16"/>
      <c r="S988" s="16"/>
      <c r="T988" s="16"/>
      <c r="U988" s="16"/>
      <c r="V988" s="16"/>
      <c r="W988" s="16"/>
      <c r="X988" s="16"/>
      <c r="Y988" s="16"/>
    </row>
    <row r="989" spans="1:25" x14ac:dyDescent="0.2">
      <c r="A989" s="14"/>
      <c r="B989" s="16"/>
      <c r="C989" s="6"/>
      <c r="D989" s="16"/>
      <c r="E989" s="6"/>
      <c r="F989" s="16"/>
      <c r="G989" s="16"/>
      <c r="H989" s="16"/>
      <c r="I989" s="16"/>
      <c r="J989" s="16"/>
      <c r="K989" s="16"/>
      <c r="L989" s="16"/>
      <c r="M989" s="16"/>
      <c r="N989" s="16"/>
      <c r="O989" s="16"/>
      <c r="P989" s="16"/>
      <c r="Q989" s="16"/>
      <c r="R989" s="16"/>
      <c r="S989" s="16"/>
      <c r="T989" s="16"/>
      <c r="U989" s="16"/>
      <c r="V989" s="16"/>
      <c r="W989" s="16"/>
      <c r="X989" s="16"/>
      <c r="Y989" s="16"/>
    </row>
    <row r="990" spans="1:25" x14ac:dyDescent="0.2">
      <c r="A990" s="14"/>
      <c r="B990" s="16"/>
      <c r="C990" s="6"/>
      <c r="D990" s="16"/>
      <c r="E990" s="6"/>
      <c r="F990" s="16"/>
      <c r="G990" s="16"/>
      <c r="H990" s="16"/>
      <c r="I990" s="16"/>
      <c r="J990" s="16"/>
      <c r="K990" s="16"/>
      <c r="L990" s="16"/>
      <c r="M990" s="16"/>
      <c r="N990" s="16"/>
      <c r="O990" s="16"/>
      <c r="P990" s="16"/>
      <c r="Q990" s="16"/>
      <c r="R990" s="16"/>
      <c r="S990" s="16"/>
      <c r="T990" s="16"/>
      <c r="U990" s="16"/>
      <c r="V990" s="16"/>
      <c r="W990" s="16"/>
      <c r="X990" s="16"/>
      <c r="Y990" s="16"/>
    </row>
    <row r="991" spans="1:25" x14ac:dyDescent="0.2">
      <c r="A991" s="14"/>
      <c r="B991" s="16"/>
      <c r="C991" s="6"/>
      <c r="D991" s="16"/>
      <c r="E991" s="6"/>
      <c r="F991" s="16"/>
      <c r="G991" s="16"/>
      <c r="H991" s="16"/>
      <c r="I991" s="16"/>
      <c r="J991" s="16"/>
      <c r="K991" s="16"/>
      <c r="L991" s="16"/>
      <c r="M991" s="16"/>
      <c r="N991" s="16"/>
      <c r="O991" s="16"/>
      <c r="P991" s="16"/>
      <c r="Q991" s="16"/>
      <c r="R991" s="16"/>
      <c r="S991" s="16"/>
      <c r="T991" s="16"/>
      <c r="U991" s="16"/>
      <c r="V991" s="16"/>
      <c r="W991" s="16"/>
      <c r="X991" s="16"/>
      <c r="Y991" s="16"/>
    </row>
    <row r="992" spans="1:25" x14ac:dyDescent="0.2">
      <c r="A992" s="14"/>
      <c r="B992" s="16"/>
      <c r="C992" s="6"/>
      <c r="D992" s="16"/>
      <c r="E992" s="6"/>
      <c r="F992" s="16"/>
      <c r="G992" s="16"/>
      <c r="H992" s="16"/>
      <c r="I992" s="16"/>
      <c r="J992" s="16"/>
      <c r="K992" s="16"/>
      <c r="L992" s="16"/>
      <c r="M992" s="16"/>
      <c r="N992" s="16"/>
      <c r="O992" s="16"/>
      <c r="P992" s="16"/>
      <c r="Q992" s="16"/>
      <c r="R992" s="16"/>
      <c r="S992" s="16"/>
      <c r="T992" s="16"/>
      <c r="U992" s="16"/>
      <c r="V992" s="16"/>
      <c r="W992" s="16"/>
      <c r="X992" s="16"/>
      <c r="Y992" s="16"/>
    </row>
    <row r="993" spans="1:25" x14ac:dyDescent="0.2">
      <c r="A993" s="14"/>
      <c r="B993" s="16"/>
      <c r="C993" s="6"/>
      <c r="D993" s="16"/>
      <c r="E993" s="6"/>
      <c r="F993" s="16"/>
      <c r="G993" s="16"/>
      <c r="H993" s="16"/>
      <c r="I993" s="16"/>
      <c r="J993" s="16"/>
      <c r="K993" s="16"/>
      <c r="L993" s="16"/>
      <c r="M993" s="16"/>
      <c r="N993" s="16"/>
      <c r="O993" s="16"/>
      <c r="P993" s="16"/>
      <c r="Q993" s="16"/>
      <c r="R993" s="16"/>
      <c r="S993" s="16"/>
      <c r="T993" s="16"/>
      <c r="U993" s="16"/>
      <c r="V993" s="16"/>
      <c r="W993" s="16"/>
      <c r="X993" s="16"/>
      <c r="Y993" s="16"/>
    </row>
    <row r="994" spans="1:25" x14ac:dyDescent="0.2">
      <c r="A994" s="14"/>
      <c r="B994" s="16"/>
      <c r="C994" s="6"/>
      <c r="D994" s="16"/>
      <c r="E994" s="6"/>
      <c r="F994" s="16"/>
      <c r="G994" s="16"/>
      <c r="H994" s="16"/>
      <c r="I994" s="16"/>
      <c r="J994" s="16"/>
      <c r="K994" s="16"/>
      <c r="L994" s="16"/>
      <c r="M994" s="16"/>
      <c r="N994" s="16"/>
      <c r="O994" s="16"/>
      <c r="P994" s="16"/>
      <c r="Q994" s="16"/>
      <c r="R994" s="16"/>
      <c r="S994" s="16"/>
      <c r="T994" s="16"/>
      <c r="U994" s="16"/>
      <c r="V994" s="16"/>
      <c r="W994" s="16"/>
      <c r="X994" s="16"/>
      <c r="Y994" s="16"/>
    </row>
    <row r="995" spans="1:25" x14ac:dyDescent="0.2">
      <c r="A995" s="14"/>
      <c r="B995" s="16"/>
      <c r="C995" s="6"/>
      <c r="D995" s="16"/>
      <c r="E995" s="6"/>
      <c r="F995" s="16"/>
      <c r="G995" s="16"/>
      <c r="H995" s="16"/>
      <c r="I995" s="16"/>
      <c r="J995" s="16"/>
      <c r="K995" s="16"/>
      <c r="L995" s="16"/>
      <c r="M995" s="16"/>
      <c r="N995" s="16"/>
      <c r="O995" s="16"/>
      <c r="P995" s="16"/>
      <c r="Q995" s="16"/>
      <c r="R995" s="16"/>
      <c r="S995" s="16"/>
      <c r="T995" s="16"/>
      <c r="U995" s="16"/>
      <c r="V995" s="16"/>
      <c r="W995" s="16"/>
      <c r="X995" s="16"/>
      <c r="Y995" s="16"/>
    </row>
    <row r="996" spans="1:25" x14ac:dyDescent="0.2">
      <c r="A996" s="14"/>
      <c r="B996" s="16"/>
      <c r="C996" s="6"/>
      <c r="D996" s="16"/>
      <c r="E996" s="6"/>
      <c r="F996" s="16"/>
      <c r="G996" s="16"/>
      <c r="H996" s="16"/>
      <c r="I996" s="16"/>
      <c r="J996" s="16"/>
      <c r="K996" s="16"/>
      <c r="L996" s="16"/>
      <c r="M996" s="16"/>
      <c r="N996" s="16"/>
      <c r="O996" s="16"/>
      <c r="P996" s="16"/>
      <c r="Q996" s="16"/>
      <c r="R996" s="16"/>
      <c r="S996" s="16"/>
      <c r="T996" s="16"/>
      <c r="U996" s="16"/>
      <c r="V996" s="16"/>
      <c r="W996" s="16"/>
      <c r="X996" s="16"/>
      <c r="Y996" s="16"/>
    </row>
    <row r="997" spans="1:25" x14ac:dyDescent="0.2">
      <c r="A997" s="14"/>
      <c r="B997" s="16"/>
      <c r="C997" s="6"/>
      <c r="D997" s="16"/>
      <c r="E997" s="6"/>
      <c r="F997" s="16"/>
      <c r="G997" s="16"/>
      <c r="H997" s="16"/>
      <c r="I997" s="16"/>
      <c r="J997" s="16"/>
      <c r="K997" s="16"/>
      <c r="L997" s="16"/>
      <c r="M997" s="16"/>
      <c r="N997" s="16"/>
      <c r="O997" s="16"/>
      <c r="P997" s="16"/>
      <c r="Q997" s="16"/>
      <c r="R997" s="16"/>
      <c r="S997" s="16"/>
      <c r="T997" s="16"/>
      <c r="U997" s="16"/>
      <c r="V997" s="16"/>
      <c r="W997" s="16"/>
      <c r="X997" s="16"/>
      <c r="Y997" s="16"/>
    </row>
    <row r="998" spans="1:25" x14ac:dyDescent="0.2">
      <c r="A998" s="14"/>
      <c r="B998" s="16"/>
      <c r="C998" s="6"/>
      <c r="D998" s="16"/>
      <c r="E998" s="6"/>
      <c r="F998" s="16"/>
      <c r="G998" s="16"/>
      <c r="H998" s="16"/>
      <c r="I998" s="16"/>
      <c r="J998" s="16"/>
      <c r="K998" s="16"/>
      <c r="L998" s="16"/>
      <c r="M998" s="16"/>
      <c r="N998" s="16"/>
      <c r="O998" s="16"/>
      <c r="P998" s="16"/>
      <c r="Q998" s="16"/>
      <c r="R998" s="16"/>
      <c r="S998" s="16"/>
      <c r="T998" s="16"/>
      <c r="U998" s="16"/>
      <c r="V998" s="16"/>
      <c r="W998" s="16"/>
      <c r="X998" s="16"/>
      <c r="Y998" s="16"/>
    </row>
    <row r="999" spans="1:25" x14ac:dyDescent="0.2">
      <c r="A999" s="14"/>
      <c r="B999" s="16"/>
      <c r="C999" s="6"/>
      <c r="D999" s="16"/>
      <c r="E999" s="6"/>
      <c r="F999" s="16"/>
      <c r="G999" s="16"/>
      <c r="H999" s="16"/>
      <c r="I999" s="16"/>
      <c r="J999" s="16"/>
      <c r="K999" s="16"/>
      <c r="L999" s="16"/>
      <c r="M999" s="16"/>
      <c r="N999" s="16"/>
      <c r="O999" s="16"/>
      <c r="P999" s="16"/>
      <c r="Q999" s="16"/>
      <c r="R999" s="16"/>
      <c r="S999" s="16"/>
      <c r="T999" s="16"/>
      <c r="U999" s="16"/>
      <c r="V999" s="16"/>
      <c r="W999" s="16"/>
      <c r="X999" s="16"/>
      <c r="Y999" s="16"/>
    </row>
    <row r="1000" spans="1:25" x14ac:dyDescent="0.2">
      <c r="A1000" s="14"/>
      <c r="B1000" s="16"/>
      <c r="C1000" s="6"/>
      <c r="D1000" s="16"/>
      <c r="E1000" s="6"/>
      <c r="F1000" s="16"/>
      <c r="G1000" s="16"/>
      <c r="H1000" s="16"/>
      <c r="I1000" s="16"/>
      <c r="J1000" s="16"/>
      <c r="K1000" s="16"/>
      <c r="L1000" s="16"/>
      <c r="M1000" s="16"/>
      <c r="N1000" s="16"/>
      <c r="O1000" s="16"/>
      <c r="P1000" s="16"/>
      <c r="Q1000" s="16"/>
      <c r="R1000" s="16"/>
      <c r="S1000" s="16"/>
      <c r="T1000" s="16"/>
      <c r="U1000" s="16"/>
      <c r="V1000" s="16"/>
      <c r="W1000" s="16"/>
      <c r="X1000" s="16"/>
      <c r="Y1000" s="16"/>
    </row>
    <row r="1001" spans="1:25" x14ac:dyDescent="0.2">
      <c r="A1001" s="14"/>
      <c r="B1001" s="16"/>
      <c r="C1001" s="6"/>
      <c r="D1001" s="16"/>
      <c r="E1001" s="6"/>
      <c r="F1001" s="16"/>
      <c r="G1001" s="16"/>
      <c r="H1001" s="16"/>
      <c r="I1001" s="16"/>
      <c r="J1001" s="16"/>
      <c r="K1001" s="16"/>
      <c r="L1001" s="16"/>
      <c r="M1001" s="16"/>
      <c r="N1001" s="16"/>
      <c r="O1001" s="16"/>
      <c r="P1001" s="16"/>
      <c r="Q1001" s="16"/>
      <c r="R1001" s="16"/>
      <c r="S1001" s="16"/>
      <c r="T1001" s="16"/>
      <c r="U1001" s="16"/>
      <c r="V1001" s="16"/>
      <c r="W1001" s="16"/>
      <c r="X1001" s="16"/>
      <c r="Y1001" s="16"/>
    </row>
    <row r="1002" spans="1:25" x14ac:dyDescent="0.2">
      <c r="A1002" s="14"/>
      <c r="B1002" s="16"/>
      <c r="C1002" s="6"/>
      <c r="D1002" s="16"/>
      <c r="E1002" s="6"/>
      <c r="F1002" s="16"/>
      <c r="G1002" s="16"/>
      <c r="H1002" s="16"/>
      <c r="I1002" s="16"/>
      <c r="J1002" s="16"/>
      <c r="K1002" s="16"/>
      <c r="L1002" s="16"/>
      <c r="M1002" s="16"/>
      <c r="N1002" s="16"/>
      <c r="O1002" s="16"/>
      <c r="P1002" s="16"/>
      <c r="Q1002" s="16"/>
      <c r="R1002" s="16"/>
      <c r="S1002" s="16"/>
      <c r="T1002" s="16"/>
      <c r="U1002" s="16"/>
      <c r="V1002" s="16"/>
      <c r="W1002" s="16"/>
      <c r="X1002" s="16"/>
      <c r="Y1002" s="16"/>
    </row>
    <row r="1003" spans="1:25" x14ac:dyDescent="0.2">
      <c r="A1003" s="14"/>
      <c r="B1003" s="16"/>
      <c r="C1003" s="6"/>
      <c r="D1003" s="16"/>
      <c r="E1003" s="6"/>
      <c r="F1003" s="16"/>
      <c r="G1003" s="16"/>
      <c r="H1003" s="16"/>
      <c r="I1003" s="16"/>
      <c r="J1003" s="16"/>
      <c r="K1003" s="16"/>
      <c r="L1003" s="16"/>
      <c r="M1003" s="16"/>
      <c r="N1003" s="16"/>
      <c r="O1003" s="16"/>
      <c r="P1003" s="16"/>
      <c r="Q1003" s="16"/>
      <c r="R1003" s="16"/>
      <c r="S1003" s="16"/>
      <c r="T1003" s="16"/>
      <c r="U1003" s="16"/>
      <c r="V1003" s="16"/>
      <c r="W1003" s="16"/>
      <c r="X1003" s="16"/>
      <c r="Y1003" s="16"/>
    </row>
    <row r="1004" spans="1:25" x14ac:dyDescent="0.2">
      <c r="A1004" s="14"/>
      <c r="B1004" s="16"/>
      <c r="C1004" s="6"/>
      <c r="D1004" s="16"/>
      <c r="E1004" s="6"/>
      <c r="F1004" s="16"/>
      <c r="G1004" s="16"/>
      <c r="H1004" s="16"/>
      <c r="I1004" s="16"/>
      <c r="J1004" s="16"/>
      <c r="K1004" s="16"/>
      <c r="L1004" s="16"/>
      <c r="M1004" s="16"/>
      <c r="N1004" s="16"/>
      <c r="O1004" s="16"/>
      <c r="P1004" s="16"/>
      <c r="Q1004" s="16"/>
      <c r="R1004" s="16"/>
      <c r="S1004" s="16"/>
      <c r="T1004" s="16"/>
      <c r="U1004" s="16"/>
      <c r="V1004" s="16"/>
      <c r="W1004" s="16"/>
      <c r="X1004" s="16"/>
      <c r="Y1004" s="16"/>
    </row>
    <row r="1005" spans="1:25" x14ac:dyDescent="0.2">
      <c r="A1005" s="14"/>
      <c r="B1005" s="16"/>
      <c r="C1005" s="6"/>
      <c r="D1005" s="16"/>
      <c r="E1005" s="6"/>
      <c r="F1005" s="16"/>
      <c r="G1005" s="16"/>
      <c r="H1005" s="16"/>
      <c r="I1005" s="16"/>
      <c r="J1005" s="16"/>
      <c r="K1005" s="16"/>
      <c r="L1005" s="16"/>
      <c r="M1005" s="16"/>
      <c r="N1005" s="16"/>
      <c r="O1005" s="16"/>
      <c r="P1005" s="16"/>
      <c r="Q1005" s="16"/>
      <c r="R1005" s="16"/>
      <c r="S1005" s="16"/>
      <c r="T1005" s="16"/>
      <c r="U1005" s="16"/>
      <c r="V1005" s="16"/>
      <c r="W1005" s="16"/>
      <c r="X1005" s="16"/>
      <c r="Y1005" s="16"/>
    </row>
    <row r="1006" spans="1:25" x14ac:dyDescent="0.2">
      <c r="A1006" s="14"/>
      <c r="B1006" s="16"/>
      <c r="C1006" s="6"/>
      <c r="D1006" s="16"/>
      <c r="E1006" s="6"/>
      <c r="F1006" s="16"/>
      <c r="G1006" s="16"/>
      <c r="H1006" s="16"/>
      <c r="I1006" s="16"/>
      <c r="J1006" s="16"/>
      <c r="K1006" s="16"/>
      <c r="L1006" s="16"/>
      <c r="M1006" s="16"/>
      <c r="N1006" s="16"/>
      <c r="O1006" s="16"/>
      <c r="P1006" s="16"/>
      <c r="Q1006" s="16"/>
      <c r="R1006" s="16"/>
      <c r="S1006" s="16"/>
      <c r="T1006" s="16"/>
      <c r="U1006" s="16"/>
      <c r="V1006" s="16"/>
      <c r="W1006" s="16"/>
      <c r="X1006" s="16"/>
      <c r="Y1006" s="16"/>
    </row>
    <row r="1007" spans="1:25" x14ac:dyDescent="0.2">
      <c r="A1007" s="14"/>
      <c r="B1007" s="16"/>
      <c r="C1007" s="6"/>
      <c r="D1007" s="16"/>
      <c r="E1007" s="6"/>
      <c r="F1007" s="16"/>
      <c r="G1007" s="16"/>
      <c r="H1007" s="16"/>
      <c r="I1007" s="16"/>
      <c r="J1007" s="16"/>
      <c r="K1007" s="16"/>
      <c r="L1007" s="16"/>
      <c r="M1007" s="16"/>
      <c r="N1007" s="16"/>
      <c r="O1007" s="16"/>
      <c r="P1007" s="16"/>
      <c r="Q1007" s="16"/>
      <c r="R1007" s="16"/>
      <c r="S1007" s="16"/>
      <c r="T1007" s="16"/>
      <c r="U1007" s="16"/>
      <c r="V1007" s="16"/>
      <c r="W1007" s="16"/>
      <c r="X1007" s="16"/>
      <c r="Y1007" s="16"/>
    </row>
    <row r="1008" spans="1:25" x14ac:dyDescent="0.2">
      <c r="A1008" s="14"/>
      <c r="B1008" s="16"/>
      <c r="C1008" s="6"/>
      <c r="D1008" s="16"/>
      <c r="E1008" s="6"/>
      <c r="F1008" s="16"/>
      <c r="G1008" s="16"/>
      <c r="H1008" s="16"/>
      <c r="I1008" s="16"/>
      <c r="J1008" s="16"/>
      <c r="K1008" s="16"/>
      <c r="L1008" s="16"/>
      <c r="M1008" s="16"/>
      <c r="N1008" s="16"/>
      <c r="O1008" s="16"/>
      <c r="P1008" s="16"/>
      <c r="Q1008" s="16"/>
      <c r="R1008" s="16"/>
      <c r="S1008" s="16"/>
      <c r="T1008" s="16"/>
      <c r="U1008" s="16"/>
      <c r="V1008" s="16"/>
      <c r="W1008" s="16"/>
      <c r="X1008" s="16"/>
      <c r="Y1008" s="16"/>
    </row>
    <row r="1009" spans="1:25" x14ac:dyDescent="0.2">
      <c r="A1009" s="14"/>
      <c r="B1009" s="16"/>
      <c r="C1009" s="6"/>
      <c r="D1009" s="16"/>
      <c r="E1009" s="6"/>
      <c r="F1009" s="16"/>
      <c r="G1009" s="16"/>
      <c r="H1009" s="16"/>
      <c r="I1009" s="16"/>
      <c r="J1009" s="16"/>
      <c r="K1009" s="16"/>
      <c r="L1009" s="16"/>
      <c r="M1009" s="16"/>
      <c r="N1009" s="16"/>
      <c r="O1009" s="16"/>
      <c r="P1009" s="16"/>
      <c r="Q1009" s="16"/>
      <c r="R1009" s="16"/>
      <c r="S1009" s="16"/>
      <c r="T1009" s="16"/>
      <c r="U1009" s="16"/>
      <c r="V1009" s="16"/>
      <c r="W1009" s="16"/>
      <c r="X1009" s="16"/>
      <c r="Y1009" s="16"/>
    </row>
    <row r="1010" spans="1:25" x14ac:dyDescent="0.2">
      <c r="A1010" s="14"/>
      <c r="B1010" s="16"/>
      <c r="C1010" s="6"/>
      <c r="D1010" s="16"/>
      <c r="E1010" s="6"/>
      <c r="F1010" s="16"/>
      <c r="G1010" s="16"/>
      <c r="H1010" s="16"/>
      <c r="I1010" s="16"/>
      <c r="J1010" s="16"/>
      <c r="K1010" s="16"/>
      <c r="L1010" s="16"/>
      <c r="M1010" s="16"/>
      <c r="N1010" s="16"/>
      <c r="O1010" s="16"/>
      <c r="P1010" s="16"/>
      <c r="Q1010" s="16"/>
      <c r="R1010" s="16"/>
      <c r="S1010" s="16"/>
      <c r="T1010" s="16"/>
      <c r="U1010" s="16"/>
      <c r="V1010" s="16"/>
      <c r="W1010" s="16"/>
      <c r="X1010" s="16"/>
      <c r="Y1010" s="16"/>
    </row>
    <row r="1011" spans="1:25" x14ac:dyDescent="0.2">
      <c r="A1011" s="14"/>
      <c r="B1011" s="16"/>
      <c r="C1011" s="6"/>
      <c r="D1011" s="16"/>
      <c r="E1011" s="6"/>
      <c r="F1011" s="16"/>
      <c r="G1011" s="16"/>
      <c r="H1011" s="16"/>
      <c r="I1011" s="16"/>
      <c r="J1011" s="16"/>
      <c r="K1011" s="16"/>
      <c r="L1011" s="16"/>
      <c r="M1011" s="16"/>
      <c r="N1011" s="16"/>
      <c r="O1011" s="16"/>
      <c r="P1011" s="16"/>
      <c r="Q1011" s="16"/>
      <c r="R1011" s="16"/>
      <c r="S1011" s="16"/>
      <c r="T1011" s="16"/>
      <c r="U1011" s="16"/>
      <c r="V1011" s="16"/>
      <c r="W1011" s="16"/>
      <c r="X1011" s="16"/>
      <c r="Y1011" s="16"/>
    </row>
    <row r="1012" spans="1:25" x14ac:dyDescent="0.2">
      <c r="A1012" s="14"/>
      <c r="B1012" s="16"/>
      <c r="C1012" s="6"/>
      <c r="D1012" s="16"/>
      <c r="E1012" s="6"/>
      <c r="F1012" s="16"/>
      <c r="G1012" s="16"/>
      <c r="H1012" s="16"/>
      <c r="I1012" s="16"/>
      <c r="J1012" s="16"/>
      <c r="K1012" s="16"/>
      <c r="L1012" s="16"/>
      <c r="M1012" s="16"/>
      <c r="N1012" s="16"/>
      <c r="O1012" s="16"/>
      <c r="P1012" s="16"/>
      <c r="Q1012" s="16"/>
      <c r="R1012" s="16"/>
      <c r="S1012" s="16"/>
      <c r="T1012" s="16"/>
      <c r="U1012" s="16"/>
      <c r="V1012" s="16"/>
      <c r="W1012" s="16"/>
      <c r="X1012" s="16"/>
      <c r="Y1012" s="16"/>
    </row>
    <row r="1013" spans="1:25" x14ac:dyDescent="0.2">
      <c r="A1013" s="14"/>
      <c r="B1013" s="16"/>
      <c r="C1013" s="6"/>
      <c r="D1013" s="16"/>
      <c r="E1013" s="6"/>
      <c r="F1013" s="16"/>
      <c r="G1013" s="16"/>
      <c r="H1013" s="16"/>
      <c r="I1013" s="16"/>
      <c r="J1013" s="16"/>
      <c r="K1013" s="16"/>
      <c r="L1013" s="16"/>
      <c r="M1013" s="16"/>
      <c r="N1013" s="16"/>
      <c r="O1013" s="16"/>
      <c r="P1013" s="16"/>
      <c r="Q1013" s="16"/>
      <c r="R1013" s="16"/>
      <c r="S1013" s="16"/>
      <c r="T1013" s="16"/>
      <c r="U1013" s="16"/>
      <c r="V1013" s="16"/>
      <c r="W1013" s="16"/>
      <c r="X1013" s="16"/>
      <c r="Y1013" s="16"/>
    </row>
    <row r="1014" spans="1:25" x14ac:dyDescent="0.2">
      <c r="A1014" s="14"/>
      <c r="B1014" s="16"/>
      <c r="C1014" s="6"/>
      <c r="D1014" s="16"/>
      <c r="E1014" s="6"/>
      <c r="F1014" s="16"/>
      <c r="G1014" s="16"/>
      <c r="H1014" s="16"/>
      <c r="I1014" s="16"/>
      <c r="J1014" s="16"/>
      <c r="K1014" s="16"/>
      <c r="L1014" s="16"/>
      <c r="M1014" s="16"/>
      <c r="N1014" s="16"/>
      <c r="O1014" s="16"/>
      <c r="P1014" s="16"/>
      <c r="Q1014" s="16"/>
      <c r="R1014" s="16"/>
      <c r="S1014" s="16"/>
      <c r="T1014" s="16"/>
      <c r="U1014" s="16"/>
      <c r="V1014" s="16"/>
      <c r="W1014" s="16"/>
      <c r="X1014" s="16"/>
      <c r="Y1014" s="16"/>
    </row>
    <row r="1015" spans="1:25" x14ac:dyDescent="0.2">
      <c r="A1015" s="14"/>
      <c r="B1015" s="16"/>
      <c r="C1015" s="6"/>
      <c r="D1015" s="16"/>
      <c r="E1015" s="6"/>
      <c r="F1015" s="16"/>
      <c r="G1015" s="16"/>
      <c r="H1015" s="16"/>
      <c r="I1015" s="16"/>
      <c r="J1015" s="16"/>
      <c r="K1015" s="16"/>
      <c r="L1015" s="16"/>
      <c r="M1015" s="16"/>
      <c r="N1015" s="16"/>
      <c r="O1015" s="16"/>
      <c r="P1015" s="16"/>
      <c r="Q1015" s="16"/>
      <c r="R1015" s="16"/>
      <c r="S1015" s="16"/>
      <c r="T1015" s="16"/>
      <c r="U1015" s="16"/>
      <c r="V1015" s="16"/>
      <c r="W1015" s="16"/>
      <c r="X1015" s="16"/>
      <c r="Y1015" s="16"/>
    </row>
    <row r="1016" spans="1:25" x14ac:dyDescent="0.2">
      <c r="A1016" s="14"/>
      <c r="B1016" s="16"/>
      <c r="C1016" s="6"/>
      <c r="D1016" s="16"/>
      <c r="E1016" s="6"/>
      <c r="F1016" s="16"/>
      <c r="G1016" s="16"/>
      <c r="H1016" s="16"/>
      <c r="I1016" s="16"/>
      <c r="J1016" s="16"/>
      <c r="K1016" s="16"/>
      <c r="L1016" s="16"/>
      <c r="M1016" s="16"/>
      <c r="N1016" s="16"/>
      <c r="O1016" s="16"/>
      <c r="P1016" s="16"/>
      <c r="Q1016" s="16"/>
      <c r="R1016" s="16"/>
      <c r="S1016" s="16"/>
      <c r="T1016" s="16"/>
      <c r="U1016" s="16"/>
      <c r="V1016" s="16"/>
      <c r="W1016" s="16"/>
      <c r="X1016" s="16"/>
      <c r="Y1016" s="16"/>
    </row>
    <row r="1017" spans="1:25" x14ac:dyDescent="0.2">
      <c r="A1017" s="14"/>
      <c r="B1017" s="16"/>
      <c r="C1017" s="6"/>
      <c r="D1017" s="16"/>
      <c r="E1017" s="6"/>
      <c r="F1017" s="16"/>
      <c r="G1017" s="16"/>
      <c r="H1017" s="16"/>
      <c r="I1017" s="16"/>
      <c r="J1017" s="16"/>
      <c r="K1017" s="16"/>
      <c r="L1017" s="16"/>
      <c r="M1017" s="16"/>
      <c r="N1017" s="16"/>
      <c r="O1017" s="16"/>
      <c r="P1017" s="16"/>
      <c r="Q1017" s="16"/>
      <c r="R1017" s="16"/>
      <c r="S1017" s="16"/>
      <c r="T1017" s="16"/>
      <c r="U1017" s="16"/>
      <c r="V1017" s="16"/>
      <c r="W1017" s="16"/>
      <c r="X1017" s="16"/>
      <c r="Y1017" s="16"/>
    </row>
    <row r="1018" spans="1:25" x14ac:dyDescent="0.2">
      <c r="A1018" s="14"/>
      <c r="B1018" s="16"/>
      <c r="C1018" s="6"/>
      <c r="D1018" s="16"/>
      <c r="E1018" s="6"/>
      <c r="F1018" s="16"/>
      <c r="G1018" s="16"/>
      <c r="H1018" s="16"/>
      <c r="I1018" s="16"/>
      <c r="J1018" s="16"/>
      <c r="K1018" s="16"/>
      <c r="L1018" s="16"/>
      <c r="M1018" s="16"/>
      <c r="N1018" s="16"/>
      <c r="O1018" s="16"/>
      <c r="P1018" s="16"/>
      <c r="Q1018" s="16"/>
      <c r="R1018" s="16"/>
      <c r="S1018" s="16"/>
      <c r="T1018" s="16"/>
      <c r="U1018" s="16"/>
      <c r="V1018" s="16"/>
      <c r="W1018" s="16"/>
      <c r="X1018" s="16"/>
      <c r="Y1018" s="16"/>
    </row>
    <row r="1019" spans="1:25" x14ac:dyDescent="0.2">
      <c r="A1019" s="14"/>
      <c r="B1019" s="16"/>
      <c r="C1019" s="6"/>
      <c r="D1019" s="16"/>
      <c r="E1019" s="6"/>
      <c r="F1019" s="16"/>
      <c r="G1019" s="16"/>
      <c r="H1019" s="16"/>
      <c r="I1019" s="16"/>
      <c r="J1019" s="16"/>
      <c r="K1019" s="16"/>
      <c r="L1019" s="16"/>
      <c r="M1019" s="16"/>
      <c r="N1019" s="16"/>
      <c r="O1019" s="16"/>
      <c r="P1019" s="16"/>
      <c r="Q1019" s="16"/>
      <c r="R1019" s="16"/>
      <c r="S1019" s="16"/>
      <c r="T1019" s="16"/>
      <c r="U1019" s="16"/>
      <c r="V1019" s="16"/>
      <c r="W1019" s="16"/>
      <c r="X1019" s="16"/>
      <c r="Y1019" s="16"/>
    </row>
    <row r="1020" spans="1:25" x14ac:dyDescent="0.2">
      <c r="A1020" s="14"/>
      <c r="B1020" s="16"/>
      <c r="C1020" s="6"/>
      <c r="D1020" s="16"/>
      <c r="E1020" s="6"/>
      <c r="F1020" s="16"/>
      <c r="G1020" s="16"/>
      <c r="H1020" s="16"/>
      <c r="I1020" s="16"/>
      <c r="J1020" s="16"/>
      <c r="K1020" s="16"/>
      <c r="L1020" s="16"/>
      <c r="M1020" s="16"/>
      <c r="N1020" s="16"/>
      <c r="O1020" s="16"/>
      <c r="P1020" s="16"/>
      <c r="Q1020" s="16"/>
      <c r="R1020" s="16"/>
      <c r="S1020" s="16"/>
      <c r="T1020" s="16"/>
      <c r="U1020" s="16"/>
      <c r="V1020" s="16"/>
      <c r="W1020" s="16"/>
      <c r="X1020" s="16"/>
      <c r="Y1020" s="16"/>
    </row>
    <row r="1021" spans="1:25" x14ac:dyDescent="0.2">
      <c r="A1021" s="14"/>
      <c r="B1021" s="16"/>
      <c r="C1021" s="6"/>
      <c r="D1021" s="16"/>
      <c r="E1021" s="6"/>
      <c r="F1021" s="16"/>
      <c r="G1021" s="16"/>
      <c r="H1021" s="16"/>
      <c r="I1021" s="16"/>
      <c r="J1021" s="16"/>
      <c r="K1021" s="16"/>
      <c r="L1021" s="16"/>
      <c r="M1021" s="16"/>
      <c r="N1021" s="16"/>
      <c r="O1021" s="16"/>
      <c r="P1021" s="16"/>
      <c r="Q1021" s="16"/>
      <c r="R1021" s="16"/>
      <c r="S1021" s="16"/>
      <c r="T1021" s="16"/>
      <c r="U1021" s="16"/>
      <c r="V1021" s="16"/>
      <c r="W1021" s="16"/>
      <c r="X1021" s="16"/>
      <c r="Y1021" s="16"/>
    </row>
    <row r="1022" spans="1:25" x14ac:dyDescent="0.2">
      <c r="A1022" s="14"/>
      <c r="B1022" s="16"/>
      <c r="C1022" s="6"/>
      <c r="D1022" s="16"/>
      <c r="E1022" s="6"/>
      <c r="F1022" s="16"/>
      <c r="G1022" s="16"/>
      <c r="H1022" s="16"/>
      <c r="I1022" s="16"/>
      <c r="J1022" s="16"/>
      <c r="K1022" s="16"/>
      <c r="L1022" s="16"/>
      <c r="M1022" s="16"/>
      <c r="N1022" s="16"/>
      <c r="O1022" s="16"/>
      <c r="P1022" s="16"/>
      <c r="Q1022" s="16"/>
      <c r="R1022" s="16"/>
      <c r="S1022" s="16"/>
      <c r="T1022" s="16"/>
      <c r="U1022" s="16"/>
      <c r="V1022" s="16"/>
      <c r="W1022" s="16"/>
      <c r="X1022" s="16"/>
      <c r="Y1022" s="16"/>
    </row>
    <row r="1023" spans="1:25" x14ac:dyDescent="0.2">
      <c r="A1023" s="14"/>
      <c r="B1023" s="16"/>
      <c r="C1023" s="6"/>
      <c r="D1023" s="16"/>
      <c r="E1023" s="6"/>
      <c r="F1023" s="16"/>
      <c r="G1023" s="16"/>
      <c r="H1023" s="16"/>
      <c r="I1023" s="16"/>
      <c r="J1023" s="16"/>
      <c r="K1023" s="16"/>
      <c r="L1023" s="16"/>
      <c r="M1023" s="16"/>
      <c r="N1023" s="16"/>
      <c r="O1023" s="16"/>
      <c r="P1023" s="16"/>
      <c r="Q1023" s="16"/>
      <c r="R1023" s="16"/>
      <c r="S1023" s="16"/>
      <c r="T1023" s="16"/>
      <c r="U1023" s="16"/>
      <c r="V1023" s="16"/>
      <c r="W1023" s="16"/>
      <c r="X1023" s="16"/>
      <c r="Y1023" s="16"/>
    </row>
    <row r="1024" spans="1:25" x14ac:dyDescent="0.2">
      <c r="A1024" s="14"/>
      <c r="B1024" s="16"/>
      <c r="C1024" s="6"/>
      <c r="D1024" s="16"/>
      <c r="E1024" s="6"/>
      <c r="F1024" s="16"/>
      <c r="G1024" s="16"/>
      <c r="H1024" s="16"/>
      <c r="I1024" s="16"/>
      <c r="J1024" s="16"/>
      <c r="K1024" s="16"/>
      <c r="L1024" s="16"/>
      <c r="M1024" s="16"/>
      <c r="N1024" s="16"/>
      <c r="O1024" s="16"/>
      <c r="P1024" s="16"/>
      <c r="Q1024" s="16"/>
      <c r="R1024" s="16"/>
      <c r="S1024" s="16"/>
      <c r="T1024" s="16"/>
      <c r="U1024" s="16"/>
      <c r="V1024" s="16"/>
      <c r="W1024" s="16"/>
      <c r="X1024" s="16"/>
      <c r="Y1024" s="16"/>
    </row>
    <row r="1025" spans="1:25" x14ac:dyDescent="0.2">
      <c r="A1025" s="14"/>
      <c r="B1025" s="16"/>
      <c r="C1025" s="6"/>
      <c r="D1025" s="16"/>
      <c r="E1025" s="6"/>
      <c r="F1025" s="16"/>
      <c r="G1025" s="16"/>
      <c r="H1025" s="16"/>
      <c r="I1025" s="16"/>
      <c r="J1025" s="16"/>
      <c r="K1025" s="16"/>
      <c r="L1025" s="16"/>
      <c r="M1025" s="16"/>
      <c r="N1025" s="16"/>
      <c r="O1025" s="16"/>
      <c r="P1025" s="16"/>
      <c r="Q1025" s="16"/>
      <c r="R1025" s="16"/>
      <c r="S1025" s="16"/>
      <c r="T1025" s="16"/>
      <c r="U1025" s="16"/>
      <c r="V1025" s="16"/>
      <c r="W1025" s="16"/>
      <c r="X1025" s="16"/>
      <c r="Y1025" s="16"/>
    </row>
    <row r="1026" spans="1:25" x14ac:dyDescent="0.2">
      <c r="A1026" s="14"/>
      <c r="B1026" s="16"/>
      <c r="C1026" s="6"/>
      <c r="D1026" s="16"/>
      <c r="E1026" s="6"/>
      <c r="F1026" s="16"/>
      <c r="G1026" s="16"/>
      <c r="H1026" s="16"/>
      <c r="I1026" s="16"/>
      <c r="J1026" s="16"/>
      <c r="K1026" s="16"/>
      <c r="L1026" s="16"/>
      <c r="M1026" s="16"/>
      <c r="N1026" s="16"/>
      <c r="O1026" s="16"/>
      <c r="P1026" s="16"/>
      <c r="Q1026" s="16"/>
      <c r="R1026" s="16"/>
      <c r="S1026" s="16"/>
      <c r="T1026" s="16"/>
      <c r="U1026" s="16"/>
      <c r="V1026" s="16"/>
      <c r="W1026" s="16"/>
      <c r="X1026" s="16"/>
      <c r="Y1026" s="16"/>
    </row>
    <row r="1027" spans="1:25" x14ac:dyDescent="0.2">
      <c r="A1027" s="14"/>
      <c r="B1027" s="16"/>
      <c r="C1027" s="6"/>
      <c r="D1027" s="16"/>
      <c r="E1027" s="6"/>
      <c r="F1027" s="16"/>
      <c r="G1027" s="16"/>
      <c r="H1027" s="16"/>
      <c r="I1027" s="16"/>
      <c r="J1027" s="16"/>
      <c r="K1027" s="16"/>
      <c r="L1027" s="16"/>
      <c r="M1027" s="16"/>
      <c r="N1027" s="16"/>
      <c r="O1027" s="16"/>
      <c r="P1027" s="16"/>
      <c r="Q1027" s="16"/>
      <c r="R1027" s="16"/>
      <c r="S1027" s="16"/>
      <c r="T1027" s="16"/>
      <c r="U1027" s="16"/>
      <c r="V1027" s="16"/>
      <c r="W1027" s="16"/>
      <c r="X1027" s="16"/>
      <c r="Y1027" s="16"/>
    </row>
    <row r="1028" spans="1:25" x14ac:dyDescent="0.2">
      <c r="A1028" s="14"/>
      <c r="B1028" s="16"/>
      <c r="C1028" s="6"/>
      <c r="D1028" s="16"/>
      <c r="E1028" s="6"/>
      <c r="F1028" s="16"/>
      <c r="G1028" s="16"/>
      <c r="H1028" s="16"/>
      <c r="I1028" s="16"/>
      <c r="J1028" s="16"/>
      <c r="K1028" s="16"/>
      <c r="L1028" s="16"/>
      <c r="M1028" s="16"/>
      <c r="N1028" s="16"/>
      <c r="O1028" s="16"/>
      <c r="P1028" s="16"/>
      <c r="Q1028" s="16"/>
      <c r="R1028" s="16"/>
      <c r="S1028" s="16"/>
      <c r="T1028" s="16"/>
      <c r="U1028" s="16"/>
      <c r="V1028" s="16"/>
      <c r="W1028" s="16"/>
      <c r="X1028" s="16"/>
      <c r="Y1028" s="16"/>
    </row>
    <row r="1029" spans="1:25" x14ac:dyDescent="0.2">
      <c r="A1029" s="14"/>
      <c r="B1029" s="16"/>
      <c r="C1029" s="6"/>
      <c r="D1029" s="16"/>
      <c r="E1029" s="6"/>
      <c r="F1029" s="16"/>
      <c r="G1029" s="16"/>
      <c r="H1029" s="16"/>
      <c r="I1029" s="16"/>
      <c r="J1029" s="16"/>
      <c r="K1029" s="16"/>
      <c r="L1029" s="16"/>
      <c r="M1029" s="16"/>
      <c r="N1029" s="16"/>
      <c r="O1029" s="16"/>
      <c r="P1029" s="16"/>
      <c r="Q1029" s="16"/>
      <c r="R1029" s="16"/>
      <c r="S1029" s="16"/>
      <c r="T1029" s="16"/>
      <c r="U1029" s="16"/>
      <c r="V1029" s="16"/>
      <c r="W1029" s="16"/>
      <c r="X1029" s="16"/>
      <c r="Y1029" s="16"/>
    </row>
    <row r="1030" spans="1:25" x14ac:dyDescent="0.2">
      <c r="A1030" s="14"/>
      <c r="B1030" s="16"/>
      <c r="C1030" s="6"/>
      <c r="D1030" s="16"/>
      <c r="E1030" s="6"/>
      <c r="F1030" s="16"/>
      <c r="G1030" s="16"/>
      <c r="H1030" s="16"/>
      <c r="I1030" s="16"/>
      <c r="J1030" s="16"/>
      <c r="K1030" s="16"/>
      <c r="L1030" s="16"/>
      <c r="M1030" s="16"/>
      <c r="N1030" s="16"/>
      <c r="O1030" s="16"/>
      <c r="P1030" s="16"/>
      <c r="Q1030" s="16"/>
      <c r="R1030" s="16"/>
      <c r="S1030" s="16"/>
      <c r="T1030" s="16"/>
      <c r="U1030" s="16"/>
      <c r="V1030" s="16"/>
      <c r="W1030" s="16"/>
      <c r="X1030" s="16"/>
      <c r="Y1030" s="16"/>
    </row>
    <row r="1031" spans="1:25" x14ac:dyDescent="0.2">
      <c r="A1031" s="14"/>
      <c r="B1031" s="16"/>
      <c r="C1031" s="6"/>
      <c r="D1031" s="16"/>
      <c r="E1031" s="6"/>
      <c r="F1031" s="16"/>
      <c r="G1031" s="16"/>
      <c r="H1031" s="16"/>
      <c r="I1031" s="16"/>
      <c r="J1031" s="16"/>
      <c r="K1031" s="16"/>
      <c r="L1031" s="16"/>
      <c r="M1031" s="16"/>
      <c r="N1031" s="16"/>
      <c r="O1031" s="16"/>
      <c r="P1031" s="16"/>
      <c r="Q1031" s="16"/>
      <c r="R1031" s="16"/>
      <c r="S1031" s="16"/>
      <c r="T1031" s="16"/>
      <c r="U1031" s="16"/>
      <c r="V1031" s="16"/>
      <c r="W1031" s="16"/>
      <c r="X1031" s="16"/>
      <c r="Y1031" s="16"/>
    </row>
    <row r="1032" spans="1:25" x14ac:dyDescent="0.2">
      <c r="A1032" s="14"/>
      <c r="B1032" s="16"/>
      <c r="C1032" s="6"/>
      <c r="D1032" s="16"/>
      <c r="E1032" s="6"/>
      <c r="F1032" s="16"/>
      <c r="G1032" s="16"/>
      <c r="H1032" s="16"/>
      <c r="I1032" s="16"/>
      <c r="J1032" s="16"/>
      <c r="K1032" s="16"/>
      <c r="L1032" s="16"/>
      <c r="M1032" s="16"/>
      <c r="N1032" s="16"/>
      <c r="O1032" s="16"/>
      <c r="P1032" s="16"/>
      <c r="Q1032" s="16"/>
      <c r="R1032" s="16"/>
      <c r="S1032" s="16"/>
      <c r="T1032" s="16"/>
      <c r="U1032" s="16"/>
      <c r="V1032" s="16"/>
      <c r="W1032" s="16"/>
      <c r="X1032" s="16"/>
      <c r="Y1032" s="16"/>
    </row>
    <row r="1033" spans="1:25" x14ac:dyDescent="0.2">
      <c r="A1033" s="14"/>
      <c r="B1033" s="16"/>
      <c r="C1033" s="6"/>
      <c r="D1033" s="16"/>
      <c r="E1033" s="6"/>
      <c r="F1033" s="16"/>
      <c r="G1033" s="16"/>
      <c r="H1033" s="16"/>
      <c r="I1033" s="16"/>
      <c r="J1033" s="16"/>
      <c r="K1033" s="16"/>
      <c r="L1033" s="16"/>
      <c r="M1033" s="16"/>
      <c r="N1033" s="16"/>
      <c r="O1033" s="16"/>
      <c r="P1033" s="16"/>
      <c r="Q1033" s="16"/>
      <c r="R1033" s="16"/>
      <c r="S1033" s="16"/>
      <c r="T1033" s="16"/>
      <c r="U1033" s="16"/>
      <c r="V1033" s="16"/>
      <c r="W1033" s="16"/>
      <c r="X1033" s="16"/>
      <c r="Y1033" s="16"/>
    </row>
    <row r="1034" spans="1:25" x14ac:dyDescent="0.2">
      <c r="A1034" s="14"/>
      <c r="B1034" s="16"/>
      <c r="C1034" s="6"/>
      <c r="D1034" s="16"/>
      <c r="E1034" s="6"/>
      <c r="F1034" s="16"/>
      <c r="G1034" s="16"/>
      <c r="H1034" s="16"/>
      <c r="I1034" s="16"/>
      <c r="J1034" s="16"/>
      <c r="K1034" s="16"/>
      <c r="L1034" s="16"/>
      <c r="M1034" s="16"/>
      <c r="N1034" s="16"/>
      <c r="O1034" s="16"/>
      <c r="P1034" s="16"/>
      <c r="Q1034" s="16"/>
      <c r="R1034" s="16"/>
      <c r="S1034" s="16"/>
      <c r="T1034" s="16"/>
      <c r="U1034" s="16"/>
      <c r="V1034" s="16"/>
      <c r="W1034" s="16"/>
      <c r="X1034" s="16"/>
      <c r="Y1034" s="16"/>
    </row>
    <row r="1035" spans="1:25" x14ac:dyDescent="0.2">
      <c r="A1035" s="14"/>
      <c r="B1035" s="16"/>
      <c r="C1035" s="6"/>
      <c r="D1035" s="16"/>
      <c r="E1035" s="6"/>
      <c r="F1035" s="16"/>
      <c r="G1035" s="16"/>
      <c r="H1035" s="16"/>
      <c r="I1035" s="16"/>
      <c r="J1035" s="16"/>
      <c r="K1035" s="16"/>
      <c r="L1035" s="16"/>
      <c r="M1035" s="16"/>
      <c r="N1035" s="16"/>
      <c r="O1035" s="16"/>
      <c r="P1035" s="16"/>
      <c r="Q1035" s="16"/>
      <c r="R1035" s="16"/>
      <c r="S1035" s="16"/>
      <c r="T1035" s="16"/>
      <c r="U1035" s="16"/>
      <c r="V1035" s="16"/>
      <c r="W1035" s="16"/>
      <c r="X1035" s="16"/>
      <c r="Y1035" s="16"/>
    </row>
    <row r="1036" spans="1:25" x14ac:dyDescent="0.2">
      <c r="A1036" s="14"/>
      <c r="B1036" s="16"/>
      <c r="C1036" s="6"/>
      <c r="D1036" s="16"/>
      <c r="E1036" s="6"/>
      <c r="F1036" s="16"/>
      <c r="G1036" s="16"/>
      <c r="H1036" s="16"/>
      <c r="I1036" s="16"/>
      <c r="J1036" s="16"/>
      <c r="K1036" s="16"/>
      <c r="L1036" s="16"/>
      <c r="M1036" s="16"/>
      <c r="N1036" s="16"/>
      <c r="O1036" s="16"/>
      <c r="P1036" s="16"/>
      <c r="Q1036" s="16"/>
      <c r="R1036" s="16"/>
      <c r="S1036" s="16"/>
      <c r="T1036" s="16"/>
      <c r="U1036" s="16"/>
      <c r="V1036" s="16"/>
      <c r="W1036" s="16"/>
      <c r="X1036" s="16"/>
      <c r="Y1036" s="16"/>
    </row>
    <row r="1037" spans="1:25" x14ac:dyDescent="0.2">
      <c r="A1037" s="14"/>
      <c r="B1037" s="16"/>
      <c r="C1037" s="6"/>
      <c r="D1037" s="16"/>
      <c r="E1037" s="6"/>
      <c r="F1037" s="16"/>
      <c r="G1037" s="16"/>
      <c r="H1037" s="16"/>
      <c r="I1037" s="16"/>
      <c r="J1037" s="16"/>
      <c r="K1037" s="16"/>
      <c r="L1037" s="16"/>
      <c r="M1037" s="16"/>
      <c r="N1037" s="16"/>
      <c r="O1037" s="16"/>
      <c r="P1037" s="16"/>
      <c r="Q1037" s="16"/>
      <c r="R1037" s="16"/>
      <c r="S1037" s="16"/>
      <c r="T1037" s="16"/>
      <c r="U1037" s="16"/>
      <c r="V1037" s="16"/>
      <c r="W1037" s="16"/>
      <c r="X1037" s="16"/>
      <c r="Y1037" s="16"/>
    </row>
    <row r="1038" spans="1:25" x14ac:dyDescent="0.2">
      <c r="A1038" s="14"/>
      <c r="B1038" s="16"/>
      <c r="C1038" s="6"/>
      <c r="D1038" s="16"/>
      <c r="E1038" s="6"/>
      <c r="F1038" s="16"/>
      <c r="G1038" s="16"/>
      <c r="H1038" s="16"/>
      <c r="I1038" s="16"/>
      <c r="J1038" s="16"/>
      <c r="K1038" s="16"/>
      <c r="L1038" s="16"/>
      <c r="M1038" s="16"/>
      <c r="N1038" s="16"/>
      <c r="O1038" s="16"/>
      <c r="P1038" s="16"/>
      <c r="Q1038" s="16"/>
      <c r="R1038" s="16"/>
      <c r="S1038" s="16"/>
      <c r="T1038" s="16"/>
      <c r="U1038" s="16"/>
      <c r="V1038" s="16"/>
      <c r="W1038" s="16"/>
      <c r="X1038" s="16"/>
      <c r="Y1038" s="16"/>
    </row>
    <row r="1039" spans="1:25" x14ac:dyDescent="0.2">
      <c r="A1039" s="14"/>
      <c r="B1039" s="16"/>
      <c r="C1039" s="6"/>
      <c r="D1039" s="16"/>
      <c r="E1039" s="6"/>
      <c r="F1039" s="16"/>
      <c r="G1039" s="16"/>
      <c r="H1039" s="16"/>
      <c r="I1039" s="16"/>
      <c r="J1039" s="16"/>
      <c r="K1039" s="16"/>
      <c r="L1039" s="16"/>
      <c r="M1039" s="16"/>
      <c r="N1039" s="16"/>
      <c r="O1039" s="16"/>
      <c r="P1039" s="16"/>
      <c r="Q1039" s="16"/>
      <c r="R1039" s="16"/>
      <c r="S1039" s="16"/>
      <c r="T1039" s="16"/>
      <c r="U1039" s="16"/>
      <c r="V1039" s="16"/>
      <c r="W1039" s="16"/>
      <c r="X1039" s="16"/>
      <c r="Y1039" s="16"/>
    </row>
    <row r="1040" spans="1:25" x14ac:dyDescent="0.2">
      <c r="A1040" s="14"/>
      <c r="B1040" s="16"/>
      <c r="C1040" s="6"/>
      <c r="D1040" s="16"/>
      <c r="E1040" s="6"/>
      <c r="F1040" s="16"/>
      <c r="G1040" s="16"/>
      <c r="H1040" s="16"/>
      <c r="I1040" s="16"/>
      <c r="J1040" s="16"/>
      <c r="K1040" s="16"/>
      <c r="L1040" s="16"/>
      <c r="M1040" s="16"/>
      <c r="N1040" s="16"/>
      <c r="O1040" s="16"/>
      <c r="P1040" s="16"/>
      <c r="Q1040" s="16"/>
      <c r="R1040" s="16"/>
      <c r="S1040" s="16"/>
      <c r="T1040" s="16"/>
      <c r="U1040" s="16"/>
      <c r="V1040" s="16"/>
      <c r="W1040" s="16"/>
      <c r="X1040" s="16"/>
      <c r="Y1040" s="16"/>
    </row>
    <row r="1041" spans="1:25" x14ac:dyDescent="0.2">
      <c r="A1041" s="14"/>
      <c r="B1041" s="16"/>
      <c r="C1041" s="6"/>
      <c r="D1041" s="16"/>
      <c r="E1041" s="6"/>
      <c r="F1041" s="16"/>
      <c r="G1041" s="16"/>
      <c r="H1041" s="16"/>
      <c r="I1041" s="16"/>
      <c r="J1041" s="16"/>
      <c r="K1041" s="16"/>
      <c r="L1041" s="16"/>
      <c r="M1041" s="16"/>
      <c r="N1041" s="16"/>
      <c r="O1041" s="16"/>
      <c r="P1041" s="16"/>
      <c r="Q1041" s="16"/>
      <c r="R1041" s="16"/>
      <c r="S1041" s="16"/>
      <c r="T1041" s="16"/>
      <c r="U1041" s="16"/>
      <c r="V1041" s="16"/>
      <c r="W1041" s="16"/>
      <c r="X1041" s="16"/>
      <c r="Y1041" s="16"/>
    </row>
    <row r="1042" spans="1:25" x14ac:dyDescent="0.2">
      <c r="A1042" s="14"/>
      <c r="B1042" s="16"/>
      <c r="C1042" s="6"/>
      <c r="D1042" s="16"/>
      <c r="E1042" s="6"/>
      <c r="F1042" s="16"/>
      <c r="G1042" s="16"/>
      <c r="H1042" s="16"/>
      <c r="I1042" s="16"/>
      <c r="J1042" s="16"/>
      <c r="K1042" s="16"/>
      <c r="L1042" s="16"/>
      <c r="M1042" s="16"/>
      <c r="N1042" s="16"/>
      <c r="O1042" s="16"/>
      <c r="P1042" s="16"/>
      <c r="Q1042" s="16"/>
      <c r="R1042" s="16"/>
      <c r="S1042" s="16"/>
      <c r="T1042" s="16"/>
      <c r="U1042" s="16"/>
      <c r="V1042" s="16"/>
      <c r="W1042" s="16"/>
      <c r="X1042" s="16"/>
      <c r="Y1042" s="16"/>
    </row>
    <row r="1043" spans="1:25" x14ac:dyDescent="0.2">
      <c r="A1043" s="14"/>
      <c r="B1043" s="16"/>
      <c r="C1043" s="6"/>
      <c r="D1043" s="16"/>
      <c r="E1043" s="6"/>
      <c r="F1043" s="16"/>
      <c r="G1043" s="16"/>
      <c r="H1043" s="16"/>
      <c r="I1043" s="16"/>
      <c r="J1043" s="16"/>
      <c r="K1043" s="16"/>
      <c r="L1043" s="16"/>
      <c r="M1043" s="16"/>
      <c r="N1043" s="16"/>
      <c r="O1043" s="16"/>
      <c r="P1043" s="16"/>
      <c r="Q1043" s="16"/>
      <c r="R1043" s="16"/>
      <c r="S1043" s="16"/>
      <c r="T1043" s="16"/>
      <c r="U1043" s="16"/>
      <c r="V1043" s="16"/>
      <c r="W1043" s="16"/>
      <c r="X1043" s="16"/>
      <c r="Y1043" s="16"/>
    </row>
    <row r="1044" spans="1:25" x14ac:dyDescent="0.2">
      <c r="A1044" s="14"/>
      <c r="B1044" s="16"/>
      <c r="C1044" s="6"/>
      <c r="D1044" s="16"/>
      <c r="E1044" s="6"/>
      <c r="F1044" s="16"/>
      <c r="G1044" s="16"/>
      <c r="H1044" s="16"/>
      <c r="I1044" s="16"/>
      <c r="J1044" s="16"/>
      <c r="K1044" s="16"/>
      <c r="L1044" s="16"/>
      <c r="M1044" s="16"/>
      <c r="N1044" s="16"/>
      <c r="O1044" s="16"/>
      <c r="P1044" s="16"/>
      <c r="Q1044" s="16"/>
      <c r="R1044" s="16"/>
      <c r="S1044" s="16"/>
      <c r="T1044" s="16"/>
      <c r="U1044" s="16"/>
      <c r="V1044" s="16"/>
      <c r="W1044" s="16"/>
      <c r="X1044" s="16"/>
      <c r="Y1044" s="16"/>
    </row>
    <row r="1045" spans="1:25" x14ac:dyDescent="0.2">
      <c r="A1045" s="14"/>
      <c r="B1045" s="16"/>
      <c r="C1045" s="6"/>
      <c r="D1045" s="16"/>
      <c r="E1045" s="6"/>
      <c r="F1045" s="16"/>
      <c r="G1045" s="16"/>
      <c r="H1045" s="16"/>
      <c r="I1045" s="16"/>
      <c r="J1045" s="16"/>
      <c r="K1045" s="16"/>
      <c r="L1045" s="16"/>
      <c r="M1045" s="16"/>
      <c r="N1045" s="16"/>
      <c r="O1045" s="16"/>
      <c r="P1045" s="16"/>
      <c r="Q1045" s="16"/>
      <c r="R1045" s="16"/>
      <c r="S1045" s="16"/>
      <c r="T1045" s="16"/>
      <c r="U1045" s="16"/>
      <c r="V1045" s="16"/>
      <c r="W1045" s="16"/>
      <c r="X1045" s="16"/>
      <c r="Y1045" s="16"/>
    </row>
    <row r="1046" spans="1:25" x14ac:dyDescent="0.2">
      <c r="A1046" s="14"/>
      <c r="B1046" s="16"/>
      <c r="C1046" s="6"/>
      <c r="D1046" s="16"/>
      <c r="E1046" s="6"/>
      <c r="F1046" s="16"/>
      <c r="G1046" s="16"/>
      <c r="H1046" s="16"/>
      <c r="I1046" s="16"/>
      <c r="J1046" s="16"/>
      <c r="K1046" s="16"/>
      <c r="L1046" s="16"/>
      <c r="M1046" s="16"/>
      <c r="N1046" s="16"/>
      <c r="O1046" s="16"/>
      <c r="P1046" s="16"/>
      <c r="Q1046" s="16"/>
      <c r="R1046" s="16"/>
      <c r="S1046" s="16"/>
      <c r="T1046" s="16"/>
      <c r="U1046" s="16"/>
      <c r="V1046" s="16"/>
      <c r="W1046" s="16"/>
      <c r="X1046" s="16"/>
      <c r="Y1046" s="16"/>
    </row>
    <row r="1047" spans="1:25" x14ac:dyDescent="0.2">
      <c r="A1047" s="14"/>
      <c r="B1047" s="16"/>
      <c r="C1047" s="6"/>
      <c r="D1047" s="16"/>
      <c r="E1047" s="6"/>
      <c r="F1047" s="16"/>
      <c r="G1047" s="16"/>
      <c r="H1047" s="16"/>
      <c r="I1047" s="16"/>
      <c r="J1047" s="16"/>
      <c r="K1047" s="16"/>
      <c r="L1047" s="16"/>
      <c r="M1047" s="16"/>
      <c r="N1047" s="16"/>
      <c r="O1047" s="16"/>
      <c r="P1047" s="16"/>
      <c r="Q1047" s="16"/>
      <c r="R1047" s="16"/>
      <c r="S1047" s="16"/>
      <c r="T1047" s="16"/>
      <c r="U1047" s="16"/>
      <c r="V1047" s="16"/>
      <c r="W1047" s="16"/>
      <c r="X1047" s="16"/>
      <c r="Y1047" s="16"/>
    </row>
  </sheetData>
  <dataValidations count="1">
    <dataValidation type="list" allowBlank="1" showErrorMessage="1" sqref="D1:D1047" xr:uid="{00000000-0002-0000-0400-000000000000}">
      <formula1>"RELATIONSHIP,MOTHER,SISTER,AUNT,SHIPMATE,HOUSEMATE,NIECE,FRIEND,BUSINESS PARTNER,DAUGHTER,IGBO,NURSE,CAREGIVER,WETNURSE,AFRICAN,MIDWIFE,SON,GARDENER,BROTHER,ANANSI STORYTELLER,SEASONER,SEASONEE,MYAL PRACTITIONER,CONGO,OWNER,OVERSEER,DOMESTIC PARTNER"</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B38"/>
  <sheetViews>
    <sheetView workbookViewId="0">
      <selection activeCell="E10" sqref="E10"/>
    </sheetView>
  </sheetViews>
  <sheetFormatPr defaultColWidth="12.6640625" defaultRowHeight="15.75" customHeight="1" x14ac:dyDescent="0.2"/>
  <cols>
    <col min="1" max="1" width="23.6640625" customWidth="1"/>
    <col min="2" max="2" width="26.5546875" bestFit="1" customWidth="1"/>
  </cols>
  <sheetData>
    <row r="1" spans="1:2" x14ac:dyDescent="0.2">
      <c r="A1" s="63" t="s">
        <v>3790</v>
      </c>
      <c r="B1" s="63" t="s">
        <v>3791</v>
      </c>
    </row>
    <row r="2" spans="1:2" x14ac:dyDescent="0.2">
      <c r="A2" s="29" t="s">
        <v>91</v>
      </c>
      <c r="B2" s="29" t="s">
        <v>3792</v>
      </c>
    </row>
    <row r="3" spans="1:2" x14ac:dyDescent="0.2">
      <c r="A3" s="29" t="s">
        <v>554</v>
      </c>
      <c r="B3" s="29" t="s">
        <v>869</v>
      </c>
    </row>
    <row r="4" spans="1:2" x14ac:dyDescent="0.2">
      <c r="A4" s="29" t="s">
        <v>587</v>
      </c>
      <c r="B4" s="29" t="s">
        <v>3794</v>
      </c>
    </row>
    <row r="5" spans="1:2" x14ac:dyDescent="0.2">
      <c r="A5" s="29" t="s">
        <v>454</v>
      </c>
      <c r="B5" s="29" t="s">
        <v>578</v>
      </c>
    </row>
    <row r="6" spans="1:2" x14ac:dyDescent="0.2">
      <c r="A6" s="29" t="s">
        <v>247</v>
      </c>
      <c r="B6" s="29" t="s">
        <v>1047</v>
      </c>
    </row>
    <row r="7" spans="1:2" x14ac:dyDescent="0.2">
      <c r="A7" s="29" t="s">
        <v>98</v>
      </c>
      <c r="B7" s="29" t="s">
        <v>1068</v>
      </c>
    </row>
    <row r="8" spans="1:2" x14ac:dyDescent="0.2">
      <c r="A8" s="29" t="s">
        <v>204</v>
      </c>
      <c r="B8" s="29" t="s">
        <v>1678</v>
      </c>
    </row>
    <row r="9" spans="1:2" x14ac:dyDescent="0.2">
      <c r="A9" s="29" t="s">
        <v>161</v>
      </c>
      <c r="B9" s="29" t="s">
        <v>656</v>
      </c>
    </row>
    <row r="10" spans="1:2" x14ac:dyDescent="0.2">
      <c r="A10" s="29" t="s">
        <v>306</v>
      </c>
      <c r="B10" s="29" t="s">
        <v>2834</v>
      </c>
    </row>
    <row r="11" spans="1:2" x14ac:dyDescent="0.2">
      <c r="A11" s="29" t="s">
        <v>1644</v>
      </c>
      <c r="B11" s="29" t="s">
        <v>3796</v>
      </c>
    </row>
    <row r="12" spans="1:2" x14ac:dyDescent="0.2">
      <c r="A12" s="29" t="s">
        <v>327</v>
      </c>
      <c r="B12" s="29" t="s">
        <v>139</v>
      </c>
    </row>
    <row r="13" spans="1:2" x14ac:dyDescent="0.2">
      <c r="A13" s="29" t="s">
        <v>211</v>
      </c>
      <c r="B13" s="29" t="s">
        <v>60</v>
      </c>
    </row>
    <row r="14" spans="1:2" x14ac:dyDescent="0.2">
      <c r="A14" s="29" t="s">
        <v>115</v>
      </c>
      <c r="B14" s="29" t="s">
        <v>3797</v>
      </c>
    </row>
    <row r="15" spans="1:2" x14ac:dyDescent="0.2">
      <c r="A15" s="29" t="s">
        <v>56</v>
      </c>
      <c r="B15" s="29" t="s">
        <v>439</v>
      </c>
    </row>
    <row r="16" spans="1:2" x14ac:dyDescent="0.2">
      <c r="A16" s="29" t="s">
        <v>539</v>
      </c>
      <c r="B16" s="29" t="s">
        <v>198</v>
      </c>
    </row>
    <row r="17" spans="1:2" x14ac:dyDescent="0.2">
      <c r="A17" s="29" t="s">
        <v>882</v>
      </c>
      <c r="B17" s="29" t="s">
        <v>533</v>
      </c>
    </row>
    <row r="18" spans="1:2" x14ac:dyDescent="0.2">
      <c r="A18" s="29" t="s">
        <v>37</v>
      </c>
      <c r="B18" s="29" t="s">
        <v>759</v>
      </c>
    </row>
    <row r="19" spans="1:2" x14ac:dyDescent="0.2">
      <c r="A19" s="29" t="s">
        <v>1206</v>
      </c>
      <c r="B19" s="29" t="s">
        <v>784</v>
      </c>
    </row>
    <row r="20" spans="1:2" x14ac:dyDescent="0.2">
      <c r="A20" s="29" t="s">
        <v>783</v>
      </c>
      <c r="B20" s="29" t="s">
        <v>267</v>
      </c>
    </row>
    <row r="21" spans="1:2" x14ac:dyDescent="0.2">
      <c r="A21" s="29" t="s">
        <v>655</v>
      </c>
      <c r="B21" s="29" t="s">
        <v>248</v>
      </c>
    </row>
    <row r="22" spans="1:2" x14ac:dyDescent="0.2">
      <c r="A22" s="29" t="s">
        <v>134</v>
      </c>
      <c r="B22" s="29" t="s">
        <v>3801</v>
      </c>
    </row>
    <row r="23" spans="1:2" x14ac:dyDescent="0.2">
      <c r="A23" s="29" t="s">
        <v>298</v>
      </c>
      <c r="B23" s="29" t="s">
        <v>96</v>
      </c>
    </row>
    <row r="24" spans="1:2" x14ac:dyDescent="0.2">
      <c r="A24" s="29" t="s">
        <v>71</v>
      </c>
      <c r="B24" s="29" t="s">
        <v>112</v>
      </c>
    </row>
    <row r="25" spans="1:2" x14ac:dyDescent="0.2">
      <c r="A25" s="29" t="s">
        <v>391</v>
      </c>
      <c r="B25" s="29" t="s">
        <v>326</v>
      </c>
    </row>
    <row r="26" spans="1:2" x14ac:dyDescent="0.2">
      <c r="A26" s="29" t="s">
        <v>430</v>
      </c>
      <c r="B26" s="29" t="s">
        <v>342</v>
      </c>
    </row>
    <row r="27" spans="1:2" x14ac:dyDescent="0.2">
      <c r="A27" s="29" t="s">
        <v>279</v>
      </c>
      <c r="B27" s="29" t="s">
        <v>2607</v>
      </c>
    </row>
    <row r="28" spans="1:2" x14ac:dyDescent="0.2">
      <c r="B28" s="29" t="s">
        <v>3803</v>
      </c>
    </row>
    <row r="29" spans="1:2" x14ac:dyDescent="0.2">
      <c r="B29" s="29" t="s">
        <v>3805</v>
      </c>
    </row>
    <row r="30" spans="1:2" x14ac:dyDescent="0.2">
      <c r="B30" s="29" t="s">
        <v>2630</v>
      </c>
    </row>
    <row r="31" spans="1:2" x14ac:dyDescent="0.2">
      <c r="B31" s="29" t="s">
        <v>409</v>
      </c>
    </row>
    <row r="32" spans="1:2" x14ac:dyDescent="0.2">
      <c r="B32" s="29" t="s">
        <v>935</v>
      </c>
    </row>
    <row r="33" spans="2:2" x14ac:dyDescent="0.2">
      <c r="B33" s="29" t="s">
        <v>3809</v>
      </c>
    </row>
    <row r="34" spans="2:2" x14ac:dyDescent="0.2">
      <c r="B34" s="29" t="s">
        <v>383</v>
      </c>
    </row>
    <row r="35" spans="2:2" x14ac:dyDescent="0.2">
      <c r="B35" s="29" t="s">
        <v>3810</v>
      </c>
    </row>
    <row r="36" spans="2:2" x14ac:dyDescent="0.2">
      <c r="B36" s="29" t="s">
        <v>957</v>
      </c>
    </row>
    <row r="37" spans="2:2" x14ac:dyDescent="0.2">
      <c r="B37" s="29" t="s">
        <v>859</v>
      </c>
    </row>
    <row r="38" spans="2:2" x14ac:dyDescent="0.2">
      <c r="B38" s="29" t="s">
        <v>26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A1020"/>
  <sheetViews>
    <sheetView workbookViewId="0"/>
  </sheetViews>
  <sheetFormatPr defaultColWidth="12.6640625" defaultRowHeight="15.75" customHeight="1" x14ac:dyDescent="0.2"/>
  <cols>
    <col min="1" max="5" width="19.44140625" customWidth="1"/>
    <col min="6" max="6" width="25.33203125" customWidth="1"/>
    <col min="7" max="27" width="19.44140625" customWidth="1"/>
  </cols>
  <sheetData>
    <row r="1" spans="1:27" x14ac:dyDescent="0.2">
      <c r="A1" s="6" t="s">
        <v>69</v>
      </c>
      <c r="B1" s="6" t="s">
        <v>122</v>
      </c>
      <c r="C1" s="20" t="s">
        <v>126</v>
      </c>
      <c r="D1" s="6" t="s">
        <v>127</v>
      </c>
      <c r="E1" s="6" t="s">
        <v>130</v>
      </c>
      <c r="F1" s="6" t="s">
        <v>96</v>
      </c>
      <c r="G1" s="6" t="s">
        <v>35</v>
      </c>
      <c r="H1" s="6" t="s">
        <v>136</v>
      </c>
      <c r="I1" s="6" t="s">
        <v>140</v>
      </c>
      <c r="J1" s="6" t="s">
        <v>68</v>
      </c>
      <c r="K1" s="6"/>
      <c r="L1" s="6"/>
      <c r="M1" s="6"/>
      <c r="N1" s="6"/>
      <c r="O1" s="6"/>
      <c r="P1" s="6"/>
      <c r="Q1" s="6"/>
      <c r="R1" s="6"/>
      <c r="S1" s="6"/>
      <c r="T1" s="6"/>
      <c r="U1" s="6"/>
      <c r="V1" s="6"/>
      <c r="W1" s="6"/>
      <c r="X1" s="6"/>
      <c r="Y1" s="6"/>
      <c r="Z1" s="6"/>
      <c r="AA1" s="6"/>
    </row>
    <row r="2" spans="1:27" x14ac:dyDescent="0.2">
      <c r="A2" s="6" t="s">
        <v>3816</v>
      </c>
      <c r="B2" s="6" t="s">
        <v>177</v>
      </c>
      <c r="C2" s="20" t="s">
        <v>178</v>
      </c>
      <c r="D2" s="6" t="s">
        <v>179</v>
      </c>
      <c r="E2" s="6" t="s">
        <v>180</v>
      </c>
      <c r="F2" s="6" t="s">
        <v>96</v>
      </c>
      <c r="G2" s="6" t="s">
        <v>35</v>
      </c>
      <c r="H2" s="6" t="s">
        <v>141</v>
      </c>
      <c r="I2" s="6" t="s">
        <v>99</v>
      </c>
      <c r="J2" s="6" t="s">
        <v>167</v>
      </c>
      <c r="K2" s="6"/>
      <c r="L2" s="6"/>
      <c r="M2" s="6"/>
      <c r="N2" s="6"/>
      <c r="O2" s="6"/>
      <c r="P2" s="6"/>
      <c r="Q2" s="6"/>
      <c r="R2" s="6"/>
      <c r="S2" s="6"/>
      <c r="T2" s="6"/>
      <c r="U2" s="6"/>
      <c r="V2" s="6"/>
      <c r="W2" s="6"/>
      <c r="X2" s="6"/>
      <c r="Y2" s="6"/>
      <c r="Z2" s="6"/>
      <c r="AA2" s="6"/>
    </row>
    <row r="3" spans="1:27" x14ac:dyDescent="0.2">
      <c r="A3" s="6" t="s">
        <v>3817</v>
      </c>
      <c r="B3" s="6" t="s">
        <v>199</v>
      </c>
      <c r="C3" s="20" t="s">
        <v>200</v>
      </c>
      <c r="D3" s="6" t="s">
        <v>203</v>
      </c>
      <c r="E3" s="6" t="s">
        <v>206</v>
      </c>
      <c r="F3" s="6" t="s">
        <v>96</v>
      </c>
      <c r="G3" s="6" t="s">
        <v>213</v>
      </c>
      <c r="H3" s="6" t="s">
        <v>141</v>
      </c>
      <c r="I3" s="6" t="s">
        <v>99</v>
      </c>
      <c r="J3" s="6" t="s">
        <v>68</v>
      </c>
      <c r="K3" s="6"/>
      <c r="L3" s="6"/>
      <c r="M3" s="6"/>
      <c r="N3" s="6"/>
      <c r="O3" s="6"/>
      <c r="P3" s="6"/>
      <c r="Q3" s="6"/>
      <c r="R3" s="6"/>
      <c r="S3" s="6"/>
      <c r="T3" s="6"/>
      <c r="U3" s="6"/>
      <c r="V3" s="6"/>
      <c r="W3" s="6"/>
      <c r="X3" s="6"/>
      <c r="Y3" s="6"/>
      <c r="Z3" s="6"/>
      <c r="AA3" s="6"/>
    </row>
    <row r="4" spans="1:27" x14ac:dyDescent="0.2">
      <c r="A4" s="6" t="s">
        <v>3818</v>
      </c>
      <c r="B4" s="6" t="s">
        <v>238</v>
      </c>
      <c r="C4" s="20" t="s">
        <v>239</v>
      </c>
      <c r="D4" s="6" t="s">
        <v>240</v>
      </c>
      <c r="E4" s="6" t="s">
        <v>241</v>
      </c>
      <c r="F4" s="6" t="s">
        <v>96</v>
      </c>
      <c r="G4" s="6" t="s">
        <v>35</v>
      </c>
      <c r="H4" s="6" t="s">
        <v>207</v>
      </c>
      <c r="I4" s="6" t="s">
        <v>209</v>
      </c>
      <c r="J4" s="6" t="s">
        <v>68</v>
      </c>
      <c r="K4" s="6"/>
      <c r="L4" s="6"/>
      <c r="M4" s="6"/>
      <c r="N4" s="6"/>
      <c r="O4" s="6"/>
      <c r="P4" s="6"/>
      <c r="Q4" s="6"/>
      <c r="R4" s="6"/>
      <c r="S4" s="6"/>
      <c r="T4" s="6"/>
      <c r="U4" s="6"/>
      <c r="V4" s="6"/>
      <c r="W4" s="6"/>
      <c r="X4" s="6"/>
      <c r="Y4" s="6"/>
      <c r="Z4" s="6"/>
      <c r="AA4" s="6"/>
    </row>
    <row r="5" spans="1:27" x14ac:dyDescent="0.2">
      <c r="A5" s="6"/>
      <c r="B5" s="6" t="s">
        <v>253</v>
      </c>
      <c r="C5" s="25" t="s">
        <v>258</v>
      </c>
      <c r="D5" s="6" t="s">
        <v>261</v>
      </c>
      <c r="E5" s="6" t="s">
        <v>3819</v>
      </c>
      <c r="F5" s="6" t="s">
        <v>96</v>
      </c>
      <c r="G5" s="6" t="s">
        <v>213</v>
      </c>
      <c r="H5" s="6" t="s">
        <v>207</v>
      </c>
      <c r="I5" s="6" t="s">
        <v>209</v>
      </c>
      <c r="J5" s="6" t="s">
        <v>68</v>
      </c>
      <c r="K5" s="6"/>
      <c r="L5" s="6"/>
      <c r="M5" s="6"/>
      <c r="N5" s="6"/>
      <c r="O5" s="6"/>
      <c r="P5" s="6"/>
      <c r="Q5" s="6"/>
      <c r="R5" s="6"/>
      <c r="S5" s="6"/>
      <c r="T5" s="6"/>
      <c r="U5" s="6"/>
      <c r="V5" s="6"/>
      <c r="W5" s="6"/>
      <c r="X5" s="6"/>
      <c r="Y5" s="6"/>
      <c r="Z5" s="6"/>
      <c r="AA5" s="6"/>
    </row>
    <row r="6" spans="1:27" x14ac:dyDescent="0.2">
      <c r="A6" s="6" t="s">
        <v>3820</v>
      </c>
      <c r="B6" s="6" t="s">
        <v>3821</v>
      </c>
      <c r="C6" s="25" t="s">
        <v>3822</v>
      </c>
      <c r="D6" s="6" t="s">
        <v>3823</v>
      </c>
      <c r="E6" s="6" t="s">
        <v>206</v>
      </c>
      <c r="F6" s="6" t="s">
        <v>784</v>
      </c>
      <c r="G6" s="6" t="s">
        <v>3824</v>
      </c>
      <c r="H6" s="6" t="s">
        <v>2304</v>
      </c>
      <c r="I6" s="6" t="s">
        <v>55</v>
      </c>
      <c r="J6" s="6" t="s">
        <v>68</v>
      </c>
      <c r="K6" s="6"/>
      <c r="L6" s="6"/>
      <c r="M6" s="6"/>
      <c r="N6" s="6"/>
      <c r="O6" s="6"/>
      <c r="P6" s="6"/>
      <c r="Q6" s="6"/>
      <c r="R6" s="6"/>
      <c r="S6" s="6"/>
      <c r="T6" s="6"/>
      <c r="U6" s="6"/>
      <c r="V6" s="6"/>
      <c r="W6" s="6"/>
      <c r="X6" s="6"/>
      <c r="Y6" s="6"/>
      <c r="Z6" s="6"/>
      <c r="AA6" s="6"/>
    </row>
    <row r="7" spans="1:27" x14ac:dyDescent="0.2">
      <c r="A7" s="18" t="s">
        <v>3825</v>
      </c>
      <c r="B7" s="18" t="s">
        <v>3826</v>
      </c>
      <c r="C7" s="19" t="s">
        <v>3827</v>
      </c>
      <c r="D7" s="18" t="s">
        <v>3828</v>
      </c>
      <c r="E7" s="18" t="s">
        <v>3829</v>
      </c>
      <c r="F7" s="16" t="s">
        <v>96</v>
      </c>
      <c r="G7" s="6" t="s">
        <v>35</v>
      </c>
      <c r="H7" s="6" t="s">
        <v>284</v>
      </c>
      <c r="I7" s="6" t="s">
        <v>55</v>
      </c>
      <c r="J7" s="6" t="s">
        <v>68</v>
      </c>
      <c r="K7" s="6"/>
      <c r="L7" s="6"/>
      <c r="M7" s="6"/>
      <c r="N7" s="6"/>
      <c r="O7" s="6"/>
      <c r="P7" s="6"/>
      <c r="Q7" s="6"/>
      <c r="R7" s="6"/>
      <c r="S7" s="6"/>
      <c r="T7" s="6"/>
      <c r="U7" s="6"/>
      <c r="V7" s="6"/>
      <c r="W7" s="6"/>
      <c r="X7" s="6"/>
      <c r="Y7" s="6"/>
      <c r="Z7" s="6"/>
      <c r="AA7" s="6"/>
    </row>
    <row r="8" spans="1:27" x14ac:dyDescent="0.2">
      <c r="A8" s="18" t="s">
        <v>3825</v>
      </c>
      <c r="B8" s="18" t="s">
        <v>3826</v>
      </c>
      <c r="C8" s="19" t="s">
        <v>3827</v>
      </c>
      <c r="D8" s="18" t="s">
        <v>3828</v>
      </c>
      <c r="E8" s="18" t="s">
        <v>3829</v>
      </c>
      <c r="F8" s="16" t="s">
        <v>1068</v>
      </c>
      <c r="G8" s="6" t="s">
        <v>35</v>
      </c>
      <c r="H8" s="6" t="s">
        <v>284</v>
      </c>
      <c r="I8" s="6" t="s">
        <v>55</v>
      </c>
      <c r="J8" s="6" t="s">
        <v>68</v>
      </c>
      <c r="K8" s="6"/>
      <c r="L8" s="6"/>
      <c r="M8" s="6"/>
      <c r="N8" s="6"/>
      <c r="O8" s="6"/>
      <c r="P8" s="6"/>
      <c r="Q8" s="6"/>
      <c r="R8" s="6"/>
      <c r="S8" s="6"/>
      <c r="T8" s="6"/>
      <c r="U8" s="6"/>
      <c r="V8" s="6"/>
      <c r="W8" s="6"/>
      <c r="X8" s="6"/>
      <c r="Y8" s="6"/>
      <c r="Z8" s="6"/>
      <c r="AA8" s="6"/>
    </row>
    <row r="9" spans="1:27" x14ac:dyDescent="0.2">
      <c r="A9" s="18" t="s">
        <v>3825</v>
      </c>
      <c r="B9" s="18" t="s">
        <v>3830</v>
      </c>
      <c r="C9" s="19" t="s">
        <v>3831</v>
      </c>
      <c r="D9" s="18" t="s">
        <v>3832</v>
      </c>
      <c r="E9" s="18" t="s">
        <v>3829</v>
      </c>
      <c r="F9" s="16" t="s">
        <v>96</v>
      </c>
      <c r="G9" s="6" t="s">
        <v>35</v>
      </c>
      <c r="H9" s="6" t="s">
        <v>207</v>
      </c>
      <c r="I9" s="6" t="s">
        <v>209</v>
      </c>
      <c r="J9" s="6" t="s">
        <v>68</v>
      </c>
      <c r="K9" s="6"/>
      <c r="L9" s="6"/>
      <c r="M9" s="6"/>
      <c r="N9" s="6"/>
      <c r="O9" s="6"/>
      <c r="P9" s="6"/>
      <c r="Q9" s="6"/>
      <c r="R9" s="6"/>
      <c r="S9" s="6"/>
      <c r="T9" s="6"/>
      <c r="U9" s="6"/>
      <c r="V9" s="6"/>
      <c r="W9" s="6"/>
      <c r="X9" s="6"/>
      <c r="Y9" s="6"/>
      <c r="Z9" s="6"/>
      <c r="AA9" s="6"/>
    </row>
    <row r="10" spans="1:27" x14ac:dyDescent="0.2">
      <c r="A10" s="6" t="s">
        <v>3833</v>
      </c>
      <c r="B10" s="6" t="s">
        <v>3834</v>
      </c>
      <c r="C10" s="20" t="s">
        <v>3835</v>
      </c>
      <c r="D10" s="6" t="s">
        <v>3836</v>
      </c>
      <c r="E10" s="6" t="s">
        <v>3837</v>
      </c>
      <c r="F10" s="6" t="s">
        <v>784</v>
      </c>
      <c r="G10" s="6" t="s">
        <v>61</v>
      </c>
      <c r="H10" s="6" t="s">
        <v>426</v>
      </c>
      <c r="I10" s="6" t="s">
        <v>427</v>
      </c>
      <c r="J10" s="6" t="s">
        <v>68</v>
      </c>
      <c r="K10" s="6"/>
      <c r="L10" s="6"/>
      <c r="M10" s="6"/>
      <c r="N10" s="6"/>
      <c r="O10" s="6"/>
      <c r="P10" s="6"/>
      <c r="Q10" s="6"/>
      <c r="R10" s="6"/>
      <c r="S10" s="6"/>
      <c r="T10" s="6"/>
      <c r="U10" s="6"/>
      <c r="V10" s="6"/>
      <c r="W10" s="6"/>
      <c r="X10" s="6"/>
      <c r="Y10" s="6"/>
      <c r="Z10" s="6"/>
      <c r="AA10" s="6"/>
    </row>
    <row r="11" spans="1:27" x14ac:dyDescent="0.2">
      <c r="A11" s="6" t="s">
        <v>3833</v>
      </c>
      <c r="B11" s="6" t="s">
        <v>3838</v>
      </c>
      <c r="C11" s="20" t="s">
        <v>3839</v>
      </c>
      <c r="D11" s="6" t="s">
        <v>3840</v>
      </c>
      <c r="E11" s="6" t="s">
        <v>3841</v>
      </c>
      <c r="F11" s="6" t="s">
        <v>784</v>
      </c>
      <c r="G11" s="6" t="s">
        <v>3842</v>
      </c>
      <c r="H11" s="6" t="s">
        <v>426</v>
      </c>
      <c r="I11" s="6" t="s">
        <v>427</v>
      </c>
      <c r="J11" s="6" t="s">
        <v>167</v>
      </c>
      <c r="K11" s="6"/>
      <c r="L11" s="6"/>
      <c r="M11" s="6"/>
      <c r="N11" s="6"/>
      <c r="O11" s="6"/>
      <c r="P11" s="6"/>
      <c r="Q11" s="6"/>
      <c r="R11" s="6"/>
      <c r="S11" s="6"/>
      <c r="T11" s="6"/>
      <c r="U11" s="6"/>
      <c r="V11" s="6"/>
      <c r="W11" s="6"/>
      <c r="X11" s="6"/>
      <c r="Y11" s="6"/>
      <c r="Z11" s="6"/>
      <c r="AA11" s="6"/>
    </row>
    <row r="12" spans="1:27" x14ac:dyDescent="0.2">
      <c r="A12" s="6" t="s">
        <v>3833</v>
      </c>
      <c r="B12" s="6" t="s">
        <v>3843</v>
      </c>
      <c r="C12" s="20" t="s">
        <v>3844</v>
      </c>
      <c r="D12" s="6" t="s">
        <v>3845</v>
      </c>
      <c r="E12" s="6" t="s">
        <v>3846</v>
      </c>
      <c r="F12" s="6" t="s">
        <v>1047</v>
      </c>
      <c r="G12" s="6"/>
      <c r="H12" s="6" t="s">
        <v>207</v>
      </c>
      <c r="I12" s="6" t="s">
        <v>209</v>
      </c>
      <c r="J12" s="6" t="s">
        <v>68</v>
      </c>
      <c r="K12" s="6"/>
      <c r="L12" s="6"/>
      <c r="M12" s="6"/>
      <c r="N12" s="6"/>
      <c r="O12" s="6"/>
      <c r="P12" s="6"/>
      <c r="Q12" s="6"/>
      <c r="R12" s="6"/>
      <c r="S12" s="6"/>
      <c r="T12" s="6"/>
      <c r="U12" s="6"/>
      <c r="V12" s="6"/>
      <c r="W12" s="6"/>
      <c r="X12" s="6"/>
      <c r="Y12" s="6"/>
      <c r="Z12" s="6"/>
      <c r="AA12" s="6"/>
    </row>
    <row r="13" spans="1:27" x14ac:dyDescent="0.2">
      <c r="A13" s="6" t="s">
        <v>3833</v>
      </c>
      <c r="B13" s="6" t="s">
        <v>3847</v>
      </c>
      <c r="C13" s="20" t="s">
        <v>3848</v>
      </c>
      <c r="D13" s="6" t="s">
        <v>3849</v>
      </c>
      <c r="E13" s="6" t="s">
        <v>3850</v>
      </c>
      <c r="F13" s="6" t="s">
        <v>1047</v>
      </c>
      <c r="G13" s="6" t="s">
        <v>3851</v>
      </c>
      <c r="H13" s="6" t="s">
        <v>207</v>
      </c>
      <c r="I13" s="6" t="s">
        <v>209</v>
      </c>
      <c r="J13" s="6" t="s">
        <v>167</v>
      </c>
      <c r="K13" s="6"/>
      <c r="L13" s="6"/>
      <c r="M13" s="6"/>
      <c r="N13" s="6"/>
      <c r="O13" s="6"/>
      <c r="P13" s="6"/>
      <c r="Q13" s="6"/>
      <c r="R13" s="6"/>
      <c r="S13" s="6"/>
      <c r="T13" s="6"/>
      <c r="U13" s="6"/>
      <c r="V13" s="6"/>
      <c r="W13" s="6"/>
      <c r="X13" s="6"/>
      <c r="Y13" s="6"/>
      <c r="Z13" s="6"/>
      <c r="AA13" s="6"/>
    </row>
    <row r="14" spans="1:27" x14ac:dyDescent="0.2">
      <c r="A14" s="6" t="s">
        <v>3833</v>
      </c>
      <c r="B14" s="6" t="s">
        <v>3852</v>
      </c>
      <c r="C14" s="20" t="s">
        <v>3853</v>
      </c>
      <c r="D14" s="6" t="s">
        <v>3854</v>
      </c>
      <c r="E14" s="6" t="s">
        <v>3855</v>
      </c>
      <c r="F14" s="6" t="s">
        <v>1068</v>
      </c>
      <c r="G14" s="6"/>
      <c r="H14" s="6" t="s">
        <v>207</v>
      </c>
      <c r="I14" s="6" t="s">
        <v>209</v>
      </c>
      <c r="J14" s="6" t="s">
        <v>68</v>
      </c>
      <c r="K14" s="6"/>
      <c r="L14" s="6"/>
      <c r="M14" s="6"/>
      <c r="N14" s="6"/>
      <c r="O14" s="6"/>
      <c r="P14" s="6"/>
      <c r="Q14" s="6"/>
      <c r="R14" s="6"/>
      <c r="S14" s="6"/>
      <c r="T14" s="6"/>
      <c r="U14" s="6"/>
      <c r="V14" s="6"/>
      <c r="W14" s="6"/>
      <c r="X14" s="6"/>
      <c r="Y14" s="6"/>
      <c r="Z14" s="6"/>
      <c r="AA14" s="6"/>
    </row>
    <row r="15" spans="1:27" x14ac:dyDescent="0.2">
      <c r="A15" s="6" t="s">
        <v>3833</v>
      </c>
      <c r="B15" s="6" t="s">
        <v>3852</v>
      </c>
      <c r="C15" s="20" t="s">
        <v>3856</v>
      </c>
      <c r="D15" s="6" t="s">
        <v>3857</v>
      </c>
      <c r="E15" s="6" t="s">
        <v>3858</v>
      </c>
      <c r="F15" s="6" t="s">
        <v>139</v>
      </c>
      <c r="G15" s="6" t="s">
        <v>35</v>
      </c>
      <c r="H15" s="6" t="s">
        <v>207</v>
      </c>
      <c r="I15" s="6" t="s">
        <v>209</v>
      </c>
      <c r="J15" s="6" t="s">
        <v>68</v>
      </c>
      <c r="K15" s="6"/>
      <c r="L15" s="6"/>
      <c r="M15" s="6"/>
      <c r="N15" s="6"/>
      <c r="O15" s="6"/>
      <c r="P15" s="6"/>
      <c r="Q15" s="6"/>
      <c r="R15" s="6"/>
      <c r="S15" s="6"/>
      <c r="T15" s="6"/>
      <c r="U15" s="6"/>
      <c r="V15" s="6"/>
      <c r="W15" s="6"/>
      <c r="X15" s="6"/>
      <c r="Y15" s="6"/>
      <c r="Z15" s="6"/>
      <c r="AA15" s="6"/>
    </row>
    <row r="16" spans="1:27" x14ac:dyDescent="0.2">
      <c r="A16" s="6" t="s">
        <v>3833</v>
      </c>
      <c r="B16" s="6" t="s">
        <v>3859</v>
      </c>
      <c r="C16" s="20" t="s">
        <v>3860</v>
      </c>
      <c r="D16" s="6" t="s">
        <v>3861</v>
      </c>
      <c r="E16" s="6" t="s">
        <v>3858</v>
      </c>
      <c r="F16" s="6" t="s">
        <v>784</v>
      </c>
      <c r="G16" s="6" t="s">
        <v>35</v>
      </c>
      <c r="H16" s="6" t="s">
        <v>3862</v>
      </c>
      <c r="I16" s="6" t="s">
        <v>3863</v>
      </c>
      <c r="J16" s="6" t="s">
        <v>68</v>
      </c>
      <c r="K16" s="6"/>
      <c r="L16" s="6"/>
      <c r="M16" s="6"/>
      <c r="N16" s="6"/>
      <c r="O16" s="6"/>
      <c r="P16" s="6"/>
      <c r="Q16" s="6"/>
      <c r="R16" s="6"/>
      <c r="S16" s="6"/>
      <c r="T16" s="6"/>
      <c r="U16" s="6"/>
      <c r="V16" s="6"/>
      <c r="W16" s="6"/>
      <c r="X16" s="6"/>
      <c r="Y16" s="6"/>
      <c r="Z16" s="6"/>
      <c r="AA16" s="6"/>
    </row>
    <row r="17" spans="1:27" x14ac:dyDescent="0.2">
      <c r="A17" s="6" t="s">
        <v>3833</v>
      </c>
      <c r="B17" s="6" t="s">
        <v>3864</v>
      </c>
      <c r="C17" s="20" t="s">
        <v>3865</v>
      </c>
      <c r="D17" s="6" t="s">
        <v>3866</v>
      </c>
      <c r="E17" s="6" t="s">
        <v>3829</v>
      </c>
      <c r="F17" s="6" t="s">
        <v>784</v>
      </c>
      <c r="G17" s="6" t="s">
        <v>35</v>
      </c>
      <c r="H17" s="6" t="s">
        <v>426</v>
      </c>
      <c r="I17" s="6" t="s">
        <v>427</v>
      </c>
      <c r="J17" s="6" t="s">
        <v>68</v>
      </c>
      <c r="K17" s="6"/>
      <c r="L17" s="6"/>
      <c r="M17" s="6"/>
      <c r="N17" s="6"/>
      <c r="O17" s="6"/>
      <c r="P17" s="6"/>
      <c r="Q17" s="6"/>
      <c r="R17" s="6"/>
      <c r="S17" s="6"/>
      <c r="T17" s="6"/>
      <c r="U17" s="6"/>
      <c r="V17" s="6"/>
      <c r="W17" s="6"/>
      <c r="X17" s="6"/>
      <c r="Y17" s="6"/>
      <c r="Z17" s="6"/>
      <c r="AA17" s="6"/>
    </row>
    <row r="18" spans="1:27" x14ac:dyDescent="0.2">
      <c r="A18" s="6" t="s">
        <v>3867</v>
      </c>
      <c r="B18" s="6" t="s">
        <v>3868</v>
      </c>
      <c r="C18" s="20" t="s">
        <v>3869</v>
      </c>
      <c r="D18" s="6" t="s">
        <v>3870</v>
      </c>
      <c r="E18" s="6" t="s">
        <v>3855</v>
      </c>
      <c r="F18" s="6" t="s">
        <v>759</v>
      </c>
      <c r="G18" s="6"/>
      <c r="H18" s="6"/>
      <c r="I18" s="6"/>
      <c r="J18" s="6"/>
      <c r="K18" s="6"/>
      <c r="L18" s="6"/>
      <c r="M18" s="6"/>
      <c r="N18" s="6"/>
      <c r="O18" s="6"/>
      <c r="P18" s="6"/>
      <c r="Q18" s="6"/>
      <c r="R18" s="6"/>
      <c r="S18" s="6"/>
      <c r="T18" s="6"/>
      <c r="U18" s="6"/>
      <c r="V18" s="6"/>
      <c r="W18" s="6"/>
      <c r="X18" s="6"/>
      <c r="Y18" s="6"/>
      <c r="Z18" s="6"/>
      <c r="AA18" s="6"/>
    </row>
    <row r="19" spans="1:27" x14ac:dyDescent="0.2">
      <c r="A19" s="6" t="s">
        <v>3871</v>
      </c>
      <c r="B19" s="6" t="s">
        <v>3872</v>
      </c>
      <c r="C19" s="25" t="s">
        <v>3873</v>
      </c>
      <c r="D19" s="6" t="s">
        <v>3874</v>
      </c>
      <c r="E19" s="6" t="s">
        <v>3875</v>
      </c>
      <c r="F19" s="6" t="s">
        <v>533</v>
      </c>
      <c r="G19" s="6" t="s">
        <v>754</v>
      </c>
      <c r="H19" s="6" t="s">
        <v>207</v>
      </c>
      <c r="I19" s="6" t="s">
        <v>209</v>
      </c>
      <c r="J19" s="6" t="s">
        <v>68</v>
      </c>
      <c r="K19" s="6"/>
      <c r="L19" s="6"/>
      <c r="M19" s="6"/>
      <c r="N19" s="6"/>
      <c r="O19" s="6"/>
      <c r="P19" s="6"/>
      <c r="Q19" s="6"/>
      <c r="R19" s="6"/>
      <c r="S19" s="6"/>
      <c r="T19" s="6"/>
      <c r="U19" s="6"/>
      <c r="V19" s="6"/>
      <c r="W19" s="6"/>
      <c r="X19" s="6"/>
      <c r="Y19" s="6"/>
      <c r="Z19" s="6"/>
      <c r="AA19" s="6"/>
    </row>
    <row r="20" spans="1:27" x14ac:dyDescent="0.2">
      <c r="A20" s="6" t="s">
        <v>3876</v>
      </c>
      <c r="B20" s="6" t="s">
        <v>3877</v>
      </c>
      <c r="C20" s="20" t="s">
        <v>3878</v>
      </c>
      <c r="D20" s="6" t="s">
        <v>3879</v>
      </c>
      <c r="E20" s="6" t="s">
        <v>3880</v>
      </c>
      <c r="F20" s="6" t="s">
        <v>3803</v>
      </c>
      <c r="G20" s="6" t="s">
        <v>754</v>
      </c>
      <c r="H20" s="6" t="s">
        <v>207</v>
      </c>
      <c r="I20" s="6"/>
      <c r="J20" s="6" t="s">
        <v>68</v>
      </c>
      <c r="K20" s="6"/>
      <c r="L20" s="6"/>
      <c r="M20" s="6"/>
      <c r="N20" s="6"/>
      <c r="O20" s="6"/>
      <c r="P20" s="6"/>
      <c r="Q20" s="6"/>
      <c r="R20" s="6"/>
      <c r="S20" s="6"/>
      <c r="T20" s="6"/>
      <c r="U20" s="6"/>
      <c r="V20" s="6"/>
      <c r="W20" s="6"/>
      <c r="X20" s="6"/>
      <c r="Y20" s="6"/>
      <c r="Z20" s="6"/>
      <c r="AA20" s="6"/>
    </row>
    <row r="21" spans="1:27" x14ac:dyDescent="0.2">
      <c r="A21" s="6" t="s">
        <v>3881</v>
      </c>
      <c r="B21" s="6" t="s">
        <v>3882</v>
      </c>
      <c r="C21" s="20" t="s">
        <v>3883</v>
      </c>
      <c r="D21" s="6" t="s">
        <v>3884</v>
      </c>
      <c r="E21" s="6" t="s">
        <v>3885</v>
      </c>
      <c r="F21" s="6" t="s">
        <v>656</v>
      </c>
      <c r="G21" s="6" t="s">
        <v>35</v>
      </c>
      <c r="H21" s="6" t="s">
        <v>207</v>
      </c>
      <c r="I21" s="6" t="s">
        <v>209</v>
      </c>
      <c r="J21" s="6" t="s">
        <v>167</v>
      </c>
      <c r="K21" s="6"/>
      <c r="L21" s="6"/>
      <c r="M21" s="6"/>
      <c r="N21" s="6"/>
      <c r="O21" s="6"/>
      <c r="P21" s="6"/>
      <c r="Q21" s="6"/>
      <c r="R21" s="6"/>
      <c r="S21" s="6"/>
      <c r="T21" s="6"/>
      <c r="U21" s="6"/>
      <c r="V21" s="6"/>
      <c r="W21" s="6"/>
      <c r="X21" s="6"/>
      <c r="Y21" s="6"/>
      <c r="Z21" s="6"/>
      <c r="AA21" s="6"/>
    </row>
    <row r="22" spans="1:27" x14ac:dyDescent="0.2">
      <c r="A22" s="6" t="s">
        <v>3881</v>
      </c>
      <c r="B22" s="6" t="s">
        <v>3886</v>
      </c>
      <c r="C22" s="20" t="s">
        <v>3887</v>
      </c>
      <c r="D22" s="6" t="s">
        <v>3888</v>
      </c>
      <c r="E22" s="6" t="s">
        <v>3885</v>
      </c>
      <c r="F22" s="6" t="s">
        <v>656</v>
      </c>
      <c r="G22" s="6" t="s">
        <v>35</v>
      </c>
      <c r="H22" s="6" t="s">
        <v>3889</v>
      </c>
      <c r="I22" s="6" t="s">
        <v>3890</v>
      </c>
      <c r="J22" s="6" t="s">
        <v>68</v>
      </c>
      <c r="K22" s="6"/>
      <c r="L22" s="6"/>
      <c r="M22" s="6"/>
      <c r="N22" s="6"/>
      <c r="O22" s="6"/>
      <c r="P22" s="6"/>
      <c r="Q22" s="6"/>
      <c r="R22" s="6"/>
      <c r="S22" s="6"/>
      <c r="T22" s="6"/>
      <c r="U22" s="6"/>
      <c r="V22" s="6"/>
      <c r="W22" s="6"/>
      <c r="X22" s="6"/>
      <c r="Y22" s="6"/>
      <c r="Z22" s="6"/>
      <c r="AA22" s="6"/>
    </row>
    <row r="23" spans="1:27" x14ac:dyDescent="0.2">
      <c r="A23" s="6" t="s">
        <v>3891</v>
      </c>
      <c r="B23" s="6" t="s">
        <v>3892</v>
      </c>
      <c r="C23" s="20" t="s">
        <v>3893</v>
      </c>
      <c r="D23" s="6" t="s">
        <v>3894</v>
      </c>
      <c r="E23" s="6" t="s">
        <v>3895</v>
      </c>
      <c r="F23" s="6" t="s">
        <v>533</v>
      </c>
      <c r="G23" s="6" t="s">
        <v>754</v>
      </c>
      <c r="H23" s="6" t="s">
        <v>207</v>
      </c>
      <c r="I23" s="6" t="s">
        <v>209</v>
      </c>
      <c r="J23" s="6" t="s">
        <v>287</v>
      </c>
      <c r="K23" s="6"/>
      <c r="L23" s="6"/>
      <c r="M23" s="6"/>
      <c r="N23" s="6"/>
      <c r="O23" s="6"/>
      <c r="P23" s="6"/>
      <c r="Q23" s="6"/>
      <c r="R23" s="6"/>
      <c r="S23" s="6"/>
      <c r="T23" s="6"/>
      <c r="U23" s="6"/>
      <c r="V23" s="6"/>
      <c r="W23" s="6"/>
      <c r="X23" s="6"/>
      <c r="Y23" s="6"/>
      <c r="Z23" s="6"/>
      <c r="AA23" s="6"/>
    </row>
    <row r="24" spans="1:27" x14ac:dyDescent="0.2">
      <c r="A24" s="6" t="s">
        <v>3881</v>
      </c>
      <c r="B24" s="6" t="s">
        <v>3896</v>
      </c>
      <c r="C24" s="20" t="s">
        <v>3897</v>
      </c>
      <c r="D24" s="6" t="s">
        <v>3898</v>
      </c>
      <c r="E24" s="6" t="s">
        <v>3885</v>
      </c>
      <c r="F24" s="6" t="s">
        <v>656</v>
      </c>
      <c r="G24" s="6" t="s">
        <v>35</v>
      </c>
      <c r="H24" s="6" t="s">
        <v>207</v>
      </c>
      <c r="I24" s="6" t="s">
        <v>209</v>
      </c>
      <c r="J24" s="6" t="s">
        <v>68</v>
      </c>
      <c r="K24" s="6"/>
      <c r="L24" s="6"/>
      <c r="M24" s="6"/>
      <c r="N24" s="6"/>
      <c r="O24" s="6"/>
      <c r="P24" s="6"/>
      <c r="Q24" s="6"/>
      <c r="R24" s="6"/>
      <c r="S24" s="6"/>
      <c r="T24" s="6"/>
      <c r="U24" s="6"/>
      <c r="V24" s="6"/>
      <c r="W24" s="6"/>
      <c r="X24" s="6"/>
      <c r="Y24" s="6"/>
      <c r="Z24" s="6"/>
      <c r="AA24" s="6"/>
    </row>
    <row r="25" spans="1:27" x14ac:dyDescent="0.2">
      <c r="A25" s="6" t="s">
        <v>3899</v>
      </c>
      <c r="B25" s="6" t="s">
        <v>3892</v>
      </c>
      <c r="C25" s="20" t="s">
        <v>3900</v>
      </c>
      <c r="D25" s="6" t="s">
        <v>3901</v>
      </c>
      <c r="E25" s="6" t="s">
        <v>3875</v>
      </c>
      <c r="F25" s="6" t="s">
        <v>533</v>
      </c>
      <c r="G25" s="6" t="s">
        <v>754</v>
      </c>
      <c r="H25" s="6" t="s">
        <v>207</v>
      </c>
      <c r="I25" s="6" t="s">
        <v>209</v>
      </c>
      <c r="J25" s="6" t="s">
        <v>167</v>
      </c>
      <c r="K25" s="6"/>
      <c r="L25" s="6"/>
      <c r="M25" s="6"/>
      <c r="N25" s="6"/>
      <c r="O25" s="6"/>
      <c r="P25" s="6"/>
      <c r="Q25" s="6"/>
      <c r="R25" s="6"/>
      <c r="S25" s="6"/>
      <c r="T25" s="6"/>
      <c r="U25" s="6"/>
      <c r="V25" s="6"/>
      <c r="W25" s="6"/>
      <c r="X25" s="6"/>
      <c r="Y25" s="6"/>
      <c r="Z25" s="6"/>
      <c r="AA25" s="6"/>
    </row>
    <row r="26" spans="1:27" x14ac:dyDescent="0.2">
      <c r="A26" s="6" t="s">
        <v>3902</v>
      </c>
      <c r="B26" s="6" t="s">
        <v>3903</v>
      </c>
      <c r="C26" s="20" t="s">
        <v>3904</v>
      </c>
      <c r="D26" s="6" t="s">
        <v>3905</v>
      </c>
      <c r="E26" s="6" t="s">
        <v>3906</v>
      </c>
      <c r="F26" s="6" t="s">
        <v>656</v>
      </c>
      <c r="G26" s="6" t="s">
        <v>35</v>
      </c>
      <c r="H26" s="6" t="s">
        <v>3907</v>
      </c>
      <c r="I26" s="6" t="s">
        <v>3908</v>
      </c>
      <c r="J26" s="6" t="s">
        <v>68</v>
      </c>
      <c r="K26" s="6" t="s">
        <v>3909</v>
      </c>
      <c r="L26" s="6"/>
      <c r="M26" s="6"/>
      <c r="N26" s="6"/>
      <c r="O26" s="6"/>
      <c r="P26" s="6"/>
      <c r="Q26" s="6"/>
      <c r="R26" s="6"/>
      <c r="S26" s="6"/>
      <c r="T26" s="6"/>
      <c r="U26" s="6"/>
      <c r="V26" s="6"/>
      <c r="W26" s="6"/>
      <c r="X26" s="6"/>
      <c r="Y26" s="6"/>
      <c r="Z26" s="6"/>
      <c r="AA26" s="6"/>
    </row>
    <row r="27" spans="1:27" x14ac:dyDescent="0.2">
      <c r="A27" s="6" t="s">
        <v>3902</v>
      </c>
      <c r="B27" s="6" t="s">
        <v>3910</v>
      </c>
      <c r="C27" s="20" t="s">
        <v>3911</v>
      </c>
      <c r="D27" s="6" t="s">
        <v>3912</v>
      </c>
      <c r="E27" s="6" t="s">
        <v>3885</v>
      </c>
      <c r="F27" s="6" t="s">
        <v>656</v>
      </c>
      <c r="G27" s="6" t="s">
        <v>35</v>
      </c>
      <c r="H27" s="6" t="s">
        <v>3907</v>
      </c>
      <c r="I27" s="6" t="s">
        <v>3908</v>
      </c>
      <c r="J27" s="6" t="s">
        <v>68</v>
      </c>
      <c r="K27" s="6" t="s">
        <v>3913</v>
      </c>
      <c r="L27" s="6"/>
      <c r="M27" s="6"/>
      <c r="N27" s="6"/>
      <c r="O27" s="6"/>
      <c r="P27" s="6"/>
      <c r="Q27" s="6"/>
      <c r="R27" s="6"/>
      <c r="S27" s="6"/>
      <c r="T27" s="6"/>
      <c r="U27" s="6"/>
      <c r="V27" s="6"/>
      <c r="W27" s="6"/>
      <c r="X27" s="6"/>
      <c r="Y27" s="6"/>
      <c r="Z27" s="6"/>
      <c r="AA27" s="6"/>
    </row>
    <row r="28" spans="1:27" x14ac:dyDescent="0.2">
      <c r="A28" s="6" t="s">
        <v>3902</v>
      </c>
      <c r="B28" s="6" t="s">
        <v>3914</v>
      </c>
      <c r="C28" s="20" t="s">
        <v>3911</v>
      </c>
      <c r="D28" s="6" t="s">
        <v>3915</v>
      </c>
      <c r="E28" s="6" t="s">
        <v>3829</v>
      </c>
      <c r="F28" s="6" t="s">
        <v>656</v>
      </c>
      <c r="G28" s="6" t="s">
        <v>35</v>
      </c>
      <c r="H28" s="6" t="s">
        <v>207</v>
      </c>
      <c r="I28" s="6" t="s">
        <v>209</v>
      </c>
      <c r="J28" s="6" t="s">
        <v>167</v>
      </c>
      <c r="K28" s="6"/>
      <c r="L28" s="6"/>
      <c r="M28" s="6"/>
      <c r="N28" s="6"/>
      <c r="O28" s="6"/>
      <c r="P28" s="6"/>
      <c r="Q28" s="6"/>
      <c r="R28" s="6"/>
      <c r="S28" s="6"/>
      <c r="T28" s="6"/>
      <c r="U28" s="6"/>
      <c r="V28" s="6"/>
      <c r="W28" s="6"/>
      <c r="X28" s="6"/>
      <c r="Y28" s="6"/>
      <c r="Z28" s="6"/>
      <c r="AA28" s="6"/>
    </row>
    <row r="29" spans="1:27" x14ac:dyDescent="0.2">
      <c r="A29" s="6" t="s">
        <v>3902</v>
      </c>
      <c r="B29" s="6" t="s">
        <v>3914</v>
      </c>
      <c r="C29" s="20" t="s">
        <v>3916</v>
      </c>
      <c r="D29" s="6" t="s">
        <v>3917</v>
      </c>
      <c r="E29" s="6" t="s">
        <v>3829</v>
      </c>
      <c r="F29" s="6" t="s">
        <v>3918</v>
      </c>
      <c r="G29" s="6" t="s">
        <v>35</v>
      </c>
      <c r="H29" s="6" t="s">
        <v>3919</v>
      </c>
      <c r="I29" s="6" t="s">
        <v>3920</v>
      </c>
      <c r="J29" s="6" t="s">
        <v>68</v>
      </c>
      <c r="K29" s="6"/>
      <c r="L29" s="6"/>
      <c r="M29" s="6"/>
      <c r="N29" s="6"/>
      <c r="O29" s="6"/>
      <c r="P29" s="6"/>
      <c r="Q29" s="6"/>
      <c r="R29" s="6"/>
      <c r="S29" s="6"/>
      <c r="T29" s="6"/>
      <c r="U29" s="6"/>
      <c r="V29" s="6"/>
      <c r="W29" s="6"/>
      <c r="X29" s="6"/>
      <c r="Y29" s="6"/>
      <c r="Z29" s="6"/>
      <c r="AA29" s="6"/>
    </row>
    <row r="30" spans="1:27" x14ac:dyDescent="0.2">
      <c r="A30" s="18" t="s">
        <v>3921</v>
      </c>
      <c r="B30" s="18" t="s">
        <v>3922</v>
      </c>
      <c r="C30" s="19" t="s">
        <v>3923</v>
      </c>
      <c r="D30" s="18" t="s">
        <v>3924</v>
      </c>
      <c r="E30" s="18" t="s">
        <v>3925</v>
      </c>
      <c r="F30" s="16" t="s">
        <v>656</v>
      </c>
      <c r="G30" s="18" t="s">
        <v>35</v>
      </c>
      <c r="H30" s="18" t="s">
        <v>3926</v>
      </c>
      <c r="I30" s="18" t="s">
        <v>3927</v>
      </c>
      <c r="J30" s="18" t="s">
        <v>167</v>
      </c>
      <c r="K30" s="18" t="s">
        <v>3928</v>
      </c>
      <c r="L30" s="18"/>
      <c r="M30" s="18"/>
      <c r="N30" s="18"/>
      <c r="O30" s="18"/>
      <c r="P30" s="18"/>
      <c r="Q30" s="18"/>
      <c r="R30" s="18"/>
      <c r="S30" s="18"/>
      <c r="T30" s="18"/>
      <c r="U30" s="18"/>
      <c r="V30" s="18"/>
      <c r="W30" s="18"/>
      <c r="X30" s="18"/>
      <c r="Y30" s="18"/>
      <c r="Z30" s="18"/>
      <c r="AA30" s="18"/>
    </row>
    <row r="31" spans="1:27" x14ac:dyDescent="0.2">
      <c r="A31" s="18" t="s">
        <v>3921</v>
      </c>
      <c r="B31" s="18" t="s">
        <v>3922</v>
      </c>
      <c r="C31" s="19" t="s">
        <v>3923</v>
      </c>
      <c r="D31" s="18" t="s">
        <v>3924</v>
      </c>
      <c r="E31" s="18" t="s">
        <v>3925</v>
      </c>
      <c r="F31" s="16" t="s">
        <v>3918</v>
      </c>
      <c r="G31" s="6" t="s">
        <v>35</v>
      </c>
      <c r="H31" s="6" t="s">
        <v>3926</v>
      </c>
      <c r="I31" s="6" t="s">
        <v>3927</v>
      </c>
      <c r="J31" s="6" t="s">
        <v>167</v>
      </c>
      <c r="K31" s="6" t="s">
        <v>3928</v>
      </c>
      <c r="L31" s="6"/>
      <c r="M31" s="6"/>
      <c r="N31" s="6"/>
      <c r="O31" s="6"/>
      <c r="P31" s="6"/>
      <c r="Q31" s="6"/>
      <c r="R31" s="6"/>
      <c r="S31" s="6"/>
      <c r="T31" s="6"/>
      <c r="U31" s="6"/>
      <c r="V31" s="6"/>
      <c r="W31" s="6"/>
      <c r="X31" s="6"/>
      <c r="Y31" s="6"/>
      <c r="Z31" s="6"/>
      <c r="AA31" s="6"/>
    </row>
    <row r="32" spans="1:27" x14ac:dyDescent="0.2">
      <c r="A32" s="18" t="s">
        <v>3929</v>
      </c>
      <c r="B32" s="18" t="s">
        <v>3930</v>
      </c>
      <c r="C32" s="19" t="s">
        <v>3931</v>
      </c>
      <c r="D32" s="18" t="s">
        <v>3932</v>
      </c>
      <c r="E32" s="18" t="s">
        <v>3933</v>
      </c>
      <c r="F32" s="16" t="s">
        <v>656</v>
      </c>
      <c r="G32" s="6" t="s">
        <v>35</v>
      </c>
      <c r="H32" s="6" t="s">
        <v>3934</v>
      </c>
      <c r="I32" s="6" t="s">
        <v>3935</v>
      </c>
      <c r="J32" s="6" t="s">
        <v>287</v>
      </c>
      <c r="K32" s="6"/>
      <c r="L32" s="6"/>
      <c r="M32" s="6"/>
      <c r="N32" s="6"/>
      <c r="O32" s="6"/>
      <c r="P32" s="6"/>
      <c r="Q32" s="6"/>
      <c r="R32" s="6"/>
      <c r="S32" s="6"/>
      <c r="T32" s="6"/>
      <c r="U32" s="6"/>
      <c r="V32" s="6"/>
      <c r="W32" s="6"/>
      <c r="X32" s="6"/>
      <c r="Y32" s="6"/>
      <c r="Z32" s="6"/>
      <c r="AA32" s="6"/>
    </row>
    <row r="33" spans="1:27" x14ac:dyDescent="0.2">
      <c r="A33" s="18" t="s">
        <v>3936</v>
      </c>
      <c r="B33" s="18" t="s">
        <v>3937</v>
      </c>
      <c r="C33" s="19" t="s">
        <v>3938</v>
      </c>
      <c r="D33" s="18" t="s">
        <v>3939</v>
      </c>
      <c r="E33" s="18" t="s">
        <v>3829</v>
      </c>
      <c r="F33" s="16" t="s">
        <v>3918</v>
      </c>
      <c r="G33" s="6" t="s">
        <v>35</v>
      </c>
      <c r="H33" s="6" t="s">
        <v>207</v>
      </c>
      <c r="I33" s="6" t="s">
        <v>209</v>
      </c>
      <c r="J33" s="6" t="s">
        <v>68</v>
      </c>
      <c r="K33" s="6"/>
      <c r="L33" s="6"/>
      <c r="M33" s="6"/>
      <c r="N33" s="6"/>
      <c r="O33" s="6"/>
      <c r="P33" s="6"/>
      <c r="Q33" s="6"/>
      <c r="R33" s="6"/>
      <c r="S33" s="6"/>
      <c r="T33" s="6"/>
      <c r="U33" s="6"/>
      <c r="V33" s="6"/>
      <c r="W33" s="6"/>
      <c r="X33" s="6"/>
      <c r="Y33" s="6"/>
      <c r="Z33" s="6"/>
      <c r="AA33" s="6"/>
    </row>
    <row r="34" spans="1:27" x14ac:dyDescent="0.2">
      <c r="A34" s="52" t="s">
        <v>1</v>
      </c>
      <c r="B34" s="53" t="s">
        <v>2</v>
      </c>
      <c r="C34" s="53" t="s">
        <v>4</v>
      </c>
      <c r="D34" s="52" t="s">
        <v>6</v>
      </c>
      <c r="E34" s="53" t="s">
        <v>8</v>
      </c>
      <c r="F34" s="52" t="s">
        <v>18</v>
      </c>
      <c r="G34" s="53" t="s">
        <v>19</v>
      </c>
      <c r="H34" s="52" t="s">
        <v>22</v>
      </c>
      <c r="I34" s="53" t="s">
        <v>23</v>
      </c>
      <c r="J34" s="53" t="s">
        <v>25</v>
      </c>
      <c r="K34" s="52" t="s">
        <v>26</v>
      </c>
      <c r="L34" s="52" t="s">
        <v>27</v>
      </c>
      <c r="M34" s="54"/>
      <c r="N34" s="54"/>
      <c r="O34" s="54"/>
      <c r="P34" s="54"/>
      <c r="Q34" s="54"/>
      <c r="R34" s="54"/>
      <c r="S34" s="54"/>
      <c r="T34" s="54"/>
      <c r="U34" s="54"/>
      <c r="V34" s="54"/>
      <c r="W34" s="54"/>
      <c r="X34" s="54"/>
      <c r="Y34" s="54"/>
      <c r="Z34" s="54"/>
      <c r="AA34" s="54"/>
    </row>
    <row r="35" spans="1:27" x14ac:dyDescent="0.2">
      <c r="A35" s="6"/>
      <c r="B35" s="6"/>
      <c r="C35" s="6"/>
      <c r="D35" s="6"/>
      <c r="E35" s="6"/>
      <c r="F35" s="6"/>
      <c r="G35" s="6"/>
      <c r="H35" s="6"/>
      <c r="I35" s="6"/>
      <c r="J35" s="6"/>
      <c r="K35" s="6"/>
      <c r="L35" s="6"/>
      <c r="M35" s="6"/>
      <c r="N35" s="6"/>
      <c r="O35" s="6"/>
      <c r="P35" s="6"/>
      <c r="Q35" s="6"/>
      <c r="R35" s="6"/>
      <c r="S35" s="6"/>
      <c r="T35" s="6"/>
      <c r="U35" s="6"/>
      <c r="V35" s="6"/>
      <c r="W35" s="6"/>
      <c r="X35" s="6"/>
      <c r="Y35" s="6"/>
      <c r="Z35" s="6"/>
      <c r="AA35" s="6"/>
    </row>
    <row r="36" spans="1:27" x14ac:dyDescent="0.2">
      <c r="A36" s="6"/>
      <c r="B36" s="6"/>
      <c r="C36" s="6"/>
      <c r="D36" s="6"/>
      <c r="E36" s="6"/>
      <c r="F36" s="6"/>
      <c r="G36" s="6"/>
      <c r="H36" s="6"/>
      <c r="I36" s="6"/>
      <c r="J36" s="6"/>
      <c r="K36" s="6"/>
      <c r="L36" s="6"/>
      <c r="M36" s="6"/>
      <c r="N36" s="6"/>
      <c r="O36" s="6"/>
      <c r="P36" s="6"/>
      <c r="Q36" s="6"/>
      <c r="R36" s="6"/>
      <c r="S36" s="6"/>
      <c r="T36" s="6"/>
      <c r="U36" s="6"/>
      <c r="V36" s="6"/>
      <c r="W36" s="6"/>
      <c r="X36" s="6"/>
      <c r="Y36" s="6"/>
      <c r="Z36" s="6"/>
      <c r="AA36" s="6"/>
    </row>
    <row r="37" spans="1:27" x14ac:dyDescent="0.2">
      <c r="A37" s="6"/>
      <c r="B37" s="6"/>
      <c r="C37" s="6"/>
      <c r="D37" s="6"/>
      <c r="E37" s="6"/>
      <c r="F37" s="6"/>
      <c r="G37" s="6"/>
      <c r="H37" s="6"/>
      <c r="I37" s="6"/>
      <c r="J37" s="6"/>
      <c r="K37" s="6"/>
      <c r="L37" s="6"/>
      <c r="M37" s="6"/>
      <c r="N37" s="6"/>
      <c r="O37" s="6"/>
      <c r="P37" s="6"/>
      <c r="Q37" s="6"/>
      <c r="R37" s="6"/>
      <c r="S37" s="6"/>
      <c r="T37" s="6"/>
      <c r="U37" s="6"/>
      <c r="V37" s="6"/>
      <c r="W37" s="6"/>
      <c r="X37" s="6"/>
      <c r="Y37" s="6"/>
      <c r="Z37" s="6"/>
      <c r="AA37" s="6"/>
    </row>
    <row r="38" spans="1:27" x14ac:dyDescent="0.2">
      <c r="A38" s="6"/>
      <c r="B38" s="6"/>
      <c r="C38" s="6"/>
      <c r="D38" s="6"/>
      <c r="E38" s="6"/>
      <c r="F38" s="6"/>
      <c r="G38" s="6"/>
      <c r="H38" s="6"/>
      <c r="I38" s="6"/>
      <c r="J38" s="6"/>
      <c r="K38" s="6"/>
      <c r="L38" s="6"/>
      <c r="M38" s="6"/>
      <c r="N38" s="6"/>
      <c r="O38" s="6"/>
      <c r="P38" s="6"/>
      <c r="Q38" s="6"/>
      <c r="R38" s="6"/>
      <c r="S38" s="6"/>
      <c r="T38" s="6"/>
      <c r="U38" s="6"/>
      <c r="V38" s="6"/>
      <c r="W38" s="6"/>
      <c r="X38" s="6"/>
      <c r="Y38" s="6"/>
      <c r="Z38" s="6"/>
      <c r="AA38" s="6"/>
    </row>
    <row r="39" spans="1:27" x14ac:dyDescent="0.2">
      <c r="A39" s="6"/>
      <c r="B39" s="6"/>
      <c r="C39" s="6"/>
      <c r="D39" s="6"/>
      <c r="E39" s="6"/>
      <c r="F39" s="6"/>
      <c r="G39" s="6"/>
      <c r="H39" s="6"/>
      <c r="I39" s="6"/>
      <c r="J39" s="6"/>
      <c r="K39" s="6"/>
      <c r="L39" s="6"/>
      <c r="M39" s="6"/>
      <c r="N39" s="6"/>
      <c r="O39" s="6"/>
      <c r="P39" s="6"/>
      <c r="Q39" s="6"/>
      <c r="R39" s="6"/>
      <c r="S39" s="6"/>
      <c r="T39" s="6"/>
      <c r="U39" s="6"/>
      <c r="V39" s="6"/>
      <c r="W39" s="6"/>
      <c r="X39" s="6"/>
      <c r="Y39" s="6"/>
      <c r="Z39" s="6"/>
      <c r="AA39" s="6"/>
    </row>
    <row r="40" spans="1:27" x14ac:dyDescent="0.2">
      <c r="A40" s="6"/>
      <c r="B40" s="6"/>
      <c r="C40" s="6"/>
      <c r="D40" s="6"/>
      <c r="E40" s="6"/>
      <c r="F40" s="6"/>
      <c r="G40" s="6"/>
      <c r="H40" s="6"/>
      <c r="I40" s="6"/>
      <c r="J40" s="6"/>
      <c r="K40" s="6"/>
      <c r="L40" s="6"/>
      <c r="M40" s="6"/>
      <c r="N40" s="6"/>
      <c r="O40" s="6"/>
      <c r="P40" s="6"/>
      <c r="Q40" s="6"/>
      <c r="R40" s="6"/>
      <c r="S40" s="6"/>
      <c r="T40" s="6"/>
      <c r="U40" s="6"/>
      <c r="V40" s="6"/>
      <c r="W40" s="6"/>
      <c r="X40" s="6"/>
      <c r="Y40" s="6"/>
      <c r="Z40" s="6"/>
      <c r="AA40" s="6"/>
    </row>
    <row r="41" spans="1:27" x14ac:dyDescent="0.2">
      <c r="A41" s="6"/>
      <c r="B41" s="6"/>
      <c r="C41" s="6"/>
      <c r="D41" s="6"/>
      <c r="E41" s="6"/>
      <c r="F41" s="6"/>
      <c r="G41" s="6"/>
      <c r="H41" s="6"/>
      <c r="I41" s="6"/>
      <c r="J41" s="6"/>
      <c r="K41" s="6"/>
      <c r="L41" s="6"/>
      <c r="M41" s="6"/>
      <c r="N41" s="6"/>
      <c r="O41" s="6"/>
      <c r="P41" s="6"/>
      <c r="Q41" s="6"/>
      <c r="R41" s="6"/>
      <c r="S41" s="6"/>
      <c r="T41" s="6"/>
      <c r="U41" s="6"/>
      <c r="V41" s="6"/>
      <c r="W41" s="6"/>
      <c r="X41" s="6"/>
      <c r="Y41" s="6"/>
      <c r="Z41" s="6"/>
      <c r="AA41" s="6"/>
    </row>
    <row r="42" spans="1:27" x14ac:dyDescent="0.2">
      <c r="A42" s="6"/>
      <c r="B42" s="6"/>
      <c r="C42" s="6"/>
      <c r="D42" s="6"/>
      <c r="E42" s="6"/>
      <c r="F42" s="6"/>
      <c r="G42" s="6"/>
      <c r="H42" s="6"/>
      <c r="I42" s="6"/>
      <c r="J42" s="6"/>
      <c r="K42" s="6"/>
      <c r="L42" s="6"/>
      <c r="M42" s="6"/>
      <c r="N42" s="6"/>
      <c r="O42" s="6"/>
      <c r="P42" s="6"/>
      <c r="Q42" s="6"/>
      <c r="R42" s="6"/>
      <c r="S42" s="6"/>
      <c r="T42" s="6"/>
      <c r="U42" s="6"/>
      <c r="V42" s="6"/>
      <c r="W42" s="6"/>
      <c r="X42" s="6"/>
      <c r="Y42" s="6"/>
      <c r="Z42" s="6"/>
      <c r="AA42" s="6"/>
    </row>
    <row r="43" spans="1:27" x14ac:dyDescent="0.2">
      <c r="A43" s="6"/>
      <c r="B43" s="6"/>
      <c r="C43" s="6"/>
      <c r="D43" s="6"/>
      <c r="E43" s="6"/>
      <c r="F43" s="6"/>
      <c r="G43" s="6"/>
      <c r="H43" s="6"/>
      <c r="I43" s="6"/>
      <c r="J43" s="6"/>
      <c r="K43" s="6"/>
      <c r="L43" s="6"/>
      <c r="M43" s="6"/>
      <c r="N43" s="6"/>
      <c r="O43" s="6"/>
      <c r="P43" s="6"/>
      <c r="Q43" s="6"/>
      <c r="R43" s="6"/>
      <c r="S43" s="6"/>
      <c r="T43" s="6"/>
      <c r="U43" s="6"/>
      <c r="V43" s="6"/>
      <c r="W43" s="6"/>
      <c r="X43" s="6"/>
      <c r="Y43" s="6"/>
      <c r="Z43" s="6"/>
      <c r="AA43" s="6"/>
    </row>
    <row r="44" spans="1:27" x14ac:dyDescent="0.2">
      <c r="A44" s="6"/>
      <c r="B44" s="6"/>
      <c r="C44" s="6"/>
      <c r="D44" s="6"/>
      <c r="E44" s="6"/>
      <c r="F44" s="6"/>
      <c r="G44" s="6"/>
      <c r="H44" s="6"/>
      <c r="I44" s="6"/>
      <c r="J44" s="6"/>
      <c r="K44" s="6"/>
      <c r="L44" s="6"/>
      <c r="M44" s="6"/>
      <c r="N44" s="6"/>
      <c r="O44" s="6"/>
      <c r="P44" s="6"/>
      <c r="Q44" s="6"/>
      <c r="R44" s="6"/>
      <c r="S44" s="6"/>
      <c r="T44" s="6"/>
      <c r="U44" s="6"/>
      <c r="V44" s="6"/>
      <c r="W44" s="6"/>
      <c r="X44" s="6"/>
      <c r="Y44" s="6"/>
      <c r="Z44" s="6"/>
      <c r="AA44" s="6"/>
    </row>
    <row r="45" spans="1:27" x14ac:dyDescent="0.2">
      <c r="A45" s="6"/>
      <c r="B45" s="6"/>
      <c r="C45" s="6"/>
      <c r="D45" s="6"/>
      <c r="E45" s="6"/>
      <c r="F45" s="6"/>
      <c r="G45" s="6"/>
      <c r="H45" s="6"/>
      <c r="I45" s="6"/>
      <c r="J45" s="6"/>
      <c r="K45" s="6"/>
      <c r="L45" s="6"/>
      <c r="M45" s="6"/>
      <c r="N45" s="6"/>
      <c r="O45" s="6"/>
      <c r="P45" s="6"/>
      <c r="Q45" s="6"/>
      <c r="R45" s="6"/>
      <c r="S45" s="6"/>
      <c r="T45" s="6"/>
      <c r="U45" s="6"/>
      <c r="V45" s="6"/>
      <c r="W45" s="6"/>
      <c r="X45" s="6"/>
      <c r="Y45" s="6"/>
      <c r="Z45" s="6"/>
      <c r="AA45" s="6"/>
    </row>
    <row r="46" spans="1:27" x14ac:dyDescent="0.2">
      <c r="A46" s="6"/>
      <c r="B46" s="6"/>
      <c r="C46" s="6"/>
      <c r="D46" s="6"/>
      <c r="E46" s="6"/>
      <c r="F46" s="6"/>
      <c r="G46" s="6"/>
      <c r="H46" s="6"/>
      <c r="I46" s="6"/>
      <c r="J46" s="6"/>
      <c r="K46" s="6"/>
      <c r="L46" s="6"/>
      <c r="M46" s="6"/>
      <c r="N46" s="6"/>
      <c r="O46" s="6"/>
      <c r="P46" s="6"/>
      <c r="Q46" s="6"/>
      <c r="R46" s="6"/>
      <c r="S46" s="6"/>
      <c r="T46" s="6"/>
      <c r="U46" s="6"/>
      <c r="V46" s="6"/>
      <c r="W46" s="6"/>
      <c r="X46" s="6"/>
      <c r="Y46" s="6"/>
      <c r="Z46" s="6"/>
      <c r="AA46" s="6"/>
    </row>
    <row r="47" spans="1:27" x14ac:dyDescent="0.2">
      <c r="A47" s="6"/>
      <c r="B47" s="6"/>
      <c r="C47" s="6"/>
      <c r="D47" s="6"/>
      <c r="E47" s="6"/>
      <c r="F47" s="6"/>
      <c r="G47" s="6"/>
      <c r="H47" s="6"/>
      <c r="I47" s="6"/>
      <c r="J47" s="6"/>
      <c r="K47" s="6"/>
      <c r="L47" s="6"/>
      <c r="M47" s="6"/>
      <c r="N47" s="6"/>
      <c r="O47" s="6"/>
      <c r="P47" s="6"/>
      <c r="Q47" s="6"/>
      <c r="R47" s="6"/>
      <c r="S47" s="6"/>
      <c r="T47" s="6"/>
      <c r="U47" s="6"/>
      <c r="V47" s="6"/>
      <c r="W47" s="6"/>
      <c r="X47" s="6"/>
      <c r="Y47" s="6"/>
      <c r="Z47" s="6"/>
      <c r="AA47" s="6"/>
    </row>
    <row r="48" spans="1:27" x14ac:dyDescent="0.2">
      <c r="A48" s="6"/>
      <c r="B48" s="6"/>
      <c r="C48" s="6"/>
      <c r="D48" s="6"/>
      <c r="E48" s="6"/>
      <c r="F48" s="6"/>
      <c r="G48" s="6"/>
      <c r="H48" s="6"/>
      <c r="I48" s="6"/>
      <c r="J48" s="6"/>
      <c r="K48" s="6"/>
      <c r="L48" s="6"/>
      <c r="M48" s="6"/>
      <c r="N48" s="6"/>
      <c r="O48" s="6"/>
      <c r="P48" s="6"/>
      <c r="Q48" s="6"/>
      <c r="R48" s="6"/>
      <c r="S48" s="6"/>
      <c r="T48" s="6"/>
      <c r="U48" s="6"/>
      <c r="V48" s="6"/>
      <c r="W48" s="6"/>
      <c r="X48" s="6"/>
      <c r="Y48" s="6"/>
      <c r="Z48" s="6"/>
      <c r="AA48" s="6"/>
    </row>
    <row r="49" spans="1:27" x14ac:dyDescent="0.2">
      <c r="A49" s="6"/>
      <c r="B49" s="6"/>
      <c r="C49" s="6"/>
      <c r="D49" s="6"/>
      <c r="E49" s="6"/>
      <c r="F49" s="6"/>
      <c r="G49" s="6"/>
      <c r="H49" s="6"/>
      <c r="I49" s="6"/>
      <c r="J49" s="6"/>
      <c r="K49" s="6"/>
      <c r="L49" s="6"/>
      <c r="M49" s="6"/>
      <c r="N49" s="6"/>
      <c r="O49" s="6"/>
      <c r="P49" s="6"/>
      <c r="Q49" s="6"/>
      <c r="R49" s="6"/>
      <c r="S49" s="6"/>
      <c r="T49" s="6"/>
      <c r="U49" s="6"/>
      <c r="V49" s="6"/>
      <c r="W49" s="6"/>
      <c r="X49" s="6"/>
      <c r="Y49" s="6"/>
      <c r="Z49" s="6"/>
      <c r="AA49" s="6"/>
    </row>
    <row r="50" spans="1:27" x14ac:dyDescent="0.2">
      <c r="A50" s="6"/>
      <c r="B50" s="6"/>
      <c r="C50" s="6"/>
      <c r="D50" s="6"/>
      <c r="E50" s="6"/>
      <c r="F50" s="6"/>
      <c r="G50" s="6"/>
      <c r="H50" s="6"/>
      <c r="I50" s="6"/>
      <c r="J50" s="6"/>
      <c r="K50" s="6"/>
      <c r="L50" s="6"/>
      <c r="M50" s="6"/>
      <c r="N50" s="6"/>
      <c r="O50" s="6"/>
      <c r="P50" s="6"/>
      <c r="Q50" s="6"/>
      <c r="R50" s="6"/>
      <c r="S50" s="6"/>
      <c r="T50" s="6"/>
      <c r="U50" s="6"/>
      <c r="V50" s="6"/>
      <c r="W50" s="6"/>
      <c r="X50" s="6"/>
      <c r="Y50" s="6"/>
      <c r="Z50" s="6"/>
      <c r="AA50" s="6"/>
    </row>
    <row r="51" spans="1:27" x14ac:dyDescent="0.2">
      <c r="A51" s="6"/>
      <c r="B51" s="6"/>
      <c r="C51" s="6"/>
      <c r="D51" s="6"/>
      <c r="E51" s="6"/>
      <c r="F51" s="6"/>
      <c r="G51" s="6"/>
      <c r="H51" s="6"/>
      <c r="I51" s="6"/>
      <c r="J51" s="6"/>
      <c r="K51" s="6"/>
      <c r="L51" s="6"/>
      <c r="M51" s="6"/>
      <c r="N51" s="6"/>
      <c r="O51" s="6"/>
      <c r="P51" s="6"/>
      <c r="Q51" s="6"/>
      <c r="R51" s="6"/>
      <c r="S51" s="6"/>
      <c r="T51" s="6"/>
      <c r="U51" s="6"/>
      <c r="V51" s="6"/>
      <c r="W51" s="6"/>
      <c r="X51" s="6"/>
      <c r="Y51" s="6"/>
      <c r="Z51" s="6"/>
      <c r="AA51" s="6"/>
    </row>
    <row r="52" spans="1:27" x14ac:dyDescent="0.2">
      <c r="A52" s="6"/>
      <c r="B52" s="6"/>
      <c r="C52" s="6"/>
      <c r="D52" s="6"/>
      <c r="E52" s="6"/>
      <c r="F52" s="6"/>
      <c r="G52" s="6"/>
      <c r="H52" s="6"/>
      <c r="I52" s="6"/>
      <c r="J52" s="6"/>
      <c r="K52" s="6"/>
      <c r="L52" s="6"/>
      <c r="M52" s="6"/>
      <c r="N52" s="6"/>
      <c r="O52" s="6"/>
      <c r="P52" s="6"/>
      <c r="Q52" s="6"/>
      <c r="R52" s="6"/>
      <c r="S52" s="6"/>
      <c r="T52" s="6"/>
      <c r="U52" s="6"/>
      <c r="V52" s="6"/>
      <c r="W52" s="6"/>
      <c r="X52" s="6"/>
      <c r="Y52" s="6"/>
      <c r="Z52" s="6"/>
      <c r="AA52" s="6"/>
    </row>
    <row r="53" spans="1:27" x14ac:dyDescent="0.2">
      <c r="A53" s="6"/>
      <c r="B53" s="6"/>
      <c r="C53" s="6"/>
      <c r="D53" s="6"/>
      <c r="E53" s="6"/>
      <c r="F53" s="6"/>
      <c r="G53" s="6"/>
      <c r="H53" s="6"/>
      <c r="I53" s="6"/>
      <c r="J53" s="6"/>
      <c r="K53" s="6"/>
      <c r="L53" s="6"/>
      <c r="M53" s="6"/>
      <c r="N53" s="6"/>
      <c r="O53" s="6"/>
      <c r="P53" s="6"/>
      <c r="Q53" s="6"/>
      <c r="R53" s="6"/>
      <c r="S53" s="6"/>
      <c r="T53" s="6"/>
      <c r="U53" s="6"/>
      <c r="V53" s="6"/>
      <c r="W53" s="6"/>
      <c r="X53" s="6"/>
      <c r="Y53" s="6"/>
      <c r="Z53" s="6"/>
      <c r="AA53" s="6"/>
    </row>
    <row r="54" spans="1:27" x14ac:dyDescent="0.2">
      <c r="A54" s="6"/>
      <c r="B54" s="6"/>
      <c r="C54" s="6"/>
      <c r="D54" s="6"/>
      <c r="E54" s="6"/>
      <c r="F54" s="6"/>
      <c r="G54" s="6"/>
      <c r="H54" s="6"/>
      <c r="I54" s="6"/>
      <c r="J54" s="6"/>
      <c r="K54" s="6"/>
      <c r="L54" s="6"/>
      <c r="M54" s="6"/>
      <c r="N54" s="6"/>
      <c r="O54" s="6"/>
      <c r="P54" s="6"/>
      <c r="Q54" s="6"/>
      <c r="R54" s="6"/>
      <c r="S54" s="6"/>
      <c r="T54" s="6"/>
      <c r="U54" s="6"/>
      <c r="V54" s="6"/>
      <c r="W54" s="6"/>
      <c r="X54" s="6"/>
      <c r="Y54" s="6"/>
      <c r="Z54" s="6"/>
      <c r="AA54" s="6"/>
    </row>
    <row r="55" spans="1:27" x14ac:dyDescent="0.2">
      <c r="A55" s="6"/>
      <c r="B55" s="6"/>
      <c r="C55" s="6"/>
      <c r="D55" s="6"/>
      <c r="E55" s="6"/>
      <c r="F55" s="6"/>
      <c r="G55" s="6"/>
      <c r="H55" s="6"/>
      <c r="I55" s="6"/>
      <c r="J55" s="6"/>
      <c r="K55" s="6"/>
      <c r="L55" s="6"/>
      <c r="M55" s="6"/>
      <c r="N55" s="6"/>
      <c r="O55" s="6"/>
      <c r="P55" s="6"/>
      <c r="Q55" s="6"/>
      <c r="R55" s="6"/>
      <c r="S55" s="6"/>
      <c r="T55" s="6"/>
      <c r="U55" s="6"/>
      <c r="V55" s="6"/>
      <c r="W55" s="6"/>
      <c r="X55" s="6"/>
      <c r="Y55" s="6"/>
      <c r="Z55" s="6"/>
      <c r="AA55" s="6"/>
    </row>
    <row r="56" spans="1:27" x14ac:dyDescent="0.2">
      <c r="A56" s="6"/>
      <c r="B56" s="6"/>
      <c r="C56" s="6"/>
      <c r="D56" s="6"/>
      <c r="E56" s="6"/>
      <c r="F56" s="6"/>
      <c r="G56" s="6"/>
      <c r="H56" s="6"/>
      <c r="I56" s="6"/>
      <c r="J56" s="6"/>
      <c r="K56" s="6"/>
      <c r="L56" s="6"/>
      <c r="M56" s="6"/>
      <c r="N56" s="6"/>
      <c r="O56" s="6"/>
      <c r="P56" s="6"/>
      <c r="Q56" s="6"/>
      <c r="R56" s="6"/>
      <c r="S56" s="6"/>
      <c r="T56" s="6"/>
      <c r="U56" s="6"/>
      <c r="V56" s="6"/>
      <c r="W56" s="6"/>
      <c r="X56" s="6"/>
      <c r="Y56" s="6"/>
      <c r="Z56" s="6"/>
      <c r="AA56" s="6"/>
    </row>
    <row r="57" spans="1:27" x14ac:dyDescent="0.2">
      <c r="A57" s="6"/>
      <c r="B57" s="6"/>
      <c r="C57" s="6"/>
      <c r="D57" s="6"/>
      <c r="E57" s="6"/>
      <c r="F57" s="6"/>
      <c r="G57" s="6"/>
      <c r="H57" s="6"/>
      <c r="I57" s="6"/>
      <c r="J57" s="6"/>
      <c r="K57" s="6"/>
      <c r="L57" s="6"/>
      <c r="M57" s="6"/>
      <c r="N57" s="6"/>
      <c r="O57" s="6"/>
      <c r="P57" s="6"/>
      <c r="Q57" s="6"/>
      <c r="R57" s="6"/>
      <c r="S57" s="6"/>
      <c r="T57" s="6"/>
      <c r="U57" s="6"/>
      <c r="V57" s="6"/>
      <c r="W57" s="6"/>
      <c r="X57" s="6"/>
      <c r="Y57" s="6"/>
      <c r="Z57" s="6"/>
      <c r="AA57" s="6"/>
    </row>
    <row r="58" spans="1:27" x14ac:dyDescent="0.2">
      <c r="A58" s="6"/>
      <c r="B58" s="6"/>
      <c r="C58" s="6"/>
      <c r="D58" s="6"/>
      <c r="E58" s="6"/>
      <c r="F58" s="6"/>
      <c r="G58" s="6"/>
      <c r="H58" s="6"/>
      <c r="I58" s="6"/>
      <c r="J58" s="6"/>
      <c r="K58" s="6"/>
      <c r="L58" s="6"/>
      <c r="M58" s="6"/>
      <c r="N58" s="6"/>
      <c r="O58" s="6"/>
      <c r="P58" s="6"/>
      <c r="Q58" s="6"/>
      <c r="R58" s="6"/>
      <c r="S58" s="6"/>
      <c r="T58" s="6"/>
      <c r="U58" s="6"/>
      <c r="V58" s="6"/>
      <c r="W58" s="6"/>
      <c r="X58" s="6"/>
      <c r="Y58" s="6"/>
      <c r="Z58" s="6"/>
      <c r="AA58" s="6"/>
    </row>
    <row r="59" spans="1:27" x14ac:dyDescent="0.2">
      <c r="A59" s="6"/>
      <c r="B59" s="6"/>
      <c r="C59" s="6"/>
      <c r="D59" s="6"/>
      <c r="E59" s="6"/>
      <c r="F59" s="6"/>
      <c r="G59" s="6"/>
      <c r="H59" s="6"/>
      <c r="I59" s="6"/>
      <c r="J59" s="6"/>
      <c r="K59" s="6"/>
      <c r="L59" s="6"/>
      <c r="M59" s="6"/>
      <c r="N59" s="6"/>
      <c r="O59" s="6"/>
      <c r="P59" s="6"/>
      <c r="Q59" s="6"/>
      <c r="R59" s="6"/>
      <c r="S59" s="6"/>
      <c r="T59" s="6"/>
      <c r="U59" s="6"/>
      <c r="V59" s="6"/>
      <c r="W59" s="6"/>
      <c r="X59" s="6"/>
      <c r="Y59" s="6"/>
      <c r="Z59" s="6"/>
      <c r="AA59" s="6"/>
    </row>
    <row r="60" spans="1:27" x14ac:dyDescent="0.2">
      <c r="A60" s="6"/>
      <c r="B60" s="6"/>
      <c r="C60" s="6"/>
      <c r="D60" s="6"/>
      <c r="E60" s="6"/>
      <c r="F60" s="6"/>
      <c r="G60" s="6"/>
      <c r="H60" s="6"/>
      <c r="I60" s="6"/>
      <c r="J60" s="6"/>
      <c r="K60" s="6"/>
      <c r="L60" s="6"/>
      <c r="M60" s="6"/>
      <c r="N60" s="6"/>
      <c r="O60" s="6"/>
      <c r="P60" s="6"/>
      <c r="Q60" s="6"/>
      <c r="R60" s="6"/>
      <c r="S60" s="6"/>
      <c r="T60" s="6"/>
      <c r="U60" s="6"/>
      <c r="V60" s="6"/>
      <c r="W60" s="6"/>
      <c r="X60" s="6"/>
      <c r="Y60" s="6"/>
      <c r="Z60" s="6"/>
      <c r="AA60" s="6"/>
    </row>
    <row r="61" spans="1:27" x14ac:dyDescent="0.2">
      <c r="A61" s="6"/>
      <c r="B61" s="6"/>
      <c r="C61" s="6"/>
      <c r="D61" s="6"/>
      <c r="E61" s="6"/>
      <c r="F61" s="6"/>
      <c r="G61" s="6"/>
      <c r="H61" s="6"/>
      <c r="I61" s="6"/>
      <c r="J61" s="6"/>
      <c r="K61" s="6"/>
      <c r="L61" s="6"/>
      <c r="M61" s="6"/>
      <c r="N61" s="6"/>
      <c r="O61" s="6"/>
      <c r="P61" s="6"/>
      <c r="Q61" s="6"/>
      <c r="R61" s="6"/>
      <c r="S61" s="6"/>
      <c r="T61" s="6"/>
      <c r="U61" s="6"/>
      <c r="V61" s="6"/>
      <c r="W61" s="6"/>
      <c r="X61" s="6"/>
      <c r="Y61" s="6"/>
      <c r="Z61" s="6"/>
      <c r="AA61" s="6"/>
    </row>
    <row r="62" spans="1:27" x14ac:dyDescent="0.2">
      <c r="A62" s="6"/>
      <c r="B62" s="6"/>
      <c r="C62" s="6"/>
      <c r="D62" s="6"/>
      <c r="E62" s="6"/>
      <c r="F62" s="6"/>
      <c r="G62" s="6"/>
      <c r="H62" s="6"/>
      <c r="I62" s="6"/>
      <c r="J62" s="6"/>
      <c r="K62" s="6"/>
      <c r="L62" s="6"/>
      <c r="M62" s="6"/>
      <c r="N62" s="6"/>
      <c r="O62" s="6"/>
      <c r="P62" s="6"/>
      <c r="Q62" s="6"/>
      <c r="R62" s="6"/>
      <c r="S62" s="6"/>
      <c r="T62" s="6"/>
      <c r="U62" s="6"/>
      <c r="V62" s="6"/>
      <c r="W62" s="6"/>
      <c r="X62" s="6"/>
      <c r="Y62" s="6"/>
      <c r="Z62" s="6"/>
      <c r="AA62" s="6"/>
    </row>
    <row r="63" spans="1:27" x14ac:dyDescent="0.2">
      <c r="A63" s="6"/>
      <c r="B63" s="6"/>
      <c r="C63" s="6"/>
      <c r="D63" s="6"/>
      <c r="E63" s="6"/>
      <c r="F63" s="6"/>
      <c r="G63" s="6"/>
      <c r="H63" s="6"/>
      <c r="I63" s="6"/>
      <c r="J63" s="6"/>
      <c r="K63" s="6"/>
      <c r="L63" s="6"/>
      <c r="M63" s="6"/>
      <c r="N63" s="6"/>
      <c r="O63" s="6"/>
      <c r="P63" s="6"/>
      <c r="Q63" s="6"/>
      <c r="R63" s="6"/>
      <c r="S63" s="6"/>
      <c r="T63" s="6"/>
      <c r="U63" s="6"/>
      <c r="V63" s="6"/>
      <c r="W63" s="6"/>
      <c r="X63" s="6"/>
      <c r="Y63" s="6"/>
      <c r="Z63" s="6"/>
      <c r="AA63" s="6"/>
    </row>
    <row r="64" spans="1:27" x14ac:dyDescent="0.2">
      <c r="A64" s="6"/>
      <c r="B64" s="6"/>
      <c r="C64" s="6"/>
      <c r="D64" s="6"/>
      <c r="E64" s="6"/>
      <c r="F64" s="6"/>
      <c r="G64" s="6"/>
      <c r="H64" s="6"/>
      <c r="I64" s="6"/>
      <c r="J64" s="6"/>
      <c r="K64" s="6"/>
      <c r="L64" s="6"/>
      <c r="M64" s="6"/>
      <c r="N64" s="6"/>
      <c r="O64" s="6"/>
      <c r="P64" s="6"/>
      <c r="Q64" s="6"/>
      <c r="R64" s="6"/>
      <c r="S64" s="6"/>
      <c r="T64" s="6"/>
      <c r="U64" s="6"/>
      <c r="V64" s="6"/>
      <c r="W64" s="6"/>
      <c r="X64" s="6"/>
      <c r="Y64" s="6"/>
      <c r="Z64" s="6"/>
      <c r="AA64" s="6"/>
    </row>
    <row r="65" spans="1:27" x14ac:dyDescent="0.2">
      <c r="A65" s="6"/>
      <c r="B65" s="6"/>
      <c r="C65" s="6"/>
      <c r="D65" s="6"/>
      <c r="E65" s="6"/>
      <c r="F65" s="6"/>
      <c r="G65" s="6"/>
      <c r="H65" s="6"/>
      <c r="I65" s="6"/>
      <c r="J65" s="6"/>
      <c r="K65" s="6"/>
      <c r="L65" s="6"/>
      <c r="M65" s="6"/>
      <c r="N65" s="6"/>
      <c r="O65" s="6"/>
      <c r="P65" s="6"/>
      <c r="Q65" s="6"/>
      <c r="R65" s="6"/>
      <c r="S65" s="6"/>
      <c r="T65" s="6"/>
      <c r="U65" s="6"/>
      <c r="V65" s="6"/>
      <c r="W65" s="6"/>
      <c r="X65" s="6"/>
      <c r="Y65" s="6"/>
      <c r="Z65" s="6"/>
      <c r="AA65" s="6"/>
    </row>
    <row r="66" spans="1:27" x14ac:dyDescent="0.2">
      <c r="A66" s="6"/>
      <c r="B66" s="6"/>
      <c r="C66" s="6"/>
      <c r="D66" s="6"/>
      <c r="E66" s="6"/>
      <c r="F66" s="6"/>
      <c r="G66" s="6"/>
      <c r="H66" s="6"/>
      <c r="I66" s="6"/>
      <c r="J66" s="6"/>
      <c r="K66" s="6"/>
      <c r="L66" s="6"/>
      <c r="M66" s="6"/>
      <c r="N66" s="6"/>
      <c r="O66" s="6"/>
      <c r="P66" s="6"/>
      <c r="Q66" s="6"/>
      <c r="R66" s="6"/>
      <c r="S66" s="6"/>
      <c r="T66" s="6"/>
      <c r="U66" s="6"/>
      <c r="V66" s="6"/>
      <c r="W66" s="6"/>
      <c r="X66" s="6"/>
      <c r="Y66" s="6"/>
      <c r="Z66" s="6"/>
      <c r="AA66" s="6"/>
    </row>
    <row r="67" spans="1:27" x14ac:dyDescent="0.2">
      <c r="A67" s="6"/>
      <c r="B67" s="6"/>
      <c r="C67" s="6"/>
      <c r="D67" s="6"/>
      <c r="E67" s="6"/>
      <c r="F67" s="6"/>
      <c r="G67" s="6"/>
      <c r="H67" s="6"/>
      <c r="I67" s="6"/>
      <c r="J67" s="6"/>
      <c r="K67" s="6"/>
      <c r="L67" s="6"/>
      <c r="M67" s="6"/>
      <c r="N67" s="6"/>
      <c r="O67" s="6"/>
      <c r="P67" s="6"/>
      <c r="Q67" s="6"/>
      <c r="R67" s="6"/>
      <c r="S67" s="6"/>
      <c r="T67" s="6"/>
      <c r="U67" s="6"/>
      <c r="V67" s="6"/>
      <c r="W67" s="6"/>
      <c r="X67" s="6"/>
      <c r="Y67" s="6"/>
      <c r="Z67" s="6"/>
      <c r="AA67" s="6"/>
    </row>
    <row r="68" spans="1:27" x14ac:dyDescent="0.2">
      <c r="A68" s="6"/>
      <c r="B68" s="6"/>
      <c r="C68" s="6"/>
      <c r="D68" s="6"/>
      <c r="E68" s="6"/>
      <c r="F68" s="6"/>
      <c r="G68" s="6"/>
      <c r="H68" s="6"/>
      <c r="I68" s="6"/>
      <c r="J68" s="6"/>
      <c r="K68" s="6"/>
      <c r="L68" s="6"/>
      <c r="M68" s="6"/>
      <c r="N68" s="6"/>
      <c r="O68" s="6"/>
      <c r="P68" s="6"/>
      <c r="Q68" s="6"/>
      <c r="R68" s="6"/>
      <c r="S68" s="6"/>
      <c r="T68" s="6"/>
      <c r="U68" s="6"/>
      <c r="V68" s="6"/>
      <c r="W68" s="6"/>
      <c r="X68" s="6"/>
      <c r="Y68" s="6"/>
      <c r="Z68" s="6"/>
      <c r="AA68" s="6"/>
    </row>
    <row r="69" spans="1:27" x14ac:dyDescent="0.2">
      <c r="A69" s="6"/>
      <c r="B69" s="6"/>
      <c r="C69" s="6"/>
      <c r="D69" s="6"/>
      <c r="E69" s="6"/>
      <c r="F69" s="6"/>
      <c r="G69" s="6"/>
      <c r="H69" s="6"/>
      <c r="I69" s="6"/>
      <c r="J69" s="6"/>
      <c r="K69" s="6"/>
      <c r="L69" s="6"/>
      <c r="M69" s="6"/>
      <c r="N69" s="6"/>
      <c r="O69" s="6"/>
      <c r="P69" s="6"/>
      <c r="Q69" s="6"/>
      <c r="R69" s="6"/>
      <c r="S69" s="6"/>
      <c r="T69" s="6"/>
      <c r="U69" s="6"/>
      <c r="V69" s="6"/>
      <c r="W69" s="6"/>
      <c r="X69" s="6"/>
      <c r="Y69" s="6"/>
      <c r="Z69" s="6"/>
      <c r="AA69" s="6"/>
    </row>
    <row r="70" spans="1:27" x14ac:dyDescent="0.2">
      <c r="A70" s="6"/>
      <c r="B70" s="6"/>
      <c r="C70" s="6"/>
      <c r="D70" s="6"/>
      <c r="E70" s="6"/>
      <c r="F70" s="6"/>
      <c r="G70" s="6"/>
      <c r="H70" s="6"/>
      <c r="I70" s="6"/>
      <c r="J70" s="6"/>
      <c r="K70" s="6"/>
      <c r="L70" s="6"/>
      <c r="M70" s="6"/>
      <c r="N70" s="6"/>
      <c r="O70" s="6"/>
      <c r="P70" s="6"/>
      <c r="Q70" s="6"/>
      <c r="R70" s="6"/>
      <c r="S70" s="6"/>
      <c r="T70" s="6"/>
      <c r="U70" s="6"/>
      <c r="V70" s="6"/>
      <c r="W70" s="6"/>
      <c r="X70" s="6"/>
      <c r="Y70" s="6"/>
      <c r="Z70" s="6"/>
      <c r="AA70" s="6"/>
    </row>
    <row r="71" spans="1:27" x14ac:dyDescent="0.2">
      <c r="A71" s="6"/>
      <c r="B71" s="6"/>
      <c r="C71" s="6"/>
      <c r="D71" s="6"/>
      <c r="E71" s="6"/>
      <c r="F71" s="6"/>
      <c r="G71" s="6"/>
      <c r="H71" s="6"/>
      <c r="I71" s="6"/>
      <c r="J71" s="6"/>
      <c r="K71" s="6"/>
      <c r="L71" s="6"/>
      <c r="M71" s="6"/>
      <c r="N71" s="6"/>
      <c r="O71" s="6"/>
      <c r="P71" s="6"/>
      <c r="Q71" s="6"/>
      <c r="R71" s="6"/>
      <c r="S71" s="6"/>
      <c r="T71" s="6"/>
      <c r="U71" s="6"/>
      <c r="V71" s="6"/>
      <c r="W71" s="6"/>
      <c r="X71" s="6"/>
      <c r="Y71" s="6"/>
      <c r="Z71" s="6"/>
      <c r="AA71" s="6"/>
    </row>
    <row r="72" spans="1:27" x14ac:dyDescent="0.2">
      <c r="A72" s="6"/>
      <c r="B72" s="6"/>
      <c r="C72" s="6"/>
      <c r="D72" s="6"/>
      <c r="E72" s="6"/>
      <c r="F72" s="6"/>
      <c r="G72" s="6"/>
      <c r="H72" s="6"/>
      <c r="I72" s="6"/>
      <c r="J72" s="6"/>
      <c r="K72" s="6"/>
      <c r="L72" s="6"/>
      <c r="M72" s="6"/>
      <c r="N72" s="6"/>
      <c r="O72" s="6"/>
      <c r="P72" s="6"/>
      <c r="Q72" s="6"/>
      <c r="R72" s="6"/>
      <c r="S72" s="6"/>
      <c r="T72" s="6"/>
      <c r="U72" s="6"/>
      <c r="V72" s="6"/>
      <c r="W72" s="6"/>
      <c r="X72" s="6"/>
      <c r="Y72" s="6"/>
      <c r="Z72" s="6"/>
      <c r="AA72" s="6"/>
    </row>
    <row r="73" spans="1:27" x14ac:dyDescent="0.2">
      <c r="A73" s="6"/>
      <c r="B73" s="6"/>
      <c r="C73" s="6"/>
      <c r="D73" s="6"/>
      <c r="E73" s="6"/>
      <c r="F73" s="6"/>
      <c r="G73" s="6"/>
      <c r="H73" s="6"/>
      <c r="I73" s="6"/>
      <c r="J73" s="6"/>
      <c r="K73" s="6"/>
      <c r="L73" s="6"/>
      <c r="M73" s="6"/>
      <c r="N73" s="6"/>
      <c r="O73" s="6"/>
      <c r="P73" s="6"/>
      <c r="Q73" s="6"/>
      <c r="R73" s="6"/>
      <c r="S73" s="6"/>
      <c r="T73" s="6"/>
      <c r="U73" s="6"/>
      <c r="V73" s="6"/>
      <c r="W73" s="6"/>
      <c r="X73" s="6"/>
      <c r="Y73" s="6"/>
      <c r="Z73" s="6"/>
      <c r="AA73" s="6"/>
    </row>
    <row r="74" spans="1:27" x14ac:dyDescent="0.2">
      <c r="A74" s="6"/>
      <c r="B74" s="6"/>
      <c r="C74" s="6"/>
      <c r="D74" s="6"/>
      <c r="E74" s="6"/>
      <c r="F74" s="6"/>
      <c r="G74" s="6"/>
      <c r="H74" s="6"/>
      <c r="I74" s="6"/>
      <c r="J74" s="6"/>
      <c r="K74" s="6"/>
      <c r="L74" s="6"/>
      <c r="M74" s="6"/>
      <c r="N74" s="6"/>
      <c r="O74" s="6"/>
      <c r="P74" s="6"/>
      <c r="Q74" s="6"/>
      <c r="R74" s="6"/>
      <c r="S74" s="6"/>
      <c r="T74" s="6"/>
      <c r="U74" s="6"/>
      <c r="V74" s="6"/>
      <c r="W74" s="6"/>
      <c r="X74" s="6"/>
      <c r="Y74" s="6"/>
      <c r="Z74" s="6"/>
      <c r="AA74" s="6"/>
    </row>
    <row r="75" spans="1:27" x14ac:dyDescent="0.2">
      <c r="A75" s="6"/>
      <c r="B75" s="6"/>
      <c r="C75" s="6"/>
      <c r="D75" s="6"/>
      <c r="E75" s="6"/>
      <c r="F75" s="6"/>
      <c r="G75" s="6"/>
      <c r="H75" s="6"/>
      <c r="I75" s="6"/>
      <c r="J75" s="6"/>
      <c r="K75" s="6"/>
      <c r="L75" s="6"/>
      <c r="M75" s="6"/>
      <c r="N75" s="6"/>
      <c r="O75" s="6"/>
      <c r="P75" s="6"/>
      <c r="Q75" s="6"/>
      <c r="R75" s="6"/>
      <c r="S75" s="6"/>
      <c r="T75" s="6"/>
      <c r="U75" s="6"/>
      <c r="V75" s="6"/>
      <c r="W75" s="6"/>
      <c r="X75" s="6"/>
      <c r="Y75" s="6"/>
      <c r="Z75" s="6"/>
      <c r="AA75" s="6"/>
    </row>
    <row r="76" spans="1:27" x14ac:dyDescent="0.2">
      <c r="A76" s="6"/>
      <c r="B76" s="6"/>
      <c r="C76" s="6"/>
      <c r="D76" s="6"/>
      <c r="E76" s="6"/>
      <c r="F76" s="6"/>
      <c r="G76" s="6"/>
      <c r="H76" s="6"/>
      <c r="I76" s="6"/>
      <c r="J76" s="6"/>
      <c r="K76" s="6"/>
      <c r="L76" s="6"/>
      <c r="M76" s="6"/>
      <c r="N76" s="6"/>
      <c r="O76" s="6"/>
      <c r="P76" s="6"/>
      <c r="Q76" s="6"/>
      <c r="R76" s="6"/>
      <c r="S76" s="6"/>
      <c r="T76" s="6"/>
      <c r="U76" s="6"/>
      <c r="V76" s="6"/>
      <c r="W76" s="6"/>
      <c r="X76" s="6"/>
      <c r="Y76" s="6"/>
      <c r="Z76" s="6"/>
      <c r="AA76" s="6"/>
    </row>
    <row r="77" spans="1:27" x14ac:dyDescent="0.2">
      <c r="A77" s="6"/>
      <c r="B77" s="6"/>
      <c r="C77" s="6"/>
      <c r="D77" s="6"/>
      <c r="E77" s="6"/>
      <c r="F77" s="6"/>
      <c r="G77" s="6"/>
      <c r="H77" s="6"/>
      <c r="I77" s="6"/>
      <c r="J77" s="6"/>
      <c r="K77" s="6"/>
      <c r="L77" s="6"/>
      <c r="M77" s="6"/>
      <c r="N77" s="6"/>
      <c r="O77" s="6"/>
      <c r="P77" s="6"/>
      <c r="Q77" s="6"/>
      <c r="R77" s="6"/>
      <c r="S77" s="6"/>
      <c r="T77" s="6"/>
      <c r="U77" s="6"/>
      <c r="V77" s="6"/>
      <c r="W77" s="6"/>
      <c r="X77" s="6"/>
      <c r="Y77" s="6"/>
      <c r="Z77" s="6"/>
      <c r="AA77" s="6"/>
    </row>
    <row r="78" spans="1:27" x14ac:dyDescent="0.2">
      <c r="A78" s="6"/>
      <c r="B78" s="6"/>
      <c r="C78" s="6"/>
      <c r="D78" s="6"/>
      <c r="E78" s="6"/>
      <c r="F78" s="6"/>
      <c r="G78" s="6"/>
      <c r="H78" s="6"/>
      <c r="I78" s="6"/>
      <c r="J78" s="6"/>
      <c r="K78" s="6"/>
      <c r="L78" s="6"/>
      <c r="M78" s="6"/>
      <c r="N78" s="6"/>
      <c r="O78" s="6"/>
      <c r="P78" s="6"/>
      <c r="Q78" s="6"/>
      <c r="R78" s="6"/>
      <c r="S78" s="6"/>
      <c r="T78" s="6"/>
      <c r="U78" s="6"/>
      <c r="V78" s="6"/>
      <c r="W78" s="6"/>
      <c r="X78" s="6"/>
      <c r="Y78" s="6"/>
      <c r="Z78" s="6"/>
      <c r="AA78" s="6"/>
    </row>
    <row r="79" spans="1:27" x14ac:dyDescent="0.2">
      <c r="A79" s="6"/>
      <c r="B79" s="6"/>
      <c r="C79" s="6"/>
      <c r="D79" s="6"/>
      <c r="E79" s="6"/>
      <c r="F79" s="6"/>
      <c r="G79" s="6"/>
      <c r="H79" s="6"/>
      <c r="I79" s="6"/>
      <c r="J79" s="6"/>
      <c r="K79" s="6"/>
      <c r="L79" s="6"/>
      <c r="M79" s="6"/>
      <c r="N79" s="6"/>
      <c r="O79" s="6"/>
      <c r="P79" s="6"/>
      <c r="Q79" s="6"/>
      <c r="R79" s="6"/>
      <c r="S79" s="6"/>
      <c r="T79" s="6"/>
      <c r="U79" s="6"/>
      <c r="V79" s="6"/>
      <c r="W79" s="6"/>
      <c r="X79" s="6"/>
      <c r="Y79" s="6"/>
      <c r="Z79" s="6"/>
      <c r="AA79" s="6"/>
    </row>
    <row r="80" spans="1:27" x14ac:dyDescent="0.2">
      <c r="A80" s="6"/>
      <c r="B80" s="6"/>
      <c r="C80" s="6"/>
      <c r="D80" s="6"/>
      <c r="E80" s="6"/>
      <c r="F80" s="6"/>
      <c r="G80" s="6"/>
      <c r="H80" s="6"/>
      <c r="I80" s="6"/>
      <c r="J80" s="6"/>
      <c r="K80" s="6"/>
      <c r="L80" s="6"/>
      <c r="M80" s="6"/>
      <c r="N80" s="6"/>
      <c r="O80" s="6"/>
      <c r="P80" s="6"/>
      <c r="Q80" s="6"/>
      <c r="R80" s="6"/>
      <c r="S80" s="6"/>
      <c r="T80" s="6"/>
      <c r="U80" s="6"/>
      <c r="V80" s="6"/>
      <c r="W80" s="6"/>
      <c r="X80" s="6"/>
      <c r="Y80" s="6"/>
      <c r="Z80" s="6"/>
      <c r="AA80" s="6"/>
    </row>
    <row r="81" spans="1:27" x14ac:dyDescent="0.2">
      <c r="A81" s="6"/>
      <c r="B81" s="6"/>
      <c r="C81" s="6"/>
      <c r="D81" s="6"/>
      <c r="E81" s="6"/>
      <c r="F81" s="6"/>
      <c r="G81" s="6"/>
      <c r="H81" s="6"/>
      <c r="I81" s="6"/>
      <c r="J81" s="6"/>
      <c r="K81" s="6"/>
      <c r="L81" s="6"/>
      <c r="M81" s="6"/>
      <c r="N81" s="6"/>
      <c r="O81" s="6"/>
      <c r="P81" s="6"/>
      <c r="Q81" s="6"/>
      <c r="R81" s="6"/>
      <c r="S81" s="6"/>
      <c r="T81" s="6"/>
      <c r="U81" s="6"/>
      <c r="V81" s="6"/>
      <c r="W81" s="6"/>
      <c r="X81" s="6"/>
      <c r="Y81" s="6"/>
      <c r="Z81" s="6"/>
      <c r="AA81" s="6"/>
    </row>
    <row r="82" spans="1:27" x14ac:dyDescent="0.2">
      <c r="A82" s="6"/>
      <c r="B82" s="6"/>
      <c r="C82" s="6"/>
      <c r="D82" s="6"/>
      <c r="E82" s="6"/>
      <c r="F82" s="6"/>
      <c r="G82" s="6"/>
      <c r="H82" s="6"/>
      <c r="I82" s="6"/>
      <c r="J82" s="6"/>
      <c r="K82" s="6"/>
      <c r="L82" s="6"/>
      <c r="M82" s="6"/>
      <c r="N82" s="6"/>
      <c r="O82" s="6"/>
      <c r="P82" s="6"/>
      <c r="Q82" s="6"/>
      <c r="R82" s="6"/>
      <c r="S82" s="6"/>
      <c r="T82" s="6"/>
      <c r="U82" s="6"/>
      <c r="V82" s="6"/>
      <c r="W82" s="6"/>
      <c r="X82" s="6"/>
      <c r="Y82" s="6"/>
      <c r="Z82" s="6"/>
      <c r="AA82" s="6"/>
    </row>
    <row r="83" spans="1:27" x14ac:dyDescent="0.2">
      <c r="A83" s="6"/>
      <c r="B83" s="6"/>
      <c r="C83" s="6"/>
      <c r="D83" s="6"/>
      <c r="E83" s="6"/>
      <c r="F83" s="6"/>
      <c r="G83" s="6"/>
      <c r="H83" s="6"/>
      <c r="I83" s="6"/>
      <c r="J83" s="6"/>
      <c r="K83" s="6"/>
      <c r="L83" s="6"/>
      <c r="M83" s="6"/>
      <c r="N83" s="6"/>
      <c r="O83" s="6"/>
      <c r="P83" s="6"/>
      <c r="Q83" s="6"/>
      <c r="R83" s="6"/>
      <c r="S83" s="6"/>
      <c r="T83" s="6"/>
      <c r="U83" s="6"/>
      <c r="V83" s="6"/>
      <c r="W83" s="6"/>
      <c r="X83" s="6"/>
      <c r="Y83" s="6"/>
      <c r="Z83" s="6"/>
      <c r="AA83" s="6"/>
    </row>
    <row r="84" spans="1:27" x14ac:dyDescent="0.2">
      <c r="A84" s="6"/>
      <c r="B84" s="6"/>
      <c r="C84" s="6"/>
      <c r="D84" s="6"/>
      <c r="E84" s="6"/>
      <c r="F84" s="6"/>
      <c r="G84" s="6"/>
      <c r="H84" s="6"/>
      <c r="I84" s="6"/>
      <c r="J84" s="6"/>
      <c r="K84" s="6"/>
      <c r="L84" s="6"/>
      <c r="M84" s="6"/>
      <c r="N84" s="6"/>
      <c r="O84" s="6"/>
      <c r="P84" s="6"/>
      <c r="Q84" s="6"/>
      <c r="R84" s="6"/>
      <c r="S84" s="6"/>
      <c r="T84" s="6"/>
      <c r="U84" s="6"/>
      <c r="V84" s="6"/>
      <c r="W84" s="6"/>
      <c r="X84" s="6"/>
      <c r="Y84" s="6"/>
      <c r="Z84" s="6"/>
      <c r="AA84" s="6"/>
    </row>
    <row r="85" spans="1:27" x14ac:dyDescent="0.2">
      <c r="A85" s="6"/>
      <c r="B85" s="6"/>
      <c r="C85" s="6"/>
      <c r="D85" s="6"/>
      <c r="E85" s="6"/>
      <c r="F85" s="6"/>
      <c r="G85" s="6"/>
      <c r="H85" s="6"/>
      <c r="I85" s="6"/>
      <c r="J85" s="6"/>
      <c r="K85" s="6"/>
      <c r="L85" s="6"/>
      <c r="M85" s="6"/>
      <c r="N85" s="6"/>
      <c r="O85" s="6"/>
      <c r="P85" s="6"/>
      <c r="Q85" s="6"/>
      <c r="R85" s="6"/>
      <c r="S85" s="6"/>
      <c r="T85" s="6"/>
      <c r="U85" s="6"/>
      <c r="V85" s="6"/>
      <c r="W85" s="6"/>
      <c r="X85" s="6"/>
      <c r="Y85" s="6"/>
      <c r="Z85" s="6"/>
      <c r="AA85" s="6"/>
    </row>
    <row r="86" spans="1:27" x14ac:dyDescent="0.2">
      <c r="A86" s="6"/>
      <c r="B86" s="6"/>
      <c r="C86" s="6"/>
      <c r="D86" s="6"/>
      <c r="E86" s="6"/>
      <c r="F86" s="6"/>
      <c r="G86" s="6"/>
      <c r="H86" s="6"/>
      <c r="I86" s="6"/>
      <c r="J86" s="6"/>
      <c r="K86" s="6"/>
      <c r="L86" s="6"/>
      <c r="M86" s="6"/>
      <c r="N86" s="6"/>
      <c r="O86" s="6"/>
      <c r="P86" s="6"/>
      <c r="Q86" s="6"/>
      <c r="R86" s="6"/>
      <c r="S86" s="6"/>
      <c r="T86" s="6"/>
      <c r="U86" s="6"/>
      <c r="V86" s="6"/>
      <c r="W86" s="6"/>
      <c r="X86" s="6"/>
      <c r="Y86" s="6"/>
      <c r="Z86" s="6"/>
      <c r="AA86" s="6"/>
    </row>
    <row r="87" spans="1:27" x14ac:dyDescent="0.2">
      <c r="A87" s="6"/>
      <c r="B87" s="6"/>
      <c r="C87" s="6"/>
      <c r="D87" s="6"/>
      <c r="E87" s="6"/>
      <c r="F87" s="6"/>
      <c r="G87" s="6"/>
      <c r="H87" s="6"/>
      <c r="I87" s="6"/>
      <c r="J87" s="6"/>
      <c r="K87" s="6"/>
      <c r="L87" s="6"/>
      <c r="M87" s="6"/>
      <c r="N87" s="6"/>
      <c r="O87" s="6"/>
      <c r="P87" s="6"/>
      <c r="Q87" s="6"/>
      <c r="R87" s="6"/>
      <c r="S87" s="6"/>
      <c r="T87" s="6"/>
      <c r="U87" s="6"/>
      <c r="V87" s="6"/>
      <c r="W87" s="6"/>
      <c r="X87" s="6"/>
      <c r="Y87" s="6"/>
      <c r="Z87" s="6"/>
      <c r="AA87" s="6"/>
    </row>
    <row r="88" spans="1:27" x14ac:dyDescent="0.2">
      <c r="A88" s="6"/>
      <c r="B88" s="6"/>
      <c r="C88" s="6"/>
      <c r="D88" s="6"/>
      <c r="E88" s="6"/>
      <c r="F88" s="6"/>
      <c r="G88" s="6"/>
      <c r="H88" s="6"/>
      <c r="I88" s="6"/>
      <c r="J88" s="6"/>
      <c r="K88" s="6"/>
      <c r="L88" s="6"/>
      <c r="M88" s="6"/>
      <c r="N88" s="6"/>
      <c r="O88" s="6"/>
      <c r="P88" s="6"/>
      <c r="Q88" s="6"/>
      <c r="R88" s="6"/>
      <c r="S88" s="6"/>
      <c r="T88" s="6"/>
      <c r="U88" s="6"/>
      <c r="V88" s="6"/>
      <c r="W88" s="6"/>
      <c r="X88" s="6"/>
      <c r="Y88" s="6"/>
      <c r="Z88" s="6"/>
      <c r="AA88" s="6"/>
    </row>
    <row r="89" spans="1:27" x14ac:dyDescent="0.2">
      <c r="A89" s="6"/>
      <c r="B89" s="6"/>
      <c r="C89" s="6"/>
      <c r="D89" s="6"/>
      <c r="E89" s="6"/>
      <c r="F89" s="6"/>
      <c r="G89" s="6"/>
      <c r="H89" s="6"/>
      <c r="I89" s="6"/>
      <c r="J89" s="6"/>
      <c r="K89" s="6"/>
      <c r="L89" s="6"/>
      <c r="M89" s="6"/>
      <c r="N89" s="6"/>
      <c r="O89" s="6"/>
      <c r="P89" s="6"/>
      <c r="Q89" s="6"/>
      <c r="R89" s="6"/>
      <c r="S89" s="6"/>
      <c r="T89" s="6"/>
      <c r="U89" s="6"/>
      <c r="V89" s="6"/>
      <c r="W89" s="6"/>
      <c r="X89" s="6"/>
      <c r="Y89" s="6"/>
      <c r="Z89" s="6"/>
      <c r="AA89" s="6"/>
    </row>
    <row r="90" spans="1:27" x14ac:dyDescent="0.2">
      <c r="A90" s="6"/>
      <c r="B90" s="6"/>
      <c r="C90" s="6"/>
      <c r="D90" s="6"/>
      <c r="E90" s="6"/>
      <c r="F90" s="6"/>
      <c r="G90" s="6"/>
      <c r="H90" s="6"/>
      <c r="I90" s="6"/>
      <c r="J90" s="6"/>
      <c r="K90" s="6"/>
      <c r="L90" s="6"/>
      <c r="M90" s="6"/>
      <c r="N90" s="6"/>
      <c r="O90" s="6"/>
      <c r="P90" s="6"/>
      <c r="Q90" s="6"/>
      <c r="R90" s="6"/>
      <c r="S90" s="6"/>
      <c r="T90" s="6"/>
      <c r="U90" s="6"/>
      <c r="V90" s="6"/>
      <c r="W90" s="6"/>
      <c r="X90" s="6"/>
      <c r="Y90" s="6"/>
      <c r="Z90" s="6"/>
      <c r="AA90" s="6"/>
    </row>
    <row r="91" spans="1:27" x14ac:dyDescent="0.2">
      <c r="A91" s="6"/>
      <c r="B91" s="6"/>
      <c r="C91" s="6"/>
      <c r="D91" s="6"/>
      <c r="E91" s="6"/>
      <c r="F91" s="6"/>
      <c r="G91" s="6"/>
      <c r="H91" s="6"/>
      <c r="I91" s="6"/>
      <c r="J91" s="6"/>
      <c r="K91" s="6"/>
      <c r="L91" s="6"/>
      <c r="M91" s="6"/>
      <c r="N91" s="6"/>
      <c r="O91" s="6"/>
      <c r="P91" s="6"/>
      <c r="Q91" s="6"/>
      <c r="R91" s="6"/>
      <c r="S91" s="6"/>
      <c r="T91" s="6"/>
      <c r="U91" s="6"/>
      <c r="V91" s="6"/>
      <c r="W91" s="6"/>
      <c r="X91" s="6"/>
      <c r="Y91" s="6"/>
      <c r="Z91" s="6"/>
      <c r="AA91" s="6"/>
    </row>
    <row r="92" spans="1:27" x14ac:dyDescent="0.2">
      <c r="A92" s="6"/>
      <c r="B92" s="6"/>
      <c r="C92" s="6"/>
      <c r="D92" s="6"/>
      <c r="E92" s="6"/>
      <c r="F92" s="6"/>
      <c r="G92" s="6"/>
      <c r="H92" s="6"/>
      <c r="I92" s="6"/>
      <c r="J92" s="6"/>
      <c r="K92" s="6"/>
      <c r="L92" s="6"/>
      <c r="M92" s="6"/>
      <c r="N92" s="6"/>
      <c r="O92" s="6"/>
      <c r="P92" s="6"/>
      <c r="Q92" s="6"/>
      <c r="R92" s="6"/>
      <c r="S92" s="6"/>
      <c r="T92" s="6"/>
      <c r="U92" s="6"/>
      <c r="V92" s="6"/>
      <c r="W92" s="6"/>
      <c r="X92" s="6"/>
      <c r="Y92" s="6"/>
      <c r="Z92" s="6"/>
      <c r="AA92" s="6"/>
    </row>
    <row r="93" spans="1:27" x14ac:dyDescent="0.2">
      <c r="A93" s="6"/>
      <c r="B93" s="6"/>
      <c r="C93" s="6"/>
      <c r="D93" s="6"/>
      <c r="E93" s="6"/>
      <c r="F93" s="6"/>
      <c r="G93" s="6"/>
      <c r="H93" s="6"/>
      <c r="I93" s="6"/>
      <c r="J93" s="6"/>
      <c r="K93" s="6"/>
      <c r="L93" s="6"/>
      <c r="M93" s="6"/>
      <c r="N93" s="6"/>
      <c r="O93" s="6"/>
      <c r="P93" s="6"/>
      <c r="Q93" s="6"/>
      <c r="R93" s="6"/>
      <c r="S93" s="6"/>
      <c r="T93" s="6"/>
      <c r="U93" s="6"/>
      <c r="V93" s="6"/>
      <c r="W93" s="6"/>
      <c r="X93" s="6"/>
      <c r="Y93" s="6"/>
      <c r="Z93" s="6"/>
      <c r="AA93" s="6"/>
    </row>
    <row r="94" spans="1:27" x14ac:dyDescent="0.2">
      <c r="A94" s="6"/>
      <c r="B94" s="6"/>
      <c r="C94" s="6"/>
      <c r="D94" s="6"/>
      <c r="E94" s="6"/>
      <c r="F94" s="6"/>
      <c r="G94" s="6"/>
      <c r="H94" s="6"/>
      <c r="I94" s="6"/>
      <c r="J94" s="6"/>
      <c r="K94" s="6"/>
      <c r="L94" s="6"/>
      <c r="M94" s="6"/>
      <c r="N94" s="6"/>
      <c r="O94" s="6"/>
      <c r="P94" s="6"/>
      <c r="Q94" s="6"/>
      <c r="R94" s="6"/>
      <c r="S94" s="6"/>
      <c r="T94" s="6"/>
      <c r="U94" s="6"/>
      <c r="V94" s="6"/>
      <c r="W94" s="6"/>
      <c r="X94" s="6"/>
      <c r="Y94" s="6"/>
      <c r="Z94" s="6"/>
      <c r="AA94" s="6"/>
    </row>
    <row r="95" spans="1:27" x14ac:dyDescent="0.2">
      <c r="A95" s="6"/>
      <c r="B95" s="6"/>
      <c r="C95" s="6"/>
      <c r="D95" s="6"/>
      <c r="E95" s="6"/>
      <c r="F95" s="6"/>
      <c r="G95" s="6"/>
      <c r="H95" s="6"/>
      <c r="I95" s="6"/>
      <c r="J95" s="6"/>
      <c r="K95" s="6"/>
      <c r="L95" s="6"/>
      <c r="M95" s="6"/>
      <c r="N95" s="6"/>
      <c r="O95" s="6"/>
      <c r="P95" s="6"/>
      <c r="Q95" s="6"/>
      <c r="R95" s="6"/>
      <c r="S95" s="6"/>
      <c r="T95" s="6"/>
      <c r="U95" s="6"/>
      <c r="V95" s="6"/>
      <c r="W95" s="6"/>
      <c r="X95" s="6"/>
      <c r="Y95" s="6"/>
      <c r="Z95" s="6"/>
      <c r="AA95" s="6"/>
    </row>
    <row r="96" spans="1:27" x14ac:dyDescent="0.2">
      <c r="A96" s="6"/>
      <c r="B96" s="6"/>
      <c r="C96" s="6"/>
      <c r="D96" s="6"/>
      <c r="E96" s="6"/>
      <c r="F96" s="6"/>
      <c r="G96" s="6"/>
      <c r="H96" s="6"/>
      <c r="I96" s="6"/>
      <c r="J96" s="6"/>
      <c r="K96" s="6"/>
      <c r="L96" s="6"/>
      <c r="M96" s="6"/>
      <c r="N96" s="6"/>
      <c r="O96" s="6"/>
      <c r="P96" s="6"/>
      <c r="Q96" s="6"/>
      <c r="R96" s="6"/>
      <c r="S96" s="6"/>
      <c r="T96" s="6"/>
      <c r="U96" s="6"/>
      <c r="V96" s="6"/>
      <c r="W96" s="6"/>
      <c r="X96" s="6"/>
      <c r="Y96" s="6"/>
      <c r="Z96" s="6"/>
      <c r="AA96" s="6"/>
    </row>
    <row r="97" spans="1:27" x14ac:dyDescent="0.2">
      <c r="A97" s="6"/>
      <c r="B97" s="6"/>
      <c r="C97" s="6"/>
      <c r="D97" s="6"/>
      <c r="E97" s="6"/>
      <c r="F97" s="6"/>
      <c r="G97" s="6"/>
      <c r="H97" s="6"/>
      <c r="I97" s="6"/>
      <c r="J97" s="6"/>
      <c r="K97" s="6"/>
      <c r="L97" s="6"/>
      <c r="M97" s="6"/>
      <c r="N97" s="6"/>
      <c r="O97" s="6"/>
      <c r="P97" s="6"/>
      <c r="Q97" s="6"/>
      <c r="R97" s="6"/>
      <c r="S97" s="6"/>
      <c r="T97" s="6"/>
      <c r="U97" s="6"/>
      <c r="V97" s="6"/>
      <c r="W97" s="6"/>
      <c r="X97" s="6"/>
      <c r="Y97" s="6"/>
      <c r="Z97" s="6"/>
      <c r="AA97" s="6"/>
    </row>
    <row r="98" spans="1:27" x14ac:dyDescent="0.2">
      <c r="A98" s="6"/>
      <c r="B98" s="6"/>
      <c r="C98" s="6"/>
      <c r="D98" s="6"/>
      <c r="E98" s="6"/>
      <c r="F98" s="6"/>
      <c r="G98" s="6"/>
      <c r="H98" s="6"/>
      <c r="I98" s="6"/>
      <c r="J98" s="6"/>
      <c r="K98" s="6"/>
      <c r="L98" s="6"/>
      <c r="M98" s="6"/>
      <c r="N98" s="6"/>
      <c r="O98" s="6"/>
      <c r="P98" s="6"/>
      <c r="Q98" s="6"/>
      <c r="R98" s="6"/>
      <c r="S98" s="6"/>
      <c r="T98" s="6"/>
      <c r="U98" s="6"/>
      <c r="V98" s="6"/>
      <c r="W98" s="6"/>
      <c r="X98" s="6"/>
      <c r="Y98" s="6"/>
      <c r="Z98" s="6"/>
      <c r="AA98" s="6"/>
    </row>
    <row r="99" spans="1:27" x14ac:dyDescent="0.2">
      <c r="A99" s="6"/>
      <c r="B99" s="6"/>
      <c r="C99" s="6"/>
      <c r="D99" s="6"/>
      <c r="E99" s="6"/>
      <c r="F99" s="6"/>
      <c r="G99" s="6"/>
      <c r="H99" s="6"/>
      <c r="I99" s="6"/>
      <c r="J99" s="6"/>
      <c r="K99" s="6"/>
      <c r="L99" s="6"/>
      <c r="M99" s="6"/>
      <c r="N99" s="6"/>
      <c r="O99" s="6"/>
      <c r="P99" s="6"/>
      <c r="Q99" s="6"/>
      <c r="R99" s="6"/>
      <c r="S99" s="6"/>
      <c r="T99" s="6"/>
      <c r="U99" s="6"/>
      <c r="V99" s="6"/>
      <c r="W99" s="6"/>
      <c r="X99" s="6"/>
      <c r="Y99" s="6"/>
      <c r="Z99" s="6"/>
      <c r="AA99" s="6"/>
    </row>
    <row r="100" spans="1:27" x14ac:dyDescent="0.2">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row>
    <row r="101" spans="1:27" x14ac:dyDescent="0.2">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row>
    <row r="102" spans="1:27" x14ac:dyDescent="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row>
    <row r="103" spans="1:27" x14ac:dyDescent="0.2">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row>
    <row r="104" spans="1:27" x14ac:dyDescent="0.2">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row>
    <row r="105" spans="1:27" x14ac:dyDescent="0.2">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row>
    <row r="106" spans="1:27" x14ac:dyDescent="0.2">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row>
    <row r="107" spans="1:27" x14ac:dyDescent="0.2">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row>
    <row r="108" spans="1:27" x14ac:dyDescent="0.2">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row>
    <row r="109" spans="1:27" x14ac:dyDescent="0.2">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row>
    <row r="110" spans="1:27" x14ac:dyDescent="0.2">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row>
    <row r="111" spans="1:27" x14ac:dyDescent="0.2">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row>
    <row r="112" spans="1:27" x14ac:dyDescent="0.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row>
    <row r="113" spans="1:27" x14ac:dyDescent="0.2">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row>
    <row r="114" spans="1:27" x14ac:dyDescent="0.2">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row>
    <row r="115" spans="1:27" x14ac:dyDescent="0.2">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row>
    <row r="116" spans="1:27" x14ac:dyDescent="0.2">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row>
    <row r="117" spans="1:27" x14ac:dyDescent="0.2">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row>
    <row r="118" spans="1:27" x14ac:dyDescent="0.2">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row>
    <row r="119" spans="1:27" x14ac:dyDescent="0.2">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row>
    <row r="120" spans="1:27" x14ac:dyDescent="0.2">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row>
    <row r="121" spans="1:27" x14ac:dyDescent="0.2">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row>
    <row r="122" spans="1:27" x14ac:dyDescent="0.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row>
    <row r="123" spans="1:27" x14ac:dyDescent="0.2">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row>
    <row r="124" spans="1:27" x14ac:dyDescent="0.2">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row>
    <row r="125" spans="1:27" x14ac:dyDescent="0.2">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row>
    <row r="126" spans="1:27" x14ac:dyDescent="0.2">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row>
    <row r="127" spans="1:27" x14ac:dyDescent="0.2">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row>
    <row r="128" spans="1:27" x14ac:dyDescent="0.2">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row>
    <row r="129" spans="1:27" x14ac:dyDescent="0.2">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row>
    <row r="130" spans="1:27" x14ac:dyDescent="0.2">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row>
    <row r="131" spans="1:27" x14ac:dyDescent="0.2">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row>
    <row r="132" spans="1:27" x14ac:dyDescent="0.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row>
    <row r="133" spans="1:27" x14ac:dyDescent="0.2">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row>
    <row r="134" spans="1:27" x14ac:dyDescent="0.2">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row>
    <row r="135" spans="1:27" x14ac:dyDescent="0.2">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row>
    <row r="136" spans="1:27" x14ac:dyDescent="0.2">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row>
    <row r="137" spans="1:27" x14ac:dyDescent="0.2">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row>
    <row r="138" spans="1:27" x14ac:dyDescent="0.2">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row>
    <row r="139" spans="1:27" x14ac:dyDescent="0.2">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row>
    <row r="140" spans="1:27" x14ac:dyDescent="0.2">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row>
    <row r="141" spans="1:27" x14ac:dyDescent="0.2">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row>
    <row r="142" spans="1:27" x14ac:dyDescent="0.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row>
    <row r="143" spans="1:27" x14ac:dyDescent="0.2">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row>
    <row r="144" spans="1:27" x14ac:dyDescent="0.2">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row>
    <row r="145" spans="1:27" x14ac:dyDescent="0.2">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row>
    <row r="146" spans="1:27" x14ac:dyDescent="0.2">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row>
    <row r="147" spans="1:27" x14ac:dyDescent="0.2">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row>
    <row r="148" spans="1:27" x14ac:dyDescent="0.2">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row>
    <row r="149" spans="1:27" x14ac:dyDescent="0.2">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row>
    <row r="150" spans="1:27" x14ac:dyDescent="0.2">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row>
    <row r="151" spans="1:27" x14ac:dyDescent="0.2">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row>
    <row r="152" spans="1:27" x14ac:dyDescent="0.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row>
    <row r="153" spans="1:27" x14ac:dyDescent="0.2">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row>
    <row r="154" spans="1:27" x14ac:dyDescent="0.2">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row>
    <row r="155" spans="1:27" x14ac:dyDescent="0.2">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row>
    <row r="156" spans="1:27" x14ac:dyDescent="0.2">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row>
    <row r="157" spans="1:27" x14ac:dyDescent="0.2">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row>
    <row r="158" spans="1:27" x14ac:dyDescent="0.2">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row>
    <row r="159" spans="1:27" x14ac:dyDescent="0.2">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row>
    <row r="160" spans="1:27" x14ac:dyDescent="0.2">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row>
    <row r="161" spans="1:27" x14ac:dyDescent="0.2">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row>
    <row r="162" spans="1:27" x14ac:dyDescent="0.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row>
    <row r="163" spans="1:27" x14ac:dyDescent="0.2">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row>
    <row r="164" spans="1:27" x14ac:dyDescent="0.2">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row>
    <row r="165" spans="1:27" x14ac:dyDescent="0.2">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row>
    <row r="166" spans="1:27" x14ac:dyDescent="0.2">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row>
    <row r="167" spans="1:27" x14ac:dyDescent="0.2">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row>
    <row r="168" spans="1:27" x14ac:dyDescent="0.2">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row>
    <row r="169" spans="1:27" x14ac:dyDescent="0.2">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row>
    <row r="170" spans="1:27" x14ac:dyDescent="0.2">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row>
    <row r="171" spans="1:27" x14ac:dyDescent="0.2">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row>
    <row r="172" spans="1:27" x14ac:dyDescent="0.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row>
    <row r="173" spans="1:27" x14ac:dyDescent="0.2">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row>
    <row r="174" spans="1:27" x14ac:dyDescent="0.2">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row>
    <row r="175" spans="1:27" x14ac:dyDescent="0.2">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row>
    <row r="176" spans="1:27" x14ac:dyDescent="0.2">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row>
    <row r="177" spans="1:27" x14ac:dyDescent="0.2">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row>
    <row r="178" spans="1:27" x14ac:dyDescent="0.2">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row>
    <row r="179" spans="1:27" x14ac:dyDescent="0.2">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row>
    <row r="180" spans="1:27" x14ac:dyDescent="0.2">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row>
    <row r="181" spans="1:27" x14ac:dyDescent="0.2">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row>
    <row r="182" spans="1:27" x14ac:dyDescent="0.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row>
    <row r="183" spans="1:27" x14ac:dyDescent="0.2">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row>
    <row r="184" spans="1:27" x14ac:dyDescent="0.2">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row>
    <row r="185" spans="1:27" x14ac:dyDescent="0.2">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row>
    <row r="186" spans="1:27" x14ac:dyDescent="0.2">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row>
    <row r="187" spans="1:27" x14ac:dyDescent="0.2">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row>
    <row r="188" spans="1:27" x14ac:dyDescent="0.2">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row>
    <row r="189" spans="1:27" x14ac:dyDescent="0.2">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row>
    <row r="190" spans="1:27" x14ac:dyDescent="0.2">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row>
    <row r="191" spans="1:27" x14ac:dyDescent="0.2">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row>
    <row r="192" spans="1:27" x14ac:dyDescent="0.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row>
    <row r="193" spans="1:27" x14ac:dyDescent="0.2">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row>
    <row r="194" spans="1:27" x14ac:dyDescent="0.2">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row>
    <row r="195" spans="1:27" x14ac:dyDescent="0.2">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row>
    <row r="196" spans="1:27" x14ac:dyDescent="0.2">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row>
    <row r="197" spans="1:27" x14ac:dyDescent="0.2">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row>
    <row r="198" spans="1:27" x14ac:dyDescent="0.2">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row>
    <row r="199" spans="1:27" x14ac:dyDescent="0.2">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row>
    <row r="200" spans="1:27" x14ac:dyDescent="0.2">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row>
    <row r="201" spans="1:27" x14ac:dyDescent="0.2">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row>
    <row r="202" spans="1:27" x14ac:dyDescent="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row>
    <row r="203" spans="1:27" x14ac:dyDescent="0.2">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row>
    <row r="204" spans="1:27" x14ac:dyDescent="0.2">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row>
    <row r="205" spans="1:27" x14ac:dyDescent="0.2">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row>
    <row r="206" spans="1:27" x14ac:dyDescent="0.2">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row>
    <row r="207" spans="1:27" x14ac:dyDescent="0.2">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row>
    <row r="208" spans="1:27" x14ac:dyDescent="0.2">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row>
    <row r="209" spans="1:27" x14ac:dyDescent="0.2">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row>
    <row r="210" spans="1:27" x14ac:dyDescent="0.2">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row>
    <row r="211" spans="1:27" x14ac:dyDescent="0.2">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row>
    <row r="212" spans="1:27" x14ac:dyDescent="0.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row>
    <row r="213" spans="1:27" x14ac:dyDescent="0.2">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row>
    <row r="214" spans="1:27" x14ac:dyDescent="0.2">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row>
    <row r="215" spans="1:27" x14ac:dyDescent="0.2">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row>
    <row r="216" spans="1:27" x14ac:dyDescent="0.2">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row>
    <row r="217" spans="1:27" x14ac:dyDescent="0.2">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row>
    <row r="218" spans="1:27" x14ac:dyDescent="0.2">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row>
    <row r="219" spans="1:27" x14ac:dyDescent="0.2">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row>
    <row r="220" spans="1:27" x14ac:dyDescent="0.2">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row>
    <row r="221" spans="1:27" x14ac:dyDescent="0.2">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row>
    <row r="222" spans="1:27" x14ac:dyDescent="0.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row>
    <row r="223" spans="1:27" x14ac:dyDescent="0.2">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row>
    <row r="224" spans="1:27" x14ac:dyDescent="0.2">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row>
    <row r="225" spans="1:27" x14ac:dyDescent="0.2">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row>
    <row r="226" spans="1:27" x14ac:dyDescent="0.2">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row>
    <row r="227" spans="1:27" x14ac:dyDescent="0.2">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row>
    <row r="228" spans="1:27" x14ac:dyDescent="0.2">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row>
    <row r="229" spans="1:27" x14ac:dyDescent="0.2">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row>
    <row r="230" spans="1:27" x14ac:dyDescent="0.2">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row>
    <row r="231" spans="1:27" x14ac:dyDescent="0.2">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row>
    <row r="232" spans="1:27" x14ac:dyDescent="0.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row>
    <row r="233" spans="1:27" x14ac:dyDescent="0.2">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row>
    <row r="234" spans="1:27" x14ac:dyDescent="0.2">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row>
    <row r="235" spans="1:27" x14ac:dyDescent="0.2">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row>
    <row r="236" spans="1:27" x14ac:dyDescent="0.2">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row>
    <row r="237" spans="1:27" x14ac:dyDescent="0.2">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row>
    <row r="238" spans="1:27" x14ac:dyDescent="0.2">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row>
    <row r="239" spans="1:27" x14ac:dyDescent="0.2">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row>
    <row r="240" spans="1:27" x14ac:dyDescent="0.2">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row>
    <row r="241" spans="1:27" x14ac:dyDescent="0.2">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row>
    <row r="242" spans="1:27" x14ac:dyDescent="0.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row>
    <row r="243" spans="1:27" x14ac:dyDescent="0.2">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row>
    <row r="244" spans="1:27" x14ac:dyDescent="0.2">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row>
    <row r="245" spans="1:27" x14ac:dyDescent="0.2">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row>
    <row r="246" spans="1:27" x14ac:dyDescent="0.2">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row>
    <row r="247" spans="1:27" x14ac:dyDescent="0.2">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row>
    <row r="248" spans="1:27" x14ac:dyDescent="0.2">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row>
    <row r="249" spans="1:27" x14ac:dyDescent="0.2">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row>
    <row r="250" spans="1:27" x14ac:dyDescent="0.2">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row>
    <row r="251" spans="1:27" x14ac:dyDescent="0.2">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row>
    <row r="252" spans="1:27" x14ac:dyDescent="0.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row>
    <row r="253" spans="1:27" x14ac:dyDescent="0.2">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row>
    <row r="254" spans="1:27" x14ac:dyDescent="0.2">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row>
    <row r="255" spans="1:27" x14ac:dyDescent="0.2">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row>
    <row r="256" spans="1:27" x14ac:dyDescent="0.2">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row>
    <row r="257" spans="1:27" x14ac:dyDescent="0.2">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row>
    <row r="258" spans="1:27" x14ac:dyDescent="0.2">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row>
    <row r="259" spans="1:27" x14ac:dyDescent="0.2">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row>
    <row r="260" spans="1:27" x14ac:dyDescent="0.2">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row>
    <row r="261" spans="1:27" x14ac:dyDescent="0.2">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row>
    <row r="262" spans="1:27" x14ac:dyDescent="0.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row>
    <row r="263" spans="1:27" x14ac:dyDescent="0.2">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row>
    <row r="264" spans="1:27" x14ac:dyDescent="0.2">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row>
    <row r="265" spans="1:27" x14ac:dyDescent="0.2">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row>
    <row r="266" spans="1:27" x14ac:dyDescent="0.2">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row>
    <row r="267" spans="1:27" x14ac:dyDescent="0.2">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row>
    <row r="268" spans="1:27" x14ac:dyDescent="0.2">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row>
    <row r="269" spans="1:27" x14ac:dyDescent="0.2">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row>
    <row r="270" spans="1:27" x14ac:dyDescent="0.2">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row>
    <row r="271" spans="1:27" x14ac:dyDescent="0.2">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row>
    <row r="272" spans="1:27" x14ac:dyDescent="0.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row>
    <row r="273" spans="1:27" x14ac:dyDescent="0.2">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row>
    <row r="274" spans="1:27" x14ac:dyDescent="0.2">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row>
    <row r="275" spans="1:27" x14ac:dyDescent="0.2">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row>
    <row r="276" spans="1:27" x14ac:dyDescent="0.2">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row>
    <row r="277" spans="1:27" x14ac:dyDescent="0.2">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row>
    <row r="278" spans="1:27" x14ac:dyDescent="0.2">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row>
    <row r="279" spans="1:27" x14ac:dyDescent="0.2">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row>
    <row r="280" spans="1:27" x14ac:dyDescent="0.2">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row>
    <row r="281" spans="1:27" x14ac:dyDescent="0.2">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row>
    <row r="282" spans="1:27" x14ac:dyDescent="0.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row>
    <row r="283" spans="1:27" x14ac:dyDescent="0.2">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row>
    <row r="284" spans="1:27" x14ac:dyDescent="0.2">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row>
    <row r="285" spans="1:27" x14ac:dyDescent="0.2">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row>
    <row r="286" spans="1:27" x14ac:dyDescent="0.2">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row>
    <row r="287" spans="1:27" x14ac:dyDescent="0.2">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row>
    <row r="288" spans="1:27" x14ac:dyDescent="0.2">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row>
    <row r="289" spans="1:27" x14ac:dyDescent="0.2">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row>
    <row r="290" spans="1:27" x14ac:dyDescent="0.2">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row>
    <row r="291" spans="1:27" x14ac:dyDescent="0.2">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row>
    <row r="292" spans="1:27" x14ac:dyDescent="0.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row>
    <row r="293" spans="1:27" x14ac:dyDescent="0.2">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row>
    <row r="294" spans="1:27" x14ac:dyDescent="0.2">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row>
    <row r="295" spans="1:27" x14ac:dyDescent="0.2">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row>
    <row r="296" spans="1:27" x14ac:dyDescent="0.2">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row>
    <row r="297" spans="1:27" x14ac:dyDescent="0.2">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row>
    <row r="298" spans="1:27" x14ac:dyDescent="0.2">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row>
    <row r="299" spans="1:27" x14ac:dyDescent="0.2">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row>
    <row r="300" spans="1:27" x14ac:dyDescent="0.2">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row>
    <row r="301" spans="1:27" x14ac:dyDescent="0.2">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row>
    <row r="302" spans="1:27" x14ac:dyDescent="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row>
    <row r="303" spans="1:27" x14ac:dyDescent="0.2">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row>
    <row r="304" spans="1:27" x14ac:dyDescent="0.2">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row>
    <row r="305" spans="1:27" x14ac:dyDescent="0.2">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row>
    <row r="306" spans="1:27" x14ac:dyDescent="0.2">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row>
    <row r="307" spans="1:27" x14ac:dyDescent="0.2">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row>
    <row r="308" spans="1:27" x14ac:dyDescent="0.2">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row>
    <row r="309" spans="1:27" x14ac:dyDescent="0.2">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row>
    <row r="310" spans="1:27" x14ac:dyDescent="0.2">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row>
    <row r="311" spans="1:27" x14ac:dyDescent="0.2">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row>
    <row r="312" spans="1:27" x14ac:dyDescent="0.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row>
    <row r="313" spans="1:27" x14ac:dyDescent="0.2">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row>
    <row r="314" spans="1:27" x14ac:dyDescent="0.2">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row>
    <row r="315" spans="1:27" x14ac:dyDescent="0.2">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row>
    <row r="316" spans="1:27" x14ac:dyDescent="0.2">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row>
    <row r="317" spans="1:27" x14ac:dyDescent="0.2">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row>
    <row r="318" spans="1:27" x14ac:dyDescent="0.2">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row>
    <row r="319" spans="1:27" x14ac:dyDescent="0.2">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row>
    <row r="320" spans="1:27" x14ac:dyDescent="0.2">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row>
    <row r="321" spans="1:27" x14ac:dyDescent="0.2">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row>
    <row r="322" spans="1:27" x14ac:dyDescent="0.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row>
    <row r="323" spans="1:27" x14ac:dyDescent="0.2">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row>
    <row r="324" spans="1:27" x14ac:dyDescent="0.2">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row>
    <row r="325" spans="1:27" x14ac:dyDescent="0.2">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row>
    <row r="326" spans="1:27" x14ac:dyDescent="0.2">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row>
    <row r="327" spans="1:27" x14ac:dyDescent="0.2">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row>
    <row r="328" spans="1:27" x14ac:dyDescent="0.2">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row>
    <row r="329" spans="1:27" x14ac:dyDescent="0.2">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row>
    <row r="330" spans="1:27" x14ac:dyDescent="0.2">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row>
    <row r="331" spans="1:27" x14ac:dyDescent="0.2">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row>
    <row r="332" spans="1:27" x14ac:dyDescent="0.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row>
    <row r="333" spans="1:27" x14ac:dyDescent="0.2">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row>
    <row r="334" spans="1:27" x14ac:dyDescent="0.2">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row>
    <row r="335" spans="1:27" x14ac:dyDescent="0.2">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row>
    <row r="336" spans="1:27" x14ac:dyDescent="0.2">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row>
    <row r="337" spans="1:27" x14ac:dyDescent="0.2">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row>
    <row r="338" spans="1:27" x14ac:dyDescent="0.2">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row>
    <row r="339" spans="1:27" x14ac:dyDescent="0.2">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row>
    <row r="340" spans="1:27" x14ac:dyDescent="0.2">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row>
    <row r="341" spans="1:27" x14ac:dyDescent="0.2">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row>
    <row r="342" spans="1:27" x14ac:dyDescent="0.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row>
    <row r="343" spans="1:27" x14ac:dyDescent="0.2">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row>
    <row r="344" spans="1:27" x14ac:dyDescent="0.2">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row>
    <row r="345" spans="1:27" x14ac:dyDescent="0.2">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row>
    <row r="346" spans="1:27" x14ac:dyDescent="0.2">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row>
    <row r="347" spans="1:27" x14ac:dyDescent="0.2">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row>
    <row r="348" spans="1:27" x14ac:dyDescent="0.2">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row>
    <row r="349" spans="1:27" x14ac:dyDescent="0.2">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row>
    <row r="350" spans="1:27" x14ac:dyDescent="0.2">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row>
    <row r="351" spans="1:27" x14ac:dyDescent="0.2">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row>
    <row r="352" spans="1:27" x14ac:dyDescent="0.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row>
    <row r="353" spans="1:27" x14ac:dyDescent="0.2">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row>
    <row r="354" spans="1:27" x14ac:dyDescent="0.2">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row>
    <row r="355" spans="1:27" x14ac:dyDescent="0.2">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row>
    <row r="356" spans="1:27" x14ac:dyDescent="0.2">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row>
    <row r="357" spans="1:27" x14ac:dyDescent="0.2">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row>
    <row r="358" spans="1:27" x14ac:dyDescent="0.2">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row>
    <row r="359" spans="1:27" x14ac:dyDescent="0.2">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row>
    <row r="360" spans="1:27" x14ac:dyDescent="0.2">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row>
    <row r="361" spans="1:27" x14ac:dyDescent="0.2">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row>
    <row r="362" spans="1:27" x14ac:dyDescent="0.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row>
    <row r="363" spans="1:27" x14ac:dyDescent="0.2">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row>
    <row r="364" spans="1:27" x14ac:dyDescent="0.2">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row>
    <row r="365" spans="1:27" x14ac:dyDescent="0.2">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row>
    <row r="366" spans="1:27" x14ac:dyDescent="0.2">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row>
    <row r="367" spans="1:27" x14ac:dyDescent="0.2">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row>
    <row r="368" spans="1:27" x14ac:dyDescent="0.2">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row>
    <row r="369" spans="1:27" x14ac:dyDescent="0.2">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row>
    <row r="370" spans="1:27" x14ac:dyDescent="0.2">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row>
    <row r="371" spans="1:27" x14ac:dyDescent="0.2">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row>
    <row r="372" spans="1:27" x14ac:dyDescent="0.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row>
    <row r="373" spans="1:27" x14ac:dyDescent="0.2">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row>
    <row r="374" spans="1:27" x14ac:dyDescent="0.2">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row>
    <row r="375" spans="1:27" x14ac:dyDescent="0.2">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row>
    <row r="376" spans="1:27" x14ac:dyDescent="0.2">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row>
    <row r="377" spans="1:27" x14ac:dyDescent="0.2">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row>
    <row r="378" spans="1:27" x14ac:dyDescent="0.2">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row>
    <row r="379" spans="1:27" x14ac:dyDescent="0.2">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row>
    <row r="380" spans="1:27" x14ac:dyDescent="0.2">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row>
    <row r="381" spans="1:27" x14ac:dyDescent="0.2">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row>
    <row r="382" spans="1:27" x14ac:dyDescent="0.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row>
    <row r="383" spans="1:27" x14ac:dyDescent="0.2">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row>
    <row r="384" spans="1:27" x14ac:dyDescent="0.2">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row>
    <row r="385" spans="1:27" x14ac:dyDescent="0.2">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row>
    <row r="386" spans="1:27" x14ac:dyDescent="0.2">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row>
    <row r="387" spans="1:27" x14ac:dyDescent="0.2">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row>
    <row r="388" spans="1:27" x14ac:dyDescent="0.2">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row>
    <row r="389" spans="1:27" x14ac:dyDescent="0.2">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row>
    <row r="390" spans="1:27" x14ac:dyDescent="0.2">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row>
    <row r="391" spans="1:27" x14ac:dyDescent="0.2">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row>
    <row r="392" spans="1:27" x14ac:dyDescent="0.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row>
    <row r="393" spans="1:27" x14ac:dyDescent="0.2">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row>
    <row r="394" spans="1:27" x14ac:dyDescent="0.2">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row>
    <row r="395" spans="1:27" x14ac:dyDescent="0.2">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row>
    <row r="396" spans="1:27" x14ac:dyDescent="0.2">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row>
    <row r="397" spans="1:27" x14ac:dyDescent="0.2">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row>
    <row r="398" spans="1:27" x14ac:dyDescent="0.2">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row>
    <row r="399" spans="1:27" x14ac:dyDescent="0.2">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row>
    <row r="400" spans="1:27" x14ac:dyDescent="0.2">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row>
    <row r="401" spans="1:27" x14ac:dyDescent="0.2">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row>
    <row r="402" spans="1:27" x14ac:dyDescent="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row>
    <row r="403" spans="1:27" x14ac:dyDescent="0.2">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row>
    <row r="404" spans="1:27" x14ac:dyDescent="0.2">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row>
    <row r="405" spans="1:27" x14ac:dyDescent="0.2">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row>
    <row r="406" spans="1:27" x14ac:dyDescent="0.2">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row>
    <row r="407" spans="1:27" x14ac:dyDescent="0.2">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row>
    <row r="408" spans="1:27" x14ac:dyDescent="0.2">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row>
    <row r="409" spans="1:27" x14ac:dyDescent="0.2">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row>
    <row r="410" spans="1:27" x14ac:dyDescent="0.2">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row>
    <row r="411" spans="1:27" x14ac:dyDescent="0.2">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row>
    <row r="412" spans="1:27" x14ac:dyDescent="0.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row>
    <row r="413" spans="1:27" x14ac:dyDescent="0.2">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row>
    <row r="414" spans="1:27" x14ac:dyDescent="0.2">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row>
    <row r="415" spans="1:27" x14ac:dyDescent="0.2">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row>
    <row r="416" spans="1:27" x14ac:dyDescent="0.2">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row>
    <row r="417" spans="1:27" x14ac:dyDescent="0.2">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row>
    <row r="418" spans="1:27" x14ac:dyDescent="0.2">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row>
    <row r="419" spans="1:27" x14ac:dyDescent="0.2">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row>
    <row r="420" spans="1:27" x14ac:dyDescent="0.2">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row>
    <row r="421" spans="1:27" x14ac:dyDescent="0.2">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row>
    <row r="422" spans="1:27" x14ac:dyDescent="0.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row>
    <row r="423" spans="1:27" x14ac:dyDescent="0.2">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row>
    <row r="424" spans="1:27" x14ac:dyDescent="0.2">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row>
    <row r="425" spans="1:27" x14ac:dyDescent="0.2">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row>
    <row r="426" spans="1:27" x14ac:dyDescent="0.2">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row>
    <row r="427" spans="1:27" x14ac:dyDescent="0.2">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row>
    <row r="428" spans="1:27" x14ac:dyDescent="0.2">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row>
    <row r="429" spans="1:27" x14ac:dyDescent="0.2">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row>
    <row r="430" spans="1:27" x14ac:dyDescent="0.2">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row>
    <row r="431" spans="1:27" x14ac:dyDescent="0.2">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row>
    <row r="432" spans="1:27" x14ac:dyDescent="0.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row>
    <row r="433" spans="1:27" x14ac:dyDescent="0.2">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row>
    <row r="434" spans="1:27" x14ac:dyDescent="0.2">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row>
    <row r="435" spans="1:27" x14ac:dyDescent="0.2">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row>
    <row r="436" spans="1:27" x14ac:dyDescent="0.2">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row>
    <row r="437" spans="1:27" x14ac:dyDescent="0.2">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row>
    <row r="438" spans="1:27" x14ac:dyDescent="0.2">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row>
    <row r="439" spans="1:27" x14ac:dyDescent="0.2">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row>
    <row r="440" spans="1:27" x14ac:dyDescent="0.2">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row>
    <row r="441" spans="1:27" x14ac:dyDescent="0.2">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row>
    <row r="442" spans="1:27" x14ac:dyDescent="0.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row>
    <row r="443" spans="1:27" x14ac:dyDescent="0.2">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row>
    <row r="444" spans="1:27" x14ac:dyDescent="0.2">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row>
    <row r="445" spans="1:27" x14ac:dyDescent="0.2">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row>
    <row r="446" spans="1:27" x14ac:dyDescent="0.2">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row>
    <row r="447" spans="1:27" x14ac:dyDescent="0.2">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row>
    <row r="448" spans="1:27" x14ac:dyDescent="0.2">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row>
    <row r="449" spans="1:27" x14ac:dyDescent="0.2">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row>
    <row r="450" spans="1:27" x14ac:dyDescent="0.2">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row>
    <row r="451" spans="1:27" x14ac:dyDescent="0.2">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row>
    <row r="452" spans="1:27" x14ac:dyDescent="0.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row>
    <row r="453" spans="1:27" x14ac:dyDescent="0.2">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row>
    <row r="454" spans="1:27" x14ac:dyDescent="0.2">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row>
    <row r="455" spans="1:27" x14ac:dyDescent="0.2">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row>
    <row r="456" spans="1:27" x14ac:dyDescent="0.2">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row>
    <row r="457" spans="1:27" x14ac:dyDescent="0.2">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row>
    <row r="458" spans="1:27" x14ac:dyDescent="0.2">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row>
    <row r="459" spans="1:27" x14ac:dyDescent="0.2">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row>
    <row r="460" spans="1:27" x14ac:dyDescent="0.2">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row>
    <row r="461" spans="1:27" x14ac:dyDescent="0.2">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row>
    <row r="462" spans="1:27" x14ac:dyDescent="0.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row>
    <row r="463" spans="1:27" x14ac:dyDescent="0.2">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row>
    <row r="464" spans="1:27" x14ac:dyDescent="0.2">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row>
    <row r="465" spans="1:27" x14ac:dyDescent="0.2">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row>
    <row r="466" spans="1:27" x14ac:dyDescent="0.2">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row>
    <row r="467" spans="1:27" x14ac:dyDescent="0.2">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row>
    <row r="468" spans="1:27" x14ac:dyDescent="0.2">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row>
    <row r="469" spans="1:27" x14ac:dyDescent="0.2">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row>
    <row r="470" spans="1:27" x14ac:dyDescent="0.2">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row>
    <row r="471" spans="1:27" x14ac:dyDescent="0.2">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row>
    <row r="472" spans="1:27" x14ac:dyDescent="0.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row>
    <row r="473" spans="1:27" x14ac:dyDescent="0.2">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row>
    <row r="474" spans="1:27" x14ac:dyDescent="0.2">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row>
    <row r="475" spans="1:27" x14ac:dyDescent="0.2">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row>
    <row r="476" spans="1:27" x14ac:dyDescent="0.2">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row>
    <row r="477" spans="1:27" x14ac:dyDescent="0.2">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row>
    <row r="478" spans="1:27" x14ac:dyDescent="0.2">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row>
    <row r="479" spans="1:27" x14ac:dyDescent="0.2">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row>
    <row r="480" spans="1:27" x14ac:dyDescent="0.2">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row>
    <row r="481" spans="1:27" x14ac:dyDescent="0.2">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row>
    <row r="482" spans="1:27" x14ac:dyDescent="0.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row>
    <row r="483" spans="1:27" x14ac:dyDescent="0.2">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row>
    <row r="484" spans="1:27" x14ac:dyDescent="0.2">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row>
    <row r="485" spans="1:27" x14ac:dyDescent="0.2">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row>
    <row r="486" spans="1:27" x14ac:dyDescent="0.2">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row>
    <row r="487" spans="1:27" x14ac:dyDescent="0.2">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row>
    <row r="488" spans="1:27" x14ac:dyDescent="0.2">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row>
    <row r="489" spans="1:27" x14ac:dyDescent="0.2">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row>
    <row r="490" spans="1:27" x14ac:dyDescent="0.2">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row>
    <row r="491" spans="1:27" x14ac:dyDescent="0.2">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row>
    <row r="492" spans="1:27" x14ac:dyDescent="0.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row>
    <row r="493" spans="1:27" x14ac:dyDescent="0.2">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row>
    <row r="494" spans="1:27" x14ac:dyDescent="0.2">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row>
    <row r="495" spans="1:27" x14ac:dyDescent="0.2">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row>
    <row r="496" spans="1:27" x14ac:dyDescent="0.2">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row>
    <row r="497" spans="1:27" x14ac:dyDescent="0.2">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row>
    <row r="498" spans="1:27" x14ac:dyDescent="0.2">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row>
    <row r="499" spans="1:27" x14ac:dyDescent="0.2">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row>
    <row r="500" spans="1:27" x14ac:dyDescent="0.2">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row>
    <row r="501" spans="1:27" x14ac:dyDescent="0.2">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row>
    <row r="502" spans="1:27" x14ac:dyDescent="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row>
    <row r="503" spans="1:27" x14ac:dyDescent="0.2">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row>
    <row r="504" spans="1:27" x14ac:dyDescent="0.2">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row>
    <row r="505" spans="1:27" x14ac:dyDescent="0.2">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row>
    <row r="506" spans="1:27" x14ac:dyDescent="0.2">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row>
    <row r="507" spans="1:27" x14ac:dyDescent="0.2">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row>
    <row r="508" spans="1:27" x14ac:dyDescent="0.2">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row>
    <row r="509" spans="1:27" x14ac:dyDescent="0.2">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row>
    <row r="510" spans="1:27" x14ac:dyDescent="0.2">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row>
    <row r="511" spans="1:27" x14ac:dyDescent="0.2">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row>
    <row r="512" spans="1:27" x14ac:dyDescent="0.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row>
    <row r="513" spans="1:27" x14ac:dyDescent="0.2">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row>
    <row r="514" spans="1:27" x14ac:dyDescent="0.2">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row>
    <row r="515" spans="1:27" x14ac:dyDescent="0.2">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row>
    <row r="516" spans="1:27" x14ac:dyDescent="0.2">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row>
    <row r="517" spans="1:27" x14ac:dyDescent="0.2">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row>
    <row r="518" spans="1:27" x14ac:dyDescent="0.2">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row>
    <row r="519" spans="1:27" x14ac:dyDescent="0.2">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row>
    <row r="520" spans="1:27" x14ac:dyDescent="0.2">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row>
    <row r="521" spans="1:27" x14ac:dyDescent="0.2">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row>
    <row r="522" spans="1:27" x14ac:dyDescent="0.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row>
    <row r="523" spans="1:27" x14ac:dyDescent="0.2">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row>
    <row r="524" spans="1:27" x14ac:dyDescent="0.2">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row>
    <row r="525" spans="1:27" x14ac:dyDescent="0.2">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row>
    <row r="526" spans="1:27" x14ac:dyDescent="0.2">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row>
    <row r="527" spans="1:27" x14ac:dyDescent="0.2">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row>
    <row r="528" spans="1:27" x14ac:dyDescent="0.2">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row>
    <row r="529" spans="1:27" x14ac:dyDescent="0.2">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row>
    <row r="530" spans="1:27" x14ac:dyDescent="0.2">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row>
    <row r="531" spans="1:27" x14ac:dyDescent="0.2">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row>
    <row r="532" spans="1:27" x14ac:dyDescent="0.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row>
    <row r="533" spans="1:27" x14ac:dyDescent="0.2">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row>
    <row r="534" spans="1:27" x14ac:dyDescent="0.2">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row>
    <row r="535" spans="1:27" x14ac:dyDescent="0.2">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row>
    <row r="536" spans="1:27" x14ac:dyDescent="0.2">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row>
    <row r="537" spans="1:27" x14ac:dyDescent="0.2">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row>
    <row r="538" spans="1:27" x14ac:dyDescent="0.2">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row>
    <row r="539" spans="1:27" x14ac:dyDescent="0.2">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row>
    <row r="540" spans="1:27" x14ac:dyDescent="0.2">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row>
    <row r="541" spans="1:27" x14ac:dyDescent="0.2">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row>
    <row r="542" spans="1:27" x14ac:dyDescent="0.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row>
    <row r="543" spans="1:27" x14ac:dyDescent="0.2">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row>
    <row r="544" spans="1:27" x14ac:dyDescent="0.2">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row>
    <row r="545" spans="1:27" x14ac:dyDescent="0.2">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row>
    <row r="546" spans="1:27" x14ac:dyDescent="0.2">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row>
    <row r="547" spans="1:27" x14ac:dyDescent="0.2">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row>
    <row r="548" spans="1:27" x14ac:dyDescent="0.2">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row>
    <row r="549" spans="1:27" x14ac:dyDescent="0.2">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row>
    <row r="550" spans="1:27" x14ac:dyDescent="0.2">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row>
    <row r="551" spans="1:27" x14ac:dyDescent="0.2">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row>
    <row r="552" spans="1:27" x14ac:dyDescent="0.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row>
    <row r="553" spans="1:27" x14ac:dyDescent="0.2">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row>
    <row r="554" spans="1:27" x14ac:dyDescent="0.2">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row>
    <row r="555" spans="1:27" x14ac:dyDescent="0.2">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row>
    <row r="556" spans="1:27" x14ac:dyDescent="0.2">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row>
    <row r="557" spans="1:27" x14ac:dyDescent="0.2">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row>
    <row r="558" spans="1:27" x14ac:dyDescent="0.2">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row>
    <row r="559" spans="1:27" x14ac:dyDescent="0.2">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row>
    <row r="560" spans="1:27" x14ac:dyDescent="0.2">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row>
    <row r="561" spans="1:27" x14ac:dyDescent="0.2">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row>
    <row r="562" spans="1:27" x14ac:dyDescent="0.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row>
    <row r="563" spans="1:27" x14ac:dyDescent="0.2">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row>
    <row r="564" spans="1:27" x14ac:dyDescent="0.2">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row>
    <row r="565" spans="1:27" x14ac:dyDescent="0.2">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row>
    <row r="566" spans="1:27" x14ac:dyDescent="0.2">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row>
    <row r="567" spans="1:27" x14ac:dyDescent="0.2">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row>
    <row r="568" spans="1:27" x14ac:dyDescent="0.2">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row>
    <row r="569" spans="1:27" x14ac:dyDescent="0.2">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row>
    <row r="570" spans="1:27" x14ac:dyDescent="0.2">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row>
    <row r="571" spans="1:27" x14ac:dyDescent="0.2">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row>
    <row r="572" spans="1:27" x14ac:dyDescent="0.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row>
    <row r="573" spans="1:27" x14ac:dyDescent="0.2">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row>
    <row r="574" spans="1:27" x14ac:dyDescent="0.2">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row>
    <row r="575" spans="1:27" x14ac:dyDescent="0.2">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row>
    <row r="576" spans="1:27" x14ac:dyDescent="0.2">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row>
    <row r="577" spans="1:27" x14ac:dyDescent="0.2">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row>
    <row r="578" spans="1:27" x14ac:dyDescent="0.2">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row>
    <row r="579" spans="1:27" x14ac:dyDescent="0.2">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row>
    <row r="580" spans="1:27" x14ac:dyDescent="0.2">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row>
    <row r="581" spans="1:27" x14ac:dyDescent="0.2">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row>
    <row r="582" spans="1:27" x14ac:dyDescent="0.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row>
    <row r="583" spans="1:27" x14ac:dyDescent="0.2">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row>
    <row r="584" spans="1:27" x14ac:dyDescent="0.2">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row>
    <row r="585" spans="1:27" x14ac:dyDescent="0.2">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row>
    <row r="586" spans="1:27" x14ac:dyDescent="0.2">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row>
    <row r="587" spans="1:27" x14ac:dyDescent="0.2">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row>
    <row r="588" spans="1:27" x14ac:dyDescent="0.2">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row>
    <row r="589" spans="1:27" x14ac:dyDescent="0.2">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row>
    <row r="590" spans="1:27" x14ac:dyDescent="0.2">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row>
    <row r="591" spans="1:27" x14ac:dyDescent="0.2">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row>
    <row r="592" spans="1:27" x14ac:dyDescent="0.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row>
    <row r="593" spans="1:27" x14ac:dyDescent="0.2">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row>
    <row r="594" spans="1:27" x14ac:dyDescent="0.2">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row>
    <row r="595" spans="1:27" x14ac:dyDescent="0.2">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row>
    <row r="596" spans="1:27" x14ac:dyDescent="0.2">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row>
    <row r="597" spans="1:27" x14ac:dyDescent="0.2">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row>
    <row r="598" spans="1:27" x14ac:dyDescent="0.2">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row>
    <row r="599" spans="1:27" x14ac:dyDescent="0.2">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row>
    <row r="600" spans="1:27" x14ac:dyDescent="0.2">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row>
    <row r="601" spans="1:27" x14ac:dyDescent="0.2">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row>
    <row r="602" spans="1:27" x14ac:dyDescent="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row>
    <row r="603" spans="1:27" x14ac:dyDescent="0.2">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row>
    <row r="604" spans="1:27" x14ac:dyDescent="0.2">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row>
    <row r="605" spans="1:27" x14ac:dyDescent="0.2">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row>
    <row r="606" spans="1:27" x14ac:dyDescent="0.2">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row>
    <row r="607" spans="1:27" x14ac:dyDescent="0.2">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row>
    <row r="608" spans="1:27" x14ac:dyDescent="0.2">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row>
    <row r="609" spans="1:27" x14ac:dyDescent="0.2">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row>
    <row r="610" spans="1:27" x14ac:dyDescent="0.2">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row>
    <row r="611" spans="1:27" x14ac:dyDescent="0.2">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row>
    <row r="612" spans="1:27" x14ac:dyDescent="0.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row>
    <row r="613" spans="1:27" x14ac:dyDescent="0.2">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row>
    <row r="614" spans="1:27" x14ac:dyDescent="0.2">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row>
    <row r="615" spans="1:27" x14ac:dyDescent="0.2">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row>
    <row r="616" spans="1:27" x14ac:dyDescent="0.2">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row>
    <row r="617" spans="1:27" x14ac:dyDescent="0.2">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row>
    <row r="618" spans="1:27" x14ac:dyDescent="0.2">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row>
    <row r="619" spans="1:27" x14ac:dyDescent="0.2">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row>
    <row r="620" spans="1:27" x14ac:dyDescent="0.2">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row>
    <row r="621" spans="1:27" x14ac:dyDescent="0.2">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row>
    <row r="622" spans="1:27" x14ac:dyDescent="0.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row>
    <row r="623" spans="1:27" x14ac:dyDescent="0.2">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row>
    <row r="624" spans="1:27" x14ac:dyDescent="0.2">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row>
    <row r="625" spans="1:27" x14ac:dyDescent="0.2">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row>
    <row r="626" spans="1:27" x14ac:dyDescent="0.2">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row>
    <row r="627" spans="1:27" x14ac:dyDescent="0.2">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row>
    <row r="628" spans="1:27" x14ac:dyDescent="0.2">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row>
    <row r="629" spans="1:27" x14ac:dyDescent="0.2">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row>
    <row r="630" spans="1:27" x14ac:dyDescent="0.2">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row>
    <row r="631" spans="1:27" x14ac:dyDescent="0.2">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row>
    <row r="632" spans="1:27" x14ac:dyDescent="0.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row>
    <row r="633" spans="1:27" x14ac:dyDescent="0.2">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row>
    <row r="634" spans="1:27" x14ac:dyDescent="0.2">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row>
    <row r="635" spans="1:27" x14ac:dyDescent="0.2">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row>
    <row r="636" spans="1:27" x14ac:dyDescent="0.2">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row>
    <row r="637" spans="1:27" x14ac:dyDescent="0.2">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row>
    <row r="638" spans="1:27" x14ac:dyDescent="0.2">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row>
    <row r="639" spans="1:27" x14ac:dyDescent="0.2">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row>
    <row r="640" spans="1:27" x14ac:dyDescent="0.2">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row>
    <row r="641" spans="1:27" x14ac:dyDescent="0.2">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row>
    <row r="642" spans="1:27" x14ac:dyDescent="0.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row>
    <row r="643" spans="1:27" x14ac:dyDescent="0.2">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row>
    <row r="644" spans="1:27" x14ac:dyDescent="0.2">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row>
    <row r="645" spans="1:27" x14ac:dyDescent="0.2">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row>
    <row r="646" spans="1:27" x14ac:dyDescent="0.2">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row>
    <row r="647" spans="1:27" x14ac:dyDescent="0.2">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row>
    <row r="648" spans="1:27" x14ac:dyDescent="0.2">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row>
    <row r="649" spans="1:27" x14ac:dyDescent="0.2">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row>
    <row r="650" spans="1:27" x14ac:dyDescent="0.2">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row>
    <row r="651" spans="1:27" x14ac:dyDescent="0.2">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row>
    <row r="652" spans="1:27" x14ac:dyDescent="0.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row>
    <row r="653" spans="1:27" x14ac:dyDescent="0.2">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row>
    <row r="654" spans="1:27" x14ac:dyDescent="0.2">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row>
    <row r="655" spans="1:27" x14ac:dyDescent="0.2">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row>
    <row r="656" spans="1:27" x14ac:dyDescent="0.2">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row>
    <row r="657" spans="1:27" x14ac:dyDescent="0.2">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row>
    <row r="658" spans="1:27" x14ac:dyDescent="0.2">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row>
    <row r="659" spans="1:27" x14ac:dyDescent="0.2">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row>
    <row r="660" spans="1:27" x14ac:dyDescent="0.2">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row>
    <row r="661" spans="1:27" x14ac:dyDescent="0.2">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row>
    <row r="662" spans="1:27" x14ac:dyDescent="0.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row>
    <row r="663" spans="1:27" x14ac:dyDescent="0.2">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row>
    <row r="664" spans="1:27" x14ac:dyDescent="0.2">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row>
    <row r="665" spans="1:27" x14ac:dyDescent="0.2">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row>
    <row r="666" spans="1:27" x14ac:dyDescent="0.2">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row>
    <row r="667" spans="1:27" x14ac:dyDescent="0.2">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row>
    <row r="668" spans="1:27" x14ac:dyDescent="0.2">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row>
    <row r="669" spans="1:27" x14ac:dyDescent="0.2">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row>
    <row r="670" spans="1:27" x14ac:dyDescent="0.2">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row>
    <row r="671" spans="1:27" x14ac:dyDescent="0.2">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row>
    <row r="672" spans="1:27" x14ac:dyDescent="0.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row>
    <row r="673" spans="1:27" x14ac:dyDescent="0.2">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row>
    <row r="674" spans="1:27" x14ac:dyDescent="0.2">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row>
    <row r="675" spans="1:27" x14ac:dyDescent="0.2">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row>
    <row r="676" spans="1:27" x14ac:dyDescent="0.2">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row>
    <row r="677" spans="1:27" x14ac:dyDescent="0.2">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row>
    <row r="678" spans="1:27" x14ac:dyDescent="0.2">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row>
    <row r="679" spans="1:27" x14ac:dyDescent="0.2">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row>
    <row r="680" spans="1:27" x14ac:dyDescent="0.2">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row>
    <row r="681" spans="1:27" x14ac:dyDescent="0.2">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row>
    <row r="682" spans="1:27" x14ac:dyDescent="0.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row>
    <row r="683" spans="1:27" x14ac:dyDescent="0.2">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row>
    <row r="684" spans="1:27" x14ac:dyDescent="0.2">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row>
    <row r="685" spans="1:27" x14ac:dyDescent="0.2">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row>
    <row r="686" spans="1:27" x14ac:dyDescent="0.2">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row>
    <row r="687" spans="1:27" x14ac:dyDescent="0.2">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row>
    <row r="688" spans="1:27" x14ac:dyDescent="0.2">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row>
    <row r="689" spans="1:27" x14ac:dyDescent="0.2">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row>
    <row r="690" spans="1:27" x14ac:dyDescent="0.2">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row>
    <row r="691" spans="1:27" x14ac:dyDescent="0.2">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row>
    <row r="692" spans="1:27" x14ac:dyDescent="0.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row>
    <row r="693" spans="1:27" x14ac:dyDescent="0.2">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row>
    <row r="694" spans="1:27" x14ac:dyDescent="0.2">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row>
    <row r="695" spans="1:27" x14ac:dyDescent="0.2">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row>
    <row r="696" spans="1:27" x14ac:dyDescent="0.2">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row>
    <row r="697" spans="1:27" x14ac:dyDescent="0.2">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row>
    <row r="698" spans="1:27" x14ac:dyDescent="0.2">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row>
    <row r="699" spans="1:27" x14ac:dyDescent="0.2">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row>
    <row r="700" spans="1:27" x14ac:dyDescent="0.2">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row>
    <row r="701" spans="1:27" x14ac:dyDescent="0.2">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row>
    <row r="702" spans="1:27" x14ac:dyDescent="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row>
    <row r="703" spans="1:27" x14ac:dyDescent="0.2">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row>
    <row r="704" spans="1:27" x14ac:dyDescent="0.2">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row>
    <row r="705" spans="1:27" x14ac:dyDescent="0.2">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row>
    <row r="706" spans="1:27" x14ac:dyDescent="0.2">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row>
    <row r="707" spans="1:27" x14ac:dyDescent="0.2">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row>
    <row r="708" spans="1:27" x14ac:dyDescent="0.2">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row>
    <row r="709" spans="1:27" x14ac:dyDescent="0.2">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row>
    <row r="710" spans="1:27" x14ac:dyDescent="0.2">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row>
    <row r="711" spans="1:27" x14ac:dyDescent="0.2">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row>
    <row r="712" spans="1:27" x14ac:dyDescent="0.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row>
    <row r="713" spans="1:27" x14ac:dyDescent="0.2">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row>
    <row r="714" spans="1:27" x14ac:dyDescent="0.2">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row>
    <row r="715" spans="1:27" x14ac:dyDescent="0.2">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row>
    <row r="716" spans="1:27" x14ac:dyDescent="0.2">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row>
    <row r="717" spans="1:27" x14ac:dyDescent="0.2">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row>
    <row r="718" spans="1:27" x14ac:dyDescent="0.2">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row>
    <row r="719" spans="1:27" x14ac:dyDescent="0.2">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row>
    <row r="720" spans="1:27" x14ac:dyDescent="0.2">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row>
    <row r="721" spans="1:27" x14ac:dyDescent="0.2">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row>
    <row r="722" spans="1:27" x14ac:dyDescent="0.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row>
    <row r="723" spans="1:27" x14ac:dyDescent="0.2">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row>
    <row r="724" spans="1:27" x14ac:dyDescent="0.2">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row>
    <row r="725" spans="1:27" x14ac:dyDescent="0.2">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row>
    <row r="726" spans="1:27" x14ac:dyDescent="0.2">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row>
    <row r="727" spans="1:27" x14ac:dyDescent="0.2">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row>
    <row r="728" spans="1:27" x14ac:dyDescent="0.2">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row>
    <row r="729" spans="1:27" x14ac:dyDescent="0.2">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row>
    <row r="730" spans="1:27" x14ac:dyDescent="0.2">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row>
    <row r="731" spans="1:27" x14ac:dyDescent="0.2">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row>
    <row r="732" spans="1:27" x14ac:dyDescent="0.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row>
    <row r="733" spans="1:27" x14ac:dyDescent="0.2">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row>
    <row r="734" spans="1:27" x14ac:dyDescent="0.2">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row>
    <row r="735" spans="1:27" x14ac:dyDescent="0.2">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row>
    <row r="736" spans="1:27" x14ac:dyDescent="0.2">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row>
    <row r="737" spans="1:27" x14ac:dyDescent="0.2">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row>
    <row r="738" spans="1:27" x14ac:dyDescent="0.2">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row>
    <row r="739" spans="1:27" x14ac:dyDescent="0.2">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row>
    <row r="740" spans="1:27" x14ac:dyDescent="0.2">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row>
    <row r="741" spans="1:27" x14ac:dyDescent="0.2">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row>
    <row r="742" spans="1:27" x14ac:dyDescent="0.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row>
    <row r="743" spans="1:27" x14ac:dyDescent="0.2">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row>
    <row r="744" spans="1:27" x14ac:dyDescent="0.2">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row>
    <row r="745" spans="1:27" x14ac:dyDescent="0.2">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row>
    <row r="746" spans="1:27" x14ac:dyDescent="0.2">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row>
    <row r="747" spans="1:27" x14ac:dyDescent="0.2">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row>
    <row r="748" spans="1:27" x14ac:dyDescent="0.2">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row>
    <row r="749" spans="1:27" x14ac:dyDescent="0.2">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row>
    <row r="750" spans="1:27" x14ac:dyDescent="0.2">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row>
    <row r="751" spans="1:27" x14ac:dyDescent="0.2">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row>
    <row r="752" spans="1:27" x14ac:dyDescent="0.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row>
    <row r="753" spans="1:27" x14ac:dyDescent="0.2">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row>
    <row r="754" spans="1:27" x14ac:dyDescent="0.2">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row>
    <row r="755" spans="1:27" x14ac:dyDescent="0.2">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row>
    <row r="756" spans="1:27" x14ac:dyDescent="0.2">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row>
    <row r="757" spans="1:27" x14ac:dyDescent="0.2">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row>
    <row r="758" spans="1:27" x14ac:dyDescent="0.2">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row>
    <row r="759" spans="1:27" x14ac:dyDescent="0.2">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row>
    <row r="760" spans="1:27" x14ac:dyDescent="0.2">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row>
    <row r="761" spans="1:27" x14ac:dyDescent="0.2">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row>
    <row r="762" spans="1:27" x14ac:dyDescent="0.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row>
    <row r="763" spans="1:27" x14ac:dyDescent="0.2">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row>
    <row r="764" spans="1:27" x14ac:dyDescent="0.2">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row>
    <row r="765" spans="1:27" x14ac:dyDescent="0.2">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row>
    <row r="766" spans="1:27" x14ac:dyDescent="0.2">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row>
    <row r="767" spans="1:27" x14ac:dyDescent="0.2">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row>
    <row r="768" spans="1:27" x14ac:dyDescent="0.2">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row>
    <row r="769" spans="1:27" x14ac:dyDescent="0.2">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row>
    <row r="770" spans="1:27" x14ac:dyDescent="0.2">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row>
    <row r="771" spans="1:27" x14ac:dyDescent="0.2">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row>
    <row r="772" spans="1:27" x14ac:dyDescent="0.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row>
    <row r="773" spans="1:27" x14ac:dyDescent="0.2">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row>
    <row r="774" spans="1:27" x14ac:dyDescent="0.2">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row>
    <row r="775" spans="1:27" x14ac:dyDescent="0.2">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row>
    <row r="776" spans="1:27" x14ac:dyDescent="0.2">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row>
    <row r="777" spans="1:27" x14ac:dyDescent="0.2">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row>
    <row r="778" spans="1:27" x14ac:dyDescent="0.2">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row>
    <row r="779" spans="1:27" x14ac:dyDescent="0.2">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row>
    <row r="780" spans="1:27" x14ac:dyDescent="0.2">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row>
    <row r="781" spans="1:27" x14ac:dyDescent="0.2">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row>
    <row r="782" spans="1:27" x14ac:dyDescent="0.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row>
    <row r="783" spans="1:27" x14ac:dyDescent="0.2">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row>
    <row r="784" spans="1:27" x14ac:dyDescent="0.2">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row>
    <row r="785" spans="1:27" x14ac:dyDescent="0.2">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row>
    <row r="786" spans="1:27" x14ac:dyDescent="0.2">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row>
    <row r="787" spans="1:27" x14ac:dyDescent="0.2">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row>
    <row r="788" spans="1:27" x14ac:dyDescent="0.2">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row>
    <row r="789" spans="1:27" x14ac:dyDescent="0.2">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row>
    <row r="790" spans="1:27" x14ac:dyDescent="0.2">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row>
    <row r="791" spans="1:27" x14ac:dyDescent="0.2">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row>
    <row r="792" spans="1:27" x14ac:dyDescent="0.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row>
    <row r="793" spans="1:27" x14ac:dyDescent="0.2">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row>
    <row r="794" spans="1:27" x14ac:dyDescent="0.2">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row>
    <row r="795" spans="1:27" x14ac:dyDescent="0.2">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row>
    <row r="796" spans="1:27" x14ac:dyDescent="0.2">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row>
    <row r="797" spans="1:27" x14ac:dyDescent="0.2">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row>
    <row r="798" spans="1:27" x14ac:dyDescent="0.2">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row>
    <row r="799" spans="1:27" x14ac:dyDescent="0.2">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row>
    <row r="800" spans="1:27" x14ac:dyDescent="0.2">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row>
    <row r="801" spans="1:27" x14ac:dyDescent="0.2">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row>
    <row r="802" spans="1:27" x14ac:dyDescent="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row>
    <row r="803" spans="1:27" x14ac:dyDescent="0.2">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row>
    <row r="804" spans="1:27" x14ac:dyDescent="0.2">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row>
    <row r="805" spans="1:27" x14ac:dyDescent="0.2">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row>
    <row r="806" spans="1:27" x14ac:dyDescent="0.2">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row>
    <row r="807" spans="1:27" x14ac:dyDescent="0.2">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row>
    <row r="808" spans="1:27" x14ac:dyDescent="0.2">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row>
    <row r="809" spans="1:27" x14ac:dyDescent="0.2">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row>
    <row r="810" spans="1:27" x14ac:dyDescent="0.2">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row>
    <row r="811" spans="1:27" x14ac:dyDescent="0.2">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row>
    <row r="812" spans="1:27" x14ac:dyDescent="0.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row>
    <row r="813" spans="1:27" x14ac:dyDescent="0.2">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row>
    <row r="814" spans="1:27" x14ac:dyDescent="0.2">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row>
    <row r="815" spans="1:27" x14ac:dyDescent="0.2">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row>
    <row r="816" spans="1:27" x14ac:dyDescent="0.2">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row>
    <row r="817" spans="1:27" x14ac:dyDescent="0.2">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row>
    <row r="818" spans="1:27" x14ac:dyDescent="0.2">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row>
    <row r="819" spans="1:27" x14ac:dyDescent="0.2">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row>
    <row r="820" spans="1:27" x14ac:dyDescent="0.2">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row>
    <row r="821" spans="1:27" x14ac:dyDescent="0.2">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row>
    <row r="822" spans="1:27" x14ac:dyDescent="0.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row>
    <row r="823" spans="1:27" x14ac:dyDescent="0.2">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row>
    <row r="824" spans="1:27" x14ac:dyDescent="0.2">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row>
    <row r="825" spans="1:27" x14ac:dyDescent="0.2">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row>
    <row r="826" spans="1:27" x14ac:dyDescent="0.2">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row>
    <row r="827" spans="1:27" x14ac:dyDescent="0.2">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row>
    <row r="828" spans="1:27" x14ac:dyDescent="0.2">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row>
    <row r="829" spans="1:27" x14ac:dyDescent="0.2">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row>
    <row r="830" spans="1:27" x14ac:dyDescent="0.2">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row>
    <row r="831" spans="1:27" x14ac:dyDescent="0.2">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row>
    <row r="832" spans="1:27" x14ac:dyDescent="0.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row>
    <row r="833" spans="1:27" x14ac:dyDescent="0.2">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row>
    <row r="834" spans="1:27" x14ac:dyDescent="0.2">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row>
    <row r="835" spans="1:27" x14ac:dyDescent="0.2">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row>
    <row r="836" spans="1:27" x14ac:dyDescent="0.2">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row>
    <row r="837" spans="1:27" x14ac:dyDescent="0.2">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row>
    <row r="838" spans="1:27" x14ac:dyDescent="0.2">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row>
    <row r="839" spans="1:27" x14ac:dyDescent="0.2">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row>
    <row r="840" spans="1:27" x14ac:dyDescent="0.2">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row>
    <row r="841" spans="1:27" x14ac:dyDescent="0.2">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row>
    <row r="842" spans="1:27" x14ac:dyDescent="0.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row>
    <row r="843" spans="1:27" x14ac:dyDescent="0.2">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row>
    <row r="844" spans="1:27" x14ac:dyDescent="0.2">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row>
    <row r="845" spans="1:27" x14ac:dyDescent="0.2">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row>
    <row r="846" spans="1:27" x14ac:dyDescent="0.2">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row>
    <row r="847" spans="1:27" x14ac:dyDescent="0.2">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row>
    <row r="848" spans="1:27" x14ac:dyDescent="0.2">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row>
    <row r="849" spans="1:27" x14ac:dyDescent="0.2">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row>
    <row r="850" spans="1:27" x14ac:dyDescent="0.2">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row>
    <row r="851" spans="1:27" x14ac:dyDescent="0.2">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row>
    <row r="852" spans="1:27" x14ac:dyDescent="0.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row>
    <row r="853" spans="1:27" x14ac:dyDescent="0.2">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row>
    <row r="854" spans="1:27" x14ac:dyDescent="0.2">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row>
    <row r="855" spans="1:27" x14ac:dyDescent="0.2">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row>
    <row r="856" spans="1:27" x14ac:dyDescent="0.2">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row>
    <row r="857" spans="1:27" x14ac:dyDescent="0.2">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row>
    <row r="858" spans="1:27" x14ac:dyDescent="0.2">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row>
    <row r="859" spans="1:27" x14ac:dyDescent="0.2">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row>
    <row r="860" spans="1:27" x14ac:dyDescent="0.2">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row>
    <row r="861" spans="1:27" x14ac:dyDescent="0.2">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row>
    <row r="862" spans="1:27" x14ac:dyDescent="0.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row>
    <row r="863" spans="1:27" x14ac:dyDescent="0.2">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row>
    <row r="864" spans="1:27" x14ac:dyDescent="0.2">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row>
    <row r="865" spans="1:27" x14ac:dyDescent="0.2">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row>
    <row r="866" spans="1:27" x14ac:dyDescent="0.2">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row>
    <row r="867" spans="1:27" x14ac:dyDescent="0.2">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row>
    <row r="868" spans="1:27" x14ac:dyDescent="0.2">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row>
    <row r="869" spans="1:27" x14ac:dyDescent="0.2">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row>
    <row r="870" spans="1:27" x14ac:dyDescent="0.2">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row>
    <row r="871" spans="1:27" x14ac:dyDescent="0.2">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row>
    <row r="872" spans="1:27" x14ac:dyDescent="0.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row>
    <row r="873" spans="1:27" x14ac:dyDescent="0.2">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row>
    <row r="874" spans="1:27" x14ac:dyDescent="0.2">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row>
    <row r="875" spans="1:27" x14ac:dyDescent="0.2">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row>
    <row r="876" spans="1:27" x14ac:dyDescent="0.2">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row>
    <row r="877" spans="1:27" x14ac:dyDescent="0.2">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row>
    <row r="878" spans="1:27" x14ac:dyDescent="0.2">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row>
    <row r="879" spans="1:27" x14ac:dyDescent="0.2">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row>
    <row r="880" spans="1:27" x14ac:dyDescent="0.2">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row>
    <row r="881" spans="1:27" x14ac:dyDescent="0.2">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row>
    <row r="882" spans="1:27" x14ac:dyDescent="0.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row>
    <row r="883" spans="1:27" x14ac:dyDescent="0.2">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row>
    <row r="884" spans="1:27" x14ac:dyDescent="0.2">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row>
    <row r="885" spans="1:27" x14ac:dyDescent="0.2">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row>
    <row r="886" spans="1:27" x14ac:dyDescent="0.2">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row>
    <row r="887" spans="1:27" x14ac:dyDescent="0.2">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row>
    <row r="888" spans="1:27" x14ac:dyDescent="0.2">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row>
    <row r="889" spans="1:27" x14ac:dyDescent="0.2">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row>
    <row r="890" spans="1:27" x14ac:dyDescent="0.2">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row>
    <row r="891" spans="1:27" x14ac:dyDescent="0.2">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row>
    <row r="892" spans="1:27" x14ac:dyDescent="0.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row>
    <row r="893" spans="1:27" x14ac:dyDescent="0.2">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row>
    <row r="894" spans="1:27" x14ac:dyDescent="0.2">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row>
    <row r="895" spans="1:27" x14ac:dyDescent="0.2">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row>
    <row r="896" spans="1:27" x14ac:dyDescent="0.2">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row>
    <row r="897" spans="1:27" x14ac:dyDescent="0.2">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row>
    <row r="898" spans="1:27" x14ac:dyDescent="0.2">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row>
    <row r="899" spans="1:27" x14ac:dyDescent="0.2">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row>
    <row r="900" spans="1:27" x14ac:dyDescent="0.2">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row>
    <row r="901" spans="1:27" x14ac:dyDescent="0.2">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row>
    <row r="902" spans="1:27" x14ac:dyDescent="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row>
    <row r="903" spans="1:27" x14ac:dyDescent="0.2">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row>
    <row r="904" spans="1:27" x14ac:dyDescent="0.2">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row>
    <row r="905" spans="1:27" x14ac:dyDescent="0.2">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row>
    <row r="906" spans="1:27" x14ac:dyDescent="0.2">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row>
    <row r="907" spans="1:27" x14ac:dyDescent="0.2">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row>
    <row r="908" spans="1:27" x14ac:dyDescent="0.2">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row>
    <row r="909" spans="1:27" x14ac:dyDescent="0.2">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row>
    <row r="910" spans="1:27" x14ac:dyDescent="0.2">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row>
    <row r="911" spans="1:27" x14ac:dyDescent="0.2">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row>
    <row r="912" spans="1:27" x14ac:dyDescent="0.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row>
    <row r="913" spans="1:27" x14ac:dyDescent="0.2">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row>
    <row r="914" spans="1:27" x14ac:dyDescent="0.2">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row>
    <row r="915" spans="1:27" x14ac:dyDescent="0.2">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row>
    <row r="916" spans="1:27" x14ac:dyDescent="0.2">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row>
    <row r="917" spans="1:27" x14ac:dyDescent="0.2">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row>
    <row r="918" spans="1:27" x14ac:dyDescent="0.2">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row>
    <row r="919" spans="1:27" x14ac:dyDescent="0.2">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row>
    <row r="920" spans="1:27" x14ac:dyDescent="0.2">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row>
    <row r="921" spans="1:27" x14ac:dyDescent="0.2">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row>
    <row r="922" spans="1:27" x14ac:dyDescent="0.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row>
    <row r="923" spans="1:27" x14ac:dyDescent="0.2">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row>
    <row r="924" spans="1:27" x14ac:dyDescent="0.2">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row>
    <row r="925" spans="1:27" x14ac:dyDescent="0.2">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row>
    <row r="926" spans="1:27" x14ac:dyDescent="0.2">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row>
    <row r="927" spans="1:27" x14ac:dyDescent="0.2">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row>
    <row r="928" spans="1:27" x14ac:dyDescent="0.2">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row>
    <row r="929" spans="1:27" x14ac:dyDescent="0.2">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row>
    <row r="930" spans="1:27" x14ac:dyDescent="0.2">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row>
    <row r="931" spans="1:27" x14ac:dyDescent="0.2">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row>
    <row r="932" spans="1:27" x14ac:dyDescent="0.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row>
    <row r="933" spans="1:27" x14ac:dyDescent="0.2">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row>
    <row r="934" spans="1:27" x14ac:dyDescent="0.2">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row>
    <row r="935" spans="1:27" x14ac:dyDescent="0.2">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row>
    <row r="936" spans="1:27" x14ac:dyDescent="0.2">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row>
    <row r="937" spans="1:27" x14ac:dyDescent="0.2">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row>
    <row r="938" spans="1:27" x14ac:dyDescent="0.2">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row>
    <row r="939" spans="1:27" x14ac:dyDescent="0.2">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row>
    <row r="940" spans="1:27" x14ac:dyDescent="0.2">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row>
    <row r="941" spans="1:27" x14ac:dyDescent="0.2">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row>
    <row r="942" spans="1:27" x14ac:dyDescent="0.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row>
    <row r="943" spans="1:27" x14ac:dyDescent="0.2">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row>
    <row r="944" spans="1:27" x14ac:dyDescent="0.2">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row>
    <row r="945" spans="1:27" x14ac:dyDescent="0.2">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row>
    <row r="946" spans="1:27" x14ac:dyDescent="0.2">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row>
    <row r="947" spans="1:27" x14ac:dyDescent="0.2">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row>
    <row r="948" spans="1:27" x14ac:dyDescent="0.2">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row>
    <row r="949" spans="1:27" x14ac:dyDescent="0.2">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row>
    <row r="950" spans="1:27" x14ac:dyDescent="0.2">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row>
    <row r="951" spans="1:27" x14ac:dyDescent="0.2">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row>
    <row r="952" spans="1:27" x14ac:dyDescent="0.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row>
    <row r="953" spans="1:27" x14ac:dyDescent="0.2">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row>
    <row r="954" spans="1:27" x14ac:dyDescent="0.2">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row>
    <row r="955" spans="1:27" x14ac:dyDescent="0.2">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row>
    <row r="956" spans="1:27" x14ac:dyDescent="0.2">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row>
    <row r="957" spans="1:27" x14ac:dyDescent="0.2">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row>
    <row r="958" spans="1:27" x14ac:dyDescent="0.2">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row>
    <row r="959" spans="1:27" x14ac:dyDescent="0.2">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row>
    <row r="960" spans="1:27" x14ac:dyDescent="0.2">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row>
    <row r="961" spans="1:27" x14ac:dyDescent="0.2">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row>
    <row r="962" spans="1:27" x14ac:dyDescent="0.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row>
    <row r="963" spans="1:27" x14ac:dyDescent="0.2">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row>
    <row r="964" spans="1:27" x14ac:dyDescent="0.2">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row>
    <row r="965" spans="1:27" x14ac:dyDescent="0.2">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row>
    <row r="966" spans="1:27" x14ac:dyDescent="0.2">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row>
    <row r="967" spans="1:27" x14ac:dyDescent="0.2">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row>
    <row r="968" spans="1:27" x14ac:dyDescent="0.2">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row>
    <row r="969" spans="1:27" x14ac:dyDescent="0.2">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row>
    <row r="970" spans="1:27" x14ac:dyDescent="0.2">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row>
    <row r="971" spans="1:27" x14ac:dyDescent="0.2">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row>
    <row r="972" spans="1:27" x14ac:dyDescent="0.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row>
    <row r="973" spans="1:27" x14ac:dyDescent="0.2">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row>
    <row r="974" spans="1:27" x14ac:dyDescent="0.2">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row>
    <row r="975" spans="1:27" x14ac:dyDescent="0.2">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row>
    <row r="976" spans="1:27" x14ac:dyDescent="0.2">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row>
    <row r="977" spans="1:27" x14ac:dyDescent="0.2">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row>
    <row r="978" spans="1:27" x14ac:dyDescent="0.2">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row>
    <row r="979" spans="1:27" x14ac:dyDescent="0.2">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row>
    <row r="980" spans="1:27" x14ac:dyDescent="0.2">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row>
    <row r="981" spans="1:27" x14ac:dyDescent="0.2">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row>
    <row r="982" spans="1:27" x14ac:dyDescent="0.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row>
    <row r="983" spans="1:27" x14ac:dyDescent="0.2">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row>
    <row r="984" spans="1:27" x14ac:dyDescent="0.2">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row>
    <row r="985" spans="1:27" x14ac:dyDescent="0.2">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row>
    <row r="986" spans="1:27" x14ac:dyDescent="0.2">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row>
    <row r="987" spans="1:27" x14ac:dyDescent="0.2">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row>
    <row r="988" spans="1:27" x14ac:dyDescent="0.2">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row>
    <row r="989" spans="1:27" x14ac:dyDescent="0.2">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row>
    <row r="990" spans="1:27" x14ac:dyDescent="0.2">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row>
    <row r="991" spans="1:27" x14ac:dyDescent="0.2">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row>
    <row r="992" spans="1:27" x14ac:dyDescent="0.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row>
    <row r="993" spans="1:27" x14ac:dyDescent="0.2">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row>
    <row r="994" spans="1:27" x14ac:dyDescent="0.2">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row>
    <row r="995" spans="1:27" x14ac:dyDescent="0.2">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row>
    <row r="996" spans="1:27" x14ac:dyDescent="0.2">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row>
    <row r="997" spans="1:27" x14ac:dyDescent="0.2">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row>
    <row r="998" spans="1:27" x14ac:dyDescent="0.2">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row>
    <row r="999" spans="1:27" x14ac:dyDescent="0.2">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row>
    <row r="1000" spans="1:27" x14ac:dyDescent="0.2">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row>
    <row r="1001" spans="1:27" x14ac:dyDescent="0.2">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c r="AA1001" s="6"/>
    </row>
    <row r="1002" spans="1:27" x14ac:dyDescent="0.2">
      <c r="A1002" s="6"/>
      <c r="B1002" s="6"/>
      <c r="C1002" s="6"/>
      <c r="D1002" s="6"/>
      <c r="E1002" s="6"/>
      <c r="F1002" s="6"/>
      <c r="G1002" s="6"/>
      <c r="H1002" s="6"/>
      <c r="I1002" s="6"/>
      <c r="J1002" s="6"/>
      <c r="K1002" s="6"/>
      <c r="L1002" s="6"/>
      <c r="M1002" s="6"/>
      <c r="N1002" s="6"/>
      <c r="O1002" s="6"/>
      <c r="P1002" s="6"/>
      <c r="Q1002" s="6"/>
      <c r="R1002" s="6"/>
      <c r="S1002" s="6"/>
      <c r="T1002" s="6"/>
      <c r="U1002" s="6"/>
      <c r="V1002" s="6"/>
      <c r="W1002" s="6"/>
      <c r="X1002" s="6"/>
      <c r="Y1002" s="6"/>
      <c r="Z1002" s="6"/>
      <c r="AA1002" s="6"/>
    </row>
    <row r="1003" spans="1:27" x14ac:dyDescent="0.2">
      <c r="A1003" s="6"/>
      <c r="B1003" s="6"/>
      <c r="C1003" s="6"/>
      <c r="D1003" s="6"/>
      <c r="E1003" s="6"/>
      <c r="F1003" s="6"/>
      <c r="G1003" s="6"/>
      <c r="H1003" s="6"/>
      <c r="I1003" s="6"/>
      <c r="J1003" s="6"/>
      <c r="K1003" s="6"/>
      <c r="L1003" s="6"/>
      <c r="M1003" s="6"/>
      <c r="N1003" s="6"/>
      <c r="O1003" s="6"/>
      <c r="P1003" s="6"/>
      <c r="Q1003" s="6"/>
      <c r="R1003" s="6"/>
      <c r="S1003" s="6"/>
      <c r="T1003" s="6"/>
      <c r="U1003" s="6"/>
      <c r="V1003" s="6"/>
      <c r="W1003" s="6"/>
      <c r="X1003" s="6"/>
      <c r="Y1003" s="6"/>
      <c r="Z1003" s="6"/>
      <c r="AA1003" s="6"/>
    </row>
    <row r="1004" spans="1:27" x14ac:dyDescent="0.2">
      <c r="A1004" s="6"/>
      <c r="B1004" s="6"/>
      <c r="C1004" s="6"/>
      <c r="D1004" s="6"/>
      <c r="E1004" s="6"/>
      <c r="F1004" s="6"/>
      <c r="G1004" s="6"/>
      <c r="H1004" s="6"/>
      <c r="I1004" s="6"/>
      <c r="J1004" s="6"/>
      <c r="K1004" s="6"/>
      <c r="L1004" s="6"/>
      <c r="M1004" s="6"/>
      <c r="N1004" s="6"/>
      <c r="O1004" s="6"/>
      <c r="P1004" s="6"/>
      <c r="Q1004" s="6"/>
      <c r="R1004" s="6"/>
      <c r="S1004" s="6"/>
      <c r="T1004" s="6"/>
      <c r="U1004" s="6"/>
      <c r="V1004" s="6"/>
      <c r="W1004" s="6"/>
      <c r="X1004" s="6"/>
      <c r="Y1004" s="6"/>
      <c r="Z1004" s="6"/>
      <c r="AA1004" s="6"/>
    </row>
    <row r="1005" spans="1:27" x14ac:dyDescent="0.2">
      <c r="A1005" s="6"/>
      <c r="B1005" s="6"/>
      <c r="C1005" s="6"/>
      <c r="D1005" s="6"/>
      <c r="E1005" s="6"/>
      <c r="F1005" s="6"/>
      <c r="G1005" s="6"/>
      <c r="H1005" s="6"/>
      <c r="I1005" s="6"/>
      <c r="J1005" s="6"/>
      <c r="K1005" s="6"/>
      <c r="L1005" s="6"/>
      <c r="M1005" s="6"/>
      <c r="N1005" s="6"/>
      <c r="O1005" s="6"/>
      <c r="P1005" s="6"/>
      <c r="Q1005" s="6"/>
      <c r="R1005" s="6"/>
      <c r="S1005" s="6"/>
      <c r="T1005" s="6"/>
      <c r="U1005" s="6"/>
      <c r="V1005" s="6"/>
      <c r="W1005" s="6"/>
      <c r="X1005" s="6"/>
      <c r="Y1005" s="6"/>
      <c r="Z1005" s="6"/>
      <c r="AA1005" s="6"/>
    </row>
    <row r="1006" spans="1:27" x14ac:dyDescent="0.2">
      <c r="A1006" s="6"/>
      <c r="B1006" s="6"/>
      <c r="C1006" s="6"/>
      <c r="D1006" s="6"/>
      <c r="E1006" s="6"/>
      <c r="F1006" s="6"/>
      <c r="G1006" s="6"/>
      <c r="H1006" s="6"/>
      <c r="I1006" s="6"/>
      <c r="J1006" s="6"/>
      <c r="K1006" s="6"/>
      <c r="L1006" s="6"/>
      <c r="M1006" s="6"/>
      <c r="N1006" s="6"/>
      <c r="O1006" s="6"/>
      <c r="P1006" s="6"/>
      <c r="Q1006" s="6"/>
      <c r="R1006" s="6"/>
      <c r="S1006" s="6"/>
      <c r="T1006" s="6"/>
      <c r="U1006" s="6"/>
      <c r="V1006" s="6"/>
      <c r="W1006" s="6"/>
      <c r="X1006" s="6"/>
      <c r="Y1006" s="6"/>
      <c r="Z1006" s="6"/>
      <c r="AA1006" s="6"/>
    </row>
    <row r="1007" spans="1:27" x14ac:dyDescent="0.2">
      <c r="A1007" s="6"/>
      <c r="B1007" s="6"/>
      <c r="C1007" s="6"/>
      <c r="D1007" s="6"/>
      <c r="E1007" s="6"/>
      <c r="F1007" s="6"/>
      <c r="G1007" s="6"/>
      <c r="H1007" s="6"/>
      <c r="I1007" s="6"/>
      <c r="J1007" s="6"/>
      <c r="K1007" s="6"/>
      <c r="L1007" s="6"/>
      <c r="M1007" s="6"/>
      <c r="N1007" s="6"/>
      <c r="O1007" s="6"/>
      <c r="P1007" s="6"/>
      <c r="Q1007" s="6"/>
      <c r="R1007" s="6"/>
      <c r="S1007" s="6"/>
      <c r="T1007" s="6"/>
      <c r="U1007" s="6"/>
      <c r="V1007" s="6"/>
      <c r="W1007" s="6"/>
      <c r="X1007" s="6"/>
      <c r="Y1007" s="6"/>
      <c r="Z1007" s="6"/>
      <c r="AA1007" s="6"/>
    </row>
    <row r="1008" spans="1:27" x14ac:dyDescent="0.2">
      <c r="A1008" s="6"/>
      <c r="B1008" s="6"/>
      <c r="C1008" s="6"/>
      <c r="D1008" s="6"/>
      <c r="E1008" s="6"/>
      <c r="F1008" s="6"/>
      <c r="G1008" s="6"/>
      <c r="H1008" s="6"/>
      <c r="I1008" s="6"/>
      <c r="J1008" s="6"/>
      <c r="K1008" s="6"/>
      <c r="L1008" s="6"/>
      <c r="M1008" s="6"/>
      <c r="N1008" s="6"/>
      <c r="O1008" s="6"/>
      <c r="P1008" s="6"/>
      <c r="Q1008" s="6"/>
      <c r="R1008" s="6"/>
      <c r="S1008" s="6"/>
      <c r="T1008" s="6"/>
      <c r="U1008" s="6"/>
      <c r="V1008" s="6"/>
      <c r="W1008" s="6"/>
      <c r="X1008" s="6"/>
      <c r="Y1008" s="6"/>
      <c r="Z1008" s="6"/>
      <c r="AA1008" s="6"/>
    </row>
    <row r="1009" spans="1:27" x14ac:dyDescent="0.2">
      <c r="A1009" s="6"/>
      <c r="B1009" s="6"/>
      <c r="C1009" s="6"/>
      <c r="D1009" s="6"/>
      <c r="E1009" s="6"/>
      <c r="F1009" s="6"/>
      <c r="G1009" s="6"/>
      <c r="H1009" s="6"/>
      <c r="I1009" s="6"/>
      <c r="J1009" s="6"/>
      <c r="K1009" s="6"/>
      <c r="L1009" s="6"/>
      <c r="M1009" s="6"/>
      <c r="N1009" s="6"/>
      <c r="O1009" s="6"/>
      <c r="P1009" s="6"/>
      <c r="Q1009" s="6"/>
      <c r="R1009" s="6"/>
      <c r="S1009" s="6"/>
      <c r="T1009" s="6"/>
      <c r="U1009" s="6"/>
      <c r="V1009" s="6"/>
      <c r="W1009" s="6"/>
      <c r="X1009" s="6"/>
      <c r="Y1009" s="6"/>
      <c r="Z1009" s="6"/>
      <c r="AA1009" s="6"/>
    </row>
    <row r="1010" spans="1:27" x14ac:dyDescent="0.2">
      <c r="A1010" s="6"/>
      <c r="B1010" s="6"/>
      <c r="C1010" s="6"/>
      <c r="D1010" s="6"/>
      <c r="E1010" s="6"/>
      <c r="F1010" s="6"/>
      <c r="G1010" s="6"/>
      <c r="H1010" s="6"/>
      <c r="I1010" s="6"/>
      <c r="J1010" s="6"/>
      <c r="K1010" s="6"/>
      <c r="L1010" s="6"/>
      <c r="M1010" s="6"/>
      <c r="N1010" s="6"/>
      <c r="O1010" s="6"/>
      <c r="P1010" s="6"/>
      <c r="Q1010" s="6"/>
      <c r="R1010" s="6"/>
      <c r="S1010" s="6"/>
      <c r="T1010" s="6"/>
      <c r="U1010" s="6"/>
      <c r="V1010" s="6"/>
      <c r="W1010" s="6"/>
      <c r="X1010" s="6"/>
      <c r="Y1010" s="6"/>
      <c r="Z1010" s="6"/>
      <c r="AA1010" s="6"/>
    </row>
    <row r="1011" spans="1:27" x14ac:dyDescent="0.2">
      <c r="A1011" s="6"/>
      <c r="B1011" s="6"/>
      <c r="C1011" s="6"/>
      <c r="D1011" s="6"/>
      <c r="E1011" s="6"/>
      <c r="F1011" s="6"/>
      <c r="G1011" s="6"/>
      <c r="H1011" s="6"/>
      <c r="I1011" s="6"/>
      <c r="J1011" s="6"/>
      <c r="K1011" s="6"/>
      <c r="L1011" s="6"/>
      <c r="M1011" s="6"/>
      <c r="N1011" s="6"/>
      <c r="O1011" s="6"/>
      <c r="P1011" s="6"/>
      <c r="Q1011" s="6"/>
      <c r="R1011" s="6"/>
      <c r="S1011" s="6"/>
      <c r="T1011" s="6"/>
      <c r="U1011" s="6"/>
      <c r="V1011" s="6"/>
      <c r="W1011" s="6"/>
      <c r="X1011" s="6"/>
      <c r="Y1011" s="6"/>
      <c r="Z1011" s="6"/>
      <c r="AA1011" s="6"/>
    </row>
    <row r="1012" spans="1:27" x14ac:dyDescent="0.2">
      <c r="A1012" s="6"/>
      <c r="B1012" s="6"/>
      <c r="C1012" s="6"/>
      <c r="D1012" s="6"/>
      <c r="E1012" s="6"/>
      <c r="F1012" s="6"/>
      <c r="G1012" s="6"/>
      <c r="H1012" s="6"/>
      <c r="I1012" s="6"/>
      <c r="J1012" s="6"/>
      <c r="K1012" s="6"/>
      <c r="L1012" s="6"/>
      <c r="M1012" s="6"/>
      <c r="N1012" s="6"/>
      <c r="O1012" s="6"/>
      <c r="P1012" s="6"/>
      <c r="Q1012" s="6"/>
      <c r="R1012" s="6"/>
      <c r="S1012" s="6"/>
      <c r="T1012" s="6"/>
      <c r="U1012" s="6"/>
      <c r="V1012" s="6"/>
      <c r="W1012" s="6"/>
      <c r="X1012" s="6"/>
      <c r="Y1012" s="6"/>
      <c r="Z1012" s="6"/>
      <c r="AA1012" s="6"/>
    </row>
    <row r="1013" spans="1:27" x14ac:dyDescent="0.2">
      <c r="A1013" s="6"/>
      <c r="B1013" s="6"/>
      <c r="C1013" s="6"/>
      <c r="D1013" s="6"/>
      <c r="E1013" s="6"/>
      <c r="F1013" s="6"/>
      <c r="G1013" s="6"/>
      <c r="H1013" s="6"/>
      <c r="I1013" s="6"/>
      <c r="J1013" s="6"/>
      <c r="K1013" s="6"/>
      <c r="L1013" s="6"/>
      <c r="M1013" s="6"/>
      <c r="N1013" s="6"/>
      <c r="O1013" s="6"/>
      <c r="P1013" s="6"/>
      <c r="Q1013" s="6"/>
      <c r="R1013" s="6"/>
      <c r="S1013" s="6"/>
      <c r="T1013" s="6"/>
      <c r="U1013" s="6"/>
      <c r="V1013" s="6"/>
      <c r="W1013" s="6"/>
      <c r="X1013" s="6"/>
      <c r="Y1013" s="6"/>
      <c r="Z1013" s="6"/>
      <c r="AA1013" s="6"/>
    </row>
    <row r="1014" spans="1:27" x14ac:dyDescent="0.2">
      <c r="A1014" s="6"/>
      <c r="B1014" s="6"/>
      <c r="C1014" s="6"/>
      <c r="D1014" s="6"/>
      <c r="E1014" s="6"/>
      <c r="F1014" s="6"/>
      <c r="G1014" s="6"/>
      <c r="H1014" s="6"/>
      <c r="I1014" s="6"/>
      <c r="J1014" s="6"/>
      <c r="K1014" s="6"/>
      <c r="L1014" s="6"/>
      <c r="M1014" s="6"/>
      <c r="N1014" s="6"/>
      <c r="O1014" s="6"/>
      <c r="P1014" s="6"/>
      <c r="Q1014" s="6"/>
      <c r="R1014" s="6"/>
      <c r="S1014" s="6"/>
      <c r="T1014" s="6"/>
      <c r="U1014" s="6"/>
      <c r="V1014" s="6"/>
      <c r="W1014" s="6"/>
      <c r="X1014" s="6"/>
      <c r="Y1014" s="6"/>
      <c r="Z1014" s="6"/>
      <c r="AA1014" s="6"/>
    </row>
    <row r="1015" spans="1:27" x14ac:dyDescent="0.2">
      <c r="A1015" s="6"/>
      <c r="B1015" s="6"/>
      <c r="C1015" s="6"/>
      <c r="D1015" s="6"/>
      <c r="E1015" s="6"/>
      <c r="F1015" s="6"/>
      <c r="G1015" s="6"/>
      <c r="H1015" s="6"/>
      <c r="I1015" s="6"/>
      <c r="J1015" s="6"/>
      <c r="K1015" s="6"/>
      <c r="L1015" s="6"/>
      <c r="M1015" s="6"/>
      <c r="N1015" s="6"/>
      <c r="O1015" s="6"/>
      <c r="P1015" s="6"/>
      <c r="Q1015" s="6"/>
      <c r="R1015" s="6"/>
      <c r="S1015" s="6"/>
      <c r="T1015" s="6"/>
      <c r="U1015" s="6"/>
      <c r="V1015" s="6"/>
      <c r="W1015" s="6"/>
      <c r="X1015" s="6"/>
      <c r="Y1015" s="6"/>
      <c r="Z1015" s="6"/>
      <c r="AA1015" s="6"/>
    </row>
    <row r="1016" spans="1:27" x14ac:dyDescent="0.2">
      <c r="A1016" s="6"/>
      <c r="B1016" s="6"/>
      <c r="C1016" s="6"/>
      <c r="D1016" s="6"/>
      <c r="E1016" s="6"/>
      <c r="F1016" s="6"/>
      <c r="G1016" s="6"/>
      <c r="H1016" s="6"/>
      <c r="I1016" s="6"/>
      <c r="J1016" s="6"/>
      <c r="K1016" s="6"/>
      <c r="L1016" s="6"/>
      <c r="M1016" s="6"/>
      <c r="N1016" s="6"/>
      <c r="O1016" s="6"/>
      <c r="P1016" s="6"/>
      <c r="Q1016" s="6"/>
      <c r="R1016" s="6"/>
      <c r="S1016" s="6"/>
      <c r="T1016" s="6"/>
      <c r="U1016" s="6"/>
      <c r="V1016" s="6"/>
      <c r="W1016" s="6"/>
      <c r="X1016" s="6"/>
      <c r="Y1016" s="6"/>
      <c r="Z1016" s="6"/>
      <c r="AA1016" s="6"/>
    </row>
    <row r="1017" spans="1:27" x14ac:dyDescent="0.2">
      <c r="A1017" s="6"/>
      <c r="B1017" s="6"/>
      <c r="C1017" s="6"/>
      <c r="D1017" s="6"/>
      <c r="E1017" s="6"/>
      <c r="F1017" s="6"/>
      <c r="G1017" s="6"/>
      <c r="H1017" s="6"/>
      <c r="I1017" s="6"/>
      <c r="J1017" s="6"/>
      <c r="K1017" s="6"/>
      <c r="L1017" s="6"/>
      <c r="M1017" s="6"/>
      <c r="N1017" s="6"/>
      <c r="O1017" s="6"/>
      <c r="P1017" s="6"/>
      <c r="Q1017" s="6"/>
      <c r="R1017" s="6"/>
      <c r="S1017" s="6"/>
      <c r="T1017" s="6"/>
      <c r="U1017" s="6"/>
      <c r="V1017" s="6"/>
      <c r="W1017" s="6"/>
      <c r="X1017" s="6"/>
      <c r="Y1017" s="6"/>
      <c r="Z1017" s="6"/>
      <c r="AA1017" s="6"/>
    </row>
    <row r="1018" spans="1:27" x14ac:dyDescent="0.2">
      <c r="A1018" s="6"/>
      <c r="B1018" s="6"/>
      <c r="C1018" s="6"/>
      <c r="D1018" s="6"/>
      <c r="E1018" s="6"/>
      <c r="F1018" s="6"/>
      <c r="G1018" s="6"/>
      <c r="H1018" s="6"/>
      <c r="I1018" s="6"/>
      <c r="J1018" s="6"/>
      <c r="K1018" s="6"/>
      <c r="L1018" s="6"/>
      <c r="M1018" s="6"/>
      <c r="N1018" s="6"/>
      <c r="O1018" s="6"/>
      <c r="P1018" s="6"/>
      <c r="Q1018" s="6"/>
      <c r="R1018" s="6"/>
      <c r="S1018" s="6"/>
      <c r="T1018" s="6"/>
      <c r="U1018" s="6"/>
      <c r="V1018" s="6"/>
      <c r="W1018" s="6"/>
      <c r="X1018" s="6"/>
      <c r="Y1018" s="6"/>
      <c r="Z1018" s="6"/>
      <c r="AA1018" s="6"/>
    </row>
    <row r="1019" spans="1:27" x14ac:dyDescent="0.2">
      <c r="A1019" s="6"/>
      <c r="B1019" s="6"/>
      <c r="C1019" s="6"/>
      <c r="D1019" s="6"/>
      <c r="E1019" s="6"/>
      <c r="F1019" s="6"/>
      <c r="G1019" s="6"/>
      <c r="H1019" s="6"/>
      <c r="I1019" s="6"/>
      <c r="J1019" s="6"/>
      <c r="K1019" s="6"/>
      <c r="L1019" s="6"/>
      <c r="M1019" s="6"/>
      <c r="N1019" s="6"/>
      <c r="O1019" s="6"/>
      <c r="P1019" s="6"/>
      <c r="Q1019" s="6"/>
      <c r="R1019" s="6"/>
      <c r="S1019" s="6"/>
      <c r="T1019" s="6"/>
      <c r="U1019" s="6"/>
      <c r="V1019" s="6"/>
      <c r="W1019" s="6"/>
      <c r="X1019" s="6"/>
      <c r="Y1019" s="6"/>
      <c r="Z1019" s="6"/>
      <c r="AA1019" s="6"/>
    </row>
    <row r="1020" spans="1:27" x14ac:dyDescent="0.2">
      <c r="A1020" s="6"/>
      <c r="B1020" s="6"/>
      <c r="C1020" s="6"/>
      <c r="D1020" s="6"/>
      <c r="E1020" s="6"/>
      <c r="F1020" s="6"/>
      <c r="G1020" s="6"/>
      <c r="H1020" s="6"/>
      <c r="I1020" s="6"/>
      <c r="J1020" s="6"/>
      <c r="K1020" s="6"/>
      <c r="L1020" s="6"/>
      <c r="M1020" s="6"/>
      <c r="N1020" s="6"/>
      <c r="O1020" s="6"/>
      <c r="P1020" s="6"/>
      <c r="Q1020" s="6"/>
      <c r="R1020" s="6"/>
      <c r="S1020" s="6"/>
      <c r="T1020" s="6"/>
      <c r="U1020" s="6"/>
      <c r="V1020" s="6"/>
      <c r="W1020" s="6"/>
      <c r="X1020" s="6"/>
      <c r="Y1020" s="6"/>
      <c r="Z1020" s="6"/>
      <c r="AA1020" s="6"/>
    </row>
  </sheetData>
  <dataValidations count="1">
    <dataValidation type="list" allowBlank="1" showErrorMessage="1" sqref="F1:F181" xr:uid="{00000000-0002-0000-0600-000000000000}">
      <formula1>"HIGGLING/PROVISION,ESCAPE/TRUANCY,SEASONING,SALE,SCRAMBLE,PUNISHMENT,VISIT,ILLNESS,GARDENING/AGRICULTURE,PREGNANCY/BIRTH,FISHING,ANANSI,MYAL/OBEAH/RELIGION,SUICIDE,SCHOOL,LABOR,DEATH,CHILDCARE,INVENTORY/RECORDS"</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2</vt:i4>
      </vt:variant>
    </vt:vector>
  </HeadingPairs>
  <TitlesOfParts>
    <vt:vector size="9" baseType="lpstr">
      <vt:lpstr>GLOSSARY</vt:lpstr>
      <vt:lpstr>EVENTS</vt:lpstr>
      <vt:lpstr>RELATIONSHIPS</vt:lpstr>
      <vt:lpstr>Sheet5</vt:lpstr>
      <vt:lpstr>JON RELATIONSHIPS</vt:lpstr>
      <vt:lpstr>LookUp</vt:lpstr>
      <vt:lpstr>JON EVENTS</vt:lpstr>
      <vt:lpstr>'JON EVENTS'!NamedRange1</vt:lpstr>
      <vt:lpstr>NamedRange1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Jonathan Baynes</cp:lastModifiedBy>
  <dcterms:created xsi:type="dcterms:W3CDTF">2026-08-10T17:16:41Z</dcterms:created>
  <dcterms:modified xsi:type="dcterms:W3CDTF">2026-08-10T17:18:38Z</dcterms:modified>
</cp:coreProperties>
</file>